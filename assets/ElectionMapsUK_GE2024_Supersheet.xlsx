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wsl.localhost\Ubuntu\home\paddy\repos\PollingProjects\assets\"/>
    </mc:Choice>
  </mc:AlternateContent>
  <xr:revisionPtr revIDLastSave="0" documentId="13_ncr:1_{DDBC5A67-6FDD-44BC-9697-036C99DCFA3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GE2024 RESULTS" sheetId="1" r:id="rId1"/>
    <sheet name="SoPN (UK)" sheetId="2" r:id="rId2"/>
    <sheet name="SoPN (GB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636" i="3" l="1"/>
  <c r="AJ636" i="3"/>
  <c r="AK635" i="3"/>
  <c r="AJ635" i="3"/>
  <c r="AK634" i="3"/>
  <c r="AJ634" i="3"/>
  <c r="AK633" i="3"/>
  <c r="AJ633" i="3"/>
  <c r="AK632" i="3"/>
  <c r="AJ632" i="3"/>
  <c r="AK631" i="3"/>
  <c r="AJ631" i="3"/>
  <c r="AK630" i="3"/>
  <c r="AJ630" i="3"/>
  <c r="AK629" i="3"/>
  <c r="AJ629" i="3"/>
  <c r="AK628" i="3"/>
  <c r="AJ628" i="3"/>
  <c r="AK627" i="3"/>
  <c r="AJ627" i="3"/>
  <c r="AK626" i="3"/>
  <c r="AJ626" i="3"/>
  <c r="AK625" i="3"/>
  <c r="AJ625" i="3"/>
  <c r="AK624" i="3"/>
  <c r="AJ624" i="3"/>
  <c r="AK623" i="3"/>
  <c r="AJ623" i="3"/>
  <c r="AK622" i="3"/>
  <c r="AJ622" i="3"/>
  <c r="AK621" i="3"/>
  <c r="AJ621" i="3"/>
  <c r="AK620" i="3"/>
  <c r="AJ620" i="3"/>
  <c r="AK619" i="3"/>
  <c r="AJ619" i="3"/>
  <c r="AK618" i="3"/>
  <c r="AJ618" i="3"/>
  <c r="AK617" i="3"/>
  <c r="AJ617" i="3"/>
  <c r="AK616" i="3"/>
  <c r="AJ616" i="3"/>
  <c r="AK615" i="3"/>
  <c r="AJ615" i="3"/>
  <c r="AK614" i="3"/>
  <c r="AJ614" i="3"/>
  <c r="AK613" i="3"/>
  <c r="AJ613" i="3"/>
  <c r="AK612" i="3"/>
  <c r="AJ612" i="3"/>
  <c r="AK611" i="3"/>
  <c r="AJ611" i="3"/>
  <c r="AK610" i="3"/>
  <c r="AJ610" i="3"/>
  <c r="AK609" i="3"/>
  <c r="AJ609" i="3"/>
  <c r="AK608" i="3"/>
  <c r="AJ608" i="3"/>
  <c r="AK607" i="3"/>
  <c r="AJ607" i="3"/>
  <c r="AK606" i="3"/>
  <c r="AJ606" i="3"/>
  <c r="AK605" i="3"/>
  <c r="AJ605" i="3"/>
  <c r="AK604" i="3"/>
  <c r="AJ604" i="3"/>
  <c r="AK603" i="3"/>
  <c r="AJ603" i="3"/>
  <c r="AK602" i="3"/>
  <c r="AJ602" i="3"/>
  <c r="AK601" i="3"/>
  <c r="AJ601" i="3"/>
  <c r="AK600" i="3"/>
  <c r="AJ600" i="3"/>
  <c r="AK599" i="3"/>
  <c r="AJ599" i="3"/>
  <c r="AK598" i="3"/>
  <c r="AJ598" i="3"/>
  <c r="AK597" i="3"/>
  <c r="AJ597" i="3"/>
  <c r="AK596" i="3"/>
  <c r="AJ596" i="3"/>
  <c r="AK595" i="3"/>
  <c r="AJ595" i="3"/>
  <c r="AK594" i="3"/>
  <c r="AJ594" i="3"/>
  <c r="AK593" i="3"/>
  <c r="AJ593" i="3"/>
  <c r="AK592" i="3"/>
  <c r="AJ592" i="3"/>
  <c r="AK591" i="3"/>
  <c r="AJ591" i="3"/>
  <c r="AK590" i="3"/>
  <c r="AJ590" i="3"/>
  <c r="AK589" i="3"/>
  <c r="AJ589" i="3"/>
  <c r="AK588" i="3"/>
  <c r="AJ588" i="3"/>
  <c r="AK587" i="3"/>
  <c r="AJ587" i="3"/>
  <c r="AK586" i="3"/>
  <c r="AJ586" i="3"/>
  <c r="AK585" i="3"/>
  <c r="AJ585" i="3"/>
  <c r="AK584" i="3"/>
  <c r="AJ584" i="3"/>
  <c r="AK583" i="3"/>
  <c r="AJ583" i="3"/>
  <c r="AK582" i="3"/>
  <c r="AJ582" i="3"/>
  <c r="AK581" i="3"/>
  <c r="AJ581" i="3"/>
  <c r="AK580" i="3"/>
  <c r="AJ580" i="3"/>
  <c r="AK579" i="3"/>
  <c r="AJ579" i="3"/>
  <c r="AK578" i="3"/>
  <c r="AJ578" i="3"/>
  <c r="AK577" i="3"/>
  <c r="AJ577" i="3"/>
  <c r="AK576" i="3"/>
  <c r="AJ576" i="3"/>
  <c r="AK575" i="3"/>
  <c r="AJ575" i="3"/>
  <c r="AK574" i="3"/>
  <c r="AJ574" i="3"/>
  <c r="AK573" i="3"/>
  <c r="AJ573" i="3"/>
  <c r="AK572" i="3"/>
  <c r="AJ572" i="3"/>
  <c r="AK571" i="3"/>
  <c r="AJ571" i="3"/>
  <c r="AK570" i="3"/>
  <c r="AJ570" i="3"/>
  <c r="AK569" i="3"/>
  <c r="AJ569" i="3"/>
  <c r="AK568" i="3"/>
  <c r="AJ568" i="3"/>
  <c r="AK567" i="3"/>
  <c r="AJ567" i="3"/>
  <c r="AK566" i="3"/>
  <c r="AJ566" i="3"/>
  <c r="AK565" i="3"/>
  <c r="AJ565" i="3"/>
  <c r="AK564" i="3"/>
  <c r="AJ564" i="3"/>
  <c r="AK563" i="3"/>
  <c r="AJ563" i="3"/>
  <c r="AK562" i="3"/>
  <c r="AJ562" i="3"/>
  <c r="AK561" i="3"/>
  <c r="AJ561" i="3"/>
  <c r="AK560" i="3"/>
  <c r="AJ560" i="3"/>
  <c r="AK559" i="3"/>
  <c r="AJ559" i="3"/>
  <c r="AK558" i="3"/>
  <c r="AJ558" i="3"/>
  <c r="AK557" i="3"/>
  <c r="AJ557" i="3"/>
  <c r="AK556" i="3"/>
  <c r="AJ556" i="3"/>
  <c r="AK555" i="3"/>
  <c r="AJ555" i="3"/>
  <c r="AK554" i="3"/>
  <c r="AJ554" i="3"/>
  <c r="AK553" i="3"/>
  <c r="AJ553" i="3"/>
  <c r="AK552" i="3"/>
  <c r="AJ552" i="3"/>
  <c r="AK551" i="3"/>
  <c r="AJ551" i="3"/>
  <c r="AK550" i="3"/>
  <c r="AJ550" i="3"/>
  <c r="AK549" i="3"/>
  <c r="AJ549" i="3"/>
  <c r="AK548" i="3"/>
  <c r="AJ548" i="3"/>
  <c r="AK547" i="3"/>
  <c r="AJ547" i="3"/>
  <c r="AK546" i="3"/>
  <c r="AJ546" i="3"/>
  <c r="AK545" i="3"/>
  <c r="AJ545" i="3"/>
  <c r="AK544" i="3"/>
  <c r="AJ544" i="3"/>
  <c r="AK543" i="3"/>
  <c r="AJ543" i="3"/>
  <c r="AK542" i="3"/>
  <c r="AJ542" i="3"/>
  <c r="AK541" i="3"/>
  <c r="AJ541" i="3"/>
  <c r="AK540" i="3"/>
  <c r="AJ540" i="3"/>
  <c r="AK539" i="3"/>
  <c r="AJ539" i="3"/>
  <c r="AK538" i="3"/>
  <c r="AJ538" i="3"/>
  <c r="AK537" i="3"/>
  <c r="AJ537" i="3"/>
  <c r="AK536" i="3"/>
  <c r="AJ536" i="3"/>
  <c r="AK535" i="3"/>
  <c r="AJ535" i="3"/>
  <c r="AK534" i="3"/>
  <c r="AJ534" i="3"/>
  <c r="AK533" i="3"/>
  <c r="AJ533" i="3"/>
  <c r="AK532" i="3"/>
  <c r="AJ532" i="3"/>
  <c r="AK531" i="3"/>
  <c r="AJ531" i="3"/>
  <c r="AK530" i="3"/>
  <c r="AJ530" i="3"/>
  <c r="AK529" i="3"/>
  <c r="AJ529" i="3"/>
  <c r="AK528" i="3"/>
  <c r="AJ528" i="3"/>
  <c r="AK527" i="3"/>
  <c r="AJ527" i="3"/>
  <c r="AK526" i="3"/>
  <c r="AJ526" i="3"/>
  <c r="AK525" i="3"/>
  <c r="AJ525" i="3"/>
  <c r="AK524" i="3"/>
  <c r="AJ524" i="3"/>
  <c r="AK523" i="3"/>
  <c r="AJ523" i="3"/>
  <c r="AK522" i="3"/>
  <c r="AJ522" i="3"/>
  <c r="AK521" i="3"/>
  <c r="AJ521" i="3"/>
  <c r="AK520" i="3"/>
  <c r="AJ520" i="3"/>
  <c r="AK519" i="3"/>
  <c r="AJ519" i="3"/>
  <c r="AK518" i="3"/>
  <c r="AJ518" i="3"/>
  <c r="AK517" i="3"/>
  <c r="AJ517" i="3"/>
  <c r="AK516" i="3"/>
  <c r="AJ516" i="3"/>
  <c r="AK515" i="3"/>
  <c r="AJ515" i="3"/>
  <c r="AK514" i="3"/>
  <c r="AJ514" i="3"/>
  <c r="AK513" i="3"/>
  <c r="AJ513" i="3"/>
  <c r="AK512" i="3"/>
  <c r="AJ512" i="3"/>
  <c r="AK511" i="3"/>
  <c r="AJ511" i="3"/>
  <c r="AK510" i="3"/>
  <c r="AJ510" i="3"/>
  <c r="AK509" i="3"/>
  <c r="AJ509" i="3"/>
  <c r="AK508" i="3"/>
  <c r="AJ508" i="3"/>
  <c r="AK507" i="3"/>
  <c r="AJ507" i="3"/>
  <c r="AK506" i="3"/>
  <c r="AJ506" i="3"/>
  <c r="AK505" i="3"/>
  <c r="AJ505" i="3"/>
  <c r="AK504" i="3"/>
  <c r="AJ504" i="3"/>
  <c r="AK503" i="3"/>
  <c r="AJ503" i="3"/>
  <c r="AK502" i="3"/>
  <c r="AJ502" i="3"/>
  <c r="AK501" i="3"/>
  <c r="AJ501" i="3"/>
  <c r="AK500" i="3"/>
  <c r="AJ500" i="3"/>
  <c r="AK499" i="3"/>
  <c r="AJ499" i="3"/>
  <c r="AK498" i="3"/>
  <c r="AJ498" i="3"/>
  <c r="AK497" i="3"/>
  <c r="AJ497" i="3"/>
  <c r="AK496" i="3"/>
  <c r="AJ496" i="3"/>
  <c r="AK495" i="3"/>
  <c r="AJ495" i="3"/>
  <c r="AK494" i="3"/>
  <c r="AJ494" i="3"/>
  <c r="AK493" i="3"/>
  <c r="AJ493" i="3"/>
  <c r="AK492" i="3"/>
  <c r="AJ492" i="3"/>
  <c r="AK491" i="3"/>
  <c r="AJ491" i="3"/>
  <c r="AK490" i="3"/>
  <c r="AJ490" i="3"/>
  <c r="AK489" i="3"/>
  <c r="AJ489" i="3"/>
  <c r="AK488" i="3"/>
  <c r="AJ488" i="3"/>
  <c r="AK487" i="3"/>
  <c r="AJ487" i="3"/>
  <c r="AK486" i="3"/>
  <c r="AJ486" i="3"/>
  <c r="AK485" i="3"/>
  <c r="AJ485" i="3"/>
  <c r="AK484" i="3"/>
  <c r="AJ484" i="3"/>
  <c r="AK483" i="3"/>
  <c r="AJ483" i="3"/>
  <c r="AK482" i="3"/>
  <c r="AJ482" i="3"/>
  <c r="AK481" i="3"/>
  <c r="AJ481" i="3"/>
  <c r="AK480" i="3"/>
  <c r="AJ480" i="3"/>
  <c r="AK479" i="3"/>
  <c r="AJ479" i="3"/>
  <c r="AK478" i="3"/>
  <c r="AJ478" i="3"/>
  <c r="AK477" i="3"/>
  <c r="AJ477" i="3"/>
  <c r="AK476" i="3"/>
  <c r="AJ476" i="3"/>
  <c r="AK475" i="3"/>
  <c r="AJ475" i="3"/>
  <c r="AK474" i="3"/>
  <c r="AJ474" i="3"/>
  <c r="AK473" i="3"/>
  <c r="AJ473" i="3"/>
  <c r="AK472" i="3"/>
  <c r="AJ472" i="3"/>
  <c r="AK471" i="3"/>
  <c r="AJ471" i="3"/>
  <c r="AK470" i="3"/>
  <c r="AJ470" i="3"/>
  <c r="AK469" i="3"/>
  <c r="AJ469" i="3"/>
  <c r="AK468" i="3"/>
  <c r="AJ468" i="3"/>
  <c r="AK467" i="3"/>
  <c r="AJ467" i="3"/>
  <c r="AK466" i="3"/>
  <c r="AJ466" i="3"/>
  <c r="AK465" i="3"/>
  <c r="AJ465" i="3"/>
  <c r="AK464" i="3"/>
  <c r="AJ464" i="3"/>
  <c r="AK463" i="3"/>
  <c r="AJ463" i="3"/>
  <c r="AK462" i="3"/>
  <c r="AJ462" i="3"/>
  <c r="AK461" i="3"/>
  <c r="AJ461" i="3"/>
  <c r="AK460" i="3"/>
  <c r="AJ460" i="3"/>
  <c r="AK459" i="3"/>
  <c r="AJ459" i="3"/>
  <c r="AK458" i="3"/>
  <c r="AJ458" i="3"/>
  <c r="AK457" i="3"/>
  <c r="AJ457" i="3"/>
  <c r="AK456" i="3"/>
  <c r="AJ456" i="3"/>
  <c r="AK455" i="3"/>
  <c r="AJ455" i="3"/>
  <c r="AK454" i="3"/>
  <c r="AJ454" i="3"/>
  <c r="AK453" i="3"/>
  <c r="AJ453" i="3"/>
  <c r="AK452" i="3"/>
  <c r="AJ452" i="3"/>
  <c r="AK451" i="3"/>
  <c r="AJ451" i="3"/>
  <c r="AK450" i="3"/>
  <c r="AJ450" i="3"/>
  <c r="AK449" i="3"/>
  <c r="AJ449" i="3"/>
  <c r="AK448" i="3"/>
  <c r="AJ448" i="3"/>
  <c r="AK447" i="3"/>
  <c r="AJ447" i="3"/>
  <c r="AK446" i="3"/>
  <c r="AJ446" i="3"/>
  <c r="AK445" i="3"/>
  <c r="AJ445" i="3"/>
  <c r="AK444" i="3"/>
  <c r="AJ444" i="3"/>
  <c r="AK443" i="3"/>
  <c r="AJ443" i="3"/>
  <c r="AK442" i="3"/>
  <c r="AJ442" i="3"/>
  <c r="AK441" i="3"/>
  <c r="AJ441" i="3"/>
  <c r="AK440" i="3"/>
  <c r="AJ440" i="3"/>
  <c r="AK439" i="3"/>
  <c r="AJ439" i="3"/>
  <c r="AK438" i="3"/>
  <c r="AJ438" i="3"/>
  <c r="AK437" i="3"/>
  <c r="AJ437" i="3"/>
  <c r="AK436" i="3"/>
  <c r="AJ436" i="3"/>
  <c r="AK435" i="3"/>
  <c r="AJ435" i="3"/>
  <c r="AK434" i="3"/>
  <c r="AJ434" i="3"/>
  <c r="AK433" i="3"/>
  <c r="AJ433" i="3"/>
  <c r="AK432" i="3"/>
  <c r="AJ432" i="3"/>
  <c r="AK431" i="3"/>
  <c r="AJ431" i="3"/>
  <c r="AK430" i="3"/>
  <c r="AJ430" i="3"/>
  <c r="AK429" i="3"/>
  <c r="AJ429" i="3"/>
  <c r="AK428" i="3"/>
  <c r="AJ428" i="3"/>
  <c r="AK427" i="3"/>
  <c r="AJ427" i="3"/>
  <c r="AK426" i="3"/>
  <c r="AJ426" i="3"/>
  <c r="AK425" i="3"/>
  <c r="AJ425" i="3"/>
  <c r="AK424" i="3"/>
  <c r="AJ424" i="3"/>
  <c r="AK423" i="3"/>
  <c r="AJ423" i="3"/>
  <c r="AK422" i="3"/>
  <c r="AJ422" i="3"/>
  <c r="AK421" i="3"/>
  <c r="AJ421" i="3"/>
  <c r="AK420" i="3"/>
  <c r="AJ420" i="3"/>
  <c r="AK419" i="3"/>
  <c r="AJ419" i="3"/>
  <c r="AK418" i="3"/>
  <c r="AJ418" i="3"/>
  <c r="AK417" i="3"/>
  <c r="AJ417" i="3"/>
  <c r="AK416" i="3"/>
  <c r="AJ416" i="3"/>
  <c r="AK415" i="3"/>
  <c r="AJ415" i="3"/>
  <c r="AK414" i="3"/>
  <c r="AJ414" i="3"/>
  <c r="AK413" i="3"/>
  <c r="AJ413" i="3"/>
  <c r="AK412" i="3"/>
  <c r="AJ412" i="3"/>
  <c r="AK411" i="3"/>
  <c r="AJ411" i="3"/>
  <c r="AK410" i="3"/>
  <c r="AJ410" i="3"/>
  <c r="AK409" i="3"/>
  <c r="AJ409" i="3"/>
  <c r="AK408" i="3"/>
  <c r="AJ408" i="3"/>
  <c r="AK407" i="3"/>
  <c r="AJ407" i="3"/>
  <c r="AK406" i="3"/>
  <c r="AJ406" i="3"/>
  <c r="AK405" i="3"/>
  <c r="AJ405" i="3"/>
  <c r="AK404" i="3"/>
  <c r="AJ404" i="3"/>
  <c r="AK403" i="3"/>
  <c r="AJ403" i="3"/>
  <c r="AK402" i="3"/>
  <c r="AJ402" i="3"/>
  <c r="AK401" i="3"/>
  <c r="AJ401" i="3"/>
  <c r="AK400" i="3"/>
  <c r="AJ400" i="3"/>
  <c r="AK399" i="3"/>
  <c r="AJ399" i="3"/>
  <c r="AK398" i="3"/>
  <c r="AJ398" i="3"/>
  <c r="AK397" i="3"/>
  <c r="AJ397" i="3"/>
  <c r="AK396" i="3"/>
  <c r="AJ396" i="3"/>
  <c r="AK395" i="3"/>
  <c r="AJ395" i="3"/>
  <c r="AK394" i="3"/>
  <c r="AJ394" i="3"/>
  <c r="AK393" i="3"/>
  <c r="AJ393" i="3"/>
  <c r="AK392" i="3"/>
  <c r="AJ392" i="3"/>
  <c r="AK391" i="3"/>
  <c r="AJ391" i="3"/>
  <c r="AK390" i="3"/>
  <c r="AJ390" i="3"/>
  <c r="AK389" i="3"/>
  <c r="AJ389" i="3"/>
  <c r="AK388" i="3"/>
  <c r="AJ388" i="3"/>
  <c r="AK387" i="3"/>
  <c r="AJ387" i="3"/>
  <c r="AK386" i="3"/>
  <c r="AJ386" i="3"/>
  <c r="AK385" i="3"/>
  <c r="AJ385" i="3"/>
  <c r="AK384" i="3"/>
  <c r="AJ384" i="3"/>
  <c r="AK383" i="3"/>
  <c r="AJ383" i="3"/>
  <c r="AK382" i="3"/>
  <c r="AJ382" i="3"/>
  <c r="AK381" i="3"/>
  <c r="AJ381" i="3"/>
  <c r="AK380" i="3"/>
  <c r="AJ380" i="3"/>
  <c r="AK379" i="3"/>
  <c r="AJ379" i="3"/>
  <c r="AK378" i="3"/>
  <c r="AJ378" i="3"/>
  <c r="AK377" i="3"/>
  <c r="AJ377" i="3"/>
  <c r="AK376" i="3"/>
  <c r="AJ376" i="3"/>
  <c r="AK375" i="3"/>
  <c r="AJ375" i="3"/>
  <c r="AK374" i="3"/>
  <c r="AJ374" i="3"/>
  <c r="AK373" i="3"/>
  <c r="AJ373" i="3"/>
  <c r="AK372" i="3"/>
  <c r="AJ372" i="3"/>
  <c r="AK371" i="3"/>
  <c r="AJ371" i="3"/>
  <c r="AK370" i="3"/>
  <c r="AJ370" i="3"/>
  <c r="AK369" i="3"/>
  <c r="AJ369" i="3"/>
  <c r="AK368" i="3"/>
  <c r="AJ368" i="3"/>
  <c r="AK367" i="3"/>
  <c r="AJ367" i="3"/>
  <c r="AK366" i="3"/>
  <c r="AJ366" i="3"/>
  <c r="AK365" i="3"/>
  <c r="AJ365" i="3"/>
  <c r="AK364" i="3"/>
  <c r="AJ364" i="3"/>
  <c r="AK363" i="3"/>
  <c r="AJ363" i="3"/>
  <c r="AK362" i="3"/>
  <c r="AJ362" i="3"/>
  <c r="AK361" i="3"/>
  <c r="AJ361" i="3"/>
  <c r="AK360" i="3"/>
  <c r="AJ360" i="3"/>
  <c r="AK359" i="3"/>
  <c r="AJ359" i="3"/>
  <c r="AK358" i="3"/>
  <c r="AJ358" i="3"/>
  <c r="AK357" i="3"/>
  <c r="AJ357" i="3"/>
  <c r="AK356" i="3"/>
  <c r="AJ356" i="3"/>
  <c r="AK355" i="3"/>
  <c r="AJ355" i="3"/>
  <c r="AK354" i="3"/>
  <c r="AJ354" i="3"/>
  <c r="AK353" i="3"/>
  <c r="AJ353" i="3"/>
  <c r="AK352" i="3"/>
  <c r="AJ352" i="3"/>
  <c r="AK351" i="3"/>
  <c r="AJ351" i="3"/>
  <c r="AK350" i="3"/>
  <c r="AJ350" i="3"/>
  <c r="AK349" i="3"/>
  <c r="AJ349" i="3"/>
  <c r="AK348" i="3"/>
  <c r="AJ348" i="3"/>
  <c r="AK347" i="3"/>
  <c r="AJ347" i="3"/>
  <c r="AK346" i="3"/>
  <c r="AJ346" i="3"/>
  <c r="AK345" i="3"/>
  <c r="AJ345" i="3"/>
  <c r="AK344" i="3"/>
  <c r="AJ344" i="3"/>
  <c r="AK343" i="3"/>
  <c r="AJ343" i="3"/>
  <c r="AK342" i="3"/>
  <c r="AJ342" i="3"/>
  <c r="AK341" i="3"/>
  <c r="AJ341" i="3"/>
  <c r="AK340" i="3"/>
  <c r="AJ340" i="3"/>
  <c r="AK339" i="3"/>
  <c r="AJ339" i="3"/>
  <c r="AK338" i="3"/>
  <c r="AJ338" i="3"/>
  <c r="AK337" i="3"/>
  <c r="AJ337" i="3"/>
  <c r="AK336" i="3"/>
  <c r="AJ336" i="3"/>
  <c r="AK335" i="3"/>
  <c r="AJ335" i="3"/>
  <c r="AK334" i="3"/>
  <c r="AJ334" i="3"/>
  <c r="AK333" i="3"/>
  <c r="AJ333" i="3"/>
  <c r="AK332" i="3"/>
  <c r="AJ332" i="3"/>
  <c r="AK331" i="3"/>
  <c r="AJ331" i="3"/>
  <c r="AK330" i="3"/>
  <c r="AJ330" i="3"/>
  <c r="AK329" i="3"/>
  <c r="AJ329" i="3"/>
  <c r="AK328" i="3"/>
  <c r="AJ328" i="3"/>
  <c r="AK327" i="3"/>
  <c r="AJ327" i="3"/>
  <c r="AK326" i="3"/>
  <c r="AJ326" i="3"/>
  <c r="AK325" i="3"/>
  <c r="AJ325" i="3"/>
  <c r="AK324" i="3"/>
  <c r="AJ324" i="3"/>
  <c r="AK323" i="3"/>
  <c r="AJ323" i="3"/>
  <c r="AK322" i="3"/>
  <c r="AJ322" i="3"/>
  <c r="AK321" i="3"/>
  <c r="AJ321" i="3"/>
  <c r="AK320" i="3"/>
  <c r="AJ320" i="3"/>
  <c r="AK319" i="3"/>
  <c r="AJ319" i="3"/>
  <c r="AK318" i="3"/>
  <c r="AJ318" i="3"/>
  <c r="AK317" i="3"/>
  <c r="AJ317" i="3"/>
  <c r="AK316" i="3"/>
  <c r="AJ316" i="3"/>
  <c r="AK315" i="3"/>
  <c r="AJ315" i="3"/>
  <c r="AK314" i="3"/>
  <c r="AJ314" i="3"/>
  <c r="AK313" i="3"/>
  <c r="AJ313" i="3"/>
  <c r="AK312" i="3"/>
  <c r="AJ312" i="3"/>
  <c r="AK311" i="3"/>
  <c r="AJ311" i="3"/>
  <c r="AK310" i="3"/>
  <c r="AJ310" i="3"/>
  <c r="AK309" i="3"/>
  <c r="AJ309" i="3"/>
  <c r="AK308" i="3"/>
  <c r="AJ308" i="3"/>
  <c r="AK307" i="3"/>
  <c r="AJ307" i="3"/>
  <c r="AK306" i="3"/>
  <c r="AJ306" i="3"/>
  <c r="AK305" i="3"/>
  <c r="AJ305" i="3"/>
  <c r="AK304" i="3"/>
  <c r="AJ304" i="3"/>
  <c r="AK303" i="3"/>
  <c r="AJ303" i="3"/>
  <c r="AK302" i="3"/>
  <c r="AJ302" i="3"/>
  <c r="AK301" i="3"/>
  <c r="AJ301" i="3"/>
  <c r="AK300" i="3"/>
  <c r="AJ300" i="3"/>
  <c r="AK299" i="3"/>
  <c r="AJ299" i="3"/>
  <c r="AK298" i="3"/>
  <c r="AJ298" i="3"/>
  <c r="AK297" i="3"/>
  <c r="AJ297" i="3"/>
  <c r="AK296" i="3"/>
  <c r="AJ296" i="3"/>
  <c r="AK295" i="3"/>
  <c r="AJ295" i="3"/>
  <c r="AK294" i="3"/>
  <c r="AJ294" i="3"/>
  <c r="AK293" i="3"/>
  <c r="AJ293" i="3"/>
  <c r="AK292" i="3"/>
  <c r="AJ292" i="3"/>
  <c r="AK291" i="3"/>
  <c r="AJ291" i="3"/>
  <c r="AK290" i="3"/>
  <c r="AJ290" i="3"/>
  <c r="AK289" i="3"/>
  <c r="AJ289" i="3"/>
  <c r="AK288" i="3"/>
  <c r="AJ288" i="3"/>
  <c r="AK287" i="3"/>
  <c r="AJ287" i="3"/>
  <c r="AK286" i="3"/>
  <c r="AJ286" i="3"/>
  <c r="AK285" i="3"/>
  <c r="AJ285" i="3"/>
  <c r="AK284" i="3"/>
  <c r="AJ284" i="3"/>
  <c r="AK283" i="3"/>
  <c r="AJ283" i="3"/>
  <c r="AK282" i="3"/>
  <c r="AJ282" i="3"/>
  <c r="AK281" i="3"/>
  <c r="AJ281" i="3"/>
  <c r="AK280" i="3"/>
  <c r="AJ280" i="3"/>
  <c r="AK279" i="3"/>
  <c r="AJ279" i="3"/>
  <c r="AK278" i="3"/>
  <c r="AJ278" i="3"/>
  <c r="AK277" i="3"/>
  <c r="AJ277" i="3"/>
  <c r="AK276" i="3"/>
  <c r="AJ276" i="3"/>
  <c r="AK275" i="3"/>
  <c r="AJ275" i="3"/>
  <c r="AK274" i="3"/>
  <c r="AJ274" i="3"/>
  <c r="AK273" i="3"/>
  <c r="AJ273" i="3"/>
  <c r="AK272" i="3"/>
  <c r="AJ272" i="3"/>
  <c r="AK271" i="3"/>
  <c r="AJ271" i="3"/>
  <c r="AK270" i="3"/>
  <c r="AJ270" i="3"/>
  <c r="AK269" i="3"/>
  <c r="AJ269" i="3"/>
  <c r="AK268" i="3"/>
  <c r="AJ268" i="3"/>
  <c r="AK267" i="3"/>
  <c r="AJ267" i="3"/>
  <c r="AK266" i="3"/>
  <c r="AJ266" i="3"/>
  <c r="AK265" i="3"/>
  <c r="AJ265" i="3"/>
  <c r="AK264" i="3"/>
  <c r="AJ264" i="3"/>
  <c r="AK263" i="3"/>
  <c r="AJ263" i="3"/>
  <c r="AK262" i="3"/>
  <c r="AJ262" i="3"/>
  <c r="AK261" i="3"/>
  <c r="AJ261" i="3"/>
  <c r="AK260" i="3"/>
  <c r="AJ260" i="3"/>
  <c r="AK259" i="3"/>
  <c r="AJ259" i="3"/>
  <c r="AK258" i="3"/>
  <c r="AJ258" i="3"/>
  <c r="AK257" i="3"/>
  <c r="AJ257" i="3"/>
  <c r="AK256" i="3"/>
  <c r="AJ256" i="3"/>
  <c r="AK255" i="3"/>
  <c r="AJ255" i="3"/>
  <c r="AK254" i="3"/>
  <c r="AJ254" i="3"/>
  <c r="AK253" i="3"/>
  <c r="AJ253" i="3"/>
  <c r="AK252" i="3"/>
  <c r="AJ252" i="3"/>
  <c r="AK251" i="3"/>
  <c r="AJ251" i="3"/>
  <c r="AK250" i="3"/>
  <c r="AJ250" i="3"/>
  <c r="AK249" i="3"/>
  <c r="AJ249" i="3"/>
  <c r="AK248" i="3"/>
  <c r="AJ248" i="3"/>
  <c r="AK247" i="3"/>
  <c r="AJ247" i="3"/>
  <c r="AK246" i="3"/>
  <c r="AJ246" i="3"/>
  <c r="AK245" i="3"/>
  <c r="AJ245" i="3"/>
  <c r="AK244" i="3"/>
  <c r="AJ244" i="3"/>
  <c r="AK243" i="3"/>
  <c r="AJ243" i="3"/>
  <c r="AK242" i="3"/>
  <c r="AJ242" i="3"/>
  <c r="AK241" i="3"/>
  <c r="AJ241" i="3"/>
  <c r="AK240" i="3"/>
  <c r="AJ240" i="3"/>
  <c r="AK239" i="3"/>
  <c r="AJ239" i="3"/>
  <c r="AK238" i="3"/>
  <c r="AJ238" i="3"/>
  <c r="AK237" i="3"/>
  <c r="AJ237" i="3"/>
  <c r="AK236" i="3"/>
  <c r="AJ236" i="3"/>
  <c r="AK235" i="3"/>
  <c r="AJ235" i="3"/>
  <c r="AK234" i="3"/>
  <c r="AJ234" i="3"/>
  <c r="AK233" i="3"/>
  <c r="AJ233" i="3"/>
  <c r="AK232" i="3"/>
  <c r="AJ232" i="3"/>
  <c r="AK231" i="3"/>
  <c r="AJ231" i="3"/>
  <c r="AK230" i="3"/>
  <c r="AJ230" i="3"/>
  <c r="AK229" i="3"/>
  <c r="AJ229" i="3"/>
  <c r="AK228" i="3"/>
  <c r="AJ228" i="3"/>
  <c r="AK227" i="3"/>
  <c r="AJ227" i="3"/>
  <c r="AK226" i="3"/>
  <c r="AJ226" i="3"/>
  <c r="AK225" i="3"/>
  <c r="AJ225" i="3"/>
  <c r="AK224" i="3"/>
  <c r="AJ224" i="3"/>
  <c r="AK223" i="3"/>
  <c r="AJ223" i="3"/>
  <c r="AK222" i="3"/>
  <c r="AJ222" i="3"/>
  <c r="AK221" i="3"/>
  <c r="AJ221" i="3"/>
  <c r="AK220" i="3"/>
  <c r="AJ220" i="3"/>
  <c r="AK219" i="3"/>
  <c r="AJ219" i="3"/>
  <c r="AK218" i="3"/>
  <c r="AJ218" i="3"/>
  <c r="AK217" i="3"/>
  <c r="AJ217" i="3"/>
  <c r="AK216" i="3"/>
  <c r="AJ216" i="3"/>
  <c r="AK215" i="3"/>
  <c r="AJ215" i="3"/>
  <c r="AK214" i="3"/>
  <c r="AJ214" i="3"/>
  <c r="AK213" i="3"/>
  <c r="AJ213" i="3"/>
  <c r="AK212" i="3"/>
  <c r="AJ212" i="3"/>
  <c r="AK211" i="3"/>
  <c r="AJ211" i="3"/>
  <c r="AK210" i="3"/>
  <c r="AJ210" i="3"/>
  <c r="AK209" i="3"/>
  <c r="AJ209" i="3"/>
  <c r="AK208" i="3"/>
  <c r="AJ208" i="3"/>
  <c r="AK207" i="3"/>
  <c r="AJ207" i="3"/>
  <c r="AK206" i="3"/>
  <c r="AJ206" i="3"/>
  <c r="AK205" i="3"/>
  <c r="AJ205" i="3"/>
  <c r="AK204" i="3"/>
  <c r="AJ204" i="3"/>
  <c r="AK203" i="3"/>
  <c r="AJ203" i="3"/>
  <c r="AK202" i="3"/>
  <c r="AJ202" i="3"/>
  <c r="AK201" i="3"/>
  <c r="AJ201" i="3"/>
  <c r="AK200" i="3"/>
  <c r="AJ200" i="3"/>
  <c r="AK199" i="3"/>
  <c r="AJ199" i="3"/>
  <c r="AK198" i="3"/>
  <c r="AJ198" i="3"/>
  <c r="AK197" i="3"/>
  <c r="AJ197" i="3"/>
  <c r="AK196" i="3"/>
  <c r="AJ196" i="3"/>
  <c r="AK195" i="3"/>
  <c r="AJ195" i="3"/>
  <c r="AK194" i="3"/>
  <c r="AJ194" i="3"/>
  <c r="AK193" i="3"/>
  <c r="AJ193" i="3"/>
  <c r="AK192" i="3"/>
  <c r="AJ192" i="3"/>
  <c r="AK191" i="3"/>
  <c r="AJ191" i="3"/>
  <c r="AK190" i="3"/>
  <c r="AJ190" i="3"/>
  <c r="AK189" i="3"/>
  <c r="AJ189" i="3"/>
  <c r="AK188" i="3"/>
  <c r="AJ188" i="3"/>
  <c r="AK187" i="3"/>
  <c r="AJ187" i="3"/>
  <c r="AK186" i="3"/>
  <c r="AJ186" i="3"/>
  <c r="AK185" i="3"/>
  <c r="AJ185" i="3"/>
  <c r="AK184" i="3"/>
  <c r="AJ184" i="3"/>
  <c r="AK183" i="3"/>
  <c r="AJ183" i="3"/>
  <c r="AK182" i="3"/>
  <c r="AJ182" i="3"/>
  <c r="AK181" i="3"/>
  <c r="AJ181" i="3"/>
  <c r="AK180" i="3"/>
  <c r="AJ180" i="3"/>
  <c r="AK179" i="3"/>
  <c r="AJ179" i="3"/>
  <c r="AK178" i="3"/>
  <c r="AJ178" i="3"/>
  <c r="AK177" i="3"/>
  <c r="AJ177" i="3"/>
  <c r="AK176" i="3"/>
  <c r="AJ176" i="3"/>
  <c r="AK175" i="3"/>
  <c r="AJ175" i="3"/>
  <c r="AK174" i="3"/>
  <c r="AJ174" i="3"/>
  <c r="AK173" i="3"/>
  <c r="AJ173" i="3"/>
  <c r="AK172" i="3"/>
  <c r="AJ172" i="3"/>
  <c r="AK171" i="3"/>
  <c r="AJ171" i="3"/>
  <c r="AK170" i="3"/>
  <c r="AJ170" i="3"/>
  <c r="AK169" i="3"/>
  <c r="AJ169" i="3"/>
  <c r="AK168" i="3"/>
  <c r="AJ168" i="3"/>
  <c r="AK167" i="3"/>
  <c r="AJ167" i="3"/>
  <c r="AK166" i="3"/>
  <c r="AJ166" i="3"/>
  <c r="AK165" i="3"/>
  <c r="AJ165" i="3"/>
  <c r="AK164" i="3"/>
  <c r="AJ164" i="3"/>
  <c r="AK163" i="3"/>
  <c r="AJ163" i="3"/>
  <c r="AK162" i="3"/>
  <c r="AJ162" i="3"/>
  <c r="AK161" i="3"/>
  <c r="AJ161" i="3"/>
  <c r="AK160" i="3"/>
  <c r="AJ160" i="3"/>
  <c r="AK159" i="3"/>
  <c r="AJ159" i="3"/>
  <c r="AK158" i="3"/>
  <c r="AJ158" i="3"/>
  <c r="AK157" i="3"/>
  <c r="AJ157" i="3"/>
  <c r="AK156" i="3"/>
  <c r="AJ156" i="3"/>
  <c r="AK155" i="3"/>
  <c r="AJ155" i="3"/>
  <c r="AK154" i="3"/>
  <c r="AJ154" i="3"/>
  <c r="AK153" i="3"/>
  <c r="AJ153" i="3"/>
  <c r="AK152" i="3"/>
  <c r="AJ152" i="3"/>
  <c r="AK151" i="3"/>
  <c r="AJ151" i="3"/>
  <c r="AK150" i="3"/>
  <c r="AJ150" i="3"/>
  <c r="AK149" i="3"/>
  <c r="AJ149" i="3"/>
  <c r="AK148" i="3"/>
  <c r="AJ148" i="3"/>
  <c r="AK147" i="3"/>
  <c r="AJ147" i="3"/>
  <c r="AK146" i="3"/>
  <c r="AJ146" i="3"/>
  <c r="AK145" i="3"/>
  <c r="AJ145" i="3"/>
  <c r="AK144" i="3"/>
  <c r="AJ144" i="3"/>
  <c r="AK143" i="3"/>
  <c r="AJ143" i="3"/>
  <c r="AK142" i="3"/>
  <c r="AJ142" i="3"/>
  <c r="AK141" i="3"/>
  <c r="AJ141" i="3"/>
  <c r="AK140" i="3"/>
  <c r="AJ140" i="3"/>
  <c r="AK139" i="3"/>
  <c r="AJ139" i="3"/>
  <c r="AK138" i="3"/>
  <c r="AJ138" i="3"/>
  <c r="AK137" i="3"/>
  <c r="AJ137" i="3"/>
  <c r="AK136" i="3"/>
  <c r="AJ136" i="3"/>
  <c r="AK135" i="3"/>
  <c r="AJ135" i="3"/>
  <c r="AK134" i="3"/>
  <c r="AJ134" i="3"/>
  <c r="AK133" i="3"/>
  <c r="AJ133" i="3"/>
  <c r="AK132" i="3"/>
  <c r="AJ132" i="3"/>
  <c r="AK131" i="3"/>
  <c r="AJ131" i="3"/>
  <c r="AK130" i="3"/>
  <c r="AJ130" i="3"/>
  <c r="AK129" i="3"/>
  <c r="AJ129" i="3"/>
  <c r="AK128" i="3"/>
  <c r="AJ128" i="3"/>
  <c r="AK127" i="3"/>
  <c r="AJ127" i="3"/>
  <c r="AK126" i="3"/>
  <c r="AJ126" i="3"/>
  <c r="AK125" i="3"/>
  <c r="AJ125" i="3"/>
  <c r="AK124" i="3"/>
  <c r="AJ124" i="3"/>
  <c r="AK123" i="3"/>
  <c r="AJ123" i="3"/>
  <c r="AK122" i="3"/>
  <c r="AJ122" i="3"/>
  <c r="AK121" i="3"/>
  <c r="AJ121" i="3"/>
  <c r="AK120" i="3"/>
  <c r="AJ120" i="3"/>
  <c r="AK119" i="3"/>
  <c r="AJ119" i="3"/>
  <c r="AK118" i="3"/>
  <c r="AJ118" i="3"/>
  <c r="AK117" i="3"/>
  <c r="AJ117" i="3"/>
  <c r="AK116" i="3"/>
  <c r="AJ116" i="3"/>
  <c r="AK115" i="3"/>
  <c r="AJ115" i="3"/>
  <c r="AK114" i="3"/>
  <c r="AJ114" i="3"/>
  <c r="AK113" i="3"/>
  <c r="AJ113" i="3"/>
  <c r="AK112" i="3"/>
  <c r="AJ112" i="3"/>
  <c r="AK111" i="3"/>
  <c r="AJ111" i="3"/>
  <c r="AK110" i="3"/>
  <c r="AJ110" i="3"/>
  <c r="AK109" i="3"/>
  <c r="AJ109" i="3"/>
  <c r="AK108" i="3"/>
  <c r="AJ108" i="3"/>
  <c r="AK107" i="3"/>
  <c r="AJ107" i="3"/>
  <c r="AK106" i="3"/>
  <c r="AJ106" i="3"/>
  <c r="AK105" i="3"/>
  <c r="AJ105" i="3"/>
  <c r="AK104" i="3"/>
  <c r="AJ104" i="3"/>
  <c r="AK103" i="3"/>
  <c r="AJ103" i="3"/>
  <c r="AK102" i="3"/>
  <c r="AJ102" i="3"/>
  <c r="AK101" i="3"/>
  <c r="AJ101" i="3"/>
  <c r="AK100" i="3"/>
  <c r="AJ100" i="3"/>
  <c r="AK99" i="3"/>
  <c r="AJ99" i="3"/>
  <c r="AK98" i="3"/>
  <c r="AJ98" i="3"/>
  <c r="AK97" i="3"/>
  <c r="AJ97" i="3"/>
  <c r="AK96" i="3"/>
  <c r="AJ96" i="3"/>
  <c r="AK95" i="3"/>
  <c r="AJ95" i="3"/>
  <c r="AK94" i="3"/>
  <c r="AJ94" i="3"/>
  <c r="AK93" i="3"/>
  <c r="AJ93" i="3"/>
  <c r="AK92" i="3"/>
  <c r="AJ92" i="3"/>
  <c r="AK91" i="3"/>
  <c r="AJ91" i="3"/>
  <c r="AK90" i="3"/>
  <c r="AJ90" i="3"/>
  <c r="AK89" i="3"/>
  <c r="AJ89" i="3"/>
  <c r="AK88" i="3"/>
  <c r="AJ88" i="3"/>
  <c r="AK87" i="3"/>
  <c r="AJ87" i="3"/>
  <c r="AK86" i="3"/>
  <c r="AJ86" i="3"/>
  <c r="AK85" i="3"/>
  <c r="AJ85" i="3"/>
  <c r="AK84" i="3"/>
  <c r="AJ84" i="3"/>
  <c r="AK83" i="3"/>
  <c r="AJ83" i="3"/>
  <c r="AK82" i="3"/>
  <c r="AJ82" i="3"/>
  <c r="AK81" i="3"/>
  <c r="AJ81" i="3"/>
  <c r="AK80" i="3"/>
  <c r="AJ80" i="3"/>
  <c r="AK79" i="3"/>
  <c r="AJ79" i="3"/>
  <c r="AK78" i="3"/>
  <c r="AJ78" i="3"/>
  <c r="AK77" i="3"/>
  <c r="AJ77" i="3"/>
  <c r="AK76" i="3"/>
  <c r="AJ76" i="3"/>
  <c r="AK75" i="3"/>
  <c r="AJ75" i="3"/>
  <c r="AK74" i="3"/>
  <c r="AJ74" i="3"/>
  <c r="AK73" i="3"/>
  <c r="AJ73" i="3"/>
  <c r="AK72" i="3"/>
  <c r="AJ72" i="3"/>
  <c r="AK71" i="3"/>
  <c r="AJ71" i="3"/>
  <c r="AK70" i="3"/>
  <c r="AJ70" i="3"/>
  <c r="AK69" i="3"/>
  <c r="AJ69" i="3"/>
  <c r="AK68" i="3"/>
  <c r="AJ68" i="3"/>
  <c r="AK67" i="3"/>
  <c r="AJ67" i="3"/>
  <c r="AK66" i="3"/>
  <c r="AJ66" i="3"/>
  <c r="AK65" i="3"/>
  <c r="AJ65" i="3"/>
  <c r="AK64" i="3"/>
  <c r="AJ64" i="3"/>
  <c r="AK63" i="3"/>
  <c r="AJ63" i="3"/>
  <c r="AK62" i="3"/>
  <c r="AJ62" i="3"/>
  <c r="AK61" i="3"/>
  <c r="AJ61" i="3"/>
  <c r="AK60" i="3"/>
  <c r="AJ60" i="3"/>
  <c r="AK59" i="3"/>
  <c r="AJ59" i="3"/>
  <c r="AK58" i="3"/>
  <c r="AJ58" i="3"/>
  <c r="AK57" i="3"/>
  <c r="AJ57" i="3"/>
  <c r="AK56" i="3"/>
  <c r="AJ56" i="3"/>
  <c r="AK55" i="3"/>
  <c r="AJ55" i="3"/>
  <c r="AK54" i="3"/>
  <c r="AJ54" i="3"/>
  <c r="AK53" i="3"/>
  <c r="AJ53" i="3"/>
  <c r="AK52" i="3"/>
  <c r="AJ52" i="3"/>
  <c r="AK51" i="3"/>
  <c r="AJ51" i="3"/>
  <c r="AK50" i="3"/>
  <c r="AJ50" i="3"/>
  <c r="AK49" i="3"/>
  <c r="AJ49" i="3"/>
  <c r="AK48" i="3"/>
  <c r="AJ48" i="3"/>
  <c r="AK47" i="3"/>
  <c r="AJ47" i="3"/>
  <c r="AK46" i="3"/>
  <c r="AJ46" i="3"/>
  <c r="AK45" i="3"/>
  <c r="AJ45" i="3"/>
  <c r="AK44" i="3"/>
  <c r="AJ44" i="3"/>
  <c r="AK43" i="3"/>
  <c r="AJ43" i="3"/>
  <c r="AK42" i="3"/>
  <c r="AJ42" i="3"/>
  <c r="AK41" i="3"/>
  <c r="AJ41" i="3"/>
  <c r="AK40" i="3"/>
  <c r="AJ40" i="3"/>
  <c r="AK39" i="3"/>
  <c r="AJ39" i="3"/>
  <c r="AK38" i="3"/>
  <c r="AJ38" i="3"/>
  <c r="AK37" i="3"/>
  <c r="AJ37" i="3"/>
  <c r="AK36" i="3"/>
  <c r="AJ36" i="3"/>
  <c r="AK35" i="3"/>
  <c r="AJ35" i="3"/>
  <c r="AK34" i="3"/>
  <c r="AJ34" i="3"/>
  <c r="AK33" i="3"/>
  <c r="AJ33" i="3"/>
  <c r="AK32" i="3"/>
  <c r="AJ32" i="3"/>
  <c r="AK31" i="3"/>
  <c r="AJ31" i="3"/>
  <c r="AK30" i="3"/>
  <c r="AJ30" i="3"/>
  <c r="AK29" i="3"/>
  <c r="AJ29" i="3"/>
  <c r="AK28" i="3"/>
  <c r="AJ28" i="3"/>
  <c r="AK27" i="3"/>
  <c r="AJ27" i="3"/>
  <c r="AK26" i="3"/>
  <c r="AJ26" i="3"/>
  <c r="AK25" i="3"/>
  <c r="AJ25" i="3"/>
  <c r="AK24" i="3"/>
  <c r="AJ24" i="3"/>
  <c r="AK23" i="3"/>
  <c r="AJ23" i="3"/>
  <c r="AK22" i="3"/>
  <c r="AJ22" i="3"/>
  <c r="AK21" i="3"/>
  <c r="AJ21" i="3"/>
  <c r="AK20" i="3"/>
  <c r="AJ20" i="3"/>
  <c r="AK19" i="3"/>
  <c r="AJ19" i="3"/>
  <c r="AK18" i="3"/>
  <c r="AJ18" i="3"/>
  <c r="AK17" i="3"/>
  <c r="AJ17" i="3"/>
  <c r="AK16" i="3"/>
  <c r="AJ16" i="3"/>
  <c r="AK15" i="3"/>
  <c r="AJ15" i="3"/>
  <c r="AK14" i="3"/>
  <c r="AJ14" i="3"/>
  <c r="AK13" i="3"/>
  <c r="AJ13" i="3"/>
  <c r="AK12" i="3"/>
  <c r="AJ12" i="3"/>
  <c r="AK11" i="3"/>
  <c r="AJ11" i="3"/>
  <c r="AK10" i="3"/>
  <c r="AJ10" i="3"/>
  <c r="AK9" i="3"/>
  <c r="AJ9" i="3"/>
  <c r="AK8" i="3"/>
  <c r="AK4" i="3" s="1"/>
  <c r="AJ8" i="3"/>
  <c r="AK7" i="3"/>
  <c r="AJ7" i="3"/>
  <c r="AK6" i="3"/>
  <c r="AJ6" i="3"/>
  <c r="AJ4" i="3" s="1"/>
  <c r="AK5" i="3"/>
  <c r="AJ5" i="3"/>
  <c r="AG4" i="3"/>
  <c r="L4" i="3"/>
  <c r="E4" i="3"/>
  <c r="D4" i="3"/>
  <c r="AD1" i="3" s="1"/>
  <c r="AG3" i="3"/>
  <c r="AF3" i="3"/>
  <c r="AF1" i="3" s="1"/>
  <c r="AE3" i="3"/>
  <c r="AD3" i="3"/>
  <c r="AC3" i="3"/>
  <c r="AB3" i="3"/>
  <c r="AB1" i="3" s="1"/>
  <c r="AA3" i="3"/>
  <c r="AA1" i="3" s="1"/>
  <c r="Z3" i="3"/>
  <c r="Y3" i="3"/>
  <c r="X3" i="3"/>
  <c r="W3" i="3"/>
  <c r="V3" i="3"/>
  <c r="U3" i="3"/>
  <c r="T3" i="3"/>
  <c r="S3" i="3"/>
  <c r="S1" i="3" s="1"/>
  <c r="R3" i="3"/>
  <c r="R1" i="3" s="1"/>
  <c r="Q3" i="3"/>
  <c r="Q1" i="3" s="1"/>
  <c r="P3" i="3"/>
  <c r="P1" i="3" s="1"/>
  <c r="O3" i="3"/>
  <c r="O1" i="3" s="1"/>
  <c r="N3" i="3"/>
  <c r="M3" i="3"/>
  <c r="L3" i="3"/>
  <c r="L1" i="3" s="1"/>
  <c r="K3" i="3"/>
  <c r="J3" i="3"/>
  <c r="I3" i="3"/>
  <c r="H3" i="3"/>
  <c r="H1" i="3" s="1"/>
  <c r="G3" i="3"/>
  <c r="G1" i="3" s="1"/>
  <c r="AC1" i="3"/>
  <c r="Z1" i="3"/>
  <c r="Y1" i="3"/>
  <c r="X1" i="3"/>
  <c r="W1" i="3"/>
  <c r="V1" i="3"/>
  <c r="U1" i="3"/>
  <c r="N1" i="3"/>
  <c r="I1" i="3"/>
  <c r="AN654" i="2"/>
  <c r="AN653" i="2"/>
  <c r="AN652" i="2"/>
  <c r="AN651" i="2"/>
  <c r="AN650" i="2"/>
  <c r="AN649" i="2"/>
  <c r="AN648" i="2"/>
  <c r="AN647" i="2"/>
  <c r="AN646" i="2"/>
  <c r="AN645" i="2"/>
  <c r="AN644" i="2"/>
  <c r="AN643" i="2"/>
  <c r="AN642" i="2"/>
  <c r="AN641" i="2"/>
  <c r="AN640" i="2"/>
  <c r="AN639" i="2"/>
  <c r="AN638" i="2"/>
  <c r="AN637" i="2"/>
  <c r="AN636" i="2"/>
  <c r="AN635" i="2"/>
  <c r="AN634" i="2"/>
  <c r="AN633" i="2"/>
  <c r="AN632" i="2"/>
  <c r="AN631" i="2"/>
  <c r="AN630" i="2"/>
  <c r="AN629" i="2"/>
  <c r="AN628" i="2"/>
  <c r="AN627" i="2"/>
  <c r="AN626" i="2"/>
  <c r="AN625" i="2"/>
  <c r="AN624" i="2"/>
  <c r="AN623" i="2"/>
  <c r="AN622" i="2"/>
  <c r="AN621" i="2"/>
  <c r="AN620" i="2"/>
  <c r="AN619" i="2"/>
  <c r="AN618" i="2"/>
  <c r="AN617" i="2"/>
  <c r="AN616" i="2"/>
  <c r="AN615" i="2"/>
  <c r="AN614" i="2"/>
  <c r="AN613" i="2"/>
  <c r="AN612" i="2"/>
  <c r="AN611" i="2"/>
  <c r="AN610" i="2"/>
  <c r="AN609" i="2"/>
  <c r="AN608" i="2"/>
  <c r="AN607" i="2"/>
  <c r="AN606" i="2"/>
  <c r="AN605" i="2"/>
  <c r="AN604" i="2"/>
  <c r="AN603" i="2"/>
  <c r="AN602" i="2"/>
  <c r="AN601" i="2"/>
  <c r="AN600" i="2"/>
  <c r="AN599" i="2"/>
  <c r="AN598" i="2"/>
  <c r="AN597" i="2"/>
  <c r="AN596" i="2"/>
  <c r="AN595" i="2"/>
  <c r="AN594" i="2"/>
  <c r="AN593" i="2"/>
  <c r="AN592" i="2"/>
  <c r="AN591" i="2"/>
  <c r="AN590" i="2"/>
  <c r="AN589" i="2"/>
  <c r="AN588" i="2"/>
  <c r="AN587" i="2"/>
  <c r="AN586" i="2"/>
  <c r="AN585" i="2"/>
  <c r="AN584" i="2"/>
  <c r="AN583" i="2"/>
  <c r="AN582" i="2"/>
  <c r="AN581" i="2"/>
  <c r="AN580" i="2"/>
  <c r="AN579" i="2"/>
  <c r="AN578" i="2"/>
  <c r="AN577" i="2"/>
  <c r="AN576" i="2"/>
  <c r="AN575" i="2"/>
  <c r="AN574" i="2"/>
  <c r="AN573" i="2"/>
  <c r="AN572" i="2"/>
  <c r="AN571" i="2"/>
  <c r="AN570" i="2"/>
  <c r="AN569" i="2"/>
  <c r="AN568" i="2"/>
  <c r="AN567" i="2"/>
  <c r="AN566" i="2"/>
  <c r="AN565" i="2"/>
  <c r="AN564" i="2"/>
  <c r="AN563" i="2"/>
  <c r="AN562" i="2"/>
  <c r="AN561" i="2"/>
  <c r="AN560" i="2"/>
  <c r="AN559" i="2"/>
  <c r="AN558" i="2"/>
  <c r="AN557" i="2"/>
  <c r="AN556" i="2"/>
  <c r="AN555" i="2"/>
  <c r="AN554" i="2"/>
  <c r="AN553" i="2"/>
  <c r="AN552" i="2"/>
  <c r="AN551" i="2"/>
  <c r="AN550" i="2"/>
  <c r="AN549" i="2"/>
  <c r="AN548" i="2"/>
  <c r="AN547" i="2"/>
  <c r="AN546" i="2"/>
  <c r="AN545" i="2"/>
  <c r="AN544" i="2"/>
  <c r="AN543" i="2"/>
  <c r="AN542" i="2"/>
  <c r="AN541" i="2"/>
  <c r="AN540" i="2"/>
  <c r="AN539" i="2"/>
  <c r="AN538" i="2"/>
  <c r="AN537" i="2"/>
  <c r="AN536" i="2"/>
  <c r="AN535" i="2"/>
  <c r="AN534" i="2"/>
  <c r="AN533" i="2"/>
  <c r="AN532" i="2"/>
  <c r="AN531" i="2"/>
  <c r="AN530" i="2"/>
  <c r="AN529" i="2"/>
  <c r="AN528" i="2"/>
  <c r="AN527" i="2"/>
  <c r="AN526" i="2"/>
  <c r="AN525" i="2"/>
  <c r="AN524" i="2"/>
  <c r="AN523" i="2"/>
  <c r="AN522" i="2"/>
  <c r="AN521" i="2"/>
  <c r="AN520" i="2"/>
  <c r="AN519" i="2"/>
  <c r="AN518" i="2"/>
  <c r="AN517" i="2"/>
  <c r="AN516" i="2"/>
  <c r="AN515" i="2"/>
  <c r="AN514" i="2"/>
  <c r="AN513" i="2"/>
  <c r="AN512" i="2"/>
  <c r="AN511" i="2"/>
  <c r="AN510" i="2"/>
  <c r="AN509" i="2"/>
  <c r="AN508" i="2"/>
  <c r="AN507" i="2"/>
  <c r="AN506" i="2"/>
  <c r="AN505" i="2"/>
  <c r="AN504" i="2"/>
  <c r="AN503" i="2"/>
  <c r="AN502" i="2"/>
  <c r="AN501" i="2"/>
  <c r="AN500" i="2"/>
  <c r="AN499" i="2"/>
  <c r="AN498" i="2"/>
  <c r="AN497" i="2"/>
  <c r="AN496" i="2"/>
  <c r="AN495" i="2"/>
  <c r="AN494" i="2"/>
  <c r="AN493" i="2"/>
  <c r="AN492" i="2"/>
  <c r="AN491" i="2"/>
  <c r="AN490" i="2"/>
  <c r="AN489" i="2"/>
  <c r="AN488" i="2"/>
  <c r="AN487" i="2"/>
  <c r="AN486" i="2"/>
  <c r="AN485" i="2"/>
  <c r="AN484" i="2"/>
  <c r="AN483" i="2"/>
  <c r="AN482" i="2"/>
  <c r="AN481" i="2"/>
  <c r="AN480" i="2"/>
  <c r="AN479" i="2"/>
  <c r="AN478" i="2"/>
  <c r="AN477" i="2"/>
  <c r="AN476" i="2"/>
  <c r="AN475" i="2"/>
  <c r="AN474" i="2"/>
  <c r="AN473" i="2"/>
  <c r="AN472" i="2"/>
  <c r="AN471" i="2"/>
  <c r="AN470" i="2"/>
  <c r="AN469" i="2"/>
  <c r="AN468" i="2"/>
  <c r="AN467" i="2"/>
  <c r="AN466" i="2"/>
  <c r="AN465" i="2"/>
  <c r="AN464" i="2"/>
  <c r="AN463" i="2"/>
  <c r="AN462" i="2"/>
  <c r="AN461" i="2"/>
  <c r="AN460" i="2"/>
  <c r="AN459" i="2"/>
  <c r="AN458" i="2"/>
  <c r="AN457" i="2"/>
  <c r="AN456" i="2"/>
  <c r="AN455" i="2"/>
  <c r="AN454" i="2"/>
  <c r="AN453" i="2"/>
  <c r="AN452" i="2"/>
  <c r="AN451" i="2"/>
  <c r="AN450" i="2"/>
  <c r="AN449" i="2"/>
  <c r="AN448" i="2"/>
  <c r="AN447" i="2"/>
  <c r="AN446" i="2"/>
  <c r="AN445" i="2"/>
  <c r="AN444" i="2"/>
  <c r="AN443" i="2"/>
  <c r="AN442" i="2"/>
  <c r="AN441" i="2"/>
  <c r="AN440" i="2"/>
  <c r="AN439" i="2"/>
  <c r="AN438" i="2"/>
  <c r="AN437" i="2"/>
  <c r="AN436" i="2"/>
  <c r="AN435" i="2"/>
  <c r="AN434" i="2"/>
  <c r="AN433" i="2"/>
  <c r="AN432" i="2"/>
  <c r="AN431" i="2"/>
  <c r="AN430" i="2"/>
  <c r="AN429" i="2"/>
  <c r="AN428" i="2"/>
  <c r="AN427" i="2"/>
  <c r="AN426" i="2"/>
  <c r="AN425" i="2"/>
  <c r="AN424" i="2"/>
  <c r="AN423" i="2"/>
  <c r="AN422" i="2"/>
  <c r="AN421" i="2"/>
  <c r="AN420" i="2"/>
  <c r="AN419" i="2"/>
  <c r="AN418" i="2"/>
  <c r="AN417" i="2"/>
  <c r="AN416" i="2"/>
  <c r="AN415" i="2"/>
  <c r="AN414" i="2"/>
  <c r="AN413" i="2"/>
  <c r="AN412" i="2"/>
  <c r="AN411" i="2"/>
  <c r="AN410" i="2"/>
  <c r="AN409" i="2"/>
  <c r="AN408" i="2"/>
  <c r="AN407" i="2"/>
  <c r="AN406" i="2"/>
  <c r="AN405" i="2"/>
  <c r="AN404" i="2"/>
  <c r="AN403" i="2"/>
  <c r="AN402" i="2"/>
  <c r="AN401" i="2"/>
  <c r="AN400" i="2"/>
  <c r="AN399" i="2"/>
  <c r="AN398" i="2"/>
  <c r="AN397" i="2"/>
  <c r="AN396" i="2"/>
  <c r="AN395" i="2"/>
  <c r="AN394" i="2"/>
  <c r="AN393" i="2"/>
  <c r="AN392" i="2"/>
  <c r="AN391" i="2"/>
  <c r="AN390" i="2"/>
  <c r="AN389" i="2"/>
  <c r="AN388" i="2"/>
  <c r="AN387" i="2"/>
  <c r="AN386" i="2"/>
  <c r="AN385" i="2"/>
  <c r="AN384" i="2"/>
  <c r="AN383" i="2"/>
  <c r="AN382" i="2"/>
  <c r="AN381" i="2"/>
  <c r="AN380" i="2"/>
  <c r="AN379" i="2"/>
  <c r="AN378" i="2"/>
  <c r="AN377" i="2"/>
  <c r="AN376" i="2"/>
  <c r="AN375" i="2"/>
  <c r="AN374" i="2"/>
  <c r="AN373" i="2"/>
  <c r="AN372" i="2"/>
  <c r="AN371" i="2"/>
  <c r="AN370" i="2"/>
  <c r="AN369" i="2"/>
  <c r="AN368" i="2"/>
  <c r="AN367" i="2"/>
  <c r="AN366" i="2"/>
  <c r="AN365" i="2"/>
  <c r="AN364" i="2"/>
  <c r="AN363" i="2"/>
  <c r="AN362" i="2"/>
  <c r="AN361" i="2"/>
  <c r="AN360" i="2"/>
  <c r="AN359" i="2"/>
  <c r="AN358" i="2"/>
  <c r="AN357" i="2"/>
  <c r="AN356" i="2"/>
  <c r="AN355" i="2"/>
  <c r="AN354" i="2"/>
  <c r="AN353" i="2"/>
  <c r="AN352" i="2"/>
  <c r="AN351" i="2"/>
  <c r="AN350" i="2"/>
  <c r="AN349" i="2"/>
  <c r="AN348" i="2"/>
  <c r="AN347" i="2"/>
  <c r="AN346" i="2"/>
  <c r="AN345" i="2"/>
  <c r="AN344" i="2"/>
  <c r="AN343" i="2"/>
  <c r="AN342" i="2"/>
  <c r="AN341" i="2"/>
  <c r="AN340" i="2"/>
  <c r="AN339" i="2"/>
  <c r="AN338" i="2"/>
  <c r="AN337" i="2"/>
  <c r="AN336" i="2"/>
  <c r="AN335" i="2"/>
  <c r="AN334" i="2"/>
  <c r="AN333" i="2"/>
  <c r="AN332" i="2"/>
  <c r="AN331" i="2"/>
  <c r="AN330" i="2"/>
  <c r="AN329" i="2"/>
  <c r="AN328" i="2"/>
  <c r="AN327" i="2"/>
  <c r="AN326" i="2"/>
  <c r="AN325" i="2"/>
  <c r="AN324" i="2"/>
  <c r="AN323" i="2"/>
  <c r="AN322" i="2"/>
  <c r="AN321" i="2"/>
  <c r="AN320" i="2"/>
  <c r="AN319" i="2"/>
  <c r="AN318" i="2"/>
  <c r="AN317" i="2"/>
  <c r="AN316" i="2"/>
  <c r="AN315" i="2"/>
  <c r="AN314" i="2"/>
  <c r="AN313" i="2"/>
  <c r="AN312" i="2"/>
  <c r="AN311" i="2"/>
  <c r="AN310" i="2"/>
  <c r="AN309" i="2"/>
  <c r="AN308" i="2"/>
  <c r="AN307" i="2"/>
  <c r="AN306" i="2"/>
  <c r="AN305" i="2"/>
  <c r="AN304" i="2"/>
  <c r="AN303" i="2"/>
  <c r="AN302" i="2"/>
  <c r="AN301" i="2"/>
  <c r="AN300" i="2"/>
  <c r="AN299" i="2"/>
  <c r="AN298" i="2"/>
  <c r="AN297" i="2"/>
  <c r="AN296" i="2"/>
  <c r="AN295" i="2"/>
  <c r="AN294" i="2"/>
  <c r="AN293" i="2"/>
  <c r="AN292" i="2"/>
  <c r="AN291" i="2"/>
  <c r="AN290" i="2"/>
  <c r="AN289" i="2"/>
  <c r="AN288" i="2"/>
  <c r="AN287" i="2"/>
  <c r="AN286" i="2"/>
  <c r="AN285" i="2"/>
  <c r="AN284" i="2"/>
  <c r="AN283" i="2"/>
  <c r="AN282" i="2"/>
  <c r="AN281" i="2"/>
  <c r="AN280" i="2"/>
  <c r="AN279" i="2"/>
  <c r="AN278" i="2"/>
  <c r="AN277" i="2"/>
  <c r="AN276" i="2"/>
  <c r="AN275" i="2"/>
  <c r="AN274" i="2"/>
  <c r="AN273" i="2"/>
  <c r="AN272" i="2"/>
  <c r="AN271" i="2"/>
  <c r="AN270" i="2"/>
  <c r="AN269" i="2"/>
  <c r="AN268" i="2"/>
  <c r="AN267" i="2"/>
  <c r="AN266" i="2"/>
  <c r="AN265" i="2"/>
  <c r="AN264" i="2"/>
  <c r="AN263" i="2"/>
  <c r="AN262" i="2"/>
  <c r="AN261" i="2"/>
  <c r="AN260" i="2"/>
  <c r="AN259" i="2"/>
  <c r="AN258" i="2"/>
  <c r="AN257" i="2"/>
  <c r="AN256" i="2"/>
  <c r="AN255" i="2"/>
  <c r="AN254" i="2"/>
  <c r="AN253" i="2"/>
  <c r="AN252" i="2"/>
  <c r="AN251" i="2"/>
  <c r="AN250" i="2"/>
  <c r="AN249" i="2"/>
  <c r="AN248" i="2"/>
  <c r="AN247" i="2"/>
  <c r="AN246" i="2"/>
  <c r="AN245" i="2"/>
  <c r="AN244" i="2"/>
  <c r="AN243" i="2"/>
  <c r="AN242" i="2"/>
  <c r="AN241" i="2"/>
  <c r="AN240" i="2"/>
  <c r="AN239" i="2"/>
  <c r="AN238" i="2"/>
  <c r="AN237" i="2"/>
  <c r="AN236" i="2"/>
  <c r="AN235" i="2"/>
  <c r="AN234" i="2"/>
  <c r="AN233" i="2"/>
  <c r="AN232" i="2"/>
  <c r="AN231" i="2"/>
  <c r="AN230" i="2"/>
  <c r="AN229" i="2"/>
  <c r="AN228" i="2"/>
  <c r="AN227" i="2"/>
  <c r="AN226" i="2"/>
  <c r="AN225" i="2"/>
  <c r="AN224" i="2"/>
  <c r="AN223" i="2"/>
  <c r="AN222" i="2"/>
  <c r="AN221" i="2"/>
  <c r="AN220" i="2"/>
  <c r="AN219" i="2"/>
  <c r="AN218" i="2"/>
  <c r="AN217" i="2"/>
  <c r="AN216" i="2"/>
  <c r="AN215" i="2"/>
  <c r="AN214" i="2"/>
  <c r="AN213" i="2"/>
  <c r="AN212" i="2"/>
  <c r="AN211" i="2"/>
  <c r="AN210" i="2"/>
  <c r="AN209" i="2"/>
  <c r="AN208" i="2"/>
  <c r="AN207" i="2"/>
  <c r="AN206" i="2"/>
  <c r="AN205" i="2"/>
  <c r="AN204" i="2"/>
  <c r="AN203" i="2"/>
  <c r="AN202" i="2"/>
  <c r="AN201" i="2"/>
  <c r="AN200" i="2"/>
  <c r="AN199" i="2"/>
  <c r="AN198" i="2"/>
  <c r="AN197" i="2"/>
  <c r="AN196" i="2"/>
  <c r="AN195" i="2"/>
  <c r="AN194" i="2"/>
  <c r="AN193" i="2"/>
  <c r="AN192" i="2"/>
  <c r="AN191" i="2"/>
  <c r="AN190" i="2"/>
  <c r="AN189" i="2"/>
  <c r="AN188" i="2"/>
  <c r="AN187" i="2"/>
  <c r="AN186" i="2"/>
  <c r="AN185" i="2"/>
  <c r="AN184" i="2"/>
  <c r="AN183" i="2"/>
  <c r="AN182" i="2"/>
  <c r="AN181" i="2"/>
  <c r="AN180" i="2"/>
  <c r="AN179" i="2"/>
  <c r="AN178" i="2"/>
  <c r="AN177" i="2"/>
  <c r="AN176" i="2"/>
  <c r="AN175" i="2"/>
  <c r="AN174" i="2"/>
  <c r="AN173" i="2"/>
  <c r="AN172" i="2"/>
  <c r="AN171" i="2"/>
  <c r="AN170" i="2"/>
  <c r="AN169" i="2"/>
  <c r="AN168" i="2"/>
  <c r="AN167" i="2"/>
  <c r="AN166" i="2"/>
  <c r="AN165" i="2"/>
  <c r="AN164" i="2"/>
  <c r="AN163" i="2"/>
  <c r="AN162" i="2"/>
  <c r="AN161" i="2"/>
  <c r="AN160" i="2"/>
  <c r="AN159" i="2"/>
  <c r="AN158" i="2"/>
  <c r="AN157" i="2"/>
  <c r="AN156" i="2"/>
  <c r="AN155" i="2"/>
  <c r="AN154" i="2"/>
  <c r="AN153" i="2"/>
  <c r="AN152" i="2"/>
  <c r="AN151" i="2"/>
  <c r="AN150" i="2"/>
  <c r="AN149" i="2"/>
  <c r="AN148" i="2"/>
  <c r="AN147" i="2"/>
  <c r="AN146" i="2"/>
  <c r="AN145" i="2"/>
  <c r="AN144" i="2"/>
  <c r="AN143" i="2"/>
  <c r="AN142" i="2"/>
  <c r="AN141" i="2"/>
  <c r="AN140" i="2"/>
  <c r="AN139" i="2"/>
  <c r="AN138" i="2"/>
  <c r="AN137" i="2"/>
  <c r="AN136" i="2"/>
  <c r="AN135" i="2"/>
  <c r="AN134" i="2"/>
  <c r="AN133" i="2"/>
  <c r="AN132" i="2"/>
  <c r="AN131" i="2"/>
  <c r="AN130" i="2"/>
  <c r="AN129" i="2"/>
  <c r="AN128" i="2"/>
  <c r="AN127" i="2"/>
  <c r="AN126" i="2"/>
  <c r="AN125" i="2"/>
  <c r="AN124" i="2"/>
  <c r="AN123" i="2"/>
  <c r="AN122" i="2"/>
  <c r="AN121" i="2"/>
  <c r="AN120" i="2"/>
  <c r="AN119" i="2"/>
  <c r="AN118" i="2"/>
  <c r="AN117" i="2"/>
  <c r="AN116" i="2"/>
  <c r="AN115" i="2"/>
  <c r="AN114" i="2"/>
  <c r="AN113" i="2"/>
  <c r="AN112" i="2"/>
  <c r="AN111" i="2"/>
  <c r="AN110" i="2"/>
  <c r="AN109" i="2"/>
  <c r="AN108" i="2"/>
  <c r="AN107" i="2"/>
  <c r="AN106" i="2"/>
  <c r="AN105" i="2"/>
  <c r="AN104" i="2"/>
  <c r="AN103" i="2"/>
  <c r="AN102" i="2"/>
  <c r="AN101" i="2"/>
  <c r="AN100" i="2"/>
  <c r="AN99" i="2"/>
  <c r="AN98" i="2"/>
  <c r="AN97" i="2"/>
  <c r="AN96" i="2"/>
  <c r="AN95" i="2"/>
  <c r="AN94" i="2"/>
  <c r="AN93" i="2"/>
  <c r="AN92" i="2"/>
  <c r="AN91" i="2"/>
  <c r="AN90" i="2"/>
  <c r="AN89" i="2"/>
  <c r="AN88" i="2"/>
  <c r="AN87" i="2"/>
  <c r="AN86" i="2"/>
  <c r="AN85" i="2"/>
  <c r="AN84" i="2"/>
  <c r="AN83" i="2"/>
  <c r="AN82" i="2"/>
  <c r="AN81" i="2"/>
  <c r="AN80" i="2"/>
  <c r="AN79" i="2"/>
  <c r="AN78" i="2"/>
  <c r="AN77" i="2"/>
  <c r="AN76" i="2"/>
  <c r="AN75" i="2"/>
  <c r="AN74" i="2"/>
  <c r="AN73" i="2"/>
  <c r="AN72" i="2"/>
  <c r="AN71" i="2"/>
  <c r="AN70" i="2"/>
  <c r="AN69" i="2"/>
  <c r="AN68" i="2"/>
  <c r="AN67" i="2"/>
  <c r="AN66" i="2"/>
  <c r="AN65" i="2"/>
  <c r="AN64" i="2"/>
  <c r="AN63" i="2"/>
  <c r="AN62" i="2"/>
  <c r="AN61" i="2"/>
  <c r="AN60" i="2"/>
  <c r="AN59" i="2"/>
  <c r="AN58" i="2"/>
  <c r="AN57" i="2"/>
  <c r="AN56" i="2"/>
  <c r="AN55" i="2"/>
  <c r="AN54" i="2"/>
  <c r="AN53" i="2"/>
  <c r="AN52" i="2"/>
  <c r="AN51" i="2"/>
  <c r="AN50" i="2"/>
  <c r="AN49" i="2"/>
  <c r="AN48" i="2"/>
  <c r="AN47" i="2"/>
  <c r="AN46" i="2"/>
  <c r="AN45" i="2"/>
  <c r="AN44" i="2"/>
  <c r="AN43" i="2"/>
  <c r="AN42" i="2"/>
  <c r="AN41" i="2"/>
  <c r="AN40" i="2"/>
  <c r="AN39" i="2"/>
  <c r="AN38" i="2"/>
  <c r="AN37" i="2"/>
  <c r="AN36" i="2"/>
  <c r="AN35" i="2"/>
  <c r="AN34" i="2"/>
  <c r="AN33" i="2"/>
  <c r="AN32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4" i="2" s="1"/>
  <c r="AN9" i="2"/>
  <c r="AN8" i="2"/>
  <c r="AN7" i="2"/>
  <c r="AN6" i="2"/>
  <c r="AN5" i="2"/>
  <c r="AL4" i="2"/>
  <c r="K4" i="2"/>
  <c r="D4" i="2"/>
  <c r="C4" i="2"/>
  <c r="AI1" i="2" s="1"/>
  <c r="AL3" i="2"/>
  <c r="AL1" i="2" s="1"/>
  <c r="AK3" i="2"/>
  <c r="AK1" i="2" s="1"/>
  <c r="AJ3" i="2"/>
  <c r="AJ1" i="2" s="1"/>
  <c r="AI3" i="2"/>
  <c r="AH3" i="2"/>
  <c r="AG3" i="2"/>
  <c r="AF3" i="2"/>
  <c r="AF1" i="2" s="1"/>
  <c r="AE3" i="2"/>
  <c r="AE1" i="2" s="1"/>
  <c r="AD3" i="2"/>
  <c r="AD1" i="2" s="1"/>
  <c r="AC3" i="2"/>
  <c r="AC1" i="2" s="1"/>
  <c r="AB3" i="2"/>
  <c r="AB1" i="2" s="1"/>
  <c r="AA3" i="2"/>
  <c r="AA1" i="2" s="1"/>
  <c r="Z3" i="2"/>
  <c r="Y3" i="2"/>
  <c r="X3" i="2"/>
  <c r="W3" i="2"/>
  <c r="W1" i="2" s="1"/>
  <c r="V3" i="2"/>
  <c r="U3" i="2"/>
  <c r="U1" i="2" s="1"/>
  <c r="T3" i="2"/>
  <c r="T1" i="2" s="1"/>
  <c r="S3" i="2"/>
  <c r="S1" i="2" s="1"/>
  <c r="R3" i="2"/>
  <c r="R1" i="2" s="1"/>
  <c r="Q3" i="2"/>
  <c r="Q1" i="2" s="1"/>
  <c r="P3" i="2"/>
  <c r="P1" i="2" s="1"/>
  <c r="O3" i="2"/>
  <c r="N3" i="2"/>
  <c r="M3" i="2"/>
  <c r="L3" i="2"/>
  <c r="L1" i="2" s="1"/>
  <c r="K3" i="2"/>
  <c r="K1" i="2" s="1"/>
  <c r="J3" i="2"/>
  <c r="J1" i="2" s="1"/>
  <c r="I3" i="2"/>
  <c r="I1" i="2" s="1"/>
  <c r="H3" i="2"/>
  <c r="H1" i="2" s="1"/>
  <c r="G3" i="2"/>
  <c r="G1" i="2" s="1"/>
  <c r="F3" i="2"/>
  <c r="AH1" i="2"/>
  <c r="AG1" i="2"/>
  <c r="Z1" i="2"/>
  <c r="Y1" i="2"/>
  <c r="X1" i="2"/>
  <c r="V1" i="2"/>
  <c r="N1" i="2"/>
  <c r="M1" i="2"/>
  <c r="F1" i="2"/>
  <c r="BY654" i="1"/>
  <c r="BV654" i="1"/>
  <c r="BF654" i="1"/>
  <c r="BD654" i="1"/>
  <c r="BC654" i="1"/>
  <c r="BB654" i="1"/>
  <c r="AY654" i="1"/>
  <c r="AV654" i="1"/>
  <c r="AT654" i="1"/>
  <c r="BW654" i="1" s="1"/>
  <c r="AS654" i="1"/>
  <c r="AR654" i="1"/>
  <c r="BU654" i="1" s="1"/>
  <c r="AQ654" i="1"/>
  <c r="BT654" i="1" s="1"/>
  <c r="AP654" i="1"/>
  <c r="AW654" i="1" s="1"/>
  <c r="AM654" i="1"/>
  <c r="AL654" i="1"/>
  <c r="AJ654" i="1"/>
  <c r="AK654" i="1" s="1"/>
  <c r="AI654" i="1"/>
  <c r="AZ654" i="1" s="1"/>
  <c r="BC653" i="1"/>
  <c r="AZ653" i="1"/>
  <c r="AY653" i="1"/>
  <c r="AT653" i="1"/>
  <c r="BW653" i="1" s="1"/>
  <c r="AS653" i="1"/>
  <c r="BV653" i="1" s="1"/>
  <c r="AN653" i="1"/>
  <c r="AM653" i="1"/>
  <c r="AL653" i="1"/>
  <c r="AJ653" i="1"/>
  <c r="AK653" i="1" s="1"/>
  <c r="AI653" i="1"/>
  <c r="AP653" i="1" s="1"/>
  <c r="BE652" i="1"/>
  <c r="AM652" i="1"/>
  <c r="AL652" i="1"/>
  <c r="AJ652" i="1"/>
  <c r="AK652" i="1" s="1"/>
  <c r="AI652" i="1"/>
  <c r="BE651" i="1"/>
  <c r="AV651" i="1"/>
  <c r="BY651" i="1" s="1"/>
  <c r="AM651" i="1"/>
  <c r="AL651" i="1"/>
  <c r="AJ651" i="1"/>
  <c r="AK651" i="1" s="1"/>
  <c r="AI651" i="1"/>
  <c r="BW650" i="1"/>
  <c r="BV650" i="1"/>
  <c r="BT650" i="1"/>
  <c r="BG650" i="1"/>
  <c r="BF650" i="1"/>
  <c r="BD650" i="1"/>
  <c r="BC650" i="1"/>
  <c r="BB650" i="1"/>
  <c r="BA650" i="1"/>
  <c r="AZ650" i="1"/>
  <c r="AY650" i="1"/>
  <c r="AX650" i="1"/>
  <c r="AV650" i="1"/>
  <c r="BY650" i="1" s="1"/>
  <c r="AT650" i="1"/>
  <c r="AS650" i="1"/>
  <c r="AR650" i="1"/>
  <c r="BU650" i="1" s="1"/>
  <c r="AQ650" i="1"/>
  <c r="AP650" i="1"/>
  <c r="BS650" i="1" s="1"/>
  <c r="AN650" i="1"/>
  <c r="AM650" i="1"/>
  <c r="AL650" i="1"/>
  <c r="AK650" i="1"/>
  <c r="AJ650" i="1"/>
  <c r="AI650" i="1"/>
  <c r="BE650" i="1" s="1"/>
  <c r="BW649" i="1"/>
  <c r="BV649" i="1"/>
  <c r="BU649" i="1"/>
  <c r="BT649" i="1"/>
  <c r="BG649" i="1"/>
  <c r="BF649" i="1"/>
  <c r="BD649" i="1"/>
  <c r="BC649" i="1"/>
  <c r="BB649" i="1"/>
  <c r="BA649" i="1"/>
  <c r="AZ649" i="1"/>
  <c r="AY649" i="1"/>
  <c r="AX649" i="1"/>
  <c r="AT649" i="1"/>
  <c r="AS649" i="1"/>
  <c r="AR649" i="1"/>
  <c r="AQ649" i="1"/>
  <c r="AP649" i="1"/>
  <c r="BS649" i="1" s="1"/>
  <c r="AN649" i="1"/>
  <c r="AM649" i="1"/>
  <c r="AL649" i="1"/>
  <c r="AK649" i="1"/>
  <c r="AJ649" i="1"/>
  <c r="AI649" i="1"/>
  <c r="BE649" i="1" s="1"/>
  <c r="BV648" i="1"/>
  <c r="BC648" i="1"/>
  <c r="BA648" i="1"/>
  <c r="AY648" i="1"/>
  <c r="AX648" i="1"/>
  <c r="AS648" i="1"/>
  <c r="AQ648" i="1"/>
  <c r="BT648" i="1" s="1"/>
  <c r="AN648" i="1"/>
  <c r="AM648" i="1"/>
  <c r="AL648" i="1"/>
  <c r="AJ648" i="1"/>
  <c r="AK648" i="1" s="1"/>
  <c r="AI648" i="1"/>
  <c r="BF648" i="1" s="1"/>
  <c r="BT647" i="1"/>
  <c r="BC647" i="1"/>
  <c r="BA647" i="1"/>
  <c r="AZ647" i="1"/>
  <c r="AY647" i="1"/>
  <c r="AQ647" i="1"/>
  <c r="AN647" i="1"/>
  <c r="AM647" i="1"/>
  <c r="AL647" i="1"/>
  <c r="AJ647" i="1"/>
  <c r="AK647" i="1" s="1"/>
  <c r="AI647" i="1"/>
  <c r="AV647" i="1" s="1"/>
  <c r="BY647" i="1" s="1"/>
  <c r="BY646" i="1"/>
  <c r="BT646" i="1"/>
  <c r="BC646" i="1"/>
  <c r="BA646" i="1"/>
  <c r="AZ646" i="1"/>
  <c r="AY646" i="1"/>
  <c r="AV646" i="1"/>
  <c r="AS646" i="1"/>
  <c r="BV646" i="1" s="1"/>
  <c r="AQ646" i="1"/>
  <c r="AP646" i="1"/>
  <c r="AN646" i="1"/>
  <c r="AM646" i="1"/>
  <c r="AL646" i="1"/>
  <c r="AJ646" i="1"/>
  <c r="AK646" i="1" s="1"/>
  <c r="AI646" i="1"/>
  <c r="BG646" i="1" s="1"/>
  <c r="BE645" i="1"/>
  <c r="BC645" i="1"/>
  <c r="BB645" i="1"/>
  <c r="BA645" i="1"/>
  <c r="AS645" i="1"/>
  <c r="BV645" i="1" s="1"/>
  <c r="AQ645" i="1"/>
  <c r="BT645" i="1" s="1"/>
  <c r="AP645" i="1"/>
  <c r="AM645" i="1"/>
  <c r="AL645" i="1"/>
  <c r="AJ645" i="1"/>
  <c r="AK645" i="1" s="1"/>
  <c r="AI645" i="1"/>
  <c r="BV644" i="1"/>
  <c r="BE644" i="1"/>
  <c r="BB644" i="1"/>
  <c r="AY644" i="1"/>
  <c r="AV644" i="1"/>
  <c r="BY644" i="1" s="1"/>
  <c r="AS644" i="1"/>
  <c r="AR644" i="1"/>
  <c r="BU644" i="1" s="1"/>
  <c r="AQ644" i="1"/>
  <c r="BT644" i="1" s="1"/>
  <c r="AM644" i="1"/>
  <c r="AL644" i="1"/>
  <c r="AJ644" i="1"/>
  <c r="AK644" i="1" s="1"/>
  <c r="AI644" i="1"/>
  <c r="BV643" i="1"/>
  <c r="BT643" i="1"/>
  <c r="BG643" i="1"/>
  <c r="BE643" i="1"/>
  <c r="BC643" i="1"/>
  <c r="AY643" i="1"/>
  <c r="AV643" i="1"/>
  <c r="BY643" i="1" s="1"/>
  <c r="AS643" i="1"/>
  <c r="AR643" i="1"/>
  <c r="BU643" i="1" s="1"/>
  <c r="AQ643" i="1"/>
  <c r="AN643" i="1"/>
  <c r="AM643" i="1"/>
  <c r="AL643" i="1"/>
  <c r="AK643" i="1"/>
  <c r="AJ643" i="1"/>
  <c r="AI643" i="1"/>
  <c r="BD643" i="1" s="1"/>
  <c r="BY642" i="1"/>
  <c r="BG642" i="1"/>
  <c r="BE642" i="1"/>
  <c r="BC642" i="1"/>
  <c r="BA642" i="1"/>
  <c r="AY642" i="1"/>
  <c r="AX642" i="1"/>
  <c r="AV642" i="1"/>
  <c r="AT642" i="1"/>
  <c r="BW642" i="1" s="1"/>
  <c r="AS642" i="1"/>
  <c r="BV642" i="1" s="1"/>
  <c r="AN642" i="1"/>
  <c r="AM642" i="1"/>
  <c r="AL642" i="1"/>
  <c r="AK642" i="1"/>
  <c r="AJ642" i="1"/>
  <c r="AI642" i="1"/>
  <c r="BD642" i="1" s="1"/>
  <c r="AM641" i="1"/>
  <c r="AL641" i="1"/>
  <c r="AJ641" i="1"/>
  <c r="AK641" i="1" s="1"/>
  <c r="AI641" i="1"/>
  <c r="BF640" i="1"/>
  <c r="BC640" i="1"/>
  <c r="BA640" i="1"/>
  <c r="AZ640" i="1"/>
  <c r="AY640" i="1"/>
  <c r="AX640" i="1"/>
  <c r="AV640" i="1"/>
  <c r="BY640" i="1" s="1"/>
  <c r="AM640" i="1"/>
  <c r="AL640" i="1"/>
  <c r="AJ640" i="1"/>
  <c r="AK640" i="1" s="1"/>
  <c r="AI640" i="1"/>
  <c r="BE640" i="1" s="1"/>
  <c r="BY639" i="1"/>
  <c r="BV639" i="1"/>
  <c r="BS639" i="1"/>
  <c r="BG639" i="1"/>
  <c r="BC639" i="1"/>
  <c r="BA639" i="1"/>
  <c r="AZ639" i="1"/>
  <c r="AY639" i="1"/>
  <c r="AX639" i="1"/>
  <c r="AV639" i="1"/>
  <c r="AS639" i="1"/>
  <c r="AQ639" i="1"/>
  <c r="AP639" i="1"/>
  <c r="AN639" i="1"/>
  <c r="AM639" i="1"/>
  <c r="AL639" i="1"/>
  <c r="AK639" i="1"/>
  <c r="AJ639" i="1"/>
  <c r="AI639" i="1"/>
  <c r="BE639" i="1" s="1"/>
  <c r="BS638" i="1"/>
  <c r="BG638" i="1"/>
  <c r="BE638" i="1"/>
  <c r="BC638" i="1"/>
  <c r="BB638" i="1"/>
  <c r="BA638" i="1"/>
  <c r="AX638" i="1"/>
  <c r="AQ638" i="1"/>
  <c r="BT638" i="1" s="1"/>
  <c r="AP638" i="1"/>
  <c r="AM638" i="1"/>
  <c r="AL638" i="1"/>
  <c r="AK638" i="1"/>
  <c r="AJ638" i="1"/>
  <c r="AI638" i="1"/>
  <c r="AM637" i="1"/>
  <c r="AL637" i="1"/>
  <c r="AJ637" i="1"/>
  <c r="AK637" i="1" s="1"/>
  <c r="AI637" i="1"/>
  <c r="AM636" i="1"/>
  <c r="AL636" i="1"/>
  <c r="AK636" i="1"/>
  <c r="AJ636" i="1"/>
  <c r="AI636" i="1"/>
  <c r="BY635" i="1"/>
  <c r="BU635" i="1"/>
  <c r="BG635" i="1"/>
  <c r="BE635" i="1"/>
  <c r="BD635" i="1"/>
  <c r="BB635" i="1"/>
  <c r="BA635" i="1"/>
  <c r="AZ635" i="1"/>
  <c r="AV635" i="1"/>
  <c r="AT635" i="1"/>
  <c r="BW635" i="1" s="1"/>
  <c r="AS635" i="1"/>
  <c r="BV635" i="1" s="1"/>
  <c r="AR635" i="1"/>
  <c r="AQ635" i="1"/>
  <c r="BT635" i="1" s="1"/>
  <c r="AP635" i="1"/>
  <c r="AN635" i="1"/>
  <c r="AM635" i="1"/>
  <c r="AL635" i="1"/>
  <c r="AK635" i="1"/>
  <c r="AJ635" i="1"/>
  <c r="AI635" i="1"/>
  <c r="AX635" i="1" s="1"/>
  <c r="AM634" i="1"/>
  <c r="AL634" i="1"/>
  <c r="AJ634" i="1"/>
  <c r="AK634" i="1" s="1"/>
  <c r="AI634" i="1"/>
  <c r="BG633" i="1"/>
  <c r="BF633" i="1"/>
  <c r="BD633" i="1"/>
  <c r="BC633" i="1"/>
  <c r="BB633" i="1"/>
  <c r="AZ633" i="1"/>
  <c r="AY633" i="1"/>
  <c r="AX633" i="1"/>
  <c r="AV633" i="1"/>
  <c r="BY633" i="1" s="1"/>
  <c r="AT633" i="1"/>
  <c r="BW633" i="1" s="1"/>
  <c r="AS633" i="1"/>
  <c r="BV633" i="1" s="1"/>
  <c r="AR633" i="1"/>
  <c r="BU633" i="1" s="1"/>
  <c r="AQ633" i="1"/>
  <c r="BT633" i="1" s="1"/>
  <c r="AN633" i="1"/>
  <c r="AM633" i="1"/>
  <c r="AL633" i="1"/>
  <c r="AJ633" i="1"/>
  <c r="AK633" i="1" s="1"/>
  <c r="AI633" i="1"/>
  <c r="AP633" i="1" s="1"/>
  <c r="BW632" i="1"/>
  <c r="BU632" i="1"/>
  <c r="BG632" i="1"/>
  <c r="BF632" i="1"/>
  <c r="BE632" i="1"/>
  <c r="BD632" i="1"/>
  <c r="BC632" i="1"/>
  <c r="BA632" i="1"/>
  <c r="AZ632" i="1"/>
  <c r="AY632" i="1"/>
  <c r="AT632" i="1"/>
  <c r="AS632" i="1"/>
  <c r="BV632" i="1" s="1"/>
  <c r="AR632" i="1"/>
  <c r="AP632" i="1"/>
  <c r="AN632" i="1"/>
  <c r="AM632" i="1"/>
  <c r="AL632" i="1"/>
  <c r="AK632" i="1"/>
  <c r="AJ632" i="1"/>
  <c r="AI632" i="1"/>
  <c r="AX632" i="1" s="1"/>
  <c r="AM631" i="1"/>
  <c r="AL631" i="1"/>
  <c r="AJ631" i="1"/>
  <c r="AK631" i="1" s="1"/>
  <c r="AI631" i="1"/>
  <c r="BW630" i="1"/>
  <c r="BS630" i="1"/>
  <c r="BG630" i="1"/>
  <c r="BF630" i="1"/>
  <c r="BE630" i="1"/>
  <c r="BC630" i="1"/>
  <c r="BB630" i="1"/>
  <c r="AY630" i="1"/>
  <c r="AT630" i="1"/>
  <c r="AR630" i="1"/>
  <c r="BU630" i="1" s="1"/>
  <c r="AQ630" i="1"/>
  <c r="BT630" i="1" s="1"/>
  <c r="AP630" i="1"/>
  <c r="AN630" i="1"/>
  <c r="AM630" i="1"/>
  <c r="AL630" i="1"/>
  <c r="AJ630" i="1"/>
  <c r="AK630" i="1" s="1"/>
  <c r="AI630" i="1"/>
  <c r="BW629" i="1"/>
  <c r="BV629" i="1"/>
  <c r="BU629" i="1"/>
  <c r="BG629" i="1"/>
  <c r="BF629" i="1"/>
  <c r="BD629" i="1"/>
  <c r="BC629" i="1"/>
  <c r="BB629" i="1"/>
  <c r="BA629" i="1"/>
  <c r="AZ629" i="1"/>
  <c r="AY629" i="1"/>
  <c r="AX629" i="1"/>
  <c r="AV629" i="1"/>
  <c r="BY629" i="1" s="1"/>
  <c r="AT629" i="1"/>
  <c r="AS629" i="1"/>
  <c r="AR629" i="1"/>
  <c r="AQ629" i="1"/>
  <c r="BT629" i="1" s="1"/>
  <c r="AP629" i="1"/>
  <c r="AN629" i="1"/>
  <c r="AM629" i="1"/>
  <c r="AL629" i="1"/>
  <c r="AJ629" i="1"/>
  <c r="AK629" i="1" s="1"/>
  <c r="AI629" i="1"/>
  <c r="BE629" i="1" s="1"/>
  <c r="BW628" i="1"/>
  <c r="BV628" i="1"/>
  <c r="BT628" i="1"/>
  <c r="BG628" i="1"/>
  <c r="BE628" i="1"/>
  <c r="BD628" i="1"/>
  <c r="BC628" i="1"/>
  <c r="BB628" i="1"/>
  <c r="BA628" i="1"/>
  <c r="AY628" i="1"/>
  <c r="AX628" i="1"/>
  <c r="AT628" i="1"/>
  <c r="AS628" i="1"/>
  <c r="AR628" i="1"/>
  <c r="BU628" i="1" s="1"/>
  <c r="AQ628" i="1"/>
  <c r="AP628" i="1"/>
  <c r="AN628" i="1"/>
  <c r="AM628" i="1"/>
  <c r="AL628" i="1"/>
  <c r="AK628" i="1"/>
  <c r="AJ628" i="1"/>
  <c r="AI628" i="1"/>
  <c r="BY627" i="1"/>
  <c r="BW627" i="1"/>
  <c r="AV627" i="1"/>
  <c r="AT627" i="1"/>
  <c r="AS627" i="1"/>
  <c r="BV627" i="1" s="1"/>
  <c r="AQ627" i="1"/>
  <c r="BT627" i="1" s="1"/>
  <c r="AM627" i="1"/>
  <c r="AL627" i="1"/>
  <c r="AJ627" i="1"/>
  <c r="AK627" i="1" s="1"/>
  <c r="AI627" i="1"/>
  <c r="BW626" i="1"/>
  <c r="AV626" i="1"/>
  <c r="BY626" i="1" s="1"/>
  <c r="AT626" i="1"/>
  <c r="AS626" i="1"/>
  <c r="BV626" i="1" s="1"/>
  <c r="AR626" i="1"/>
  <c r="BU626" i="1" s="1"/>
  <c r="AM626" i="1"/>
  <c r="AL626" i="1"/>
  <c r="AK626" i="1"/>
  <c r="AJ626" i="1"/>
  <c r="AI626" i="1"/>
  <c r="BB625" i="1"/>
  <c r="BA625" i="1"/>
  <c r="AS625" i="1"/>
  <c r="BV625" i="1" s="1"/>
  <c r="AQ625" i="1"/>
  <c r="BT625" i="1" s="1"/>
  <c r="AN625" i="1"/>
  <c r="AM625" i="1"/>
  <c r="AL625" i="1"/>
  <c r="AK625" i="1"/>
  <c r="AJ625" i="1"/>
  <c r="AI625" i="1"/>
  <c r="AT624" i="1"/>
  <c r="BW624" i="1" s="1"/>
  <c r="AQ624" i="1"/>
  <c r="BT624" i="1" s="1"/>
  <c r="AM624" i="1"/>
  <c r="AL624" i="1"/>
  <c r="AJ624" i="1"/>
  <c r="AK624" i="1" s="1"/>
  <c r="AI624" i="1"/>
  <c r="BE623" i="1"/>
  <c r="BD623" i="1"/>
  <c r="BC623" i="1"/>
  <c r="AZ623" i="1"/>
  <c r="AY623" i="1"/>
  <c r="AX623" i="1"/>
  <c r="AV623" i="1"/>
  <c r="BY623" i="1" s="1"/>
  <c r="AR623" i="1"/>
  <c r="BU623" i="1" s="1"/>
  <c r="AQ623" i="1"/>
  <c r="BT623" i="1" s="1"/>
  <c r="AN623" i="1"/>
  <c r="AM623" i="1"/>
  <c r="AL623" i="1"/>
  <c r="AK623" i="1"/>
  <c r="AJ623" i="1"/>
  <c r="AI623" i="1"/>
  <c r="BF623" i="1" s="1"/>
  <c r="BG622" i="1"/>
  <c r="BE622" i="1"/>
  <c r="BD622" i="1"/>
  <c r="BC622" i="1"/>
  <c r="BA622" i="1"/>
  <c r="AY622" i="1"/>
  <c r="AX622" i="1"/>
  <c r="AT622" i="1"/>
  <c r="BW622" i="1" s="1"/>
  <c r="AS622" i="1"/>
  <c r="BV622" i="1" s="1"/>
  <c r="AR622" i="1"/>
  <c r="BU622" i="1" s="1"/>
  <c r="AP622" i="1"/>
  <c r="AN622" i="1"/>
  <c r="AM622" i="1"/>
  <c r="AL622" i="1"/>
  <c r="AK622" i="1"/>
  <c r="AJ622" i="1"/>
  <c r="AI622" i="1"/>
  <c r="BS621" i="1"/>
  <c r="BD621" i="1"/>
  <c r="BA621" i="1"/>
  <c r="AZ621" i="1"/>
  <c r="AY621" i="1"/>
  <c r="AX621" i="1"/>
  <c r="AU621" i="1"/>
  <c r="BX621" i="1" s="1"/>
  <c r="AS621" i="1"/>
  <c r="BV621" i="1" s="1"/>
  <c r="AP621" i="1"/>
  <c r="AM621" i="1"/>
  <c r="AL621" i="1"/>
  <c r="AK621" i="1"/>
  <c r="AJ621" i="1"/>
  <c r="AI621" i="1"/>
  <c r="BB621" i="1" s="1"/>
  <c r="BU620" i="1"/>
  <c r="BG620" i="1"/>
  <c r="BF620" i="1"/>
  <c r="BE620" i="1"/>
  <c r="BB620" i="1"/>
  <c r="BA620" i="1"/>
  <c r="AZ620" i="1"/>
  <c r="AY620" i="1"/>
  <c r="AU620" i="1"/>
  <c r="BX620" i="1" s="1"/>
  <c r="AT620" i="1"/>
  <c r="BW620" i="1" s="1"/>
  <c r="AR620" i="1"/>
  <c r="AN620" i="1"/>
  <c r="AM620" i="1"/>
  <c r="AL620" i="1"/>
  <c r="AJ620" i="1"/>
  <c r="AK620" i="1" s="1"/>
  <c r="AI620" i="1"/>
  <c r="BX619" i="1"/>
  <c r="BU619" i="1"/>
  <c r="BT619" i="1"/>
  <c r="BG619" i="1"/>
  <c r="BF619" i="1"/>
  <c r="BD619" i="1"/>
  <c r="BC619" i="1"/>
  <c r="BB619" i="1"/>
  <c r="BA619" i="1"/>
  <c r="AZ619" i="1"/>
  <c r="AY619" i="1"/>
  <c r="AX619" i="1"/>
  <c r="AU619" i="1"/>
  <c r="AS619" i="1"/>
  <c r="BV619" i="1" s="1"/>
  <c r="AR619" i="1"/>
  <c r="AQ619" i="1"/>
  <c r="AP619" i="1"/>
  <c r="AN619" i="1"/>
  <c r="AM619" i="1"/>
  <c r="AL619" i="1"/>
  <c r="AJ619" i="1"/>
  <c r="AK619" i="1" s="1"/>
  <c r="AI619" i="1"/>
  <c r="BE619" i="1" s="1"/>
  <c r="BG618" i="1"/>
  <c r="AT618" i="1"/>
  <c r="BW618" i="1" s="1"/>
  <c r="AS618" i="1"/>
  <c r="BV618" i="1" s="1"/>
  <c r="AR618" i="1"/>
  <c r="BU618" i="1" s="1"/>
  <c r="AQ618" i="1"/>
  <c r="BT618" i="1" s="1"/>
  <c r="AN618" i="1"/>
  <c r="AM618" i="1"/>
  <c r="AL618" i="1"/>
  <c r="AK618" i="1"/>
  <c r="AJ618" i="1"/>
  <c r="AI618" i="1"/>
  <c r="BX617" i="1"/>
  <c r="BE617" i="1"/>
  <c r="BD617" i="1"/>
  <c r="BC617" i="1"/>
  <c r="BB617" i="1"/>
  <c r="BA617" i="1"/>
  <c r="AZ617" i="1"/>
  <c r="AU617" i="1"/>
  <c r="AT617" i="1"/>
  <c r="BW617" i="1" s="1"/>
  <c r="AR617" i="1"/>
  <c r="BU617" i="1" s="1"/>
  <c r="AQ617" i="1"/>
  <c r="BT617" i="1" s="1"/>
  <c r="AP617" i="1"/>
  <c r="AN617" i="1"/>
  <c r="AM617" i="1"/>
  <c r="AL617" i="1"/>
  <c r="AJ617" i="1"/>
  <c r="AK617" i="1" s="1"/>
  <c r="AI617" i="1"/>
  <c r="BF617" i="1" s="1"/>
  <c r="BE616" i="1"/>
  <c r="BD616" i="1"/>
  <c r="BC616" i="1"/>
  <c r="BB616" i="1"/>
  <c r="BA616" i="1"/>
  <c r="AZ616" i="1"/>
  <c r="AY616" i="1"/>
  <c r="AT616" i="1"/>
  <c r="BW616" i="1" s="1"/>
  <c r="AS616" i="1"/>
  <c r="BV616" i="1" s="1"/>
  <c r="AR616" i="1"/>
  <c r="BU616" i="1" s="1"/>
  <c r="AQ616" i="1"/>
  <c r="BT616" i="1" s="1"/>
  <c r="AP616" i="1"/>
  <c r="AN616" i="1"/>
  <c r="AM616" i="1"/>
  <c r="AL616" i="1"/>
  <c r="AK616" i="1"/>
  <c r="AJ616" i="1"/>
  <c r="AI616" i="1"/>
  <c r="AX616" i="1" s="1"/>
  <c r="BG615" i="1"/>
  <c r="BE615" i="1"/>
  <c r="BD615" i="1"/>
  <c r="BC615" i="1"/>
  <c r="BB615" i="1"/>
  <c r="BA615" i="1"/>
  <c r="AZ615" i="1"/>
  <c r="AY615" i="1"/>
  <c r="AM615" i="1"/>
  <c r="AL615" i="1"/>
  <c r="AK615" i="1"/>
  <c r="AJ615" i="1"/>
  <c r="AI615" i="1"/>
  <c r="BU614" i="1"/>
  <c r="BT614" i="1"/>
  <c r="BS614" i="1"/>
  <c r="BE614" i="1"/>
  <c r="BD614" i="1"/>
  <c r="BC614" i="1"/>
  <c r="BB614" i="1"/>
  <c r="BA614" i="1"/>
  <c r="AY614" i="1"/>
  <c r="AX614" i="1"/>
  <c r="AT614" i="1"/>
  <c r="BW614" i="1" s="1"/>
  <c r="AS614" i="1"/>
  <c r="BV614" i="1" s="1"/>
  <c r="AR614" i="1"/>
  <c r="AQ614" i="1"/>
  <c r="AP614" i="1"/>
  <c r="AN614" i="1"/>
  <c r="AM614" i="1"/>
  <c r="AL614" i="1"/>
  <c r="AK614" i="1"/>
  <c r="AJ614" i="1"/>
  <c r="AI614" i="1"/>
  <c r="AZ614" i="1" s="1"/>
  <c r="BX613" i="1"/>
  <c r="BW613" i="1"/>
  <c r="BT613" i="1"/>
  <c r="BS613" i="1"/>
  <c r="BG613" i="1"/>
  <c r="BE613" i="1"/>
  <c r="BD613" i="1"/>
  <c r="BC613" i="1"/>
  <c r="BB613" i="1"/>
  <c r="BA613" i="1"/>
  <c r="AZ613" i="1"/>
  <c r="AY613" i="1"/>
  <c r="AX613" i="1"/>
  <c r="AU613" i="1"/>
  <c r="AT613" i="1"/>
  <c r="AS613" i="1"/>
  <c r="BV613" i="1" s="1"/>
  <c r="AR613" i="1"/>
  <c r="AQ613" i="1"/>
  <c r="AN613" i="1"/>
  <c r="AM613" i="1"/>
  <c r="AL613" i="1"/>
  <c r="AK613" i="1"/>
  <c r="AJ613" i="1"/>
  <c r="AI613" i="1"/>
  <c r="AP613" i="1" s="1"/>
  <c r="BX612" i="1"/>
  <c r="BU612" i="1"/>
  <c r="BT612" i="1"/>
  <c r="BG612" i="1"/>
  <c r="BE612" i="1"/>
  <c r="BD612" i="1"/>
  <c r="BC612" i="1"/>
  <c r="BA612" i="1"/>
  <c r="AZ612" i="1"/>
  <c r="AY612" i="1"/>
  <c r="AX612" i="1"/>
  <c r="AU612" i="1"/>
  <c r="AS612" i="1"/>
  <c r="BV612" i="1" s="1"/>
  <c r="AR612" i="1"/>
  <c r="AQ612" i="1"/>
  <c r="AP612" i="1"/>
  <c r="AN612" i="1"/>
  <c r="AM612" i="1"/>
  <c r="AL612" i="1"/>
  <c r="AK612" i="1"/>
  <c r="AJ612" i="1"/>
  <c r="AI612" i="1"/>
  <c r="BB612" i="1" s="1"/>
  <c r="BG611" i="1"/>
  <c r="BF611" i="1"/>
  <c r="BD611" i="1"/>
  <c r="BC611" i="1"/>
  <c r="BB611" i="1"/>
  <c r="BA611" i="1"/>
  <c r="AZ611" i="1"/>
  <c r="AY611" i="1"/>
  <c r="AX611" i="1"/>
  <c r="AU611" i="1"/>
  <c r="BX611" i="1" s="1"/>
  <c r="AS611" i="1"/>
  <c r="BV611" i="1" s="1"/>
  <c r="AQ611" i="1"/>
  <c r="BT611" i="1" s="1"/>
  <c r="AP611" i="1"/>
  <c r="AN611" i="1"/>
  <c r="AM611" i="1"/>
  <c r="AL611" i="1"/>
  <c r="AJ611" i="1"/>
  <c r="AK611" i="1" s="1"/>
  <c r="AI611" i="1"/>
  <c r="BG609" i="1"/>
  <c r="BF609" i="1"/>
  <c r="BE609" i="1"/>
  <c r="BC609" i="1"/>
  <c r="BB609" i="1"/>
  <c r="BA609" i="1"/>
  <c r="AY609" i="1"/>
  <c r="AX609" i="1"/>
  <c r="AU609" i="1"/>
  <c r="BX609" i="1" s="1"/>
  <c r="AS609" i="1"/>
  <c r="BV609" i="1" s="1"/>
  <c r="AQ609" i="1"/>
  <c r="BT609" i="1" s="1"/>
  <c r="AP609" i="1"/>
  <c r="AN609" i="1"/>
  <c r="AM609" i="1"/>
  <c r="AL609" i="1"/>
  <c r="AK609" i="1"/>
  <c r="AJ609" i="1"/>
  <c r="AI609" i="1"/>
  <c r="BW608" i="1"/>
  <c r="BV608" i="1"/>
  <c r="BT608" i="1"/>
  <c r="BS608" i="1"/>
  <c r="BG608" i="1"/>
  <c r="BE608" i="1"/>
  <c r="BD608" i="1"/>
  <c r="BB608" i="1"/>
  <c r="BA608" i="1"/>
  <c r="AZ608" i="1"/>
  <c r="AY608" i="1"/>
  <c r="AX608" i="1"/>
  <c r="AT608" i="1"/>
  <c r="AS608" i="1"/>
  <c r="AQ608" i="1"/>
  <c r="AP608" i="1"/>
  <c r="AN608" i="1"/>
  <c r="AM608" i="1"/>
  <c r="AL608" i="1"/>
  <c r="AK608" i="1"/>
  <c r="AJ608" i="1"/>
  <c r="AI608" i="1"/>
  <c r="BG607" i="1"/>
  <c r="BF607" i="1"/>
  <c r="BC607" i="1"/>
  <c r="BB607" i="1"/>
  <c r="AT607" i="1"/>
  <c r="BW607" i="1" s="1"/>
  <c r="AM607" i="1"/>
  <c r="AL607" i="1"/>
  <c r="AJ607" i="1"/>
  <c r="AK607" i="1" s="1"/>
  <c r="AI607" i="1"/>
  <c r="BW606" i="1"/>
  <c r="BT606" i="1"/>
  <c r="BS606" i="1"/>
  <c r="BG606" i="1"/>
  <c r="BA606" i="1"/>
  <c r="AY606" i="1"/>
  <c r="AX606" i="1"/>
  <c r="AT606" i="1"/>
  <c r="AS606" i="1"/>
  <c r="BV606" i="1" s="1"/>
  <c r="AQ606" i="1"/>
  <c r="AP606" i="1"/>
  <c r="AN606" i="1"/>
  <c r="AM606" i="1"/>
  <c r="AL606" i="1"/>
  <c r="AK606" i="1"/>
  <c r="AJ606" i="1"/>
  <c r="AI606" i="1"/>
  <c r="BG605" i="1"/>
  <c r="BF605" i="1"/>
  <c r="BE605" i="1"/>
  <c r="BC605" i="1"/>
  <c r="BB605" i="1"/>
  <c r="BA605" i="1"/>
  <c r="AZ605" i="1"/>
  <c r="AX605" i="1"/>
  <c r="AU605" i="1"/>
  <c r="BX605" i="1" s="1"/>
  <c r="AT605" i="1"/>
  <c r="BW605" i="1" s="1"/>
  <c r="AS605" i="1"/>
  <c r="BV605" i="1" s="1"/>
  <c r="AQ605" i="1"/>
  <c r="BT605" i="1" s="1"/>
  <c r="AP605" i="1"/>
  <c r="AN605" i="1"/>
  <c r="AM605" i="1"/>
  <c r="AL605" i="1"/>
  <c r="AK605" i="1"/>
  <c r="AJ605" i="1"/>
  <c r="AI605" i="1"/>
  <c r="BG604" i="1"/>
  <c r="BF604" i="1"/>
  <c r="BB604" i="1"/>
  <c r="AX604" i="1"/>
  <c r="AU604" i="1"/>
  <c r="BX604" i="1" s="1"/>
  <c r="AM604" i="1"/>
  <c r="AL604" i="1"/>
  <c r="AJ604" i="1"/>
  <c r="AK604" i="1" s="1"/>
  <c r="AI604" i="1"/>
  <c r="BE603" i="1"/>
  <c r="AS603" i="1"/>
  <c r="BV603" i="1" s="1"/>
  <c r="AP603" i="1"/>
  <c r="AN603" i="1"/>
  <c r="AM603" i="1"/>
  <c r="AL603" i="1"/>
  <c r="AJ603" i="1"/>
  <c r="AK603" i="1" s="1"/>
  <c r="AI603" i="1"/>
  <c r="BG602" i="1"/>
  <c r="BF602" i="1"/>
  <c r="BE602" i="1"/>
  <c r="BD602" i="1"/>
  <c r="BC602" i="1"/>
  <c r="BA602" i="1"/>
  <c r="AZ602" i="1"/>
  <c r="AY602" i="1"/>
  <c r="AX602" i="1"/>
  <c r="AU602" i="1"/>
  <c r="BX602" i="1" s="1"/>
  <c r="AT602" i="1"/>
  <c r="BW602" i="1" s="1"/>
  <c r="AS602" i="1"/>
  <c r="BV602" i="1" s="1"/>
  <c r="AR602" i="1"/>
  <c r="BU602" i="1" s="1"/>
  <c r="AN602" i="1"/>
  <c r="AM602" i="1"/>
  <c r="AL602" i="1"/>
  <c r="AK602" i="1"/>
  <c r="AJ602" i="1"/>
  <c r="AI602" i="1"/>
  <c r="BG601" i="1"/>
  <c r="BF601" i="1"/>
  <c r="BD601" i="1"/>
  <c r="BB601" i="1"/>
  <c r="AZ601" i="1"/>
  <c r="AY601" i="1"/>
  <c r="AX601" i="1"/>
  <c r="AU601" i="1"/>
  <c r="BX601" i="1" s="1"/>
  <c r="AT601" i="1"/>
  <c r="BW601" i="1" s="1"/>
  <c r="AS601" i="1"/>
  <c r="BV601" i="1" s="1"/>
  <c r="AQ601" i="1"/>
  <c r="BT601" i="1" s="1"/>
  <c r="AN601" i="1"/>
  <c r="AM601" i="1"/>
  <c r="AL601" i="1"/>
  <c r="AK601" i="1"/>
  <c r="AJ601" i="1"/>
  <c r="AI601" i="1"/>
  <c r="BG600" i="1"/>
  <c r="BF600" i="1"/>
  <c r="BE600" i="1"/>
  <c r="BD600" i="1"/>
  <c r="BC600" i="1"/>
  <c r="BB600" i="1"/>
  <c r="AY600" i="1"/>
  <c r="AX600" i="1"/>
  <c r="AU600" i="1"/>
  <c r="BX600" i="1" s="1"/>
  <c r="AT600" i="1"/>
  <c r="BW600" i="1" s="1"/>
  <c r="AR600" i="1"/>
  <c r="BU600" i="1" s="1"/>
  <c r="AQ600" i="1"/>
  <c r="BT600" i="1" s="1"/>
  <c r="AM600" i="1"/>
  <c r="AL600" i="1"/>
  <c r="AK600" i="1"/>
  <c r="AJ600" i="1"/>
  <c r="AI600" i="1"/>
  <c r="BX599" i="1"/>
  <c r="BW599" i="1"/>
  <c r="BT599" i="1"/>
  <c r="BG599" i="1"/>
  <c r="BF599" i="1"/>
  <c r="BD599" i="1"/>
  <c r="BC599" i="1"/>
  <c r="BB599" i="1"/>
  <c r="BA599" i="1"/>
  <c r="AZ599" i="1"/>
  <c r="AY599" i="1"/>
  <c r="AX599" i="1"/>
  <c r="AU599" i="1"/>
  <c r="AT599" i="1"/>
  <c r="AS599" i="1"/>
  <c r="BV599" i="1" s="1"/>
  <c r="AR599" i="1"/>
  <c r="BU599" i="1" s="1"/>
  <c r="AQ599" i="1"/>
  <c r="AP599" i="1"/>
  <c r="AN599" i="1"/>
  <c r="AM599" i="1"/>
  <c r="AL599" i="1"/>
  <c r="AJ599" i="1"/>
  <c r="AK599" i="1" s="1"/>
  <c r="AI599" i="1"/>
  <c r="BE599" i="1" s="1"/>
  <c r="BF598" i="1"/>
  <c r="BB598" i="1"/>
  <c r="AZ598" i="1"/>
  <c r="AY598" i="1"/>
  <c r="AX598" i="1"/>
  <c r="AR598" i="1"/>
  <c r="BU598" i="1" s="1"/>
  <c r="AM598" i="1"/>
  <c r="AL598" i="1"/>
  <c r="AJ598" i="1"/>
  <c r="AK598" i="1" s="1"/>
  <c r="AI598" i="1"/>
  <c r="AM597" i="1"/>
  <c r="AL597" i="1"/>
  <c r="AJ597" i="1"/>
  <c r="AK597" i="1" s="1"/>
  <c r="AI597" i="1"/>
  <c r="BV596" i="1"/>
  <c r="BG596" i="1"/>
  <c r="BF596" i="1"/>
  <c r="BE596" i="1"/>
  <c r="BD596" i="1"/>
  <c r="BC596" i="1"/>
  <c r="BB596" i="1"/>
  <c r="BA596" i="1"/>
  <c r="AT596" i="1"/>
  <c r="BW596" i="1" s="1"/>
  <c r="AS596" i="1"/>
  <c r="AR596" i="1"/>
  <c r="BU596" i="1" s="1"/>
  <c r="AQ596" i="1"/>
  <c r="BT596" i="1" s="1"/>
  <c r="AP596" i="1"/>
  <c r="AM596" i="1"/>
  <c r="AL596" i="1"/>
  <c r="AJ596" i="1"/>
  <c r="AK596" i="1" s="1"/>
  <c r="AI596" i="1"/>
  <c r="BF595" i="1"/>
  <c r="BE595" i="1"/>
  <c r="BD595" i="1"/>
  <c r="AM595" i="1"/>
  <c r="AL595" i="1"/>
  <c r="AK595" i="1"/>
  <c r="AJ595" i="1"/>
  <c r="AI595" i="1"/>
  <c r="BU594" i="1"/>
  <c r="BG594" i="1"/>
  <c r="AU594" i="1"/>
  <c r="BX594" i="1" s="1"/>
  <c r="AT594" i="1"/>
  <c r="BW594" i="1" s="1"/>
  <c r="AR594" i="1"/>
  <c r="AN594" i="1"/>
  <c r="AM594" i="1"/>
  <c r="AL594" i="1"/>
  <c r="AJ594" i="1"/>
  <c r="AK594" i="1" s="1"/>
  <c r="AI594" i="1"/>
  <c r="BG593" i="1"/>
  <c r="BF593" i="1"/>
  <c r="BE593" i="1"/>
  <c r="BD593" i="1"/>
  <c r="BB593" i="1"/>
  <c r="BA593" i="1"/>
  <c r="AZ593" i="1"/>
  <c r="AX593" i="1"/>
  <c r="AU593" i="1"/>
  <c r="BX593" i="1" s="1"/>
  <c r="AT593" i="1"/>
  <c r="BW593" i="1" s="1"/>
  <c r="AS593" i="1"/>
  <c r="BV593" i="1" s="1"/>
  <c r="AR593" i="1"/>
  <c r="BU593" i="1" s="1"/>
  <c r="AN593" i="1"/>
  <c r="AM593" i="1"/>
  <c r="AL593" i="1"/>
  <c r="AK593" i="1"/>
  <c r="AJ593" i="1"/>
  <c r="AI593" i="1"/>
  <c r="AM592" i="1"/>
  <c r="AL592" i="1"/>
  <c r="AJ592" i="1"/>
  <c r="AK592" i="1" s="1"/>
  <c r="AI592" i="1"/>
  <c r="BX591" i="1"/>
  <c r="BG591" i="1"/>
  <c r="BF591" i="1"/>
  <c r="BE591" i="1"/>
  <c r="BD591" i="1"/>
  <c r="BB591" i="1"/>
  <c r="AU591" i="1"/>
  <c r="AT591" i="1"/>
  <c r="BW591" i="1" s="1"/>
  <c r="AS591" i="1"/>
  <c r="BV591" i="1" s="1"/>
  <c r="AR591" i="1"/>
  <c r="AQ591" i="1"/>
  <c r="BT591" i="1" s="1"/>
  <c r="AP591" i="1"/>
  <c r="AM591" i="1"/>
  <c r="AL591" i="1"/>
  <c r="AJ591" i="1"/>
  <c r="AK591" i="1" s="1"/>
  <c r="AI591" i="1"/>
  <c r="BC591" i="1" s="1"/>
  <c r="BV590" i="1"/>
  <c r="BD590" i="1"/>
  <c r="BB590" i="1"/>
  <c r="BA590" i="1"/>
  <c r="AZ590" i="1"/>
  <c r="AU590" i="1"/>
  <c r="BX590" i="1" s="1"/>
  <c r="AT590" i="1"/>
  <c r="BW590" i="1" s="1"/>
  <c r="AS590" i="1"/>
  <c r="AR590" i="1"/>
  <c r="BU590" i="1" s="1"/>
  <c r="AN590" i="1"/>
  <c r="AM590" i="1"/>
  <c r="AL590" i="1"/>
  <c r="AJ590" i="1"/>
  <c r="AK590" i="1" s="1"/>
  <c r="AI590" i="1"/>
  <c r="AM589" i="1"/>
  <c r="AL589" i="1"/>
  <c r="AJ589" i="1"/>
  <c r="AK589" i="1" s="1"/>
  <c r="AI589" i="1"/>
  <c r="BV588" i="1"/>
  <c r="BT588" i="1"/>
  <c r="BS588" i="1"/>
  <c r="BF588" i="1"/>
  <c r="BE588" i="1"/>
  <c r="BD588" i="1"/>
  <c r="BC588" i="1"/>
  <c r="BB588" i="1"/>
  <c r="BA588" i="1"/>
  <c r="AT588" i="1"/>
  <c r="BW588" i="1" s="1"/>
  <c r="AS588" i="1"/>
  <c r="AQ588" i="1"/>
  <c r="AP588" i="1"/>
  <c r="AN588" i="1"/>
  <c r="AM588" i="1"/>
  <c r="AL588" i="1"/>
  <c r="AK588" i="1"/>
  <c r="AJ588" i="1"/>
  <c r="AI588" i="1"/>
  <c r="BW587" i="1"/>
  <c r="BV587" i="1"/>
  <c r="BU587" i="1"/>
  <c r="BT587" i="1"/>
  <c r="BE587" i="1"/>
  <c r="BC587" i="1"/>
  <c r="BB587" i="1"/>
  <c r="BA587" i="1"/>
  <c r="AZ587" i="1"/>
  <c r="AY587" i="1"/>
  <c r="AX587" i="1"/>
  <c r="AT587" i="1"/>
  <c r="AS587" i="1"/>
  <c r="AR587" i="1"/>
  <c r="AQ587" i="1"/>
  <c r="AP587" i="1"/>
  <c r="AN587" i="1"/>
  <c r="AM587" i="1"/>
  <c r="AL587" i="1"/>
  <c r="AK587" i="1"/>
  <c r="AJ587" i="1"/>
  <c r="AI587" i="1"/>
  <c r="BF587" i="1" s="1"/>
  <c r="BX586" i="1"/>
  <c r="BW586" i="1"/>
  <c r="BV586" i="1"/>
  <c r="BU586" i="1"/>
  <c r="BT586" i="1"/>
  <c r="BG586" i="1"/>
  <c r="BE586" i="1"/>
  <c r="BD586" i="1"/>
  <c r="BC586" i="1"/>
  <c r="BB586" i="1"/>
  <c r="BA586" i="1"/>
  <c r="AZ586" i="1"/>
  <c r="AY586" i="1"/>
  <c r="AX586" i="1"/>
  <c r="AU586" i="1"/>
  <c r="AS586" i="1"/>
  <c r="AR586" i="1"/>
  <c r="AQ586" i="1"/>
  <c r="AP586" i="1"/>
  <c r="AN586" i="1"/>
  <c r="AM586" i="1"/>
  <c r="AL586" i="1"/>
  <c r="AK586" i="1"/>
  <c r="AJ586" i="1"/>
  <c r="AI586" i="1"/>
  <c r="AT586" i="1" s="1"/>
  <c r="BV585" i="1"/>
  <c r="BU585" i="1"/>
  <c r="BT585" i="1"/>
  <c r="BG585" i="1"/>
  <c r="BD585" i="1"/>
  <c r="BC585" i="1"/>
  <c r="BB585" i="1"/>
  <c r="BA585" i="1"/>
  <c r="AZ585" i="1"/>
  <c r="AY585" i="1"/>
  <c r="AX585" i="1"/>
  <c r="AU585" i="1"/>
  <c r="BX585" i="1" s="1"/>
  <c r="AS585" i="1"/>
  <c r="AR585" i="1"/>
  <c r="AQ585" i="1"/>
  <c r="AP585" i="1"/>
  <c r="AN585" i="1"/>
  <c r="AM585" i="1"/>
  <c r="AL585" i="1"/>
  <c r="AK585" i="1"/>
  <c r="AJ585" i="1"/>
  <c r="AI585" i="1"/>
  <c r="BF585" i="1" s="1"/>
  <c r="BX584" i="1"/>
  <c r="BW584" i="1"/>
  <c r="BS584" i="1"/>
  <c r="BG584" i="1"/>
  <c r="BE584" i="1"/>
  <c r="BD584" i="1"/>
  <c r="BC584" i="1"/>
  <c r="BB584" i="1"/>
  <c r="BA584" i="1"/>
  <c r="AZ584" i="1"/>
  <c r="AY584" i="1"/>
  <c r="AX584" i="1"/>
  <c r="AU584" i="1"/>
  <c r="AT584" i="1"/>
  <c r="AS584" i="1"/>
  <c r="BV584" i="1" s="1"/>
  <c r="AR584" i="1"/>
  <c r="BU584" i="1" s="1"/>
  <c r="AQ584" i="1"/>
  <c r="BT584" i="1" s="1"/>
  <c r="AP584" i="1"/>
  <c r="AN584" i="1"/>
  <c r="AM584" i="1"/>
  <c r="AL584" i="1"/>
  <c r="AJ584" i="1"/>
  <c r="AK584" i="1" s="1"/>
  <c r="AI584" i="1"/>
  <c r="BF584" i="1" s="1"/>
  <c r="BW583" i="1"/>
  <c r="BS583" i="1"/>
  <c r="BG583" i="1"/>
  <c r="BF583" i="1"/>
  <c r="BD583" i="1"/>
  <c r="BC583" i="1"/>
  <c r="BB583" i="1"/>
  <c r="BA583" i="1"/>
  <c r="AZ583" i="1"/>
  <c r="AY583" i="1"/>
  <c r="AX583" i="1"/>
  <c r="AU583" i="1"/>
  <c r="BX583" i="1" s="1"/>
  <c r="AS583" i="1"/>
  <c r="BV583" i="1" s="1"/>
  <c r="AR583" i="1"/>
  <c r="BU583" i="1" s="1"/>
  <c r="AQ583" i="1"/>
  <c r="BT583" i="1" s="1"/>
  <c r="AP583" i="1"/>
  <c r="AN583" i="1"/>
  <c r="AM583" i="1"/>
  <c r="AL583" i="1"/>
  <c r="AJ583" i="1"/>
  <c r="AK583" i="1" s="1"/>
  <c r="AI583" i="1"/>
  <c r="AT583" i="1" s="1"/>
  <c r="BX582" i="1"/>
  <c r="BW582" i="1"/>
  <c r="BU582" i="1"/>
  <c r="BG582" i="1"/>
  <c r="BE582" i="1"/>
  <c r="BD582" i="1"/>
  <c r="BC582" i="1"/>
  <c r="BB582" i="1"/>
  <c r="BA582" i="1"/>
  <c r="AZ582" i="1"/>
  <c r="AX582" i="1"/>
  <c r="AU582" i="1"/>
  <c r="AT582" i="1"/>
  <c r="AS582" i="1"/>
  <c r="BV582" i="1" s="1"/>
  <c r="AR582" i="1"/>
  <c r="AQ582" i="1"/>
  <c r="BT582" i="1" s="1"/>
  <c r="AP582" i="1"/>
  <c r="AN582" i="1"/>
  <c r="AM582" i="1"/>
  <c r="AL582" i="1"/>
  <c r="AK582" i="1"/>
  <c r="AJ582" i="1"/>
  <c r="AI582" i="1"/>
  <c r="AY582" i="1" s="1"/>
  <c r="BU581" i="1"/>
  <c r="BS581" i="1"/>
  <c r="BA581" i="1"/>
  <c r="AX581" i="1"/>
  <c r="AR581" i="1"/>
  <c r="AP581" i="1"/>
  <c r="AM581" i="1"/>
  <c r="AL581" i="1"/>
  <c r="AJ581" i="1"/>
  <c r="AK581" i="1" s="1"/>
  <c r="AI581" i="1"/>
  <c r="BX580" i="1"/>
  <c r="BW580" i="1"/>
  <c r="BT580" i="1"/>
  <c r="BG580" i="1"/>
  <c r="BF580" i="1"/>
  <c r="AZ580" i="1"/>
  <c r="AY580" i="1"/>
  <c r="AX580" i="1"/>
  <c r="AU580" i="1"/>
  <c r="AT580" i="1"/>
  <c r="AR580" i="1"/>
  <c r="BU580" i="1" s="1"/>
  <c r="AQ580" i="1"/>
  <c r="AP580" i="1"/>
  <c r="AN580" i="1"/>
  <c r="AM580" i="1"/>
  <c r="AL580" i="1"/>
  <c r="AJ580" i="1"/>
  <c r="AK580" i="1" s="1"/>
  <c r="AI580" i="1"/>
  <c r="BX579" i="1"/>
  <c r="BG579" i="1"/>
  <c r="BF579" i="1"/>
  <c r="BE579" i="1"/>
  <c r="BC579" i="1"/>
  <c r="BB579" i="1"/>
  <c r="BA579" i="1"/>
  <c r="AY579" i="1"/>
  <c r="AX579" i="1"/>
  <c r="AU579" i="1"/>
  <c r="AT579" i="1"/>
  <c r="BW579" i="1" s="1"/>
  <c r="AR579" i="1"/>
  <c r="BU579" i="1" s="1"/>
  <c r="AP579" i="1"/>
  <c r="AN579" i="1"/>
  <c r="AM579" i="1"/>
  <c r="AL579" i="1"/>
  <c r="AK579" i="1"/>
  <c r="AJ579" i="1"/>
  <c r="AI579" i="1"/>
  <c r="AZ579" i="1" s="1"/>
  <c r="BS578" i="1"/>
  <c r="BG578" i="1"/>
  <c r="BF578" i="1"/>
  <c r="BE578" i="1"/>
  <c r="BB578" i="1"/>
  <c r="BA578" i="1"/>
  <c r="AZ578" i="1"/>
  <c r="AY578" i="1"/>
  <c r="AX578" i="1"/>
  <c r="AP578" i="1"/>
  <c r="AM578" i="1"/>
  <c r="AL578" i="1"/>
  <c r="AK578" i="1"/>
  <c r="AJ578" i="1"/>
  <c r="AI578" i="1"/>
  <c r="BS577" i="1"/>
  <c r="BG577" i="1"/>
  <c r="BF577" i="1"/>
  <c r="BE577" i="1"/>
  <c r="AZ577" i="1"/>
  <c r="AY577" i="1"/>
  <c r="AX577" i="1"/>
  <c r="AU577" i="1"/>
  <c r="BX577" i="1" s="1"/>
  <c r="AT577" i="1"/>
  <c r="BW577" i="1" s="1"/>
  <c r="AR577" i="1"/>
  <c r="BU577" i="1" s="1"/>
  <c r="AP577" i="1"/>
  <c r="AN577" i="1"/>
  <c r="AM577" i="1"/>
  <c r="AL577" i="1"/>
  <c r="AK577" i="1"/>
  <c r="AJ577" i="1"/>
  <c r="AI577" i="1"/>
  <c r="BF576" i="1"/>
  <c r="BD576" i="1"/>
  <c r="BC576" i="1"/>
  <c r="AY576" i="1"/>
  <c r="AT576" i="1"/>
  <c r="BW576" i="1" s="1"/>
  <c r="AS576" i="1"/>
  <c r="BV576" i="1" s="1"/>
  <c r="AR576" i="1"/>
  <c r="BU576" i="1" s="1"/>
  <c r="AP576" i="1"/>
  <c r="AN576" i="1"/>
  <c r="AM576" i="1"/>
  <c r="AL576" i="1"/>
  <c r="AK576" i="1"/>
  <c r="AJ576" i="1"/>
  <c r="AI576" i="1"/>
  <c r="BG576" i="1" s="1"/>
  <c r="BD575" i="1"/>
  <c r="AZ575" i="1"/>
  <c r="AY575" i="1"/>
  <c r="AS575" i="1"/>
  <c r="BV575" i="1" s="1"/>
  <c r="AQ575" i="1"/>
  <c r="BT575" i="1" s="1"/>
  <c r="AP575" i="1"/>
  <c r="AN575" i="1"/>
  <c r="AM575" i="1"/>
  <c r="AL575" i="1"/>
  <c r="AK575" i="1"/>
  <c r="AJ575" i="1"/>
  <c r="AI575" i="1"/>
  <c r="BB575" i="1" s="1"/>
  <c r="BG574" i="1"/>
  <c r="BB574" i="1"/>
  <c r="BA574" i="1"/>
  <c r="AY574" i="1"/>
  <c r="AX574" i="1"/>
  <c r="AU574" i="1"/>
  <c r="BX574" i="1" s="1"/>
  <c r="AT574" i="1"/>
  <c r="BW574" i="1" s="1"/>
  <c r="AR574" i="1"/>
  <c r="BU574" i="1" s="1"/>
  <c r="AQ574" i="1"/>
  <c r="BT574" i="1" s="1"/>
  <c r="AP574" i="1"/>
  <c r="AN574" i="1"/>
  <c r="AM574" i="1"/>
  <c r="AL574" i="1"/>
  <c r="AJ574" i="1"/>
  <c r="AK574" i="1" s="1"/>
  <c r="AI574" i="1"/>
  <c r="AZ574" i="1" s="1"/>
  <c r="BU573" i="1"/>
  <c r="BT573" i="1"/>
  <c r="BS573" i="1"/>
  <c r="BG573" i="1"/>
  <c r="BF573" i="1"/>
  <c r="BD573" i="1"/>
  <c r="BC573" i="1"/>
  <c r="BB573" i="1"/>
  <c r="BA573" i="1"/>
  <c r="AZ573" i="1"/>
  <c r="AY573" i="1"/>
  <c r="AX573" i="1"/>
  <c r="AU573" i="1"/>
  <c r="BX573" i="1" s="1"/>
  <c r="AS573" i="1"/>
  <c r="BV573" i="1" s="1"/>
  <c r="AR573" i="1"/>
  <c r="AQ573" i="1"/>
  <c r="AP573" i="1"/>
  <c r="AN573" i="1"/>
  <c r="AM573" i="1"/>
  <c r="AL573" i="1"/>
  <c r="AK573" i="1"/>
  <c r="AJ573" i="1"/>
  <c r="AI573" i="1"/>
  <c r="AT573" i="1" s="1"/>
  <c r="BW573" i="1" s="1"/>
  <c r="AM572" i="1"/>
  <c r="AL572" i="1"/>
  <c r="AK572" i="1"/>
  <c r="AJ572" i="1"/>
  <c r="AI572" i="1"/>
  <c r="BB571" i="1"/>
  <c r="BA571" i="1"/>
  <c r="AZ571" i="1"/>
  <c r="AY571" i="1"/>
  <c r="AX571" i="1"/>
  <c r="AT571" i="1"/>
  <c r="BW571" i="1" s="1"/>
  <c r="AS571" i="1"/>
  <c r="BV571" i="1" s="1"/>
  <c r="AR571" i="1"/>
  <c r="BU571" i="1" s="1"/>
  <c r="AQ571" i="1"/>
  <c r="BT571" i="1" s="1"/>
  <c r="AM571" i="1"/>
  <c r="AL571" i="1"/>
  <c r="AJ571" i="1"/>
  <c r="AK571" i="1" s="1"/>
  <c r="AI571" i="1"/>
  <c r="BF571" i="1" s="1"/>
  <c r="AZ570" i="1"/>
  <c r="AT570" i="1"/>
  <c r="BW570" i="1" s="1"/>
  <c r="AS570" i="1"/>
  <c r="BV570" i="1" s="1"/>
  <c r="AQ570" i="1"/>
  <c r="BT570" i="1" s="1"/>
  <c r="AM570" i="1"/>
  <c r="AL570" i="1"/>
  <c r="AJ570" i="1"/>
  <c r="AK570" i="1" s="1"/>
  <c r="AI570" i="1"/>
  <c r="BX569" i="1"/>
  <c r="BW569" i="1"/>
  <c r="BV569" i="1"/>
  <c r="BG569" i="1"/>
  <c r="BE569" i="1"/>
  <c r="BD569" i="1"/>
  <c r="BC569" i="1"/>
  <c r="BB569" i="1"/>
  <c r="BA569" i="1"/>
  <c r="AZ569" i="1"/>
  <c r="AX569" i="1"/>
  <c r="AU569" i="1"/>
  <c r="AT569" i="1"/>
  <c r="AS569" i="1"/>
  <c r="AR569" i="1"/>
  <c r="BU569" i="1" s="1"/>
  <c r="AQ569" i="1"/>
  <c r="BT569" i="1" s="1"/>
  <c r="AP569" i="1"/>
  <c r="AN569" i="1"/>
  <c r="AM569" i="1"/>
  <c r="AL569" i="1"/>
  <c r="AJ569" i="1"/>
  <c r="AK569" i="1" s="1"/>
  <c r="AI569" i="1"/>
  <c r="AY569" i="1" s="1"/>
  <c r="AM568" i="1"/>
  <c r="AL568" i="1"/>
  <c r="AK568" i="1"/>
  <c r="AJ568" i="1"/>
  <c r="AI568" i="1"/>
  <c r="BF567" i="1"/>
  <c r="BB567" i="1"/>
  <c r="AY567" i="1"/>
  <c r="AU567" i="1"/>
  <c r="BX567" i="1" s="1"/>
  <c r="AS567" i="1"/>
  <c r="BV567" i="1" s="1"/>
  <c r="AM567" i="1"/>
  <c r="AL567" i="1"/>
  <c r="AK567" i="1"/>
  <c r="AJ567" i="1"/>
  <c r="AI567" i="1"/>
  <c r="BG566" i="1"/>
  <c r="BF566" i="1"/>
  <c r="BE566" i="1"/>
  <c r="BD566" i="1"/>
  <c r="BA566" i="1"/>
  <c r="AZ566" i="1"/>
  <c r="AY566" i="1"/>
  <c r="AX566" i="1"/>
  <c r="AU566" i="1"/>
  <c r="BX566" i="1" s="1"/>
  <c r="AT566" i="1"/>
  <c r="BW566" i="1" s="1"/>
  <c r="AS566" i="1"/>
  <c r="BV566" i="1" s="1"/>
  <c r="AR566" i="1"/>
  <c r="BU566" i="1" s="1"/>
  <c r="AM566" i="1"/>
  <c r="AL566" i="1"/>
  <c r="AJ566" i="1"/>
  <c r="AK566" i="1" s="1"/>
  <c r="AI566" i="1"/>
  <c r="BC566" i="1" s="1"/>
  <c r="BG565" i="1"/>
  <c r="BE565" i="1"/>
  <c r="AT565" i="1"/>
  <c r="BW565" i="1" s="1"/>
  <c r="AM565" i="1"/>
  <c r="AL565" i="1"/>
  <c r="AK565" i="1"/>
  <c r="AJ565" i="1"/>
  <c r="AI565" i="1"/>
  <c r="BT564" i="1"/>
  <c r="BS564" i="1"/>
  <c r="BG564" i="1"/>
  <c r="BC564" i="1"/>
  <c r="BB564" i="1"/>
  <c r="AZ564" i="1"/>
  <c r="AY564" i="1"/>
  <c r="AX564" i="1"/>
  <c r="AT564" i="1"/>
  <c r="BW564" i="1" s="1"/>
  <c r="AS564" i="1"/>
  <c r="BV564" i="1" s="1"/>
  <c r="AR564" i="1"/>
  <c r="BU564" i="1" s="1"/>
  <c r="AQ564" i="1"/>
  <c r="AP564" i="1"/>
  <c r="AM564" i="1"/>
  <c r="AL564" i="1"/>
  <c r="AJ564" i="1"/>
  <c r="AK564" i="1" s="1"/>
  <c r="AI564" i="1"/>
  <c r="AY563" i="1"/>
  <c r="AS563" i="1"/>
  <c r="BV563" i="1" s="1"/>
  <c r="AR563" i="1"/>
  <c r="BU563" i="1" s="1"/>
  <c r="AQ563" i="1"/>
  <c r="BT563" i="1" s="1"/>
  <c r="AM563" i="1"/>
  <c r="AL563" i="1"/>
  <c r="AK563" i="1"/>
  <c r="AJ563" i="1"/>
  <c r="AI563" i="1"/>
  <c r="BV562" i="1"/>
  <c r="BU562" i="1"/>
  <c r="BF562" i="1"/>
  <c r="BB562" i="1"/>
  <c r="BA562" i="1"/>
  <c r="AZ562" i="1"/>
  <c r="AS562" i="1"/>
  <c r="AR562" i="1"/>
  <c r="AP562" i="1"/>
  <c r="AN562" i="1"/>
  <c r="AM562" i="1"/>
  <c r="AL562" i="1"/>
  <c r="AJ562" i="1"/>
  <c r="AK562" i="1" s="1"/>
  <c r="AI562" i="1"/>
  <c r="BC561" i="1"/>
  <c r="BA561" i="1"/>
  <c r="AZ561" i="1"/>
  <c r="AT561" i="1"/>
  <c r="BW561" i="1" s="1"/>
  <c r="AR561" i="1"/>
  <c r="BU561" i="1" s="1"/>
  <c r="AQ561" i="1"/>
  <c r="BT561" i="1" s="1"/>
  <c r="AP561" i="1"/>
  <c r="AM561" i="1"/>
  <c r="AL561" i="1"/>
  <c r="AJ561" i="1"/>
  <c r="AK561" i="1" s="1"/>
  <c r="AI561" i="1"/>
  <c r="BF560" i="1"/>
  <c r="BE560" i="1"/>
  <c r="BD560" i="1"/>
  <c r="BB560" i="1"/>
  <c r="AZ560" i="1"/>
  <c r="AY560" i="1"/>
  <c r="AX560" i="1"/>
  <c r="AT560" i="1"/>
  <c r="BW560" i="1" s="1"/>
  <c r="AS560" i="1"/>
  <c r="BV560" i="1" s="1"/>
  <c r="AR560" i="1"/>
  <c r="BU560" i="1" s="1"/>
  <c r="AQ560" i="1"/>
  <c r="BT560" i="1" s="1"/>
  <c r="AM560" i="1"/>
  <c r="AL560" i="1"/>
  <c r="AK560" i="1"/>
  <c r="AJ560" i="1"/>
  <c r="AI560" i="1"/>
  <c r="BA560" i="1" s="1"/>
  <c r="BV559" i="1"/>
  <c r="BU559" i="1"/>
  <c r="BS559" i="1"/>
  <c r="BG559" i="1"/>
  <c r="BE559" i="1"/>
  <c r="BD559" i="1"/>
  <c r="BC559" i="1"/>
  <c r="BB559" i="1"/>
  <c r="BA559" i="1"/>
  <c r="AZ559" i="1"/>
  <c r="AY559" i="1"/>
  <c r="AX559" i="1"/>
  <c r="AS559" i="1"/>
  <c r="AR559" i="1"/>
  <c r="AQ559" i="1"/>
  <c r="BT559" i="1" s="1"/>
  <c r="AP559" i="1"/>
  <c r="AN559" i="1"/>
  <c r="AM559" i="1"/>
  <c r="AL559" i="1"/>
  <c r="AK559" i="1"/>
  <c r="AJ559" i="1"/>
  <c r="AI559" i="1"/>
  <c r="AT559" i="1" s="1"/>
  <c r="BW559" i="1" s="1"/>
  <c r="BT558" i="1"/>
  <c r="BF558" i="1"/>
  <c r="BB558" i="1"/>
  <c r="AQ558" i="1"/>
  <c r="AM558" i="1"/>
  <c r="AL558" i="1"/>
  <c r="AJ558" i="1"/>
  <c r="AK558" i="1" s="1"/>
  <c r="AI558" i="1"/>
  <c r="BA557" i="1"/>
  <c r="AT557" i="1"/>
  <c r="BW557" i="1" s="1"/>
  <c r="AQ557" i="1"/>
  <c r="BT557" i="1" s="1"/>
  <c r="AM557" i="1"/>
  <c r="AL557" i="1"/>
  <c r="AK557" i="1"/>
  <c r="AJ557" i="1"/>
  <c r="AI557" i="1"/>
  <c r="BV556" i="1"/>
  <c r="BG556" i="1"/>
  <c r="BF556" i="1"/>
  <c r="BE556" i="1"/>
  <c r="BD556" i="1"/>
  <c r="BA556" i="1"/>
  <c r="AZ556" i="1"/>
  <c r="AY556" i="1"/>
  <c r="AS556" i="1"/>
  <c r="AR556" i="1"/>
  <c r="BU556" i="1" s="1"/>
  <c r="AP556" i="1"/>
  <c r="AN556" i="1"/>
  <c r="AM556" i="1"/>
  <c r="AL556" i="1"/>
  <c r="AK556" i="1"/>
  <c r="AJ556" i="1"/>
  <c r="AI556" i="1"/>
  <c r="BB556" i="1" s="1"/>
  <c r="BW555" i="1"/>
  <c r="BT555" i="1"/>
  <c r="BD555" i="1"/>
  <c r="BA555" i="1"/>
  <c r="AZ555" i="1"/>
  <c r="AY555" i="1"/>
  <c r="AX555" i="1"/>
  <c r="AT555" i="1"/>
  <c r="AS555" i="1"/>
  <c r="BV555" i="1" s="1"/>
  <c r="AQ555" i="1"/>
  <c r="AM555" i="1"/>
  <c r="AL555" i="1"/>
  <c r="AJ555" i="1"/>
  <c r="AK555" i="1" s="1"/>
  <c r="AI555" i="1"/>
  <c r="BF555" i="1" s="1"/>
  <c r="BG554" i="1"/>
  <c r="BF554" i="1"/>
  <c r="BD554" i="1"/>
  <c r="BC554" i="1"/>
  <c r="BB554" i="1"/>
  <c r="AZ554" i="1"/>
  <c r="AY554" i="1"/>
  <c r="AQ554" i="1"/>
  <c r="BT554" i="1" s="1"/>
  <c r="AM554" i="1"/>
  <c r="AL554" i="1"/>
  <c r="AK554" i="1"/>
  <c r="AJ554" i="1"/>
  <c r="AI554" i="1"/>
  <c r="BD553" i="1"/>
  <c r="AX553" i="1"/>
  <c r="AM553" i="1"/>
  <c r="AL553" i="1"/>
  <c r="AK553" i="1"/>
  <c r="AJ553" i="1"/>
  <c r="AI553" i="1"/>
  <c r="AR552" i="1"/>
  <c r="BU552" i="1" s="1"/>
  <c r="AQ552" i="1"/>
  <c r="BT552" i="1" s="1"/>
  <c r="AP552" i="1"/>
  <c r="AN552" i="1"/>
  <c r="AM552" i="1"/>
  <c r="AL552" i="1"/>
  <c r="AK552" i="1"/>
  <c r="AJ552" i="1"/>
  <c r="AI552" i="1"/>
  <c r="BG551" i="1"/>
  <c r="BF551" i="1"/>
  <c r="BE551" i="1"/>
  <c r="BD551" i="1"/>
  <c r="BB551" i="1"/>
  <c r="AZ551" i="1"/>
  <c r="AY551" i="1"/>
  <c r="AT551" i="1"/>
  <c r="BW551" i="1" s="1"/>
  <c r="AS551" i="1"/>
  <c r="BV551" i="1" s="1"/>
  <c r="AR551" i="1"/>
  <c r="BU551" i="1" s="1"/>
  <c r="AQ551" i="1"/>
  <c r="BT551" i="1" s="1"/>
  <c r="AN551" i="1"/>
  <c r="AM551" i="1"/>
  <c r="AL551" i="1"/>
  <c r="AJ551" i="1"/>
  <c r="AK551" i="1" s="1"/>
  <c r="AI551" i="1"/>
  <c r="BA551" i="1" s="1"/>
  <c r="BV550" i="1"/>
  <c r="BS550" i="1"/>
  <c r="BF550" i="1"/>
  <c r="BE550" i="1"/>
  <c r="BD550" i="1"/>
  <c r="BC550" i="1"/>
  <c r="BB550" i="1"/>
  <c r="BA550" i="1"/>
  <c r="AZ550" i="1"/>
  <c r="AX550" i="1"/>
  <c r="AS550" i="1"/>
  <c r="AQ550" i="1"/>
  <c r="BT550" i="1" s="1"/>
  <c r="AP550" i="1"/>
  <c r="AN550" i="1"/>
  <c r="AM550" i="1"/>
  <c r="AL550" i="1"/>
  <c r="AK550" i="1"/>
  <c r="AJ550" i="1"/>
  <c r="AI550" i="1"/>
  <c r="BW549" i="1"/>
  <c r="BV549" i="1"/>
  <c r="BU549" i="1"/>
  <c r="BS549" i="1"/>
  <c r="BG549" i="1"/>
  <c r="BE549" i="1"/>
  <c r="BD549" i="1"/>
  <c r="BC549" i="1"/>
  <c r="BB549" i="1"/>
  <c r="BA549" i="1"/>
  <c r="AZ549" i="1"/>
  <c r="AY549" i="1"/>
  <c r="AX549" i="1"/>
  <c r="AT549" i="1"/>
  <c r="AS549" i="1"/>
  <c r="AR549" i="1"/>
  <c r="AQ549" i="1"/>
  <c r="AP549" i="1"/>
  <c r="AN549" i="1"/>
  <c r="AM549" i="1"/>
  <c r="AL549" i="1"/>
  <c r="AJ549" i="1"/>
  <c r="AK549" i="1" s="1"/>
  <c r="AI549" i="1"/>
  <c r="BF549" i="1" s="1"/>
  <c r="BG548" i="1"/>
  <c r="BF548" i="1"/>
  <c r="BD548" i="1"/>
  <c r="BC548" i="1"/>
  <c r="BB548" i="1"/>
  <c r="BA548" i="1"/>
  <c r="AY548" i="1"/>
  <c r="AX548" i="1"/>
  <c r="AT548" i="1"/>
  <c r="BW548" i="1" s="1"/>
  <c r="AR548" i="1"/>
  <c r="BU548" i="1" s="1"/>
  <c r="AQ548" i="1"/>
  <c r="BT548" i="1" s="1"/>
  <c r="AP548" i="1"/>
  <c r="AM548" i="1"/>
  <c r="AL548" i="1"/>
  <c r="AJ548" i="1"/>
  <c r="AK548" i="1" s="1"/>
  <c r="AI548" i="1"/>
  <c r="AZ548" i="1" s="1"/>
  <c r="BG547" i="1"/>
  <c r="BE547" i="1"/>
  <c r="BC547" i="1"/>
  <c r="BA547" i="1"/>
  <c r="AY547" i="1"/>
  <c r="AS547" i="1"/>
  <c r="BV547" i="1" s="1"/>
  <c r="AQ547" i="1"/>
  <c r="BT547" i="1" s="1"/>
  <c r="AN547" i="1"/>
  <c r="AM547" i="1"/>
  <c r="AL547" i="1"/>
  <c r="AJ547" i="1"/>
  <c r="AK547" i="1" s="1"/>
  <c r="AI547" i="1"/>
  <c r="BV546" i="1"/>
  <c r="BU546" i="1"/>
  <c r="BS546" i="1"/>
  <c r="BG546" i="1"/>
  <c r="BF546" i="1"/>
  <c r="BD546" i="1"/>
  <c r="BA546" i="1"/>
  <c r="AZ546" i="1"/>
  <c r="AY546" i="1"/>
  <c r="AX546" i="1"/>
  <c r="AT546" i="1"/>
  <c r="BW546" i="1" s="1"/>
  <c r="AS546" i="1"/>
  <c r="AR546" i="1"/>
  <c r="AP546" i="1"/>
  <c r="AN546" i="1"/>
  <c r="AM546" i="1"/>
  <c r="AL546" i="1"/>
  <c r="AJ546" i="1"/>
  <c r="AK546" i="1" s="1"/>
  <c r="AI546" i="1"/>
  <c r="AZ545" i="1"/>
  <c r="AM545" i="1"/>
  <c r="AL545" i="1"/>
  <c r="AK545" i="1"/>
  <c r="AJ545" i="1"/>
  <c r="AI545" i="1"/>
  <c r="BG544" i="1"/>
  <c r="BB544" i="1"/>
  <c r="AY544" i="1"/>
  <c r="AR544" i="1"/>
  <c r="BU544" i="1" s="1"/>
  <c r="AQ544" i="1"/>
  <c r="BT544" i="1" s="1"/>
  <c r="AP544" i="1"/>
  <c r="AM544" i="1"/>
  <c r="AL544" i="1"/>
  <c r="AK544" i="1"/>
  <c r="AJ544" i="1"/>
  <c r="AI544" i="1"/>
  <c r="AY543" i="1"/>
  <c r="AM543" i="1"/>
  <c r="AL543" i="1"/>
  <c r="AJ543" i="1"/>
  <c r="AK543" i="1" s="1"/>
  <c r="AI543" i="1"/>
  <c r="AM542" i="1"/>
  <c r="AL542" i="1"/>
  <c r="AJ542" i="1"/>
  <c r="AK542" i="1" s="1"/>
  <c r="AI542" i="1"/>
  <c r="BU541" i="1"/>
  <c r="BE541" i="1"/>
  <c r="AR541" i="1"/>
  <c r="AP541" i="1"/>
  <c r="AM541" i="1"/>
  <c r="AL541" i="1"/>
  <c r="AJ541" i="1"/>
  <c r="AK541" i="1" s="1"/>
  <c r="AI541" i="1"/>
  <c r="BF540" i="1"/>
  <c r="AZ540" i="1"/>
  <c r="AS540" i="1"/>
  <c r="BV540" i="1" s="1"/>
  <c r="AM540" i="1"/>
  <c r="AL540" i="1"/>
  <c r="AK540" i="1"/>
  <c r="AJ540" i="1"/>
  <c r="AI540" i="1"/>
  <c r="BW539" i="1"/>
  <c r="BV539" i="1"/>
  <c r="BU539" i="1"/>
  <c r="BG539" i="1"/>
  <c r="BE539" i="1"/>
  <c r="BD539" i="1"/>
  <c r="BC539" i="1"/>
  <c r="BB539" i="1"/>
  <c r="BA539" i="1"/>
  <c r="AZ539" i="1"/>
  <c r="AY539" i="1"/>
  <c r="AX539" i="1"/>
  <c r="AS539" i="1"/>
  <c r="AR539" i="1"/>
  <c r="AQ539" i="1"/>
  <c r="AP539" i="1"/>
  <c r="AN539" i="1"/>
  <c r="AM539" i="1"/>
  <c r="AL539" i="1"/>
  <c r="AJ539" i="1"/>
  <c r="AK539" i="1" s="1"/>
  <c r="AI539" i="1"/>
  <c r="AT539" i="1" s="1"/>
  <c r="AM538" i="1"/>
  <c r="AL538" i="1"/>
  <c r="AK538" i="1"/>
  <c r="AJ538" i="1"/>
  <c r="AI538" i="1"/>
  <c r="BG537" i="1"/>
  <c r="BF537" i="1"/>
  <c r="BE537" i="1"/>
  <c r="BC537" i="1"/>
  <c r="BA537" i="1"/>
  <c r="AZ537" i="1"/>
  <c r="AY537" i="1"/>
  <c r="AX537" i="1"/>
  <c r="AT537" i="1"/>
  <c r="BW537" i="1" s="1"/>
  <c r="AS537" i="1"/>
  <c r="BV537" i="1" s="1"/>
  <c r="AQ537" i="1"/>
  <c r="BT537" i="1" s="1"/>
  <c r="AP537" i="1"/>
  <c r="AM537" i="1"/>
  <c r="AL537" i="1"/>
  <c r="AJ537" i="1"/>
  <c r="AK537" i="1" s="1"/>
  <c r="AI537" i="1"/>
  <c r="BG536" i="1"/>
  <c r="BE536" i="1"/>
  <c r="BD536" i="1"/>
  <c r="AZ536" i="1"/>
  <c r="AP536" i="1"/>
  <c r="BS536" i="1" s="1"/>
  <c r="AN536" i="1"/>
  <c r="AM536" i="1"/>
  <c r="AL536" i="1"/>
  <c r="AK536" i="1"/>
  <c r="AJ536" i="1"/>
  <c r="AI536" i="1"/>
  <c r="BT535" i="1"/>
  <c r="BG535" i="1"/>
  <c r="BF535" i="1"/>
  <c r="AY535" i="1"/>
  <c r="AX535" i="1"/>
  <c r="AT535" i="1"/>
  <c r="BW535" i="1" s="1"/>
  <c r="AS535" i="1"/>
  <c r="BV535" i="1" s="1"/>
  <c r="AQ535" i="1"/>
  <c r="AN535" i="1"/>
  <c r="AM535" i="1"/>
  <c r="AL535" i="1"/>
  <c r="AJ535" i="1"/>
  <c r="AK535" i="1" s="1"/>
  <c r="AI535" i="1"/>
  <c r="BD535" i="1" s="1"/>
  <c r="BG534" i="1"/>
  <c r="BF534" i="1"/>
  <c r="BE534" i="1"/>
  <c r="BD534" i="1"/>
  <c r="BC534" i="1"/>
  <c r="BB534" i="1"/>
  <c r="AY534" i="1"/>
  <c r="AX534" i="1"/>
  <c r="AT534" i="1"/>
  <c r="BW534" i="1" s="1"/>
  <c r="AS534" i="1"/>
  <c r="AR534" i="1"/>
  <c r="BU534" i="1" s="1"/>
  <c r="AQ534" i="1"/>
  <c r="BT534" i="1" s="1"/>
  <c r="AP534" i="1"/>
  <c r="AM534" i="1"/>
  <c r="AL534" i="1"/>
  <c r="AK534" i="1"/>
  <c r="AJ534" i="1"/>
  <c r="AI534" i="1"/>
  <c r="AZ534" i="1" s="1"/>
  <c r="BV533" i="1"/>
  <c r="BU533" i="1"/>
  <c r="BS533" i="1"/>
  <c r="BF533" i="1"/>
  <c r="BE533" i="1"/>
  <c r="BD533" i="1"/>
  <c r="BC533" i="1"/>
  <c r="BB533" i="1"/>
  <c r="BA533" i="1"/>
  <c r="AY533" i="1"/>
  <c r="AX533" i="1"/>
  <c r="AS533" i="1"/>
  <c r="AR533" i="1"/>
  <c r="AQ533" i="1"/>
  <c r="BT533" i="1" s="1"/>
  <c r="AP533" i="1"/>
  <c r="AN533" i="1"/>
  <c r="AM533" i="1"/>
  <c r="AL533" i="1"/>
  <c r="AK533" i="1"/>
  <c r="AJ533" i="1"/>
  <c r="AI533" i="1"/>
  <c r="AZ533" i="1" s="1"/>
  <c r="BV532" i="1"/>
  <c r="BG532" i="1"/>
  <c r="BF532" i="1"/>
  <c r="BE532" i="1"/>
  <c r="BC532" i="1"/>
  <c r="AZ532" i="1"/>
  <c r="AS532" i="1"/>
  <c r="AP532" i="1"/>
  <c r="AN532" i="1"/>
  <c r="AM532" i="1"/>
  <c r="AL532" i="1"/>
  <c r="AK532" i="1"/>
  <c r="AJ532" i="1"/>
  <c r="AI532" i="1"/>
  <c r="BW531" i="1"/>
  <c r="BG531" i="1"/>
  <c r="BF531" i="1"/>
  <c r="BE531" i="1"/>
  <c r="BD531" i="1"/>
  <c r="BC531" i="1"/>
  <c r="BB531" i="1"/>
  <c r="AZ531" i="1"/>
  <c r="AY531" i="1"/>
  <c r="AW531" i="1"/>
  <c r="AT531" i="1"/>
  <c r="AS531" i="1"/>
  <c r="BV531" i="1" s="1"/>
  <c r="AR531" i="1"/>
  <c r="BU531" i="1" s="1"/>
  <c r="AQ531" i="1"/>
  <c r="BT531" i="1" s="1"/>
  <c r="AP531" i="1"/>
  <c r="AN531" i="1"/>
  <c r="AM531" i="1"/>
  <c r="AL531" i="1"/>
  <c r="AJ531" i="1"/>
  <c r="AK531" i="1" s="1"/>
  <c r="AI531" i="1"/>
  <c r="AX531" i="1" s="1"/>
  <c r="BV530" i="1"/>
  <c r="BU530" i="1"/>
  <c r="BT530" i="1"/>
  <c r="BS530" i="1"/>
  <c r="BF530" i="1"/>
  <c r="BE530" i="1"/>
  <c r="BD530" i="1"/>
  <c r="BC530" i="1"/>
  <c r="BB530" i="1"/>
  <c r="BA530" i="1"/>
  <c r="AZ530" i="1"/>
  <c r="AY530" i="1"/>
  <c r="AX530" i="1"/>
  <c r="AS530" i="1"/>
  <c r="AR530" i="1"/>
  <c r="AQ530" i="1"/>
  <c r="AP530" i="1"/>
  <c r="AN530" i="1"/>
  <c r="AM530" i="1"/>
  <c r="AL530" i="1"/>
  <c r="AK530" i="1"/>
  <c r="AJ530" i="1"/>
  <c r="AI530" i="1"/>
  <c r="BG530" i="1" s="1"/>
  <c r="BW529" i="1"/>
  <c r="BV529" i="1"/>
  <c r="BU529" i="1"/>
  <c r="BS529" i="1"/>
  <c r="BG529" i="1"/>
  <c r="BE529" i="1"/>
  <c r="BD529" i="1"/>
  <c r="BC529" i="1"/>
  <c r="BB529" i="1"/>
  <c r="BA529" i="1"/>
  <c r="AZ529" i="1"/>
  <c r="AY529" i="1"/>
  <c r="AX529" i="1"/>
  <c r="AW529" i="1"/>
  <c r="AT529" i="1"/>
  <c r="AS529" i="1"/>
  <c r="AR529" i="1"/>
  <c r="AQ529" i="1"/>
  <c r="AP529" i="1"/>
  <c r="AN529" i="1"/>
  <c r="AM529" i="1"/>
  <c r="AL529" i="1"/>
  <c r="AJ529" i="1"/>
  <c r="AK529" i="1" s="1"/>
  <c r="AI529" i="1"/>
  <c r="BF529" i="1" s="1"/>
  <c r="BC528" i="1"/>
  <c r="AZ528" i="1"/>
  <c r="AP528" i="1"/>
  <c r="AM528" i="1"/>
  <c r="AL528" i="1"/>
  <c r="AJ528" i="1"/>
  <c r="AK528" i="1" s="1"/>
  <c r="AI528" i="1"/>
  <c r="BG527" i="1"/>
  <c r="BB527" i="1"/>
  <c r="AZ527" i="1"/>
  <c r="AP527" i="1"/>
  <c r="AM527" i="1"/>
  <c r="AL527" i="1"/>
  <c r="AK527" i="1"/>
  <c r="AJ527" i="1"/>
  <c r="AI527" i="1"/>
  <c r="AZ526" i="1"/>
  <c r="AM526" i="1"/>
  <c r="AL526" i="1"/>
  <c r="AK526" i="1"/>
  <c r="AJ526" i="1"/>
  <c r="AI526" i="1"/>
  <c r="BW525" i="1"/>
  <c r="BT525" i="1"/>
  <c r="BG525" i="1"/>
  <c r="BF525" i="1"/>
  <c r="BE525" i="1"/>
  <c r="BD525" i="1"/>
  <c r="BC525" i="1"/>
  <c r="BA525" i="1"/>
  <c r="AY525" i="1"/>
  <c r="AX525" i="1"/>
  <c r="AT525" i="1"/>
  <c r="AS525" i="1"/>
  <c r="BV525" i="1" s="1"/>
  <c r="AR525" i="1"/>
  <c r="BU525" i="1" s="1"/>
  <c r="AQ525" i="1"/>
  <c r="AN525" i="1"/>
  <c r="AM525" i="1"/>
  <c r="AL525" i="1"/>
  <c r="AK525" i="1"/>
  <c r="AJ525" i="1"/>
  <c r="AI525" i="1"/>
  <c r="AZ525" i="1" s="1"/>
  <c r="BE524" i="1"/>
  <c r="AZ524" i="1"/>
  <c r="AX524" i="1"/>
  <c r="AS524" i="1"/>
  <c r="BV524" i="1" s="1"/>
  <c r="AM524" i="1"/>
  <c r="AL524" i="1"/>
  <c r="AJ524" i="1"/>
  <c r="AK524" i="1" s="1"/>
  <c r="AI524" i="1"/>
  <c r="BW523" i="1"/>
  <c r="BG523" i="1"/>
  <c r="BE523" i="1"/>
  <c r="BB523" i="1"/>
  <c r="AT523" i="1"/>
  <c r="AS523" i="1"/>
  <c r="BV523" i="1" s="1"/>
  <c r="AQ523" i="1"/>
  <c r="BT523" i="1" s="1"/>
  <c r="AN523" i="1"/>
  <c r="AM523" i="1"/>
  <c r="AL523" i="1"/>
  <c r="AK523" i="1"/>
  <c r="AJ523" i="1"/>
  <c r="AI523" i="1"/>
  <c r="BW522" i="1"/>
  <c r="BF522" i="1"/>
  <c r="BE522" i="1"/>
  <c r="BD522" i="1"/>
  <c r="BC522" i="1"/>
  <c r="BB522" i="1"/>
  <c r="BA522" i="1"/>
  <c r="AX522" i="1"/>
  <c r="AW522" i="1"/>
  <c r="AT522" i="1"/>
  <c r="AS522" i="1"/>
  <c r="BV522" i="1" s="1"/>
  <c r="AR522" i="1"/>
  <c r="BU522" i="1" s="1"/>
  <c r="AQ522" i="1"/>
  <c r="BT522" i="1" s="1"/>
  <c r="AP522" i="1"/>
  <c r="AN522" i="1"/>
  <c r="AM522" i="1"/>
  <c r="AL522" i="1"/>
  <c r="AK522" i="1"/>
  <c r="AJ522" i="1"/>
  <c r="AI522" i="1"/>
  <c r="AY522" i="1" s="1"/>
  <c r="BF521" i="1"/>
  <c r="BE521" i="1"/>
  <c r="BD521" i="1"/>
  <c r="BB521" i="1"/>
  <c r="BA521" i="1"/>
  <c r="AZ521" i="1"/>
  <c r="AY521" i="1"/>
  <c r="AS521" i="1"/>
  <c r="BV521" i="1" s="1"/>
  <c r="AP521" i="1"/>
  <c r="AN521" i="1"/>
  <c r="AM521" i="1"/>
  <c r="AL521" i="1"/>
  <c r="AJ521" i="1"/>
  <c r="AK521" i="1" s="1"/>
  <c r="AI521" i="1"/>
  <c r="BC521" i="1" s="1"/>
  <c r="BW520" i="1"/>
  <c r="BU520" i="1"/>
  <c r="BF520" i="1"/>
  <c r="BD520" i="1"/>
  <c r="BB520" i="1"/>
  <c r="AY520" i="1"/>
  <c r="AX520" i="1"/>
  <c r="AT520" i="1"/>
  <c r="AS520" i="1"/>
  <c r="BV520" i="1" s="1"/>
  <c r="AR520" i="1"/>
  <c r="AQ520" i="1"/>
  <c r="BT520" i="1" s="1"/>
  <c r="AN520" i="1"/>
  <c r="AM520" i="1"/>
  <c r="AL520" i="1"/>
  <c r="AK520" i="1"/>
  <c r="AJ520" i="1"/>
  <c r="AI520" i="1"/>
  <c r="BE520" i="1" s="1"/>
  <c r="BW519" i="1"/>
  <c r="BG519" i="1"/>
  <c r="BE519" i="1"/>
  <c r="BD519" i="1"/>
  <c r="BC519" i="1"/>
  <c r="BB519" i="1"/>
  <c r="BA519" i="1"/>
  <c r="AZ519" i="1"/>
  <c r="AY519" i="1"/>
  <c r="AX519" i="1"/>
  <c r="AS519" i="1"/>
  <c r="BV519" i="1" s="1"/>
  <c r="AR519" i="1"/>
  <c r="BU519" i="1" s="1"/>
  <c r="AQ519" i="1"/>
  <c r="AP519" i="1"/>
  <c r="AN519" i="1"/>
  <c r="AM519" i="1"/>
  <c r="AL519" i="1"/>
  <c r="AK519" i="1"/>
  <c r="AJ519" i="1"/>
  <c r="AI519" i="1"/>
  <c r="AT519" i="1" s="1"/>
  <c r="BU518" i="1"/>
  <c r="BT518" i="1"/>
  <c r="BG518" i="1"/>
  <c r="BF518" i="1"/>
  <c r="BD518" i="1"/>
  <c r="BC518" i="1"/>
  <c r="BB518" i="1"/>
  <c r="BA518" i="1"/>
  <c r="AZ518" i="1"/>
  <c r="AY518" i="1"/>
  <c r="AX518" i="1"/>
  <c r="AT518" i="1"/>
  <c r="BW518" i="1" s="1"/>
  <c r="AR518" i="1"/>
  <c r="AQ518" i="1"/>
  <c r="AP518" i="1"/>
  <c r="AN518" i="1"/>
  <c r="AM518" i="1"/>
  <c r="AL518" i="1"/>
  <c r="AJ518" i="1"/>
  <c r="AK518" i="1" s="1"/>
  <c r="AI518" i="1"/>
  <c r="AM517" i="1"/>
  <c r="AL517" i="1"/>
  <c r="AJ517" i="1"/>
  <c r="AK517" i="1" s="1"/>
  <c r="AI517" i="1"/>
  <c r="BV516" i="1"/>
  <c r="BG516" i="1"/>
  <c r="BF516" i="1"/>
  <c r="BE516" i="1"/>
  <c r="BD516" i="1"/>
  <c r="BB516" i="1"/>
  <c r="BA516" i="1"/>
  <c r="AZ516" i="1"/>
  <c r="AX516" i="1"/>
  <c r="AT516" i="1"/>
  <c r="BW516" i="1" s="1"/>
  <c r="AS516" i="1"/>
  <c r="AR516" i="1"/>
  <c r="BU516" i="1" s="1"/>
  <c r="AP516" i="1"/>
  <c r="AN516" i="1"/>
  <c r="AM516" i="1"/>
  <c r="AL516" i="1"/>
  <c r="AJ516" i="1"/>
  <c r="AK516" i="1" s="1"/>
  <c r="AI516" i="1"/>
  <c r="AY516" i="1" s="1"/>
  <c r="BU515" i="1"/>
  <c r="AZ515" i="1"/>
  <c r="AR515" i="1"/>
  <c r="AM515" i="1"/>
  <c r="AL515" i="1"/>
  <c r="AK515" i="1"/>
  <c r="AJ515" i="1"/>
  <c r="AI515" i="1"/>
  <c r="BT514" i="1"/>
  <c r="BG514" i="1"/>
  <c r="BF514" i="1"/>
  <c r="BE514" i="1"/>
  <c r="BD514" i="1"/>
  <c r="BC514" i="1"/>
  <c r="AZ514" i="1"/>
  <c r="AT514" i="1"/>
  <c r="BW514" i="1" s="1"/>
  <c r="AS514" i="1"/>
  <c r="BV514" i="1" s="1"/>
  <c r="AR514" i="1"/>
  <c r="AQ514" i="1"/>
  <c r="AP514" i="1"/>
  <c r="AM514" i="1"/>
  <c r="AL514" i="1"/>
  <c r="AK514" i="1"/>
  <c r="AJ514" i="1"/>
  <c r="AI514" i="1"/>
  <c r="BC513" i="1"/>
  <c r="AY513" i="1"/>
  <c r="AT513" i="1"/>
  <c r="BW513" i="1" s="1"/>
  <c r="AS513" i="1"/>
  <c r="BV513" i="1" s="1"/>
  <c r="AR513" i="1"/>
  <c r="BU513" i="1" s="1"/>
  <c r="AM513" i="1"/>
  <c r="AL513" i="1"/>
  <c r="AK513" i="1"/>
  <c r="AJ513" i="1"/>
  <c r="AI513" i="1"/>
  <c r="BT512" i="1"/>
  <c r="BG512" i="1"/>
  <c r="BF512" i="1"/>
  <c r="BC512" i="1"/>
  <c r="BB512" i="1"/>
  <c r="BA512" i="1"/>
  <c r="AZ512" i="1"/>
  <c r="AX512" i="1"/>
  <c r="AT512" i="1"/>
  <c r="BW512" i="1" s="1"/>
  <c r="AS512" i="1"/>
  <c r="BV512" i="1" s="1"/>
  <c r="AQ512" i="1"/>
  <c r="AM512" i="1"/>
  <c r="AL512" i="1"/>
  <c r="AJ512" i="1"/>
  <c r="AK512" i="1" s="1"/>
  <c r="AI512" i="1"/>
  <c r="BD512" i="1" s="1"/>
  <c r="BU511" i="1"/>
  <c r="BS511" i="1"/>
  <c r="BF511" i="1"/>
  <c r="BD511" i="1"/>
  <c r="BA511" i="1"/>
  <c r="AT511" i="1"/>
  <c r="BW511" i="1" s="1"/>
  <c r="AS511" i="1"/>
  <c r="BV511" i="1" s="1"/>
  <c r="AR511" i="1"/>
  <c r="AP511" i="1"/>
  <c r="AM511" i="1"/>
  <c r="AL511" i="1"/>
  <c r="AJ511" i="1"/>
  <c r="AK511" i="1" s="1"/>
  <c r="AI511" i="1"/>
  <c r="BD510" i="1"/>
  <c r="BC510" i="1"/>
  <c r="BA510" i="1"/>
  <c r="AY510" i="1"/>
  <c r="AQ510" i="1"/>
  <c r="BT510" i="1" s="1"/>
  <c r="AN510" i="1"/>
  <c r="AM510" i="1"/>
  <c r="AL510" i="1"/>
  <c r="AK510" i="1"/>
  <c r="AJ510" i="1"/>
  <c r="AI510" i="1"/>
  <c r="BW509" i="1"/>
  <c r="BV509" i="1"/>
  <c r="BU509" i="1"/>
  <c r="BT509" i="1"/>
  <c r="BS509" i="1"/>
  <c r="BG509" i="1"/>
  <c r="BE509" i="1"/>
  <c r="BD509" i="1"/>
  <c r="BC509" i="1"/>
  <c r="BB509" i="1"/>
  <c r="BA509" i="1"/>
  <c r="AZ509" i="1"/>
  <c r="AY509" i="1"/>
  <c r="AX509" i="1"/>
  <c r="AT509" i="1"/>
  <c r="AS509" i="1"/>
  <c r="AR509" i="1"/>
  <c r="AW509" i="1" s="1"/>
  <c r="AQ509" i="1"/>
  <c r="AP509" i="1"/>
  <c r="AN509" i="1"/>
  <c r="AM509" i="1"/>
  <c r="AL509" i="1"/>
  <c r="AK509" i="1"/>
  <c r="AJ509" i="1"/>
  <c r="AI509" i="1"/>
  <c r="BF509" i="1" s="1"/>
  <c r="BB508" i="1"/>
  <c r="AY508" i="1"/>
  <c r="AX508" i="1"/>
  <c r="AT508" i="1"/>
  <c r="BW508" i="1" s="1"/>
  <c r="AN508" i="1"/>
  <c r="AM508" i="1"/>
  <c r="AL508" i="1"/>
  <c r="AK508" i="1"/>
  <c r="AJ508" i="1"/>
  <c r="AI508" i="1"/>
  <c r="BW507" i="1"/>
  <c r="BV507" i="1"/>
  <c r="BG507" i="1"/>
  <c r="BF507" i="1"/>
  <c r="BE507" i="1"/>
  <c r="BC507" i="1"/>
  <c r="BB507" i="1"/>
  <c r="BA507" i="1"/>
  <c r="AZ507" i="1"/>
  <c r="AX507" i="1"/>
  <c r="AT507" i="1"/>
  <c r="AS507" i="1"/>
  <c r="AQ507" i="1"/>
  <c r="BT507" i="1" s="1"/>
  <c r="AP507" i="1"/>
  <c r="AN507" i="1"/>
  <c r="AM507" i="1"/>
  <c r="AL507" i="1"/>
  <c r="AJ507" i="1"/>
  <c r="AK507" i="1" s="1"/>
  <c r="AI507" i="1"/>
  <c r="AY507" i="1" s="1"/>
  <c r="BG506" i="1"/>
  <c r="BE506" i="1"/>
  <c r="BD506" i="1"/>
  <c r="BB506" i="1"/>
  <c r="AZ506" i="1"/>
  <c r="AY506" i="1"/>
  <c r="AX506" i="1"/>
  <c r="AT506" i="1"/>
  <c r="BW506" i="1" s="1"/>
  <c r="AR506" i="1"/>
  <c r="BU506" i="1" s="1"/>
  <c r="AN506" i="1"/>
  <c r="AM506" i="1"/>
  <c r="AL506" i="1"/>
  <c r="AJ506" i="1"/>
  <c r="AK506" i="1" s="1"/>
  <c r="AI506" i="1"/>
  <c r="BA506" i="1" s="1"/>
  <c r="AR505" i="1"/>
  <c r="BU505" i="1" s="1"/>
  <c r="AM505" i="1"/>
  <c r="AL505" i="1"/>
  <c r="AK505" i="1"/>
  <c r="AJ505" i="1"/>
  <c r="AI505" i="1"/>
  <c r="BW504" i="1"/>
  <c r="BV504" i="1"/>
  <c r="BT504" i="1"/>
  <c r="BG504" i="1"/>
  <c r="BF504" i="1"/>
  <c r="BE504" i="1"/>
  <c r="BD504" i="1"/>
  <c r="BC504" i="1"/>
  <c r="BB504" i="1"/>
  <c r="AZ504" i="1"/>
  <c r="AY504" i="1"/>
  <c r="AX504" i="1"/>
  <c r="AT504" i="1"/>
  <c r="AS504" i="1"/>
  <c r="AR504" i="1"/>
  <c r="BU504" i="1" s="1"/>
  <c r="AQ504" i="1"/>
  <c r="AP504" i="1"/>
  <c r="BS504" i="1" s="1"/>
  <c r="AM504" i="1"/>
  <c r="AL504" i="1"/>
  <c r="AK504" i="1"/>
  <c r="AJ504" i="1"/>
  <c r="AI504" i="1"/>
  <c r="BF503" i="1"/>
  <c r="AP503" i="1"/>
  <c r="BS503" i="1" s="1"/>
  <c r="AM503" i="1"/>
  <c r="AL503" i="1"/>
  <c r="AJ503" i="1"/>
  <c r="AK503" i="1" s="1"/>
  <c r="AI503" i="1"/>
  <c r="BW502" i="1"/>
  <c r="BG502" i="1"/>
  <c r="AT502" i="1"/>
  <c r="AS502" i="1"/>
  <c r="BV502" i="1" s="1"/>
  <c r="AR502" i="1"/>
  <c r="BU502" i="1" s="1"/>
  <c r="AM502" i="1"/>
  <c r="AL502" i="1"/>
  <c r="AK502" i="1"/>
  <c r="AJ502" i="1"/>
  <c r="AI502" i="1"/>
  <c r="BV501" i="1"/>
  <c r="BT501" i="1"/>
  <c r="BG501" i="1"/>
  <c r="BF501" i="1"/>
  <c r="BE501" i="1"/>
  <c r="BD501" i="1"/>
  <c r="BC501" i="1"/>
  <c r="BB501" i="1"/>
  <c r="BA501" i="1"/>
  <c r="AZ501" i="1"/>
  <c r="AY501" i="1"/>
  <c r="AT501" i="1"/>
  <c r="BW501" i="1" s="1"/>
  <c r="AS501" i="1"/>
  <c r="AR501" i="1"/>
  <c r="BU501" i="1" s="1"/>
  <c r="AQ501" i="1"/>
  <c r="AP501" i="1"/>
  <c r="AN501" i="1"/>
  <c r="AM501" i="1"/>
  <c r="AL501" i="1"/>
  <c r="AJ501" i="1"/>
  <c r="AK501" i="1" s="1"/>
  <c r="AI501" i="1"/>
  <c r="AX501" i="1" s="1"/>
  <c r="BF500" i="1"/>
  <c r="BC500" i="1"/>
  <c r="BA500" i="1"/>
  <c r="AZ500" i="1"/>
  <c r="AY500" i="1"/>
  <c r="AX500" i="1"/>
  <c r="AS500" i="1"/>
  <c r="BV500" i="1" s="1"/>
  <c r="AR500" i="1"/>
  <c r="BU500" i="1" s="1"/>
  <c r="AP500" i="1"/>
  <c r="AM500" i="1"/>
  <c r="AL500" i="1"/>
  <c r="AK500" i="1"/>
  <c r="AJ500" i="1"/>
  <c r="AI500" i="1"/>
  <c r="BT499" i="1"/>
  <c r="BG499" i="1"/>
  <c r="BE499" i="1"/>
  <c r="BD499" i="1"/>
  <c r="BC499" i="1"/>
  <c r="BB499" i="1"/>
  <c r="BA499" i="1"/>
  <c r="AZ499" i="1"/>
  <c r="AY499" i="1"/>
  <c r="AX499" i="1"/>
  <c r="AS499" i="1"/>
  <c r="BV499" i="1" s="1"/>
  <c r="AR499" i="1"/>
  <c r="AQ499" i="1"/>
  <c r="AP499" i="1"/>
  <c r="BS499" i="1" s="1"/>
  <c r="AN499" i="1"/>
  <c r="AM499" i="1"/>
  <c r="AL499" i="1"/>
  <c r="AK499" i="1"/>
  <c r="AJ499" i="1"/>
  <c r="AI499" i="1"/>
  <c r="AT499" i="1" s="1"/>
  <c r="BW499" i="1" s="1"/>
  <c r="AQ498" i="1"/>
  <c r="BT498" i="1" s="1"/>
  <c r="AM498" i="1"/>
  <c r="AL498" i="1"/>
  <c r="AK498" i="1"/>
  <c r="AJ498" i="1"/>
  <c r="AI498" i="1"/>
  <c r="BG497" i="1"/>
  <c r="BA497" i="1"/>
  <c r="AY497" i="1"/>
  <c r="AX497" i="1"/>
  <c r="AT497" i="1"/>
  <c r="BW497" i="1" s="1"/>
  <c r="AS497" i="1"/>
  <c r="BV497" i="1" s="1"/>
  <c r="AN497" i="1"/>
  <c r="AM497" i="1"/>
  <c r="AL497" i="1"/>
  <c r="AJ497" i="1"/>
  <c r="AK497" i="1" s="1"/>
  <c r="AI497" i="1"/>
  <c r="BC497" i="1" s="1"/>
  <c r="BG496" i="1"/>
  <c r="BF496" i="1"/>
  <c r="BE496" i="1"/>
  <c r="BD496" i="1"/>
  <c r="BB496" i="1"/>
  <c r="BA496" i="1"/>
  <c r="AY496" i="1"/>
  <c r="AX496" i="1"/>
  <c r="AT496" i="1"/>
  <c r="BW496" i="1" s="1"/>
  <c r="AS496" i="1"/>
  <c r="BV496" i="1" s="1"/>
  <c r="AR496" i="1"/>
  <c r="BU496" i="1" s="1"/>
  <c r="AP496" i="1"/>
  <c r="AN496" i="1"/>
  <c r="AM496" i="1"/>
  <c r="AL496" i="1"/>
  <c r="AJ496" i="1"/>
  <c r="AK496" i="1" s="1"/>
  <c r="AI496" i="1"/>
  <c r="BF495" i="1"/>
  <c r="BE495" i="1"/>
  <c r="BD495" i="1"/>
  <c r="BA495" i="1"/>
  <c r="AZ495" i="1"/>
  <c r="AY495" i="1"/>
  <c r="AX495" i="1"/>
  <c r="AS495" i="1"/>
  <c r="BV495" i="1" s="1"/>
  <c r="AR495" i="1"/>
  <c r="BU495" i="1" s="1"/>
  <c r="AQ495" i="1"/>
  <c r="BT495" i="1" s="1"/>
  <c r="AN495" i="1"/>
  <c r="AM495" i="1"/>
  <c r="AL495" i="1"/>
  <c r="AJ495" i="1"/>
  <c r="AK495" i="1" s="1"/>
  <c r="AI495" i="1"/>
  <c r="BC495" i="1" s="1"/>
  <c r="BE494" i="1"/>
  <c r="BD494" i="1"/>
  <c r="BB494" i="1"/>
  <c r="AZ494" i="1"/>
  <c r="AY494" i="1"/>
  <c r="AX494" i="1"/>
  <c r="AT494" i="1"/>
  <c r="BW494" i="1" s="1"/>
  <c r="AR494" i="1"/>
  <c r="BU494" i="1" s="1"/>
  <c r="AM494" i="1"/>
  <c r="AL494" i="1"/>
  <c r="AJ494" i="1"/>
  <c r="AK494" i="1" s="1"/>
  <c r="AI494" i="1"/>
  <c r="BF494" i="1" s="1"/>
  <c r="BG493" i="1"/>
  <c r="BE493" i="1"/>
  <c r="BD493" i="1"/>
  <c r="BC493" i="1"/>
  <c r="BB493" i="1"/>
  <c r="BA493" i="1"/>
  <c r="AS493" i="1"/>
  <c r="BV493" i="1" s="1"/>
  <c r="AQ493" i="1"/>
  <c r="BT493" i="1" s="1"/>
  <c r="AP493" i="1"/>
  <c r="AM493" i="1"/>
  <c r="AL493" i="1"/>
  <c r="AJ493" i="1"/>
  <c r="AK493" i="1" s="1"/>
  <c r="AI493" i="1"/>
  <c r="BF493" i="1" s="1"/>
  <c r="BG492" i="1"/>
  <c r="BC492" i="1"/>
  <c r="AX492" i="1"/>
  <c r="AT492" i="1"/>
  <c r="BW492" i="1" s="1"/>
  <c r="AM492" i="1"/>
  <c r="AL492" i="1"/>
  <c r="AK492" i="1"/>
  <c r="AJ492" i="1"/>
  <c r="AI492" i="1"/>
  <c r="BU491" i="1"/>
  <c r="BD491" i="1"/>
  <c r="BB491" i="1"/>
  <c r="BA491" i="1"/>
  <c r="AZ491" i="1"/>
  <c r="AY491" i="1"/>
  <c r="AT491" i="1"/>
  <c r="BW491" i="1" s="1"/>
  <c r="AS491" i="1"/>
  <c r="BV491" i="1" s="1"/>
  <c r="AR491" i="1"/>
  <c r="AQ491" i="1"/>
  <c r="BT491" i="1" s="1"/>
  <c r="AM491" i="1"/>
  <c r="AL491" i="1"/>
  <c r="AJ491" i="1"/>
  <c r="AK491" i="1" s="1"/>
  <c r="AI491" i="1"/>
  <c r="BF491" i="1" s="1"/>
  <c r="BF490" i="1"/>
  <c r="BE490" i="1"/>
  <c r="BC490" i="1"/>
  <c r="AS490" i="1"/>
  <c r="BV490" i="1" s="1"/>
  <c r="AR490" i="1"/>
  <c r="BU490" i="1" s="1"/>
  <c r="AQ490" i="1"/>
  <c r="BT490" i="1" s="1"/>
  <c r="AM490" i="1"/>
  <c r="AL490" i="1"/>
  <c r="AK490" i="1"/>
  <c r="AJ490" i="1"/>
  <c r="AI490" i="1"/>
  <c r="AM489" i="1"/>
  <c r="AL489" i="1"/>
  <c r="AJ489" i="1"/>
  <c r="AK489" i="1" s="1"/>
  <c r="AI489" i="1"/>
  <c r="BW488" i="1"/>
  <c r="BS488" i="1"/>
  <c r="BF488" i="1"/>
  <c r="BD488" i="1"/>
  <c r="BB488" i="1"/>
  <c r="AZ488" i="1"/>
  <c r="AY488" i="1"/>
  <c r="AT488" i="1"/>
  <c r="AS488" i="1"/>
  <c r="BV488" i="1" s="1"/>
  <c r="AQ488" i="1"/>
  <c r="AP488" i="1"/>
  <c r="AN488" i="1"/>
  <c r="AM488" i="1"/>
  <c r="AL488" i="1"/>
  <c r="AK488" i="1"/>
  <c r="AJ488" i="1"/>
  <c r="AI488" i="1"/>
  <c r="BW487" i="1"/>
  <c r="BV487" i="1"/>
  <c r="BT487" i="1"/>
  <c r="BS487" i="1"/>
  <c r="BG487" i="1"/>
  <c r="BE487" i="1"/>
  <c r="BD487" i="1"/>
  <c r="BC487" i="1"/>
  <c r="BB487" i="1"/>
  <c r="BA487" i="1"/>
  <c r="AZ487" i="1"/>
  <c r="AY487" i="1"/>
  <c r="AX487" i="1"/>
  <c r="AW487" i="1"/>
  <c r="AT487" i="1"/>
  <c r="AS487" i="1"/>
  <c r="AR487" i="1"/>
  <c r="AQ487" i="1"/>
  <c r="AP487" i="1"/>
  <c r="AN487" i="1"/>
  <c r="AM487" i="1"/>
  <c r="AL487" i="1"/>
  <c r="AJ487" i="1"/>
  <c r="AK487" i="1" s="1"/>
  <c r="AI487" i="1"/>
  <c r="BF487" i="1" s="1"/>
  <c r="BB486" i="1"/>
  <c r="BA486" i="1"/>
  <c r="AY486" i="1"/>
  <c r="AR486" i="1"/>
  <c r="BU486" i="1" s="1"/>
  <c r="AP486" i="1"/>
  <c r="AN486" i="1"/>
  <c r="AM486" i="1"/>
  <c r="AL486" i="1"/>
  <c r="AK486" i="1"/>
  <c r="AJ486" i="1"/>
  <c r="AI486" i="1"/>
  <c r="BA485" i="1"/>
  <c r="AQ485" i="1"/>
  <c r="BT485" i="1" s="1"/>
  <c r="AM485" i="1"/>
  <c r="AL485" i="1"/>
  <c r="AK485" i="1"/>
  <c r="AJ485" i="1"/>
  <c r="AI485" i="1"/>
  <c r="BG484" i="1"/>
  <c r="BF484" i="1"/>
  <c r="BE484" i="1"/>
  <c r="BD484" i="1"/>
  <c r="BA484" i="1"/>
  <c r="AY484" i="1"/>
  <c r="AX484" i="1"/>
  <c r="AT484" i="1"/>
  <c r="BW484" i="1" s="1"/>
  <c r="AS484" i="1"/>
  <c r="BV484" i="1" s="1"/>
  <c r="AR484" i="1"/>
  <c r="BU484" i="1" s="1"/>
  <c r="AP484" i="1"/>
  <c r="AM484" i="1"/>
  <c r="AL484" i="1"/>
  <c r="AK484" i="1"/>
  <c r="AJ484" i="1"/>
  <c r="AI484" i="1"/>
  <c r="AZ484" i="1" s="1"/>
  <c r="BT483" i="1"/>
  <c r="BG483" i="1"/>
  <c r="BF483" i="1"/>
  <c r="BD483" i="1"/>
  <c r="BC483" i="1"/>
  <c r="BA483" i="1"/>
  <c r="AZ483" i="1"/>
  <c r="AY483" i="1"/>
  <c r="AS483" i="1"/>
  <c r="BV483" i="1" s="1"/>
  <c r="AQ483" i="1"/>
  <c r="AN483" i="1"/>
  <c r="AM483" i="1"/>
  <c r="AL483" i="1"/>
  <c r="AK483" i="1"/>
  <c r="AJ483" i="1"/>
  <c r="AI483" i="1"/>
  <c r="BE483" i="1" s="1"/>
  <c r="AT482" i="1"/>
  <c r="BW482" i="1" s="1"/>
  <c r="AM482" i="1"/>
  <c r="AL482" i="1"/>
  <c r="AJ482" i="1"/>
  <c r="AK482" i="1" s="1"/>
  <c r="AI482" i="1"/>
  <c r="BW481" i="1"/>
  <c r="BF481" i="1"/>
  <c r="BE481" i="1"/>
  <c r="BD481" i="1"/>
  <c r="BC481" i="1"/>
  <c r="BB481" i="1"/>
  <c r="AY481" i="1"/>
  <c r="AX481" i="1"/>
  <c r="AT481" i="1"/>
  <c r="AS481" i="1"/>
  <c r="BV481" i="1" s="1"/>
  <c r="AR481" i="1"/>
  <c r="BU481" i="1" s="1"/>
  <c r="AQ481" i="1"/>
  <c r="BT481" i="1" s="1"/>
  <c r="AP481" i="1"/>
  <c r="AN481" i="1"/>
  <c r="AM481" i="1"/>
  <c r="AL481" i="1"/>
  <c r="AJ481" i="1"/>
  <c r="AK481" i="1" s="1"/>
  <c r="AI481" i="1"/>
  <c r="AZ481" i="1" s="1"/>
  <c r="BG480" i="1"/>
  <c r="BF480" i="1"/>
  <c r="BB480" i="1"/>
  <c r="AP480" i="1"/>
  <c r="AN480" i="1"/>
  <c r="AM480" i="1"/>
  <c r="AL480" i="1"/>
  <c r="AK480" i="1"/>
  <c r="AJ480" i="1"/>
  <c r="AI480" i="1"/>
  <c r="AM479" i="1"/>
  <c r="AL479" i="1"/>
  <c r="AJ479" i="1"/>
  <c r="AK479" i="1" s="1"/>
  <c r="AI479" i="1"/>
  <c r="BW478" i="1"/>
  <c r="BU478" i="1"/>
  <c r="BE478" i="1"/>
  <c r="BB478" i="1"/>
  <c r="AZ478" i="1"/>
  <c r="AX478" i="1"/>
  <c r="AT478" i="1"/>
  <c r="AR478" i="1"/>
  <c r="AP478" i="1"/>
  <c r="AM478" i="1"/>
  <c r="AL478" i="1"/>
  <c r="AK478" i="1"/>
  <c r="AJ478" i="1"/>
  <c r="AI478" i="1"/>
  <c r="BT477" i="1"/>
  <c r="BG477" i="1"/>
  <c r="BF477" i="1"/>
  <c r="BE477" i="1"/>
  <c r="BD477" i="1"/>
  <c r="BC477" i="1"/>
  <c r="BA477" i="1"/>
  <c r="AY477" i="1"/>
  <c r="AS477" i="1"/>
  <c r="BV477" i="1" s="1"/>
  <c r="AR477" i="1"/>
  <c r="BU477" i="1" s="1"/>
  <c r="AQ477" i="1"/>
  <c r="AP477" i="1"/>
  <c r="AM477" i="1"/>
  <c r="AL477" i="1"/>
  <c r="AK477" i="1"/>
  <c r="AJ477" i="1"/>
  <c r="AI477" i="1"/>
  <c r="BV476" i="1"/>
  <c r="BS476" i="1"/>
  <c r="BG476" i="1"/>
  <c r="BD476" i="1"/>
  <c r="BC476" i="1"/>
  <c r="BB476" i="1"/>
  <c r="AZ476" i="1"/>
  <c r="AX476" i="1"/>
  <c r="AT476" i="1"/>
  <c r="BW476" i="1" s="1"/>
  <c r="AS476" i="1"/>
  <c r="AR476" i="1"/>
  <c r="BU476" i="1" s="1"/>
  <c r="AQ476" i="1"/>
  <c r="BT476" i="1" s="1"/>
  <c r="AP476" i="1"/>
  <c r="AN476" i="1"/>
  <c r="AM476" i="1"/>
  <c r="AL476" i="1"/>
  <c r="AK476" i="1"/>
  <c r="AJ476" i="1"/>
  <c r="AI476" i="1"/>
  <c r="BA476" i="1" s="1"/>
  <c r="BV475" i="1"/>
  <c r="BU475" i="1"/>
  <c r="BT475" i="1"/>
  <c r="BS475" i="1"/>
  <c r="BF475" i="1"/>
  <c r="BE475" i="1"/>
  <c r="BD475" i="1"/>
  <c r="BC475" i="1"/>
  <c r="BB475" i="1"/>
  <c r="BA475" i="1"/>
  <c r="AZ475" i="1"/>
  <c r="AY475" i="1"/>
  <c r="AX475" i="1"/>
  <c r="AT475" i="1"/>
  <c r="BW475" i="1" s="1"/>
  <c r="AS475" i="1"/>
  <c r="AQ475" i="1"/>
  <c r="AP475" i="1"/>
  <c r="AN475" i="1"/>
  <c r="AM475" i="1"/>
  <c r="AL475" i="1"/>
  <c r="AK475" i="1"/>
  <c r="AJ475" i="1"/>
  <c r="AI475" i="1"/>
  <c r="AR475" i="1" s="1"/>
  <c r="BG474" i="1"/>
  <c r="BD474" i="1"/>
  <c r="BA474" i="1"/>
  <c r="AX474" i="1"/>
  <c r="AQ474" i="1"/>
  <c r="BT474" i="1" s="1"/>
  <c r="AM474" i="1"/>
  <c r="AL474" i="1"/>
  <c r="AJ474" i="1"/>
  <c r="AK474" i="1" s="1"/>
  <c r="AI474" i="1"/>
  <c r="BF473" i="1"/>
  <c r="BC473" i="1"/>
  <c r="AX473" i="1"/>
  <c r="AT473" i="1"/>
  <c r="BW473" i="1" s="1"/>
  <c r="AS473" i="1"/>
  <c r="BV473" i="1" s="1"/>
  <c r="AR473" i="1"/>
  <c r="BU473" i="1" s="1"/>
  <c r="AM473" i="1"/>
  <c r="AL473" i="1"/>
  <c r="AJ473" i="1"/>
  <c r="AK473" i="1" s="1"/>
  <c r="AI473" i="1"/>
  <c r="BW472" i="1"/>
  <c r="BU472" i="1"/>
  <c r="BG472" i="1"/>
  <c r="BF472" i="1"/>
  <c r="BE472" i="1"/>
  <c r="BD472" i="1"/>
  <c r="BC472" i="1"/>
  <c r="BB472" i="1"/>
  <c r="AZ472" i="1"/>
  <c r="AX472" i="1"/>
  <c r="AT472" i="1"/>
  <c r="AS472" i="1"/>
  <c r="BV472" i="1" s="1"/>
  <c r="AR472" i="1"/>
  <c r="AQ472" i="1"/>
  <c r="AP472" i="1"/>
  <c r="AN472" i="1"/>
  <c r="AM472" i="1"/>
  <c r="AL472" i="1"/>
  <c r="AK472" i="1"/>
  <c r="AJ472" i="1"/>
  <c r="AI472" i="1"/>
  <c r="AY471" i="1"/>
  <c r="AX471" i="1"/>
  <c r="AS471" i="1"/>
  <c r="BV471" i="1" s="1"/>
  <c r="AR471" i="1"/>
  <c r="BU471" i="1" s="1"/>
  <c r="AQ471" i="1"/>
  <c r="BT471" i="1" s="1"/>
  <c r="AM471" i="1"/>
  <c r="AL471" i="1"/>
  <c r="AK471" i="1"/>
  <c r="AJ471" i="1"/>
  <c r="AI471" i="1"/>
  <c r="BC470" i="1"/>
  <c r="AM470" i="1"/>
  <c r="AL470" i="1"/>
  <c r="AK470" i="1"/>
  <c r="AJ470" i="1"/>
  <c r="AI470" i="1"/>
  <c r="BE469" i="1"/>
  <c r="AY469" i="1"/>
  <c r="AS469" i="1"/>
  <c r="BV469" i="1" s="1"/>
  <c r="AR469" i="1"/>
  <c r="BU469" i="1" s="1"/>
  <c r="AP469" i="1"/>
  <c r="AN469" i="1"/>
  <c r="AM469" i="1"/>
  <c r="AL469" i="1"/>
  <c r="AJ469" i="1"/>
  <c r="AK469" i="1" s="1"/>
  <c r="AI469" i="1"/>
  <c r="AM468" i="1"/>
  <c r="AL468" i="1"/>
  <c r="AJ468" i="1"/>
  <c r="AK468" i="1" s="1"/>
  <c r="AI468" i="1"/>
  <c r="BW467" i="1"/>
  <c r="BV467" i="1"/>
  <c r="BG467" i="1"/>
  <c r="BE467" i="1"/>
  <c r="BD467" i="1"/>
  <c r="BC467" i="1"/>
  <c r="BB467" i="1"/>
  <c r="BA467" i="1"/>
  <c r="AZ467" i="1"/>
  <c r="AY467" i="1"/>
  <c r="AX467" i="1"/>
  <c r="AT467" i="1"/>
  <c r="AS467" i="1"/>
  <c r="AR467" i="1"/>
  <c r="BU467" i="1" s="1"/>
  <c r="AQ467" i="1"/>
  <c r="AP467" i="1"/>
  <c r="AN467" i="1"/>
  <c r="AM467" i="1"/>
  <c r="AL467" i="1"/>
  <c r="AJ467" i="1"/>
  <c r="AK467" i="1" s="1"/>
  <c r="AI467" i="1"/>
  <c r="BF467" i="1" s="1"/>
  <c r="BV466" i="1"/>
  <c r="BU466" i="1"/>
  <c r="BT466" i="1"/>
  <c r="BS466" i="1"/>
  <c r="BF466" i="1"/>
  <c r="BE466" i="1"/>
  <c r="BD466" i="1"/>
  <c r="BC466" i="1"/>
  <c r="BB466" i="1"/>
  <c r="BA466" i="1"/>
  <c r="AZ466" i="1"/>
  <c r="AY466" i="1"/>
  <c r="AX466" i="1"/>
  <c r="AT466" i="1"/>
  <c r="AR466" i="1"/>
  <c r="AQ466" i="1"/>
  <c r="AP466" i="1"/>
  <c r="AN466" i="1"/>
  <c r="AM466" i="1"/>
  <c r="AL466" i="1"/>
  <c r="AK466" i="1"/>
  <c r="AJ466" i="1"/>
  <c r="AI466" i="1"/>
  <c r="AS466" i="1" s="1"/>
  <c r="AM465" i="1"/>
  <c r="AL465" i="1"/>
  <c r="AJ465" i="1"/>
  <c r="AK465" i="1" s="1"/>
  <c r="AI465" i="1"/>
  <c r="AM464" i="1"/>
  <c r="AL464" i="1"/>
  <c r="AK464" i="1"/>
  <c r="AJ464" i="1"/>
  <c r="AI464" i="1"/>
  <c r="BW463" i="1"/>
  <c r="BV463" i="1"/>
  <c r="BU463" i="1"/>
  <c r="BG463" i="1"/>
  <c r="BF463" i="1"/>
  <c r="BE463" i="1"/>
  <c r="BD463" i="1"/>
  <c r="BC463" i="1"/>
  <c r="BA463" i="1"/>
  <c r="AZ463" i="1"/>
  <c r="AX463" i="1"/>
  <c r="AT463" i="1"/>
  <c r="AS463" i="1"/>
  <c r="AR463" i="1"/>
  <c r="AQ463" i="1"/>
  <c r="BT463" i="1" s="1"/>
  <c r="AP463" i="1"/>
  <c r="AN463" i="1"/>
  <c r="AM463" i="1"/>
  <c r="AL463" i="1"/>
  <c r="AK463" i="1"/>
  <c r="AJ463" i="1"/>
  <c r="AI463" i="1"/>
  <c r="BV462" i="1"/>
  <c r="BS462" i="1"/>
  <c r="BF462" i="1"/>
  <c r="BE462" i="1"/>
  <c r="BD462" i="1"/>
  <c r="BC462" i="1"/>
  <c r="BB462" i="1"/>
  <c r="BA462" i="1"/>
  <c r="AZ462" i="1"/>
  <c r="AY462" i="1"/>
  <c r="AX462" i="1"/>
  <c r="AT462" i="1"/>
  <c r="BW462" i="1" s="1"/>
  <c r="AS462" i="1"/>
  <c r="AR462" i="1"/>
  <c r="BU462" i="1" s="1"/>
  <c r="AQ462" i="1"/>
  <c r="BT462" i="1" s="1"/>
  <c r="AP462" i="1"/>
  <c r="AM462" i="1"/>
  <c r="AL462" i="1"/>
  <c r="AK462" i="1"/>
  <c r="AJ462" i="1"/>
  <c r="AI462" i="1"/>
  <c r="AN462" i="1" s="1"/>
  <c r="BW461" i="1"/>
  <c r="BV461" i="1"/>
  <c r="BS461" i="1"/>
  <c r="BG461" i="1"/>
  <c r="BF461" i="1"/>
  <c r="BD461" i="1"/>
  <c r="BB461" i="1"/>
  <c r="BA461" i="1"/>
  <c r="AY461" i="1"/>
  <c r="AX461" i="1"/>
  <c r="AT461" i="1"/>
  <c r="AS461" i="1"/>
  <c r="AQ461" i="1"/>
  <c r="AP461" i="1"/>
  <c r="AN461" i="1"/>
  <c r="AM461" i="1"/>
  <c r="AL461" i="1"/>
  <c r="AJ461" i="1"/>
  <c r="AK461" i="1" s="1"/>
  <c r="AI461" i="1"/>
  <c r="AM460" i="1"/>
  <c r="AL460" i="1"/>
  <c r="AJ460" i="1"/>
  <c r="AK460" i="1" s="1"/>
  <c r="AI460" i="1"/>
  <c r="BB459" i="1"/>
  <c r="AS459" i="1"/>
  <c r="BV459" i="1" s="1"/>
  <c r="AQ459" i="1"/>
  <c r="BT459" i="1" s="1"/>
  <c r="AP459" i="1"/>
  <c r="AM459" i="1"/>
  <c r="AL459" i="1"/>
  <c r="AJ459" i="1"/>
  <c r="AK459" i="1" s="1"/>
  <c r="AI459" i="1"/>
  <c r="BG458" i="1"/>
  <c r="BF458" i="1"/>
  <c r="BE458" i="1"/>
  <c r="BD458" i="1"/>
  <c r="BC458" i="1"/>
  <c r="BA458" i="1"/>
  <c r="AY458" i="1"/>
  <c r="AX458" i="1"/>
  <c r="AT458" i="1"/>
  <c r="BW458" i="1" s="1"/>
  <c r="AS458" i="1"/>
  <c r="BV458" i="1" s="1"/>
  <c r="AR458" i="1"/>
  <c r="BU458" i="1" s="1"/>
  <c r="AQ458" i="1"/>
  <c r="BT458" i="1" s="1"/>
  <c r="AP458" i="1"/>
  <c r="AM458" i="1"/>
  <c r="AL458" i="1"/>
  <c r="AJ458" i="1"/>
  <c r="AK458" i="1" s="1"/>
  <c r="AI458" i="1"/>
  <c r="AZ458" i="1" s="1"/>
  <c r="BU457" i="1"/>
  <c r="BG457" i="1"/>
  <c r="BF457" i="1"/>
  <c r="BE457" i="1"/>
  <c r="BD457" i="1"/>
  <c r="BC457" i="1"/>
  <c r="BB457" i="1"/>
  <c r="BA457" i="1"/>
  <c r="AZ457" i="1"/>
  <c r="AX457" i="1"/>
  <c r="AS457" i="1"/>
  <c r="BV457" i="1" s="1"/>
  <c r="AR457" i="1"/>
  <c r="AQ457" i="1"/>
  <c r="BT457" i="1" s="1"/>
  <c r="AP457" i="1"/>
  <c r="AN457" i="1"/>
  <c r="AM457" i="1"/>
  <c r="AL457" i="1"/>
  <c r="AK457" i="1"/>
  <c r="AJ457" i="1"/>
  <c r="AI457" i="1"/>
  <c r="AY457" i="1" s="1"/>
  <c r="BT456" i="1"/>
  <c r="BS456" i="1"/>
  <c r="BG456" i="1"/>
  <c r="BE456" i="1"/>
  <c r="BD456" i="1"/>
  <c r="BC456" i="1"/>
  <c r="BB456" i="1"/>
  <c r="BA456" i="1"/>
  <c r="AZ456" i="1"/>
  <c r="AY456" i="1"/>
  <c r="AT456" i="1"/>
  <c r="BW456" i="1" s="1"/>
  <c r="AS456" i="1"/>
  <c r="BV456" i="1" s="1"/>
  <c r="AR456" i="1"/>
  <c r="BU456" i="1" s="1"/>
  <c r="AQ456" i="1"/>
  <c r="AP456" i="1"/>
  <c r="AN456" i="1"/>
  <c r="AM456" i="1"/>
  <c r="AL456" i="1"/>
  <c r="AJ456" i="1"/>
  <c r="AK456" i="1" s="1"/>
  <c r="AI456" i="1"/>
  <c r="BF456" i="1" s="1"/>
  <c r="BC455" i="1"/>
  <c r="AM455" i="1"/>
  <c r="AL455" i="1"/>
  <c r="AK455" i="1"/>
  <c r="AJ455" i="1"/>
  <c r="AI455" i="1"/>
  <c r="BW454" i="1"/>
  <c r="BV454" i="1"/>
  <c r="BT454" i="1"/>
  <c r="BG454" i="1"/>
  <c r="BE454" i="1"/>
  <c r="BD454" i="1"/>
  <c r="BC454" i="1"/>
  <c r="BB454" i="1"/>
  <c r="BA454" i="1"/>
  <c r="AZ454" i="1"/>
  <c r="AY454" i="1"/>
  <c r="AX454" i="1"/>
  <c r="AT454" i="1"/>
  <c r="AS454" i="1"/>
  <c r="AR454" i="1"/>
  <c r="BU454" i="1" s="1"/>
  <c r="AQ454" i="1"/>
  <c r="AP454" i="1"/>
  <c r="AN454" i="1"/>
  <c r="AM454" i="1"/>
  <c r="AL454" i="1"/>
  <c r="AJ454" i="1"/>
  <c r="AK454" i="1" s="1"/>
  <c r="AI454" i="1"/>
  <c r="BF454" i="1" s="1"/>
  <c r="AT453" i="1"/>
  <c r="BW453" i="1" s="1"/>
  <c r="AR453" i="1"/>
  <c r="BU453" i="1" s="1"/>
  <c r="AN453" i="1"/>
  <c r="AM453" i="1"/>
  <c r="AL453" i="1"/>
  <c r="AK453" i="1"/>
  <c r="AJ453" i="1"/>
  <c r="AI453" i="1"/>
  <c r="AS452" i="1"/>
  <c r="BV452" i="1" s="1"/>
  <c r="AN452" i="1"/>
  <c r="AM452" i="1"/>
  <c r="AL452" i="1"/>
  <c r="AJ452" i="1"/>
  <c r="AK452" i="1" s="1"/>
  <c r="AI452" i="1"/>
  <c r="AM451" i="1"/>
  <c r="AL451" i="1"/>
  <c r="AK451" i="1"/>
  <c r="AJ451" i="1"/>
  <c r="AI451" i="1"/>
  <c r="BF450" i="1"/>
  <c r="AX450" i="1"/>
  <c r="AM450" i="1"/>
  <c r="AL450" i="1"/>
  <c r="AJ450" i="1"/>
  <c r="AK450" i="1" s="1"/>
  <c r="AI450" i="1"/>
  <c r="AM449" i="1"/>
  <c r="AL449" i="1"/>
  <c r="AJ449" i="1"/>
  <c r="AK449" i="1" s="1"/>
  <c r="AI449" i="1"/>
  <c r="BW448" i="1"/>
  <c r="BU448" i="1"/>
  <c r="BF448" i="1"/>
  <c r="BD448" i="1"/>
  <c r="BB448" i="1"/>
  <c r="AT448" i="1"/>
  <c r="AR448" i="1"/>
  <c r="AQ448" i="1"/>
  <c r="BT448" i="1" s="1"/>
  <c r="AN448" i="1"/>
  <c r="AM448" i="1"/>
  <c r="AL448" i="1"/>
  <c r="AK448" i="1"/>
  <c r="AJ448" i="1"/>
  <c r="AI448" i="1"/>
  <c r="BU447" i="1"/>
  <c r="BF447" i="1"/>
  <c r="BE447" i="1"/>
  <c r="BD447" i="1"/>
  <c r="BC447" i="1"/>
  <c r="BA447" i="1"/>
  <c r="AZ447" i="1"/>
  <c r="AX447" i="1"/>
  <c r="AW447" i="1"/>
  <c r="AT447" i="1"/>
  <c r="BW447" i="1" s="1"/>
  <c r="AS447" i="1"/>
  <c r="BV447" i="1" s="1"/>
  <c r="AR447" i="1"/>
  <c r="AQ447" i="1"/>
  <c r="BT447" i="1" s="1"/>
  <c r="AP447" i="1"/>
  <c r="AM447" i="1"/>
  <c r="AL447" i="1"/>
  <c r="AK447" i="1"/>
  <c r="AJ447" i="1"/>
  <c r="AI447" i="1"/>
  <c r="BV446" i="1"/>
  <c r="BS446" i="1"/>
  <c r="BG446" i="1"/>
  <c r="BF446" i="1"/>
  <c r="BD446" i="1"/>
  <c r="BC446" i="1"/>
  <c r="BB446" i="1"/>
  <c r="BA446" i="1"/>
  <c r="AZ446" i="1"/>
  <c r="AS446" i="1"/>
  <c r="AQ446" i="1"/>
  <c r="BT446" i="1" s="1"/>
  <c r="AP446" i="1"/>
  <c r="AM446" i="1"/>
  <c r="AL446" i="1"/>
  <c r="AJ446" i="1"/>
  <c r="AK446" i="1" s="1"/>
  <c r="AI446" i="1"/>
  <c r="BE446" i="1" s="1"/>
  <c r="BW445" i="1"/>
  <c r="BF445" i="1"/>
  <c r="BD445" i="1"/>
  <c r="BB445" i="1"/>
  <c r="AZ445" i="1"/>
  <c r="AY445" i="1"/>
  <c r="AX445" i="1"/>
  <c r="AT445" i="1"/>
  <c r="AS445" i="1"/>
  <c r="BV445" i="1" s="1"/>
  <c r="AP445" i="1"/>
  <c r="AM445" i="1"/>
  <c r="AL445" i="1"/>
  <c r="AK445" i="1"/>
  <c r="AJ445" i="1"/>
  <c r="AI445" i="1"/>
  <c r="BV444" i="1"/>
  <c r="BG444" i="1"/>
  <c r="BE444" i="1"/>
  <c r="BD444" i="1"/>
  <c r="BC444" i="1"/>
  <c r="BB444" i="1"/>
  <c r="BA444" i="1"/>
  <c r="AZ444" i="1"/>
  <c r="AY444" i="1"/>
  <c r="AX444" i="1"/>
  <c r="AS444" i="1"/>
  <c r="AR444" i="1"/>
  <c r="BU444" i="1" s="1"/>
  <c r="AQ444" i="1"/>
  <c r="BT444" i="1" s="1"/>
  <c r="AP444" i="1"/>
  <c r="BS444" i="1" s="1"/>
  <c r="AN444" i="1"/>
  <c r="AM444" i="1"/>
  <c r="AL444" i="1"/>
  <c r="AK444" i="1"/>
  <c r="AJ444" i="1"/>
  <c r="AI444" i="1"/>
  <c r="AT444" i="1" s="1"/>
  <c r="AM443" i="1"/>
  <c r="AL443" i="1"/>
  <c r="AJ443" i="1"/>
  <c r="AK443" i="1" s="1"/>
  <c r="AI443" i="1"/>
  <c r="BF443" i="1" s="1"/>
  <c r="BS442" i="1"/>
  <c r="BE442" i="1"/>
  <c r="AZ442" i="1"/>
  <c r="AX442" i="1"/>
  <c r="AT442" i="1"/>
  <c r="BW442" i="1" s="1"/>
  <c r="AQ442" i="1"/>
  <c r="BT442" i="1" s="1"/>
  <c r="AP442" i="1"/>
  <c r="AM442" i="1"/>
  <c r="AL442" i="1"/>
  <c r="AJ442" i="1"/>
  <c r="AK442" i="1" s="1"/>
  <c r="AI442" i="1"/>
  <c r="BU441" i="1"/>
  <c r="BS441" i="1"/>
  <c r="BG441" i="1"/>
  <c r="BF441" i="1"/>
  <c r="BE441" i="1"/>
  <c r="BD441" i="1"/>
  <c r="BB441" i="1"/>
  <c r="AZ441" i="1"/>
  <c r="AY441" i="1"/>
  <c r="AX441" i="1"/>
  <c r="AT441" i="1"/>
  <c r="BW441" i="1" s="1"/>
  <c r="AS441" i="1"/>
  <c r="BV441" i="1" s="1"/>
  <c r="AR441" i="1"/>
  <c r="AP441" i="1"/>
  <c r="AN441" i="1"/>
  <c r="AM441" i="1"/>
  <c r="AL441" i="1"/>
  <c r="AJ441" i="1"/>
  <c r="AK441" i="1" s="1"/>
  <c r="AI441" i="1"/>
  <c r="BA441" i="1" s="1"/>
  <c r="BW440" i="1"/>
  <c r="BU440" i="1"/>
  <c r="BT440" i="1"/>
  <c r="BG440" i="1"/>
  <c r="BF440" i="1"/>
  <c r="BE440" i="1"/>
  <c r="BD440" i="1"/>
  <c r="BC440" i="1"/>
  <c r="BA440" i="1"/>
  <c r="AZ440" i="1"/>
  <c r="AY440" i="1"/>
  <c r="AX440" i="1"/>
  <c r="AT440" i="1"/>
  <c r="AS440" i="1"/>
  <c r="BV440" i="1" s="1"/>
  <c r="AR440" i="1"/>
  <c r="AQ440" i="1"/>
  <c r="AN440" i="1"/>
  <c r="AM440" i="1"/>
  <c r="AL440" i="1"/>
  <c r="AJ440" i="1"/>
  <c r="AK440" i="1" s="1"/>
  <c r="AI440" i="1"/>
  <c r="BV439" i="1"/>
  <c r="BS439" i="1"/>
  <c r="BG439" i="1"/>
  <c r="BF439" i="1"/>
  <c r="BE439" i="1"/>
  <c r="BC439" i="1"/>
  <c r="AZ439" i="1"/>
  <c r="AX439" i="1"/>
  <c r="AT439" i="1"/>
  <c r="BW439" i="1" s="1"/>
  <c r="AS439" i="1"/>
  <c r="AR439" i="1"/>
  <c r="BU439" i="1" s="1"/>
  <c r="AP439" i="1"/>
  <c r="AM439" i="1"/>
  <c r="AL439" i="1"/>
  <c r="AJ439" i="1"/>
  <c r="AK439" i="1" s="1"/>
  <c r="AI439" i="1"/>
  <c r="BS438" i="1"/>
  <c r="BG438" i="1"/>
  <c r="BD438" i="1"/>
  <c r="BB438" i="1"/>
  <c r="BA438" i="1"/>
  <c r="AX438" i="1"/>
  <c r="AT438" i="1"/>
  <c r="BW438" i="1" s="1"/>
  <c r="AR438" i="1"/>
  <c r="BU438" i="1" s="1"/>
  <c r="AP438" i="1"/>
  <c r="AM438" i="1"/>
  <c r="AL438" i="1"/>
  <c r="AK438" i="1"/>
  <c r="AJ438" i="1"/>
  <c r="AI438" i="1"/>
  <c r="BE438" i="1" s="1"/>
  <c r="BV437" i="1"/>
  <c r="BU437" i="1"/>
  <c r="BT437" i="1"/>
  <c r="BF437" i="1"/>
  <c r="BE437" i="1"/>
  <c r="BD437" i="1"/>
  <c r="BC437" i="1"/>
  <c r="BB437" i="1"/>
  <c r="BA437" i="1"/>
  <c r="AZ437" i="1"/>
  <c r="AX437" i="1"/>
  <c r="AS437" i="1"/>
  <c r="AR437" i="1"/>
  <c r="AQ437" i="1"/>
  <c r="AP437" i="1"/>
  <c r="BS437" i="1" s="1"/>
  <c r="AN437" i="1"/>
  <c r="AM437" i="1"/>
  <c r="AL437" i="1"/>
  <c r="AJ437" i="1"/>
  <c r="AK437" i="1" s="1"/>
  <c r="AI437" i="1"/>
  <c r="AY437" i="1" s="1"/>
  <c r="BG436" i="1"/>
  <c r="BF436" i="1"/>
  <c r="BE436" i="1"/>
  <c r="AY436" i="1"/>
  <c r="AR436" i="1"/>
  <c r="BU436" i="1" s="1"/>
  <c r="AM436" i="1"/>
  <c r="AL436" i="1"/>
  <c r="AJ436" i="1"/>
  <c r="AK436" i="1" s="1"/>
  <c r="AI436" i="1"/>
  <c r="AM435" i="1"/>
  <c r="AL435" i="1"/>
  <c r="AK435" i="1"/>
  <c r="AJ435" i="1"/>
  <c r="AI435" i="1"/>
  <c r="BW434" i="1"/>
  <c r="BV434" i="1"/>
  <c r="BT434" i="1"/>
  <c r="BG434" i="1"/>
  <c r="BE434" i="1"/>
  <c r="BD434" i="1"/>
  <c r="BC434" i="1"/>
  <c r="BB434" i="1"/>
  <c r="BA434" i="1"/>
  <c r="AZ434" i="1"/>
  <c r="AY434" i="1"/>
  <c r="AX434" i="1"/>
  <c r="AT434" i="1"/>
  <c r="AS434" i="1"/>
  <c r="AR434" i="1"/>
  <c r="BU434" i="1" s="1"/>
  <c r="AQ434" i="1"/>
  <c r="AP434" i="1"/>
  <c r="AN434" i="1"/>
  <c r="AM434" i="1"/>
  <c r="AL434" i="1"/>
  <c r="AK434" i="1"/>
  <c r="AJ434" i="1"/>
  <c r="AI434" i="1"/>
  <c r="BF434" i="1" s="1"/>
  <c r="BS433" i="1"/>
  <c r="BG433" i="1"/>
  <c r="BD433" i="1"/>
  <c r="BB433" i="1"/>
  <c r="AZ433" i="1"/>
  <c r="AY433" i="1"/>
  <c r="AX433" i="1"/>
  <c r="AT433" i="1"/>
  <c r="BW433" i="1" s="1"/>
  <c r="AQ433" i="1"/>
  <c r="BT433" i="1" s="1"/>
  <c r="AP433" i="1"/>
  <c r="AN433" i="1"/>
  <c r="AM433" i="1"/>
  <c r="AL433" i="1"/>
  <c r="AJ433" i="1"/>
  <c r="AK433" i="1" s="1"/>
  <c r="AI433" i="1"/>
  <c r="BW432" i="1"/>
  <c r="BG432" i="1"/>
  <c r="BF432" i="1"/>
  <c r="BE432" i="1"/>
  <c r="BC432" i="1"/>
  <c r="BB432" i="1"/>
  <c r="AZ432" i="1"/>
  <c r="AY432" i="1"/>
  <c r="AX432" i="1"/>
  <c r="AT432" i="1"/>
  <c r="AS432" i="1"/>
  <c r="BV432" i="1" s="1"/>
  <c r="AQ432" i="1"/>
  <c r="BT432" i="1" s="1"/>
  <c r="AP432" i="1"/>
  <c r="AN432" i="1"/>
  <c r="AM432" i="1"/>
  <c r="AL432" i="1"/>
  <c r="AJ432" i="1"/>
  <c r="AK432" i="1" s="1"/>
  <c r="AI432" i="1"/>
  <c r="BA432" i="1" s="1"/>
  <c r="AS431" i="1"/>
  <c r="BV431" i="1" s="1"/>
  <c r="AM431" i="1"/>
  <c r="AL431" i="1"/>
  <c r="AK431" i="1"/>
  <c r="AJ431" i="1"/>
  <c r="AI431" i="1"/>
  <c r="BW430" i="1"/>
  <c r="BT430" i="1"/>
  <c r="BS430" i="1"/>
  <c r="BG430" i="1"/>
  <c r="BE430" i="1"/>
  <c r="BC430" i="1"/>
  <c r="AZ430" i="1"/>
  <c r="AY430" i="1"/>
  <c r="AX430" i="1"/>
  <c r="AT430" i="1"/>
  <c r="AQ430" i="1"/>
  <c r="AP430" i="1"/>
  <c r="AN430" i="1"/>
  <c r="AM430" i="1"/>
  <c r="AL430" i="1"/>
  <c r="AJ430" i="1"/>
  <c r="AK430" i="1" s="1"/>
  <c r="AI430" i="1"/>
  <c r="BF429" i="1"/>
  <c r="BD429" i="1"/>
  <c r="BA429" i="1"/>
  <c r="AS429" i="1"/>
  <c r="BV429" i="1" s="1"/>
  <c r="AR429" i="1"/>
  <c r="BU429" i="1" s="1"/>
  <c r="AP429" i="1"/>
  <c r="AM429" i="1"/>
  <c r="AL429" i="1"/>
  <c r="AJ429" i="1"/>
  <c r="AK429" i="1" s="1"/>
  <c r="AI429" i="1"/>
  <c r="AM428" i="1"/>
  <c r="AL428" i="1"/>
  <c r="AJ428" i="1"/>
  <c r="AK428" i="1" s="1"/>
  <c r="AI428" i="1"/>
  <c r="BW427" i="1"/>
  <c r="BV427" i="1"/>
  <c r="BG427" i="1"/>
  <c r="BE427" i="1"/>
  <c r="BD427" i="1"/>
  <c r="BC427" i="1"/>
  <c r="BB427" i="1"/>
  <c r="BA427" i="1"/>
  <c r="AZ427" i="1"/>
  <c r="AY427" i="1"/>
  <c r="AT427" i="1"/>
  <c r="AS427" i="1"/>
  <c r="AR427" i="1"/>
  <c r="BU427" i="1" s="1"/>
  <c r="AQ427" i="1"/>
  <c r="BT427" i="1" s="1"/>
  <c r="AP427" i="1"/>
  <c r="AN427" i="1"/>
  <c r="AM427" i="1"/>
  <c r="AL427" i="1"/>
  <c r="AJ427" i="1"/>
  <c r="AK427" i="1" s="1"/>
  <c r="AI427" i="1"/>
  <c r="BF427" i="1" s="1"/>
  <c r="BV426" i="1"/>
  <c r="BU426" i="1"/>
  <c r="BT426" i="1"/>
  <c r="BS426" i="1"/>
  <c r="BF426" i="1"/>
  <c r="BE426" i="1"/>
  <c r="BD426" i="1"/>
  <c r="BC426" i="1"/>
  <c r="BB426" i="1"/>
  <c r="BA426" i="1"/>
  <c r="AZ426" i="1"/>
  <c r="AY426" i="1"/>
  <c r="AS426" i="1"/>
  <c r="AR426" i="1"/>
  <c r="AQ426" i="1"/>
  <c r="AP426" i="1"/>
  <c r="AN426" i="1"/>
  <c r="AM426" i="1"/>
  <c r="AL426" i="1"/>
  <c r="AJ426" i="1"/>
  <c r="AK426" i="1" s="1"/>
  <c r="AI426" i="1"/>
  <c r="AX426" i="1" s="1"/>
  <c r="AM425" i="1"/>
  <c r="AL425" i="1"/>
  <c r="AK425" i="1"/>
  <c r="AJ425" i="1"/>
  <c r="AI425" i="1"/>
  <c r="BT424" i="1"/>
  <c r="BG424" i="1"/>
  <c r="BF424" i="1"/>
  <c r="BE424" i="1"/>
  <c r="BD424" i="1"/>
  <c r="BB424" i="1"/>
  <c r="BA424" i="1"/>
  <c r="AZ424" i="1"/>
  <c r="AX424" i="1"/>
  <c r="AS424" i="1"/>
  <c r="BV424" i="1" s="1"/>
  <c r="AR424" i="1"/>
  <c r="BU424" i="1" s="1"/>
  <c r="AQ424" i="1"/>
  <c r="AN424" i="1"/>
  <c r="AM424" i="1"/>
  <c r="AL424" i="1"/>
  <c r="AJ424" i="1"/>
  <c r="AK424" i="1" s="1"/>
  <c r="AI424" i="1"/>
  <c r="BV423" i="1"/>
  <c r="BF423" i="1"/>
  <c r="BD423" i="1"/>
  <c r="AS423" i="1"/>
  <c r="AQ423" i="1"/>
  <c r="BT423" i="1" s="1"/>
  <c r="AM423" i="1"/>
  <c r="AL423" i="1"/>
  <c r="AK423" i="1"/>
  <c r="AJ423" i="1"/>
  <c r="AI423" i="1"/>
  <c r="BW421" i="1"/>
  <c r="BD421" i="1"/>
  <c r="AY421" i="1"/>
  <c r="AT421" i="1"/>
  <c r="AR421" i="1"/>
  <c r="BU421" i="1" s="1"/>
  <c r="AP421" i="1"/>
  <c r="AM421" i="1"/>
  <c r="AL421" i="1"/>
  <c r="AK421" i="1"/>
  <c r="AJ421" i="1"/>
  <c r="AI421" i="1"/>
  <c r="BU420" i="1"/>
  <c r="BG420" i="1"/>
  <c r="BE420" i="1"/>
  <c r="BB420" i="1"/>
  <c r="AT420" i="1"/>
  <c r="BW420" i="1" s="1"/>
  <c r="AS420" i="1"/>
  <c r="BV420" i="1" s="1"/>
  <c r="AR420" i="1"/>
  <c r="AN420" i="1"/>
  <c r="AM420" i="1"/>
  <c r="AL420" i="1"/>
  <c r="AK420" i="1"/>
  <c r="AJ420" i="1"/>
  <c r="AI420" i="1"/>
  <c r="BT419" i="1"/>
  <c r="BF419" i="1"/>
  <c r="BE419" i="1"/>
  <c r="BD419" i="1"/>
  <c r="BC419" i="1"/>
  <c r="BB419" i="1"/>
  <c r="AY419" i="1"/>
  <c r="AX419" i="1"/>
  <c r="AT419" i="1"/>
  <c r="BW419" i="1" s="1"/>
  <c r="AS419" i="1"/>
  <c r="BV419" i="1" s="1"/>
  <c r="AR419" i="1"/>
  <c r="BU419" i="1" s="1"/>
  <c r="AQ419" i="1"/>
  <c r="AP419" i="1"/>
  <c r="AN419" i="1"/>
  <c r="AM419" i="1"/>
  <c r="AL419" i="1"/>
  <c r="AJ419" i="1"/>
  <c r="AK419" i="1" s="1"/>
  <c r="AI419" i="1"/>
  <c r="BA419" i="1" s="1"/>
  <c r="BF418" i="1"/>
  <c r="BD418" i="1"/>
  <c r="BA418" i="1"/>
  <c r="AZ418" i="1"/>
  <c r="AY418" i="1"/>
  <c r="AQ418" i="1"/>
  <c r="BT418" i="1" s="1"/>
  <c r="AN418" i="1"/>
  <c r="AM418" i="1"/>
  <c r="AL418" i="1"/>
  <c r="AJ418" i="1"/>
  <c r="AK418" i="1" s="1"/>
  <c r="AI418" i="1"/>
  <c r="BD417" i="1"/>
  <c r="AM417" i="1"/>
  <c r="AL417" i="1"/>
  <c r="AK417" i="1"/>
  <c r="AJ417" i="1"/>
  <c r="AI417" i="1"/>
  <c r="BW416" i="1"/>
  <c r="BU416" i="1"/>
  <c r="BT416" i="1"/>
  <c r="BS416" i="1"/>
  <c r="BG416" i="1"/>
  <c r="BE416" i="1"/>
  <c r="BD416" i="1"/>
  <c r="BC416" i="1"/>
  <c r="BB416" i="1"/>
  <c r="BA416" i="1"/>
  <c r="AZ416" i="1"/>
  <c r="AY416" i="1"/>
  <c r="AX416" i="1"/>
  <c r="AW416" i="1"/>
  <c r="AS416" i="1"/>
  <c r="AR416" i="1"/>
  <c r="AQ416" i="1"/>
  <c r="AP416" i="1"/>
  <c r="AN416" i="1"/>
  <c r="AM416" i="1"/>
  <c r="AL416" i="1"/>
  <c r="AK416" i="1"/>
  <c r="AJ416" i="1"/>
  <c r="AI416" i="1"/>
  <c r="AT416" i="1" s="1"/>
  <c r="BW415" i="1"/>
  <c r="BG415" i="1"/>
  <c r="BF415" i="1"/>
  <c r="BD415" i="1"/>
  <c r="BB415" i="1"/>
  <c r="AZ415" i="1"/>
  <c r="AY415" i="1"/>
  <c r="AX415" i="1"/>
  <c r="AT415" i="1"/>
  <c r="AR415" i="1"/>
  <c r="BU415" i="1" s="1"/>
  <c r="AQ415" i="1"/>
  <c r="BT415" i="1" s="1"/>
  <c r="AP415" i="1"/>
  <c r="AN415" i="1"/>
  <c r="AM415" i="1"/>
  <c r="AL415" i="1"/>
  <c r="AJ415" i="1"/>
  <c r="AK415" i="1" s="1"/>
  <c r="AI415" i="1"/>
  <c r="BW414" i="1"/>
  <c r="BG414" i="1"/>
  <c r="BF414" i="1"/>
  <c r="BE414" i="1"/>
  <c r="BB414" i="1"/>
  <c r="BA414" i="1"/>
  <c r="AZ414" i="1"/>
  <c r="AY414" i="1"/>
  <c r="AX414" i="1"/>
  <c r="AT414" i="1"/>
  <c r="AS414" i="1"/>
  <c r="BV414" i="1" s="1"/>
  <c r="AQ414" i="1"/>
  <c r="BT414" i="1" s="1"/>
  <c r="AM414" i="1"/>
  <c r="AL414" i="1"/>
  <c r="AK414" i="1"/>
  <c r="AJ414" i="1"/>
  <c r="AI414" i="1"/>
  <c r="BG413" i="1"/>
  <c r="BF413" i="1"/>
  <c r="BE413" i="1"/>
  <c r="BD413" i="1"/>
  <c r="BB413" i="1"/>
  <c r="AZ413" i="1"/>
  <c r="AX413" i="1"/>
  <c r="AS413" i="1"/>
  <c r="BV413" i="1" s="1"/>
  <c r="AP413" i="1"/>
  <c r="BS413" i="1" s="1"/>
  <c r="AM413" i="1"/>
  <c r="AL413" i="1"/>
  <c r="AJ413" i="1"/>
  <c r="AK413" i="1" s="1"/>
  <c r="AI413" i="1"/>
  <c r="BG412" i="1"/>
  <c r="BF412" i="1"/>
  <c r="BE412" i="1"/>
  <c r="BC412" i="1"/>
  <c r="AY412" i="1"/>
  <c r="AR412" i="1"/>
  <c r="BU412" i="1" s="1"/>
  <c r="AN412" i="1"/>
  <c r="AM412" i="1"/>
  <c r="AL412" i="1"/>
  <c r="AJ412" i="1"/>
  <c r="AK412" i="1" s="1"/>
  <c r="AI412" i="1"/>
  <c r="AM411" i="1"/>
  <c r="AL411" i="1"/>
  <c r="AK411" i="1"/>
  <c r="AJ411" i="1"/>
  <c r="AI411" i="1"/>
  <c r="BG410" i="1"/>
  <c r="BE410" i="1"/>
  <c r="BD410" i="1"/>
  <c r="BC410" i="1"/>
  <c r="BB410" i="1"/>
  <c r="BA410" i="1"/>
  <c r="AY410" i="1"/>
  <c r="AX410" i="1"/>
  <c r="AT410" i="1"/>
  <c r="BW410" i="1" s="1"/>
  <c r="AS410" i="1"/>
  <c r="BV410" i="1" s="1"/>
  <c r="AR410" i="1"/>
  <c r="BU410" i="1" s="1"/>
  <c r="AQ410" i="1"/>
  <c r="BT410" i="1" s="1"/>
  <c r="AP410" i="1"/>
  <c r="AN410" i="1"/>
  <c r="AM410" i="1"/>
  <c r="AL410" i="1"/>
  <c r="AJ410" i="1"/>
  <c r="AK410" i="1" s="1"/>
  <c r="AI410" i="1"/>
  <c r="BF410" i="1" s="1"/>
  <c r="BG409" i="1"/>
  <c r="BF409" i="1"/>
  <c r="BE409" i="1"/>
  <c r="BC409" i="1"/>
  <c r="BB409" i="1"/>
  <c r="BA409" i="1"/>
  <c r="AZ409" i="1"/>
  <c r="AX409" i="1"/>
  <c r="AT409" i="1"/>
  <c r="BW409" i="1" s="1"/>
  <c r="AR409" i="1"/>
  <c r="BU409" i="1" s="1"/>
  <c r="AQ409" i="1"/>
  <c r="BT409" i="1" s="1"/>
  <c r="AP409" i="1"/>
  <c r="AM409" i="1"/>
  <c r="AL409" i="1"/>
  <c r="AK409" i="1"/>
  <c r="AJ409" i="1"/>
  <c r="AI409" i="1"/>
  <c r="BW408" i="1"/>
  <c r="BV408" i="1"/>
  <c r="BU408" i="1"/>
  <c r="BS408" i="1"/>
  <c r="BG408" i="1"/>
  <c r="BE408" i="1"/>
  <c r="BD408" i="1"/>
  <c r="BC408" i="1"/>
  <c r="BB408" i="1"/>
  <c r="BA408" i="1"/>
  <c r="AZ408" i="1"/>
  <c r="AY408" i="1"/>
  <c r="AT408" i="1"/>
  <c r="AS408" i="1"/>
  <c r="AR408" i="1"/>
  <c r="AQ408" i="1"/>
  <c r="BT408" i="1" s="1"/>
  <c r="AP408" i="1"/>
  <c r="AN408" i="1"/>
  <c r="AM408" i="1"/>
  <c r="AL408" i="1"/>
  <c r="AJ408" i="1"/>
  <c r="AK408" i="1" s="1"/>
  <c r="AI408" i="1"/>
  <c r="BF408" i="1" s="1"/>
  <c r="BD407" i="1"/>
  <c r="BB407" i="1"/>
  <c r="AM407" i="1"/>
  <c r="AL407" i="1"/>
  <c r="AK407" i="1"/>
  <c r="AJ407" i="1"/>
  <c r="AI407" i="1"/>
  <c r="BW406" i="1"/>
  <c r="BG406" i="1"/>
  <c r="BE406" i="1"/>
  <c r="BD406" i="1"/>
  <c r="BC406" i="1"/>
  <c r="BB406" i="1"/>
  <c r="BA406" i="1"/>
  <c r="AZ406" i="1"/>
  <c r="AY406" i="1"/>
  <c r="AX406" i="1"/>
  <c r="AT406" i="1"/>
  <c r="AS406" i="1"/>
  <c r="BV406" i="1" s="1"/>
  <c r="AR406" i="1"/>
  <c r="BU406" i="1" s="1"/>
  <c r="AQ406" i="1"/>
  <c r="BT406" i="1" s="1"/>
  <c r="AP406" i="1"/>
  <c r="AN406" i="1"/>
  <c r="AM406" i="1"/>
  <c r="AL406" i="1"/>
  <c r="AJ406" i="1"/>
  <c r="AK406" i="1" s="1"/>
  <c r="AI406" i="1"/>
  <c r="BF406" i="1" s="1"/>
  <c r="BG405" i="1"/>
  <c r="BC405" i="1"/>
  <c r="AZ405" i="1"/>
  <c r="AX405" i="1"/>
  <c r="AT405" i="1"/>
  <c r="BW405" i="1" s="1"/>
  <c r="AR405" i="1"/>
  <c r="BU405" i="1" s="1"/>
  <c r="AM405" i="1"/>
  <c r="AL405" i="1"/>
  <c r="AK405" i="1"/>
  <c r="AJ405" i="1"/>
  <c r="AI405" i="1"/>
  <c r="AM404" i="1"/>
  <c r="AL404" i="1"/>
  <c r="AJ404" i="1"/>
  <c r="AK404" i="1" s="1"/>
  <c r="AI404" i="1"/>
  <c r="BG403" i="1"/>
  <c r="BF403" i="1"/>
  <c r="BE403" i="1"/>
  <c r="BD403" i="1"/>
  <c r="BA403" i="1"/>
  <c r="AY403" i="1"/>
  <c r="AR403" i="1"/>
  <c r="BU403" i="1" s="1"/>
  <c r="AM403" i="1"/>
  <c r="AL403" i="1"/>
  <c r="AJ403" i="1"/>
  <c r="AK403" i="1" s="1"/>
  <c r="AI403" i="1"/>
  <c r="BE402" i="1"/>
  <c r="BC402" i="1"/>
  <c r="AT402" i="1"/>
  <c r="BW402" i="1" s="1"/>
  <c r="AR402" i="1"/>
  <c r="BU402" i="1" s="1"/>
  <c r="AN402" i="1"/>
  <c r="AM402" i="1"/>
  <c r="AL402" i="1"/>
  <c r="AK402" i="1"/>
  <c r="AJ402" i="1"/>
  <c r="AI402" i="1"/>
  <c r="BW401" i="1"/>
  <c r="BF401" i="1"/>
  <c r="BE401" i="1"/>
  <c r="BD401" i="1"/>
  <c r="BC401" i="1"/>
  <c r="BB401" i="1"/>
  <c r="AZ401" i="1"/>
  <c r="AY401" i="1"/>
  <c r="AX401" i="1"/>
  <c r="AT401" i="1"/>
  <c r="AS401" i="1"/>
  <c r="BV401" i="1" s="1"/>
  <c r="AR401" i="1"/>
  <c r="BU401" i="1" s="1"/>
  <c r="AQ401" i="1"/>
  <c r="BT401" i="1" s="1"/>
  <c r="AP401" i="1"/>
  <c r="AM401" i="1"/>
  <c r="AL401" i="1"/>
  <c r="AK401" i="1"/>
  <c r="AJ401" i="1"/>
  <c r="AI401" i="1"/>
  <c r="BV400" i="1"/>
  <c r="BG400" i="1"/>
  <c r="BF400" i="1"/>
  <c r="BB400" i="1"/>
  <c r="BA400" i="1"/>
  <c r="AX400" i="1"/>
  <c r="AT400" i="1"/>
  <c r="BW400" i="1" s="1"/>
  <c r="AS400" i="1"/>
  <c r="AR400" i="1"/>
  <c r="BU400" i="1" s="1"/>
  <c r="AP400" i="1"/>
  <c r="AM400" i="1"/>
  <c r="AL400" i="1"/>
  <c r="AK400" i="1"/>
  <c r="AJ400" i="1"/>
  <c r="AI400" i="1"/>
  <c r="BT399" i="1"/>
  <c r="BF399" i="1"/>
  <c r="BC399" i="1"/>
  <c r="BB399" i="1"/>
  <c r="AZ399" i="1"/>
  <c r="AS399" i="1"/>
  <c r="BV399" i="1" s="1"/>
  <c r="AR399" i="1"/>
  <c r="BU399" i="1" s="1"/>
  <c r="AQ399" i="1"/>
  <c r="AP399" i="1"/>
  <c r="AN399" i="1"/>
  <c r="AM399" i="1"/>
  <c r="AL399" i="1"/>
  <c r="AJ399" i="1"/>
  <c r="AK399" i="1" s="1"/>
  <c r="AI399" i="1"/>
  <c r="BE399" i="1" s="1"/>
  <c r="BU398" i="1"/>
  <c r="BG398" i="1"/>
  <c r="BF398" i="1"/>
  <c r="BE398" i="1"/>
  <c r="BD398" i="1"/>
  <c r="BC398" i="1"/>
  <c r="BB398" i="1"/>
  <c r="BA398" i="1"/>
  <c r="AZ398" i="1"/>
  <c r="AY398" i="1"/>
  <c r="AT398" i="1"/>
  <c r="BW398" i="1" s="1"/>
  <c r="AS398" i="1"/>
  <c r="BV398" i="1" s="1"/>
  <c r="AR398" i="1"/>
  <c r="AQ398" i="1"/>
  <c r="BT398" i="1" s="1"/>
  <c r="AP398" i="1"/>
  <c r="AN398" i="1"/>
  <c r="AM398" i="1"/>
  <c r="AL398" i="1"/>
  <c r="AJ398" i="1"/>
  <c r="AK398" i="1" s="1"/>
  <c r="AI398" i="1"/>
  <c r="AX398" i="1" s="1"/>
  <c r="BF397" i="1"/>
  <c r="BE397" i="1"/>
  <c r="BC397" i="1"/>
  <c r="BB397" i="1"/>
  <c r="BA397" i="1"/>
  <c r="AZ397" i="1"/>
  <c r="AY397" i="1"/>
  <c r="AX397" i="1"/>
  <c r="AT397" i="1"/>
  <c r="BW397" i="1" s="1"/>
  <c r="AS397" i="1"/>
  <c r="BV397" i="1" s="1"/>
  <c r="AR397" i="1"/>
  <c r="BU397" i="1" s="1"/>
  <c r="AP397" i="1"/>
  <c r="AM397" i="1"/>
  <c r="AL397" i="1"/>
  <c r="AK397" i="1"/>
  <c r="AJ397" i="1"/>
  <c r="AI397" i="1"/>
  <c r="BU396" i="1"/>
  <c r="BG396" i="1"/>
  <c r="BE396" i="1"/>
  <c r="BD396" i="1"/>
  <c r="BC396" i="1"/>
  <c r="BB396" i="1"/>
  <c r="BA396" i="1"/>
  <c r="AZ396" i="1"/>
  <c r="AY396" i="1"/>
  <c r="AX396" i="1"/>
  <c r="AS396" i="1"/>
  <c r="BV396" i="1" s="1"/>
  <c r="AR396" i="1"/>
  <c r="AQ396" i="1"/>
  <c r="BT396" i="1" s="1"/>
  <c r="AP396" i="1"/>
  <c r="AN396" i="1"/>
  <c r="AM396" i="1"/>
  <c r="AL396" i="1"/>
  <c r="AK396" i="1"/>
  <c r="AJ396" i="1"/>
  <c r="AI396" i="1"/>
  <c r="AT396" i="1" s="1"/>
  <c r="BW396" i="1" s="1"/>
  <c r="BC395" i="1"/>
  <c r="BA395" i="1"/>
  <c r="AY395" i="1"/>
  <c r="AM395" i="1"/>
  <c r="AL395" i="1"/>
  <c r="AK395" i="1"/>
  <c r="AJ395" i="1"/>
  <c r="AI395" i="1"/>
  <c r="BF394" i="1"/>
  <c r="BB394" i="1"/>
  <c r="AZ394" i="1"/>
  <c r="AY394" i="1"/>
  <c r="AT394" i="1"/>
  <c r="BW394" i="1" s="1"/>
  <c r="AS394" i="1"/>
  <c r="BV394" i="1" s="1"/>
  <c r="AM394" i="1"/>
  <c r="AL394" i="1"/>
  <c r="AK394" i="1"/>
  <c r="AJ394" i="1"/>
  <c r="AI394" i="1"/>
  <c r="AM393" i="1"/>
  <c r="AL393" i="1"/>
  <c r="AJ393" i="1"/>
  <c r="AK393" i="1" s="1"/>
  <c r="AI393" i="1"/>
  <c r="AM392" i="1"/>
  <c r="AL392" i="1"/>
  <c r="AK392" i="1"/>
  <c r="AJ392" i="1"/>
  <c r="AI392" i="1"/>
  <c r="AR391" i="1"/>
  <c r="BU391" i="1" s="1"/>
  <c r="AM391" i="1"/>
  <c r="AL391" i="1"/>
  <c r="AK391" i="1"/>
  <c r="AJ391" i="1"/>
  <c r="AI391" i="1"/>
  <c r="BB390" i="1"/>
  <c r="BA390" i="1"/>
  <c r="AY390" i="1"/>
  <c r="AS390" i="1"/>
  <c r="BV390" i="1" s="1"/>
  <c r="AP390" i="1"/>
  <c r="AM390" i="1"/>
  <c r="AL390" i="1"/>
  <c r="AJ390" i="1"/>
  <c r="AK390" i="1" s="1"/>
  <c r="AI390" i="1"/>
  <c r="BG389" i="1"/>
  <c r="BE389" i="1"/>
  <c r="BC389" i="1"/>
  <c r="BA389" i="1"/>
  <c r="AZ389" i="1"/>
  <c r="AX389" i="1"/>
  <c r="AT389" i="1"/>
  <c r="BW389" i="1" s="1"/>
  <c r="AR389" i="1"/>
  <c r="BU389" i="1" s="1"/>
  <c r="AQ389" i="1"/>
  <c r="BT389" i="1" s="1"/>
  <c r="AP389" i="1"/>
  <c r="AN389" i="1"/>
  <c r="AM389" i="1"/>
  <c r="AL389" i="1"/>
  <c r="AK389" i="1"/>
  <c r="AJ389" i="1"/>
  <c r="AI389" i="1"/>
  <c r="BG388" i="1"/>
  <c r="BF388" i="1"/>
  <c r="BE388" i="1"/>
  <c r="BD388" i="1"/>
  <c r="BB388" i="1"/>
  <c r="BA388" i="1"/>
  <c r="AZ388" i="1"/>
  <c r="AY388" i="1"/>
  <c r="AT388" i="1"/>
  <c r="BW388" i="1" s="1"/>
  <c r="AS388" i="1"/>
  <c r="BV388" i="1" s="1"/>
  <c r="AR388" i="1"/>
  <c r="BU388" i="1" s="1"/>
  <c r="AQ388" i="1"/>
  <c r="BT388" i="1" s="1"/>
  <c r="AN388" i="1"/>
  <c r="AM388" i="1"/>
  <c r="AL388" i="1"/>
  <c r="AJ388" i="1"/>
  <c r="AK388" i="1" s="1"/>
  <c r="AI388" i="1"/>
  <c r="BV387" i="1"/>
  <c r="BS387" i="1"/>
  <c r="BF387" i="1"/>
  <c r="BE387" i="1"/>
  <c r="BD387" i="1"/>
  <c r="BB387" i="1"/>
  <c r="BA387" i="1"/>
  <c r="AZ387" i="1"/>
  <c r="AX387" i="1"/>
  <c r="AS387" i="1"/>
  <c r="AQ387" i="1"/>
  <c r="BT387" i="1" s="1"/>
  <c r="AP387" i="1"/>
  <c r="AN387" i="1"/>
  <c r="AM387" i="1"/>
  <c r="AL387" i="1"/>
  <c r="AK387" i="1"/>
  <c r="AJ387" i="1"/>
  <c r="AI387" i="1"/>
  <c r="BW386" i="1"/>
  <c r="BV386" i="1"/>
  <c r="BU386" i="1"/>
  <c r="BT386" i="1"/>
  <c r="BS386" i="1"/>
  <c r="BG386" i="1"/>
  <c r="BE386" i="1"/>
  <c r="BD386" i="1"/>
  <c r="BC386" i="1"/>
  <c r="BB386" i="1"/>
  <c r="BA386" i="1"/>
  <c r="AZ386" i="1"/>
  <c r="AY386" i="1"/>
  <c r="AX386" i="1"/>
  <c r="AT386" i="1"/>
  <c r="AS386" i="1"/>
  <c r="AR386" i="1"/>
  <c r="AQ386" i="1"/>
  <c r="AP386" i="1"/>
  <c r="BH386" i="1" s="1"/>
  <c r="AN386" i="1"/>
  <c r="AM386" i="1"/>
  <c r="AL386" i="1"/>
  <c r="AK386" i="1"/>
  <c r="AJ386" i="1"/>
  <c r="AI386" i="1"/>
  <c r="BF386" i="1" s="1"/>
  <c r="AM385" i="1"/>
  <c r="AL385" i="1"/>
  <c r="AK385" i="1"/>
  <c r="AJ385" i="1"/>
  <c r="AI385" i="1"/>
  <c r="BT384" i="1"/>
  <c r="BS384" i="1"/>
  <c r="BG384" i="1"/>
  <c r="BE384" i="1"/>
  <c r="BC384" i="1"/>
  <c r="BA384" i="1"/>
  <c r="AQ384" i="1"/>
  <c r="AP384" i="1"/>
  <c r="AM384" i="1"/>
  <c r="AL384" i="1"/>
  <c r="AJ384" i="1"/>
  <c r="AK384" i="1" s="1"/>
  <c r="AI384" i="1"/>
  <c r="BF383" i="1"/>
  <c r="BA383" i="1"/>
  <c r="AY383" i="1"/>
  <c r="AS383" i="1"/>
  <c r="BV383" i="1" s="1"/>
  <c r="AR383" i="1"/>
  <c r="BU383" i="1" s="1"/>
  <c r="AM383" i="1"/>
  <c r="AL383" i="1"/>
  <c r="AK383" i="1"/>
  <c r="AJ383" i="1"/>
  <c r="AI383" i="1"/>
  <c r="BG382" i="1"/>
  <c r="BF382" i="1"/>
  <c r="BD382" i="1"/>
  <c r="AZ382" i="1"/>
  <c r="AX382" i="1"/>
  <c r="AT382" i="1"/>
  <c r="BW382" i="1" s="1"/>
  <c r="AS382" i="1"/>
  <c r="BV382" i="1" s="1"/>
  <c r="AR382" i="1"/>
  <c r="BU382" i="1" s="1"/>
  <c r="AM382" i="1"/>
  <c r="AL382" i="1"/>
  <c r="AK382" i="1"/>
  <c r="AJ382" i="1"/>
  <c r="AI382" i="1"/>
  <c r="BB381" i="1"/>
  <c r="AZ381" i="1"/>
  <c r="AM381" i="1"/>
  <c r="AL381" i="1"/>
  <c r="AK381" i="1"/>
  <c r="AJ381" i="1"/>
  <c r="AI381" i="1"/>
  <c r="BG380" i="1"/>
  <c r="BF380" i="1"/>
  <c r="BD380" i="1"/>
  <c r="BB380" i="1"/>
  <c r="AY380" i="1"/>
  <c r="AX380" i="1"/>
  <c r="AT380" i="1"/>
  <c r="BW380" i="1" s="1"/>
  <c r="AS380" i="1"/>
  <c r="BV380" i="1" s="1"/>
  <c r="AQ380" i="1"/>
  <c r="BT380" i="1" s="1"/>
  <c r="AP380" i="1"/>
  <c r="AN380" i="1"/>
  <c r="AM380" i="1"/>
  <c r="AL380" i="1"/>
  <c r="AK380" i="1"/>
  <c r="AJ380" i="1"/>
  <c r="AI380" i="1"/>
  <c r="BF379" i="1"/>
  <c r="BE379" i="1"/>
  <c r="BD379" i="1"/>
  <c r="BC379" i="1"/>
  <c r="BA379" i="1"/>
  <c r="AX379" i="1"/>
  <c r="AT379" i="1"/>
  <c r="BW379" i="1" s="1"/>
  <c r="AS379" i="1"/>
  <c r="BV379" i="1" s="1"/>
  <c r="AR379" i="1"/>
  <c r="BU379" i="1" s="1"/>
  <c r="AQ379" i="1"/>
  <c r="BT379" i="1" s="1"/>
  <c r="AP379" i="1"/>
  <c r="AM379" i="1"/>
  <c r="AL379" i="1"/>
  <c r="AK379" i="1"/>
  <c r="AJ379" i="1"/>
  <c r="AI379" i="1"/>
  <c r="BG379" i="1" s="1"/>
  <c r="BV378" i="1"/>
  <c r="BS378" i="1"/>
  <c r="BG378" i="1"/>
  <c r="BF378" i="1"/>
  <c r="BD378" i="1"/>
  <c r="BC378" i="1"/>
  <c r="BB378" i="1"/>
  <c r="BA378" i="1"/>
  <c r="AZ378" i="1"/>
  <c r="AS378" i="1"/>
  <c r="AQ378" i="1"/>
  <c r="BT378" i="1" s="1"/>
  <c r="AP378" i="1"/>
  <c r="AM378" i="1"/>
  <c r="AL378" i="1"/>
  <c r="AJ378" i="1"/>
  <c r="AK378" i="1" s="1"/>
  <c r="AI378" i="1"/>
  <c r="BE378" i="1" s="1"/>
  <c r="AZ377" i="1"/>
  <c r="AY377" i="1"/>
  <c r="AX377" i="1"/>
  <c r="AT377" i="1"/>
  <c r="BW377" i="1" s="1"/>
  <c r="AM377" i="1"/>
  <c r="AL377" i="1"/>
  <c r="AK377" i="1"/>
  <c r="AJ377" i="1"/>
  <c r="AI377" i="1"/>
  <c r="BV376" i="1"/>
  <c r="BG376" i="1"/>
  <c r="BE376" i="1"/>
  <c r="BD376" i="1"/>
  <c r="BC376" i="1"/>
  <c r="BB376" i="1"/>
  <c r="BA376" i="1"/>
  <c r="AZ376" i="1"/>
  <c r="AY376" i="1"/>
  <c r="AX376" i="1"/>
  <c r="AW376" i="1"/>
  <c r="AS376" i="1"/>
  <c r="AR376" i="1"/>
  <c r="BU376" i="1" s="1"/>
  <c r="AQ376" i="1"/>
  <c r="BT376" i="1" s="1"/>
  <c r="AP376" i="1"/>
  <c r="BS376" i="1" s="1"/>
  <c r="AN376" i="1"/>
  <c r="AM376" i="1"/>
  <c r="AL376" i="1"/>
  <c r="AK376" i="1"/>
  <c r="AJ376" i="1"/>
  <c r="AI376" i="1"/>
  <c r="AT376" i="1" s="1"/>
  <c r="BW376" i="1" s="1"/>
  <c r="BW375" i="1"/>
  <c r="BG375" i="1"/>
  <c r="BF375" i="1"/>
  <c r="BC375" i="1"/>
  <c r="BA375" i="1"/>
  <c r="AX375" i="1"/>
  <c r="AT375" i="1"/>
  <c r="AQ375" i="1"/>
  <c r="BT375" i="1" s="1"/>
  <c r="AP375" i="1"/>
  <c r="AM375" i="1"/>
  <c r="AL375" i="1"/>
  <c r="AJ375" i="1"/>
  <c r="AK375" i="1" s="1"/>
  <c r="AI375" i="1"/>
  <c r="AZ374" i="1"/>
  <c r="AX374" i="1"/>
  <c r="AT374" i="1"/>
  <c r="BW374" i="1" s="1"/>
  <c r="AQ374" i="1"/>
  <c r="BT374" i="1" s="1"/>
  <c r="AP374" i="1"/>
  <c r="AM374" i="1"/>
  <c r="AL374" i="1"/>
  <c r="AJ374" i="1"/>
  <c r="AK374" i="1" s="1"/>
  <c r="AI374" i="1"/>
  <c r="BU373" i="1"/>
  <c r="BG373" i="1"/>
  <c r="BF373" i="1"/>
  <c r="BE373" i="1"/>
  <c r="BD373" i="1"/>
  <c r="BB373" i="1"/>
  <c r="AZ373" i="1"/>
  <c r="AY373" i="1"/>
  <c r="AX373" i="1"/>
  <c r="AT373" i="1"/>
  <c r="BW373" i="1" s="1"/>
  <c r="AS373" i="1"/>
  <c r="BV373" i="1" s="1"/>
  <c r="AR373" i="1"/>
  <c r="AP373" i="1"/>
  <c r="AN373" i="1"/>
  <c r="AM373" i="1"/>
  <c r="AL373" i="1"/>
  <c r="AJ373" i="1"/>
  <c r="AK373" i="1" s="1"/>
  <c r="AI373" i="1"/>
  <c r="BA373" i="1" s="1"/>
  <c r="AS372" i="1"/>
  <c r="BV372" i="1" s="1"/>
  <c r="AM372" i="1"/>
  <c r="AL372" i="1"/>
  <c r="AK372" i="1"/>
  <c r="AJ372" i="1"/>
  <c r="AI372" i="1"/>
  <c r="BG371" i="1"/>
  <c r="BC371" i="1"/>
  <c r="AM371" i="1"/>
  <c r="AL371" i="1"/>
  <c r="AK371" i="1"/>
  <c r="AJ371" i="1"/>
  <c r="AI371" i="1"/>
  <c r="BG370" i="1"/>
  <c r="BE370" i="1"/>
  <c r="BA370" i="1"/>
  <c r="AX370" i="1"/>
  <c r="AT370" i="1"/>
  <c r="BW370" i="1" s="1"/>
  <c r="AS370" i="1"/>
  <c r="BV370" i="1" s="1"/>
  <c r="AM370" i="1"/>
  <c r="AL370" i="1"/>
  <c r="AK370" i="1"/>
  <c r="AJ370" i="1"/>
  <c r="AI370" i="1"/>
  <c r="BG369" i="1"/>
  <c r="BE369" i="1"/>
  <c r="BA369" i="1"/>
  <c r="AX369" i="1"/>
  <c r="AT369" i="1"/>
  <c r="BW369" i="1" s="1"/>
  <c r="AR369" i="1"/>
  <c r="BU369" i="1" s="1"/>
  <c r="AP369" i="1"/>
  <c r="AM369" i="1"/>
  <c r="AL369" i="1"/>
  <c r="AK369" i="1"/>
  <c r="AJ369" i="1"/>
  <c r="AI369" i="1"/>
  <c r="BV368" i="1"/>
  <c r="BF368" i="1"/>
  <c r="BE368" i="1"/>
  <c r="BD368" i="1"/>
  <c r="BC368" i="1"/>
  <c r="BB368" i="1"/>
  <c r="BA368" i="1"/>
  <c r="AZ368" i="1"/>
  <c r="AX368" i="1"/>
  <c r="AT368" i="1"/>
  <c r="BW368" i="1" s="1"/>
  <c r="AS368" i="1"/>
  <c r="AR368" i="1"/>
  <c r="BU368" i="1" s="1"/>
  <c r="AQ368" i="1"/>
  <c r="BT368" i="1" s="1"/>
  <c r="AP368" i="1"/>
  <c r="AN368" i="1"/>
  <c r="AM368" i="1"/>
  <c r="AL368" i="1"/>
  <c r="AJ368" i="1"/>
  <c r="AK368" i="1" s="1"/>
  <c r="AI368" i="1"/>
  <c r="BG368" i="1" s="1"/>
  <c r="BU367" i="1"/>
  <c r="BT367" i="1"/>
  <c r="BS367" i="1"/>
  <c r="BF367" i="1"/>
  <c r="BE367" i="1"/>
  <c r="BD367" i="1"/>
  <c r="BC367" i="1"/>
  <c r="BB367" i="1"/>
  <c r="BA367" i="1"/>
  <c r="AZ367" i="1"/>
  <c r="AY367" i="1"/>
  <c r="AX367" i="1"/>
  <c r="AS367" i="1"/>
  <c r="BV367" i="1" s="1"/>
  <c r="AR367" i="1"/>
  <c r="AQ367" i="1"/>
  <c r="AP367" i="1"/>
  <c r="AN367" i="1"/>
  <c r="AM367" i="1"/>
  <c r="AL367" i="1"/>
  <c r="AJ367" i="1"/>
  <c r="AK367" i="1" s="1"/>
  <c r="AI367" i="1"/>
  <c r="AT367" i="1" s="1"/>
  <c r="BW367" i="1" s="1"/>
  <c r="BU366" i="1"/>
  <c r="BS366" i="1"/>
  <c r="BG366" i="1"/>
  <c r="BE366" i="1"/>
  <c r="BD366" i="1"/>
  <c r="BC366" i="1"/>
  <c r="BB366" i="1"/>
  <c r="BA366" i="1"/>
  <c r="AZ366" i="1"/>
  <c r="AY366" i="1"/>
  <c r="AX366" i="1"/>
  <c r="AT366" i="1"/>
  <c r="BW366" i="1" s="1"/>
  <c r="AS366" i="1"/>
  <c r="BV366" i="1" s="1"/>
  <c r="AR366" i="1"/>
  <c r="AQ366" i="1"/>
  <c r="BT366" i="1" s="1"/>
  <c r="AP366" i="1"/>
  <c r="AN366" i="1"/>
  <c r="AM366" i="1"/>
  <c r="AL366" i="1"/>
  <c r="AK366" i="1"/>
  <c r="AJ366" i="1"/>
  <c r="AI366" i="1"/>
  <c r="BF366" i="1" s="1"/>
  <c r="AM365" i="1"/>
  <c r="AL365" i="1"/>
  <c r="AJ365" i="1"/>
  <c r="AK365" i="1" s="1"/>
  <c r="AI365" i="1"/>
  <c r="BG364" i="1"/>
  <c r="BF364" i="1"/>
  <c r="BE364" i="1"/>
  <c r="BC364" i="1"/>
  <c r="BB364" i="1"/>
  <c r="AM364" i="1"/>
  <c r="AL364" i="1"/>
  <c r="AK364" i="1"/>
  <c r="AJ364" i="1"/>
  <c r="AI364" i="1"/>
  <c r="BG363" i="1"/>
  <c r="BE363" i="1"/>
  <c r="BC363" i="1"/>
  <c r="BA363" i="1"/>
  <c r="AY363" i="1"/>
  <c r="AT363" i="1"/>
  <c r="BW363" i="1" s="1"/>
  <c r="AS363" i="1"/>
  <c r="BV363" i="1" s="1"/>
  <c r="AM363" i="1"/>
  <c r="AL363" i="1"/>
  <c r="AK363" i="1"/>
  <c r="AJ363" i="1"/>
  <c r="AI363" i="1"/>
  <c r="BS362" i="1"/>
  <c r="BE362" i="1"/>
  <c r="BC362" i="1"/>
  <c r="AZ362" i="1"/>
  <c r="AY362" i="1"/>
  <c r="AX362" i="1"/>
  <c r="AT362" i="1"/>
  <c r="BW362" i="1" s="1"/>
  <c r="AP362" i="1"/>
  <c r="AM362" i="1"/>
  <c r="AL362" i="1"/>
  <c r="AJ362" i="1"/>
  <c r="AK362" i="1" s="1"/>
  <c r="AI362" i="1"/>
  <c r="BF361" i="1"/>
  <c r="BD361" i="1"/>
  <c r="BB361" i="1"/>
  <c r="AZ361" i="1"/>
  <c r="AX361" i="1"/>
  <c r="AS361" i="1"/>
  <c r="BV361" i="1" s="1"/>
  <c r="AR361" i="1"/>
  <c r="BU361" i="1" s="1"/>
  <c r="AP361" i="1"/>
  <c r="AM361" i="1"/>
  <c r="AL361" i="1"/>
  <c r="AJ361" i="1"/>
  <c r="AK361" i="1" s="1"/>
  <c r="AI361" i="1"/>
  <c r="BF360" i="1"/>
  <c r="BE360" i="1"/>
  <c r="BD360" i="1"/>
  <c r="BC360" i="1"/>
  <c r="BB360" i="1"/>
  <c r="AY360" i="1"/>
  <c r="AX360" i="1"/>
  <c r="AT360" i="1"/>
  <c r="BW360" i="1" s="1"/>
  <c r="AS360" i="1"/>
  <c r="BV360" i="1" s="1"/>
  <c r="AR360" i="1"/>
  <c r="BU360" i="1" s="1"/>
  <c r="AQ360" i="1"/>
  <c r="BT360" i="1" s="1"/>
  <c r="AP360" i="1"/>
  <c r="AN360" i="1"/>
  <c r="AM360" i="1"/>
  <c r="AL360" i="1"/>
  <c r="AJ360" i="1"/>
  <c r="AK360" i="1" s="1"/>
  <c r="AI360" i="1"/>
  <c r="AZ360" i="1" s="1"/>
  <c r="BT359" i="1"/>
  <c r="BG359" i="1"/>
  <c r="BF359" i="1"/>
  <c r="BE359" i="1"/>
  <c r="BC359" i="1"/>
  <c r="BB359" i="1"/>
  <c r="BA359" i="1"/>
  <c r="AZ359" i="1"/>
  <c r="AY359" i="1"/>
  <c r="AS359" i="1"/>
  <c r="BV359" i="1" s="1"/>
  <c r="AQ359" i="1"/>
  <c r="AP359" i="1"/>
  <c r="AM359" i="1"/>
  <c r="AL359" i="1"/>
  <c r="AJ359" i="1"/>
  <c r="AK359" i="1" s="1"/>
  <c r="AI359" i="1"/>
  <c r="BD359" i="1" s="1"/>
  <c r="BW358" i="1"/>
  <c r="BV358" i="1"/>
  <c r="BU358" i="1"/>
  <c r="BT358" i="1"/>
  <c r="BF358" i="1"/>
  <c r="BE358" i="1"/>
  <c r="BD358" i="1"/>
  <c r="BC358" i="1"/>
  <c r="BB358" i="1"/>
  <c r="BA358" i="1"/>
  <c r="AZ358" i="1"/>
  <c r="AY358" i="1"/>
  <c r="AT358" i="1"/>
  <c r="AS358" i="1"/>
  <c r="AR358" i="1"/>
  <c r="AQ358" i="1"/>
  <c r="AP358" i="1"/>
  <c r="AN358" i="1"/>
  <c r="AM358" i="1"/>
  <c r="AL358" i="1"/>
  <c r="AK358" i="1"/>
  <c r="AJ358" i="1"/>
  <c r="AI358" i="1"/>
  <c r="AX358" i="1" s="1"/>
  <c r="BF357" i="1"/>
  <c r="BE357" i="1"/>
  <c r="BC357" i="1"/>
  <c r="BA357" i="1"/>
  <c r="AY357" i="1"/>
  <c r="AT357" i="1"/>
  <c r="BW357" i="1" s="1"/>
  <c r="AM357" i="1"/>
  <c r="AL357" i="1"/>
  <c r="AK357" i="1"/>
  <c r="AJ357" i="1"/>
  <c r="AI357" i="1"/>
  <c r="BB356" i="1"/>
  <c r="AZ356" i="1"/>
  <c r="AX356" i="1"/>
  <c r="AS356" i="1"/>
  <c r="BV356" i="1" s="1"/>
  <c r="AN356" i="1"/>
  <c r="AM356" i="1"/>
  <c r="AL356" i="1"/>
  <c r="AJ356" i="1"/>
  <c r="AK356" i="1" s="1"/>
  <c r="AI356" i="1"/>
  <c r="BT355" i="1"/>
  <c r="BF355" i="1"/>
  <c r="BD355" i="1"/>
  <c r="BC355" i="1"/>
  <c r="BB355" i="1"/>
  <c r="BA355" i="1"/>
  <c r="AY355" i="1"/>
  <c r="AX355" i="1"/>
  <c r="AT355" i="1"/>
  <c r="BW355" i="1" s="1"/>
  <c r="AS355" i="1"/>
  <c r="BV355" i="1" s="1"/>
  <c r="AR355" i="1"/>
  <c r="BU355" i="1" s="1"/>
  <c r="AQ355" i="1"/>
  <c r="AP355" i="1"/>
  <c r="AN355" i="1"/>
  <c r="AM355" i="1"/>
  <c r="AL355" i="1"/>
  <c r="AJ355" i="1"/>
  <c r="AK355" i="1" s="1"/>
  <c r="AI355" i="1"/>
  <c r="BE355" i="1" s="1"/>
  <c r="AM354" i="1"/>
  <c r="AL354" i="1"/>
  <c r="AK354" i="1"/>
  <c r="AJ354" i="1"/>
  <c r="AI354" i="1"/>
  <c r="AT353" i="1"/>
  <c r="BW353" i="1" s="1"/>
  <c r="AP353" i="1"/>
  <c r="AM353" i="1"/>
  <c r="AL353" i="1"/>
  <c r="AJ353" i="1"/>
  <c r="AK353" i="1" s="1"/>
  <c r="AI353" i="1"/>
  <c r="AM352" i="1"/>
  <c r="AL352" i="1"/>
  <c r="AJ352" i="1"/>
  <c r="AK352" i="1" s="1"/>
  <c r="AI352" i="1"/>
  <c r="BT351" i="1"/>
  <c r="BS351" i="1"/>
  <c r="BG351" i="1"/>
  <c r="BF351" i="1"/>
  <c r="BE351" i="1"/>
  <c r="BD351" i="1"/>
  <c r="BC351" i="1"/>
  <c r="AY351" i="1"/>
  <c r="AS351" i="1"/>
  <c r="BV351" i="1" s="1"/>
  <c r="AQ351" i="1"/>
  <c r="AP351" i="1"/>
  <c r="AN351" i="1"/>
  <c r="AM351" i="1"/>
  <c r="AL351" i="1"/>
  <c r="AJ351" i="1"/>
  <c r="AK351" i="1" s="1"/>
  <c r="AI351" i="1"/>
  <c r="BU350" i="1"/>
  <c r="BF350" i="1"/>
  <c r="BC350" i="1"/>
  <c r="BA350" i="1"/>
  <c r="AX350" i="1"/>
  <c r="AT350" i="1"/>
  <c r="BW350" i="1" s="1"/>
  <c r="AS350" i="1"/>
  <c r="BV350" i="1" s="1"/>
  <c r="AR350" i="1"/>
  <c r="AP350" i="1"/>
  <c r="BS350" i="1" s="1"/>
  <c r="AM350" i="1"/>
  <c r="AL350" i="1"/>
  <c r="AK350" i="1"/>
  <c r="AJ350" i="1"/>
  <c r="AI350" i="1"/>
  <c r="BT349" i="1"/>
  <c r="BG349" i="1"/>
  <c r="BF349" i="1"/>
  <c r="BE349" i="1"/>
  <c r="BD349" i="1"/>
  <c r="BC349" i="1"/>
  <c r="BB349" i="1"/>
  <c r="BA349" i="1"/>
  <c r="AZ349" i="1"/>
  <c r="AY349" i="1"/>
  <c r="AS349" i="1"/>
  <c r="BV349" i="1" s="1"/>
  <c r="AQ349" i="1"/>
  <c r="AP349" i="1"/>
  <c r="AN349" i="1"/>
  <c r="AM349" i="1"/>
  <c r="AL349" i="1"/>
  <c r="AJ349" i="1"/>
  <c r="AK349" i="1" s="1"/>
  <c r="AI349" i="1"/>
  <c r="BF348" i="1"/>
  <c r="BD348" i="1"/>
  <c r="BA348" i="1"/>
  <c r="AZ348" i="1"/>
  <c r="AY348" i="1"/>
  <c r="AX348" i="1"/>
  <c r="AT348" i="1"/>
  <c r="BW348" i="1" s="1"/>
  <c r="AS348" i="1"/>
  <c r="BV348" i="1" s="1"/>
  <c r="AR348" i="1"/>
  <c r="BU348" i="1" s="1"/>
  <c r="AQ348" i="1"/>
  <c r="BT348" i="1" s="1"/>
  <c r="AM348" i="1"/>
  <c r="AL348" i="1"/>
  <c r="AK348" i="1"/>
  <c r="AJ348" i="1"/>
  <c r="AI348" i="1"/>
  <c r="BW347" i="1"/>
  <c r="BU347" i="1"/>
  <c r="BT347" i="1"/>
  <c r="BS347" i="1"/>
  <c r="BG347" i="1"/>
  <c r="BE347" i="1"/>
  <c r="BD347" i="1"/>
  <c r="BC347" i="1"/>
  <c r="BB347" i="1"/>
  <c r="BA347" i="1"/>
  <c r="AZ347" i="1"/>
  <c r="AY347" i="1"/>
  <c r="AX347" i="1"/>
  <c r="AS347" i="1"/>
  <c r="BV347" i="1" s="1"/>
  <c r="AR347" i="1"/>
  <c r="AQ347" i="1"/>
  <c r="AP347" i="1"/>
  <c r="AN347" i="1"/>
  <c r="AM347" i="1"/>
  <c r="AL347" i="1"/>
  <c r="AK347" i="1"/>
  <c r="AJ347" i="1"/>
  <c r="AI347" i="1"/>
  <c r="AT347" i="1" s="1"/>
  <c r="BT346" i="1"/>
  <c r="BG346" i="1"/>
  <c r="BF346" i="1"/>
  <c r="BB346" i="1"/>
  <c r="AY346" i="1"/>
  <c r="AT346" i="1"/>
  <c r="BW346" i="1" s="1"/>
  <c r="AQ346" i="1"/>
  <c r="AM346" i="1"/>
  <c r="AL346" i="1"/>
  <c r="AJ346" i="1"/>
  <c r="AK346" i="1" s="1"/>
  <c r="AI346" i="1"/>
  <c r="BF345" i="1"/>
  <c r="BC345" i="1"/>
  <c r="BA345" i="1"/>
  <c r="AZ345" i="1"/>
  <c r="AY345" i="1"/>
  <c r="AX345" i="1"/>
  <c r="AS345" i="1"/>
  <c r="BV345" i="1" s="1"/>
  <c r="AN345" i="1"/>
  <c r="AM345" i="1"/>
  <c r="AL345" i="1"/>
  <c r="AK345" i="1"/>
  <c r="AJ345" i="1"/>
  <c r="AI345" i="1"/>
  <c r="BS344" i="1"/>
  <c r="BG344" i="1"/>
  <c r="BF344" i="1"/>
  <c r="BE344" i="1"/>
  <c r="BD344" i="1"/>
  <c r="BB344" i="1"/>
  <c r="AX344" i="1"/>
  <c r="AT344" i="1"/>
  <c r="BW344" i="1" s="1"/>
  <c r="AS344" i="1"/>
  <c r="BV344" i="1" s="1"/>
  <c r="AR344" i="1"/>
  <c r="BU344" i="1" s="1"/>
  <c r="AP344" i="1"/>
  <c r="AN344" i="1"/>
  <c r="AM344" i="1"/>
  <c r="AL344" i="1"/>
  <c r="AJ344" i="1"/>
  <c r="AK344" i="1" s="1"/>
  <c r="AI344" i="1"/>
  <c r="AZ344" i="1" s="1"/>
  <c r="BE343" i="1"/>
  <c r="BC343" i="1"/>
  <c r="AN343" i="1"/>
  <c r="AM343" i="1"/>
  <c r="AL343" i="1"/>
  <c r="AJ343" i="1"/>
  <c r="AK343" i="1" s="1"/>
  <c r="AI343" i="1"/>
  <c r="BE342" i="1"/>
  <c r="BD342" i="1"/>
  <c r="BC342" i="1"/>
  <c r="BB342" i="1"/>
  <c r="AZ342" i="1"/>
  <c r="AS342" i="1"/>
  <c r="BV342" i="1" s="1"/>
  <c r="AM342" i="1"/>
  <c r="AL342" i="1"/>
  <c r="AJ342" i="1"/>
  <c r="AK342" i="1" s="1"/>
  <c r="AI342" i="1"/>
  <c r="BW341" i="1"/>
  <c r="BV341" i="1"/>
  <c r="BS341" i="1"/>
  <c r="BG341" i="1"/>
  <c r="BE341" i="1"/>
  <c r="BD341" i="1"/>
  <c r="BC341" i="1"/>
  <c r="BB341" i="1"/>
  <c r="BA341" i="1"/>
  <c r="AY341" i="1"/>
  <c r="AX341" i="1"/>
  <c r="AT341" i="1"/>
  <c r="AS341" i="1"/>
  <c r="AR341" i="1"/>
  <c r="BU341" i="1" s="1"/>
  <c r="AQ341" i="1"/>
  <c r="BT341" i="1" s="1"/>
  <c r="AP341" i="1"/>
  <c r="AN341" i="1"/>
  <c r="AM341" i="1"/>
  <c r="AL341" i="1"/>
  <c r="AJ341" i="1"/>
  <c r="AK341" i="1" s="1"/>
  <c r="AI341" i="1"/>
  <c r="BF341" i="1" s="1"/>
  <c r="BB340" i="1"/>
  <c r="AZ340" i="1"/>
  <c r="AT340" i="1"/>
  <c r="BW340" i="1" s="1"/>
  <c r="AP340" i="1"/>
  <c r="AN340" i="1"/>
  <c r="AM340" i="1"/>
  <c r="AL340" i="1"/>
  <c r="AK340" i="1"/>
  <c r="AJ340" i="1"/>
  <c r="AI340" i="1"/>
  <c r="BW339" i="1"/>
  <c r="BG339" i="1"/>
  <c r="BE339" i="1"/>
  <c r="BD339" i="1"/>
  <c r="BC339" i="1"/>
  <c r="BB339" i="1"/>
  <c r="BA339" i="1"/>
  <c r="AZ339" i="1"/>
  <c r="AY339" i="1"/>
  <c r="AT339" i="1"/>
  <c r="AS339" i="1"/>
  <c r="BV339" i="1" s="1"/>
  <c r="AR339" i="1"/>
  <c r="BU339" i="1" s="1"/>
  <c r="AQ339" i="1"/>
  <c r="BT339" i="1" s="1"/>
  <c r="AP339" i="1"/>
  <c r="AN339" i="1"/>
  <c r="AM339" i="1"/>
  <c r="AL339" i="1"/>
  <c r="AJ339" i="1"/>
  <c r="AK339" i="1" s="1"/>
  <c r="AI339" i="1"/>
  <c r="BF339" i="1" s="1"/>
  <c r="BU338" i="1"/>
  <c r="BF338" i="1"/>
  <c r="BE338" i="1"/>
  <c r="BD338" i="1"/>
  <c r="BC338" i="1"/>
  <c r="BB338" i="1"/>
  <c r="BA338" i="1"/>
  <c r="AZ338" i="1"/>
  <c r="AY338" i="1"/>
  <c r="AT338" i="1"/>
  <c r="BW338" i="1" s="1"/>
  <c r="AR338" i="1"/>
  <c r="AQ338" i="1"/>
  <c r="AP338" i="1"/>
  <c r="BS338" i="1" s="1"/>
  <c r="AN338" i="1"/>
  <c r="AM338" i="1"/>
  <c r="AL338" i="1"/>
  <c r="AK338" i="1"/>
  <c r="AJ338" i="1"/>
  <c r="AI338" i="1"/>
  <c r="BW337" i="1"/>
  <c r="BU337" i="1"/>
  <c r="BS337" i="1"/>
  <c r="BG337" i="1"/>
  <c r="BE337" i="1"/>
  <c r="BD337" i="1"/>
  <c r="BC337" i="1"/>
  <c r="BB337" i="1"/>
  <c r="BA337" i="1"/>
  <c r="AZ337" i="1"/>
  <c r="AY337" i="1"/>
  <c r="AX337" i="1"/>
  <c r="AW337" i="1"/>
  <c r="AT337" i="1"/>
  <c r="AS337" i="1"/>
  <c r="BV337" i="1" s="1"/>
  <c r="AR337" i="1"/>
  <c r="AQ337" i="1"/>
  <c r="AP337" i="1"/>
  <c r="AN337" i="1"/>
  <c r="AM337" i="1"/>
  <c r="AL337" i="1"/>
  <c r="AJ337" i="1"/>
  <c r="AK337" i="1" s="1"/>
  <c r="AI337" i="1"/>
  <c r="BF337" i="1" s="1"/>
  <c r="BG336" i="1"/>
  <c r="BF336" i="1"/>
  <c r="BD336" i="1"/>
  <c r="BC336" i="1"/>
  <c r="BB336" i="1"/>
  <c r="AZ336" i="1"/>
  <c r="AY336" i="1"/>
  <c r="AX336" i="1"/>
  <c r="AT336" i="1"/>
  <c r="BW336" i="1" s="1"/>
  <c r="AP336" i="1"/>
  <c r="AM336" i="1"/>
  <c r="AL336" i="1"/>
  <c r="AK336" i="1"/>
  <c r="AJ336" i="1"/>
  <c r="AI336" i="1"/>
  <c r="BF335" i="1"/>
  <c r="BE335" i="1"/>
  <c r="BC335" i="1"/>
  <c r="BA335" i="1"/>
  <c r="AZ335" i="1"/>
  <c r="AY335" i="1"/>
  <c r="AX335" i="1"/>
  <c r="AT335" i="1"/>
  <c r="BW335" i="1" s="1"/>
  <c r="AN335" i="1"/>
  <c r="AM335" i="1"/>
  <c r="AL335" i="1"/>
  <c r="AK335" i="1"/>
  <c r="AJ335" i="1"/>
  <c r="AI335" i="1"/>
  <c r="BG334" i="1"/>
  <c r="BF334" i="1"/>
  <c r="BE334" i="1"/>
  <c r="BD334" i="1"/>
  <c r="BB334" i="1"/>
  <c r="BA334" i="1"/>
  <c r="AY334" i="1"/>
  <c r="AS334" i="1"/>
  <c r="BV334" i="1" s="1"/>
  <c r="AP334" i="1"/>
  <c r="AM334" i="1"/>
  <c r="AL334" i="1"/>
  <c r="AJ334" i="1"/>
  <c r="AK334" i="1" s="1"/>
  <c r="AI334" i="1"/>
  <c r="BG333" i="1"/>
  <c r="BE333" i="1"/>
  <c r="BC333" i="1"/>
  <c r="AZ333" i="1"/>
  <c r="AY333" i="1"/>
  <c r="AM333" i="1"/>
  <c r="AL333" i="1"/>
  <c r="AJ333" i="1"/>
  <c r="AK333" i="1" s="1"/>
  <c r="AI333" i="1"/>
  <c r="BG332" i="1"/>
  <c r="BF332" i="1"/>
  <c r="BE332" i="1"/>
  <c r="BD332" i="1"/>
  <c r="BC332" i="1"/>
  <c r="AZ332" i="1"/>
  <c r="AY332" i="1"/>
  <c r="AX332" i="1"/>
  <c r="AT332" i="1"/>
  <c r="BW332" i="1" s="1"/>
  <c r="AS332" i="1"/>
  <c r="BV332" i="1" s="1"/>
  <c r="AR332" i="1"/>
  <c r="BU332" i="1" s="1"/>
  <c r="AQ332" i="1"/>
  <c r="BT332" i="1" s="1"/>
  <c r="AP332" i="1"/>
  <c r="AM332" i="1"/>
  <c r="AL332" i="1"/>
  <c r="AJ332" i="1"/>
  <c r="AK332" i="1" s="1"/>
  <c r="AI332" i="1"/>
  <c r="BB332" i="1" s="1"/>
  <c r="AM331" i="1"/>
  <c r="AL331" i="1"/>
  <c r="AK331" i="1"/>
  <c r="AJ331" i="1"/>
  <c r="AI331" i="1"/>
  <c r="AP330" i="1"/>
  <c r="AN330" i="1"/>
  <c r="AM330" i="1"/>
  <c r="AL330" i="1"/>
  <c r="AJ330" i="1"/>
  <c r="AK330" i="1" s="1"/>
  <c r="AI330" i="1"/>
  <c r="BG329" i="1"/>
  <c r="BF329" i="1"/>
  <c r="BE329" i="1"/>
  <c r="BD329" i="1"/>
  <c r="BC329" i="1"/>
  <c r="BA329" i="1"/>
  <c r="AZ329" i="1"/>
  <c r="AY329" i="1"/>
  <c r="AT329" i="1"/>
  <c r="BW329" i="1" s="1"/>
  <c r="AS329" i="1"/>
  <c r="BV329" i="1" s="1"/>
  <c r="AR329" i="1"/>
  <c r="BU329" i="1" s="1"/>
  <c r="AQ329" i="1"/>
  <c r="BT329" i="1" s="1"/>
  <c r="AP329" i="1"/>
  <c r="AM329" i="1"/>
  <c r="AL329" i="1"/>
  <c r="AJ329" i="1"/>
  <c r="AK329" i="1" s="1"/>
  <c r="AI329" i="1"/>
  <c r="AX329" i="1" s="1"/>
  <c r="BF328" i="1"/>
  <c r="BE328" i="1"/>
  <c r="BD328" i="1"/>
  <c r="BC328" i="1"/>
  <c r="BB328" i="1"/>
  <c r="BA328" i="1"/>
  <c r="AZ328" i="1"/>
  <c r="AY328" i="1"/>
  <c r="AT328" i="1"/>
  <c r="BW328" i="1" s="1"/>
  <c r="AR328" i="1"/>
  <c r="BU328" i="1" s="1"/>
  <c r="AP328" i="1"/>
  <c r="AN328" i="1"/>
  <c r="AM328" i="1"/>
  <c r="AL328" i="1"/>
  <c r="AK328" i="1"/>
  <c r="AJ328" i="1"/>
  <c r="AI328" i="1"/>
  <c r="BU327" i="1"/>
  <c r="BT327" i="1"/>
  <c r="BS327" i="1"/>
  <c r="BG327" i="1"/>
  <c r="BE327" i="1"/>
  <c r="BD327" i="1"/>
  <c r="BC327" i="1"/>
  <c r="BB327" i="1"/>
  <c r="BA327" i="1"/>
  <c r="AZ327" i="1"/>
  <c r="AY327" i="1"/>
  <c r="AX327" i="1"/>
  <c r="AS327" i="1"/>
  <c r="BV327" i="1" s="1"/>
  <c r="AR327" i="1"/>
  <c r="AQ327" i="1"/>
  <c r="AP327" i="1"/>
  <c r="AN327" i="1"/>
  <c r="AM327" i="1"/>
  <c r="AL327" i="1"/>
  <c r="AJ327" i="1"/>
  <c r="AK327" i="1" s="1"/>
  <c r="AI327" i="1"/>
  <c r="AT327" i="1" s="1"/>
  <c r="BW327" i="1" s="1"/>
  <c r="BG326" i="1"/>
  <c r="BF326" i="1"/>
  <c r="BD326" i="1"/>
  <c r="BC326" i="1"/>
  <c r="BA326" i="1"/>
  <c r="AZ326" i="1"/>
  <c r="AY326" i="1"/>
  <c r="AX326" i="1"/>
  <c r="AT326" i="1"/>
  <c r="BW326" i="1" s="1"/>
  <c r="AR326" i="1"/>
  <c r="BU326" i="1" s="1"/>
  <c r="AM326" i="1"/>
  <c r="AL326" i="1"/>
  <c r="AJ326" i="1"/>
  <c r="AK326" i="1" s="1"/>
  <c r="AI326" i="1"/>
  <c r="BS325" i="1"/>
  <c r="BG325" i="1"/>
  <c r="BF325" i="1"/>
  <c r="BE325" i="1"/>
  <c r="BD325" i="1"/>
  <c r="BC325" i="1"/>
  <c r="BA325" i="1"/>
  <c r="AP325" i="1"/>
  <c r="AN325" i="1"/>
  <c r="AM325" i="1"/>
  <c r="AL325" i="1"/>
  <c r="AJ325" i="1"/>
  <c r="AK325" i="1" s="1"/>
  <c r="AI325" i="1"/>
  <c r="BU324" i="1"/>
  <c r="BT324" i="1"/>
  <c r="BS324" i="1"/>
  <c r="BG324" i="1"/>
  <c r="BB324" i="1"/>
  <c r="AZ324" i="1"/>
  <c r="AT324" i="1"/>
  <c r="BW324" i="1" s="1"/>
  <c r="AS324" i="1"/>
  <c r="BV324" i="1" s="1"/>
  <c r="AR324" i="1"/>
  <c r="AQ324" i="1"/>
  <c r="AP324" i="1"/>
  <c r="AN324" i="1"/>
  <c r="AM324" i="1"/>
  <c r="AL324" i="1"/>
  <c r="AK324" i="1"/>
  <c r="AJ324" i="1"/>
  <c r="AI324" i="1"/>
  <c r="BG323" i="1"/>
  <c r="BD323" i="1"/>
  <c r="BA323" i="1"/>
  <c r="AZ323" i="1"/>
  <c r="AY323" i="1"/>
  <c r="AX323" i="1"/>
  <c r="AT323" i="1"/>
  <c r="BW323" i="1" s="1"/>
  <c r="AR323" i="1"/>
  <c r="BU323" i="1" s="1"/>
  <c r="AN323" i="1"/>
  <c r="AM323" i="1"/>
  <c r="AL323" i="1"/>
  <c r="AK323" i="1"/>
  <c r="AJ323" i="1"/>
  <c r="AI323" i="1"/>
  <c r="AM322" i="1"/>
  <c r="AL322" i="1"/>
  <c r="AK322" i="1"/>
  <c r="AJ322" i="1"/>
  <c r="AI322" i="1"/>
  <c r="AN322" i="1" s="1"/>
  <c r="BG321" i="1"/>
  <c r="BE321" i="1"/>
  <c r="BD321" i="1"/>
  <c r="BC321" i="1"/>
  <c r="BB321" i="1"/>
  <c r="BA321" i="1"/>
  <c r="AY321" i="1"/>
  <c r="AX321" i="1"/>
  <c r="AT321" i="1"/>
  <c r="BW321" i="1" s="1"/>
  <c r="AS321" i="1"/>
  <c r="BV321" i="1" s="1"/>
  <c r="AR321" i="1"/>
  <c r="BU321" i="1" s="1"/>
  <c r="AQ321" i="1"/>
  <c r="BT321" i="1" s="1"/>
  <c r="AP321" i="1"/>
  <c r="AN321" i="1"/>
  <c r="AM321" i="1"/>
  <c r="AL321" i="1"/>
  <c r="AJ321" i="1"/>
  <c r="AK321" i="1" s="1"/>
  <c r="AI321" i="1"/>
  <c r="BF321" i="1" s="1"/>
  <c r="BF320" i="1"/>
  <c r="BE320" i="1"/>
  <c r="BD320" i="1"/>
  <c r="BC320" i="1"/>
  <c r="BB320" i="1"/>
  <c r="BA320" i="1"/>
  <c r="AZ320" i="1"/>
  <c r="AQ320" i="1"/>
  <c r="BT320" i="1" s="1"/>
  <c r="AM320" i="1"/>
  <c r="AL320" i="1"/>
  <c r="AJ320" i="1"/>
  <c r="AK320" i="1" s="1"/>
  <c r="AI320" i="1"/>
  <c r="AZ319" i="1"/>
  <c r="AY319" i="1"/>
  <c r="AM319" i="1"/>
  <c r="AL319" i="1"/>
  <c r="AJ319" i="1"/>
  <c r="AK319" i="1" s="1"/>
  <c r="AI319" i="1"/>
  <c r="BC318" i="1"/>
  <c r="AM318" i="1"/>
  <c r="AL318" i="1"/>
  <c r="AK318" i="1"/>
  <c r="AJ318" i="1"/>
  <c r="AI318" i="1"/>
  <c r="BW317" i="1"/>
  <c r="BU317" i="1"/>
  <c r="BG317" i="1"/>
  <c r="BE317" i="1"/>
  <c r="BD317" i="1"/>
  <c r="BC317" i="1"/>
  <c r="BB317" i="1"/>
  <c r="BA317" i="1"/>
  <c r="AZ317" i="1"/>
  <c r="AY317" i="1"/>
  <c r="AX317" i="1"/>
  <c r="AT317" i="1"/>
  <c r="AS317" i="1"/>
  <c r="BV317" i="1" s="1"/>
  <c r="AR317" i="1"/>
  <c r="AQ317" i="1"/>
  <c r="BT317" i="1" s="1"/>
  <c r="AP317" i="1"/>
  <c r="AN317" i="1"/>
  <c r="AM317" i="1"/>
  <c r="AL317" i="1"/>
  <c r="AJ317" i="1"/>
  <c r="AK317" i="1" s="1"/>
  <c r="AI317" i="1"/>
  <c r="BF317" i="1" s="1"/>
  <c r="BD316" i="1"/>
  <c r="BC316" i="1"/>
  <c r="BB316" i="1"/>
  <c r="BA316" i="1"/>
  <c r="AY316" i="1"/>
  <c r="AX316" i="1"/>
  <c r="AT316" i="1"/>
  <c r="BW316" i="1" s="1"/>
  <c r="AR316" i="1"/>
  <c r="BU316" i="1" s="1"/>
  <c r="AQ316" i="1"/>
  <c r="BT316" i="1" s="1"/>
  <c r="AP316" i="1"/>
  <c r="AN316" i="1"/>
  <c r="AM316" i="1"/>
  <c r="AL316" i="1"/>
  <c r="AK316" i="1"/>
  <c r="AJ316" i="1"/>
  <c r="AI316" i="1"/>
  <c r="BG316" i="1" s="1"/>
  <c r="BG315" i="1"/>
  <c r="BF315" i="1"/>
  <c r="BE315" i="1"/>
  <c r="BC315" i="1"/>
  <c r="BB315" i="1"/>
  <c r="BA315" i="1"/>
  <c r="AZ315" i="1"/>
  <c r="AY315" i="1"/>
  <c r="AX315" i="1"/>
  <c r="AT315" i="1"/>
  <c r="BW315" i="1" s="1"/>
  <c r="AR315" i="1"/>
  <c r="BU315" i="1" s="1"/>
  <c r="AP315" i="1"/>
  <c r="AM315" i="1"/>
  <c r="AL315" i="1"/>
  <c r="AK315" i="1"/>
  <c r="AJ315" i="1"/>
  <c r="AI315" i="1"/>
  <c r="BG314" i="1"/>
  <c r="BF314" i="1"/>
  <c r="BD314" i="1"/>
  <c r="BB314" i="1"/>
  <c r="AZ314" i="1"/>
  <c r="AY314" i="1"/>
  <c r="AX314" i="1"/>
  <c r="AR314" i="1"/>
  <c r="BU314" i="1" s="1"/>
  <c r="AN314" i="1"/>
  <c r="AM314" i="1"/>
  <c r="AL314" i="1"/>
  <c r="AK314" i="1"/>
  <c r="AJ314" i="1"/>
  <c r="AI314" i="1"/>
  <c r="BG313" i="1"/>
  <c r="BF313" i="1"/>
  <c r="BE313" i="1"/>
  <c r="BD313" i="1"/>
  <c r="BA313" i="1"/>
  <c r="AZ313" i="1"/>
  <c r="AY313" i="1"/>
  <c r="AS313" i="1"/>
  <c r="BV313" i="1" s="1"/>
  <c r="AN313" i="1"/>
  <c r="AM313" i="1"/>
  <c r="AL313" i="1"/>
  <c r="AJ313" i="1"/>
  <c r="AK313" i="1" s="1"/>
  <c r="AI313" i="1"/>
  <c r="BG312" i="1"/>
  <c r="BF312" i="1"/>
  <c r="BE312" i="1"/>
  <c r="BD312" i="1"/>
  <c r="BB312" i="1"/>
  <c r="AY312" i="1"/>
  <c r="AR312" i="1"/>
  <c r="BU312" i="1" s="1"/>
  <c r="AQ312" i="1"/>
  <c r="BT312" i="1" s="1"/>
  <c r="AP312" i="1"/>
  <c r="AM312" i="1"/>
  <c r="AL312" i="1"/>
  <c r="AK312" i="1"/>
  <c r="AJ312" i="1"/>
  <c r="AI312" i="1"/>
  <c r="BS311" i="1"/>
  <c r="BE311" i="1"/>
  <c r="BB311" i="1"/>
  <c r="AX311" i="1"/>
  <c r="AT311" i="1"/>
  <c r="BW311" i="1" s="1"/>
  <c r="AS311" i="1"/>
  <c r="BV311" i="1" s="1"/>
  <c r="AR311" i="1"/>
  <c r="BU311" i="1" s="1"/>
  <c r="AQ311" i="1"/>
  <c r="BT311" i="1" s="1"/>
  <c r="AP311" i="1"/>
  <c r="AN311" i="1"/>
  <c r="AM311" i="1"/>
  <c r="AL311" i="1"/>
  <c r="AK311" i="1"/>
  <c r="AJ311" i="1"/>
  <c r="AI311" i="1"/>
  <c r="BA310" i="1"/>
  <c r="AZ310" i="1"/>
  <c r="AY310" i="1"/>
  <c r="AX310" i="1"/>
  <c r="AT310" i="1"/>
  <c r="BW310" i="1" s="1"/>
  <c r="AR310" i="1"/>
  <c r="BU310" i="1" s="1"/>
  <c r="AP310" i="1"/>
  <c r="AM310" i="1"/>
  <c r="AL310" i="1"/>
  <c r="AJ310" i="1"/>
  <c r="AK310" i="1" s="1"/>
  <c r="AI310" i="1"/>
  <c r="BG309" i="1"/>
  <c r="BF309" i="1"/>
  <c r="BE309" i="1"/>
  <c r="BC309" i="1"/>
  <c r="BA309" i="1"/>
  <c r="AY309" i="1"/>
  <c r="AT309" i="1"/>
  <c r="BW309" i="1" s="1"/>
  <c r="AS309" i="1"/>
  <c r="BV309" i="1" s="1"/>
  <c r="AR309" i="1"/>
  <c r="BU309" i="1" s="1"/>
  <c r="AP309" i="1"/>
  <c r="AN309" i="1"/>
  <c r="AM309" i="1"/>
  <c r="AL309" i="1"/>
  <c r="AJ309" i="1"/>
  <c r="AK309" i="1" s="1"/>
  <c r="AI309" i="1"/>
  <c r="BF308" i="1"/>
  <c r="BE308" i="1"/>
  <c r="BD308" i="1"/>
  <c r="BC308" i="1"/>
  <c r="BB308" i="1"/>
  <c r="AZ308" i="1"/>
  <c r="AY308" i="1"/>
  <c r="AX308" i="1"/>
  <c r="AT308" i="1"/>
  <c r="BW308" i="1" s="1"/>
  <c r="AS308" i="1"/>
  <c r="BV308" i="1" s="1"/>
  <c r="AR308" i="1"/>
  <c r="BU308" i="1" s="1"/>
  <c r="AQ308" i="1"/>
  <c r="BT308" i="1" s="1"/>
  <c r="AM308" i="1"/>
  <c r="AL308" i="1"/>
  <c r="AK308" i="1"/>
  <c r="AJ308" i="1"/>
  <c r="AI308" i="1"/>
  <c r="AM307" i="1"/>
  <c r="AL307" i="1"/>
  <c r="AK307" i="1"/>
  <c r="AJ307" i="1"/>
  <c r="AI307" i="1"/>
  <c r="BB306" i="1"/>
  <c r="BA306" i="1"/>
  <c r="AM306" i="1"/>
  <c r="AL306" i="1"/>
  <c r="AK306" i="1"/>
  <c r="AJ306" i="1"/>
  <c r="AI306" i="1"/>
  <c r="AX305" i="1"/>
  <c r="AT305" i="1"/>
  <c r="BW305" i="1" s="1"/>
  <c r="AQ305" i="1"/>
  <c r="BT305" i="1" s="1"/>
  <c r="AN305" i="1"/>
  <c r="AM305" i="1"/>
  <c r="AL305" i="1"/>
  <c r="AJ305" i="1"/>
  <c r="AK305" i="1" s="1"/>
  <c r="AI305" i="1"/>
  <c r="AR304" i="1"/>
  <c r="BU304" i="1" s="1"/>
  <c r="AQ304" i="1"/>
  <c r="BT304" i="1" s="1"/>
  <c r="AM304" i="1"/>
  <c r="AL304" i="1"/>
  <c r="AK304" i="1"/>
  <c r="AJ304" i="1"/>
  <c r="AI304" i="1"/>
  <c r="AR303" i="1"/>
  <c r="BU303" i="1" s="1"/>
  <c r="AM303" i="1"/>
  <c r="AL303" i="1"/>
  <c r="AK303" i="1"/>
  <c r="AJ303" i="1"/>
  <c r="AI303" i="1"/>
  <c r="BS302" i="1"/>
  <c r="BG302" i="1"/>
  <c r="BF302" i="1"/>
  <c r="BE302" i="1"/>
  <c r="BD302" i="1"/>
  <c r="BC302" i="1"/>
  <c r="BB302" i="1"/>
  <c r="AZ302" i="1"/>
  <c r="AY302" i="1"/>
  <c r="AX302" i="1"/>
  <c r="AT302" i="1"/>
  <c r="BW302" i="1" s="1"/>
  <c r="AR302" i="1"/>
  <c r="BU302" i="1" s="1"/>
  <c r="AP302" i="1"/>
  <c r="AN302" i="1"/>
  <c r="AM302" i="1"/>
  <c r="AL302" i="1"/>
  <c r="AK302" i="1"/>
  <c r="AJ302" i="1"/>
  <c r="AI302" i="1"/>
  <c r="BW301" i="1"/>
  <c r="BG301" i="1"/>
  <c r="AT301" i="1"/>
  <c r="AQ301" i="1"/>
  <c r="BT301" i="1" s="1"/>
  <c r="AN301" i="1"/>
  <c r="AM301" i="1"/>
  <c r="AL301" i="1"/>
  <c r="AK301" i="1"/>
  <c r="AJ301" i="1"/>
  <c r="AI301" i="1"/>
  <c r="AS300" i="1"/>
  <c r="BV300" i="1" s="1"/>
  <c r="AM300" i="1"/>
  <c r="AL300" i="1"/>
  <c r="AJ300" i="1"/>
  <c r="AK300" i="1" s="1"/>
  <c r="AI300" i="1"/>
  <c r="BS299" i="1"/>
  <c r="BG299" i="1"/>
  <c r="AP299" i="1"/>
  <c r="AM299" i="1"/>
  <c r="AL299" i="1"/>
  <c r="AJ299" i="1"/>
  <c r="AK299" i="1" s="1"/>
  <c r="AI299" i="1"/>
  <c r="BW298" i="1"/>
  <c r="BV298" i="1"/>
  <c r="BU298" i="1"/>
  <c r="BT298" i="1"/>
  <c r="BF298" i="1"/>
  <c r="BE298" i="1"/>
  <c r="BD298" i="1"/>
  <c r="BC298" i="1"/>
  <c r="BB298" i="1"/>
  <c r="BA298" i="1"/>
  <c r="AZ298" i="1"/>
  <c r="AX298" i="1"/>
  <c r="AT298" i="1"/>
  <c r="AS298" i="1"/>
  <c r="AR298" i="1"/>
  <c r="AQ298" i="1"/>
  <c r="AP298" i="1"/>
  <c r="AN298" i="1"/>
  <c r="AM298" i="1"/>
  <c r="AL298" i="1"/>
  <c r="AJ298" i="1"/>
  <c r="AK298" i="1" s="1"/>
  <c r="AI298" i="1"/>
  <c r="BG298" i="1" s="1"/>
  <c r="BW297" i="1"/>
  <c r="BV297" i="1"/>
  <c r="BU297" i="1"/>
  <c r="BT297" i="1"/>
  <c r="BS297" i="1"/>
  <c r="BG297" i="1"/>
  <c r="BE297" i="1"/>
  <c r="BD297" i="1"/>
  <c r="BC297" i="1"/>
  <c r="BB297" i="1"/>
  <c r="BA297" i="1"/>
  <c r="AZ297" i="1"/>
  <c r="AY297" i="1"/>
  <c r="AX297" i="1"/>
  <c r="AT297" i="1"/>
  <c r="AS297" i="1"/>
  <c r="AR297" i="1"/>
  <c r="AQ297" i="1"/>
  <c r="AP297" i="1"/>
  <c r="AN297" i="1"/>
  <c r="AM297" i="1"/>
  <c r="AL297" i="1"/>
  <c r="AJ297" i="1"/>
  <c r="AK297" i="1" s="1"/>
  <c r="AI297" i="1"/>
  <c r="BF297" i="1" s="1"/>
  <c r="BG296" i="1"/>
  <c r="BF296" i="1"/>
  <c r="BD296" i="1"/>
  <c r="BB296" i="1"/>
  <c r="AZ296" i="1"/>
  <c r="AY296" i="1"/>
  <c r="AX296" i="1"/>
  <c r="AQ296" i="1"/>
  <c r="BT296" i="1" s="1"/>
  <c r="AN296" i="1"/>
  <c r="AM296" i="1"/>
  <c r="AL296" i="1"/>
  <c r="AJ296" i="1"/>
  <c r="AK296" i="1" s="1"/>
  <c r="AI296" i="1"/>
  <c r="BG295" i="1"/>
  <c r="BF295" i="1"/>
  <c r="BE295" i="1"/>
  <c r="BC295" i="1"/>
  <c r="BA295" i="1"/>
  <c r="AZ295" i="1"/>
  <c r="AY295" i="1"/>
  <c r="AS295" i="1"/>
  <c r="BV295" i="1" s="1"/>
  <c r="AN295" i="1"/>
  <c r="AM295" i="1"/>
  <c r="AL295" i="1"/>
  <c r="AJ295" i="1"/>
  <c r="AK295" i="1" s="1"/>
  <c r="AI295" i="1"/>
  <c r="BG294" i="1"/>
  <c r="BF294" i="1"/>
  <c r="BE294" i="1"/>
  <c r="BD294" i="1"/>
  <c r="BB294" i="1"/>
  <c r="AY294" i="1"/>
  <c r="AR294" i="1"/>
  <c r="BU294" i="1" s="1"/>
  <c r="AP294" i="1"/>
  <c r="AN294" i="1"/>
  <c r="AM294" i="1"/>
  <c r="AL294" i="1"/>
  <c r="AJ294" i="1"/>
  <c r="AK294" i="1" s="1"/>
  <c r="AI294" i="1"/>
  <c r="AM293" i="1"/>
  <c r="AL293" i="1"/>
  <c r="AK293" i="1"/>
  <c r="AJ293" i="1"/>
  <c r="AI293" i="1"/>
  <c r="AZ292" i="1"/>
  <c r="AY292" i="1"/>
  <c r="AX292" i="1"/>
  <c r="AT292" i="1"/>
  <c r="BW292" i="1" s="1"/>
  <c r="AM292" i="1"/>
  <c r="AL292" i="1"/>
  <c r="AK292" i="1"/>
  <c r="AJ292" i="1"/>
  <c r="AI292" i="1"/>
  <c r="BG291" i="1"/>
  <c r="BF291" i="1"/>
  <c r="BE291" i="1"/>
  <c r="BD291" i="1"/>
  <c r="BB291" i="1"/>
  <c r="AY291" i="1"/>
  <c r="AT291" i="1"/>
  <c r="BW291" i="1" s="1"/>
  <c r="AS291" i="1"/>
  <c r="BV291" i="1" s="1"/>
  <c r="AR291" i="1"/>
  <c r="BU291" i="1" s="1"/>
  <c r="AQ291" i="1"/>
  <c r="BT291" i="1" s="1"/>
  <c r="AN291" i="1"/>
  <c r="AM291" i="1"/>
  <c r="AL291" i="1"/>
  <c r="AJ291" i="1"/>
  <c r="AK291" i="1" s="1"/>
  <c r="AI291" i="1"/>
  <c r="BG290" i="1"/>
  <c r="BE290" i="1"/>
  <c r="BD290" i="1"/>
  <c r="BC290" i="1"/>
  <c r="BB290" i="1"/>
  <c r="BA290" i="1"/>
  <c r="AY290" i="1"/>
  <c r="AX290" i="1"/>
  <c r="AW290" i="1"/>
  <c r="AT290" i="1"/>
  <c r="BW290" i="1" s="1"/>
  <c r="AS290" i="1"/>
  <c r="BV290" i="1" s="1"/>
  <c r="AR290" i="1"/>
  <c r="BU290" i="1" s="1"/>
  <c r="AQ290" i="1"/>
  <c r="BT290" i="1" s="1"/>
  <c r="AP290" i="1"/>
  <c r="AN290" i="1"/>
  <c r="AM290" i="1"/>
  <c r="AL290" i="1"/>
  <c r="AJ290" i="1"/>
  <c r="AK290" i="1" s="1"/>
  <c r="AI290" i="1"/>
  <c r="BF290" i="1" s="1"/>
  <c r="AM289" i="1"/>
  <c r="AL289" i="1"/>
  <c r="AJ289" i="1"/>
  <c r="AK289" i="1" s="1"/>
  <c r="AI289" i="1"/>
  <c r="AP289" i="1" s="1"/>
  <c r="BW288" i="1"/>
  <c r="BE288" i="1"/>
  <c r="BD288" i="1"/>
  <c r="BC288" i="1"/>
  <c r="BB288" i="1"/>
  <c r="BA288" i="1"/>
  <c r="AZ288" i="1"/>
  <c r="AY288" i="1"/>
  <c r="AX288" i="1"/>
  <c r="AT288" i="1"/>
  <c r="AS288" i="1"/>
  <c r="BV288" i="1" s="1"/>
  <c r="AR288" i="1"/>
  <c r="BU288" i="1" s="1"/>
  <c r="AQ288" i="1"/>
  <c r="BT288" i="1" s="1"/>
  <c r="AP288" i="1"/>
  <c r="AN288" i="1"/>
  <c r="AM288" i="1"/>
  <c r="AL288" i="1"/>
  <c r="AK288" i="1"/>
  <c r="AJ288" i="1"/>
  <c r="AI288" i="1"/>
  <c r="BG288" i="1" s="1"/>
  <c r="BG287" i="1"/>
  <c r="BD287" i="1"/>
  <c r="BA287" i="1"/>
  <c r="AZ287" i="1"/>
  <c r="AY287" i="1"/>
  <c r="AX287" i="1"/>
  <c r="AS287" i="1"/>
  <c r="BV287" i="1" s="1"/>
  <c r="AQ287" i="1"/>
  <c r="BT287" i="1" s="1"/>
  <c r="AN287" i="1"/>
  <c r="AM287" i="1"/>
  <c r="AL287" i="1"/>
  <c r="AK287" i="1"/>
  <c r="AJ287" i="1"/>
  <c r="AI287" i="1"/>
  <c r="BF286" i="1"/>
  <c r="BD286" i="1"/>
  <c r="BC286" i="1"/>
  <c r="BA286" i="1"/>
  <c r="AY286" i="1"/>
  <c r="AT286" i="1"/>
  <c r="BW286" i="1" s="1"/>
  <c r="AS286" i="1"/>
  <c r="BV286" i="1" s="1"/>
  <c r="AR286" i="1"/>
  <c r="BU286" i="1" s="1"/>
  <c r="AQ286" i="1"/>
  <c r="BT286" i="1" s="1"/>
  <c r="AN286" i="1"/>
  <c r="AM286" i="1"/>
  <c r="AL286" i="1"/>
  <c r="AK286" i="1"/>
  <c r="AJ286" i="1"/>
  <c r="AI286" i="1"/>
  <c r="BG285" i="1"/>
  <c r="BE285" i="1"/>
  <c r="BD285" i="1"/>
  <c r="BC285" i="1"/>
  <c r="BB285" i="1"/>
  <c r="BA285" i="1"/>
  <c r="AY285" i="1"/>
  <c r="AX285" i="1"/>
  <c r="AT285" i="1"/>
  <c r="BW285" i="1" s="1"/>
  <c r="AS285" i="1"/>
  <c r="BV285" i="1" s="1"/>
  <c r="AQ285" i="1"/>
  <c r="BT285" i="1" s="1"/>
  <c r="AP285" i="1"/>
  <c r="AN285" i="1"/>
  <c r="AM285" i="1"/>
  <c r="AL285" i="1"/>
  <c r="AK285" i="1"/>
  <c r="AJ285" i="1"/>
  <c r="AI285" i="1"/>
  <c r="BG284" i="1"/>
  <c r="BF284" i="1"/>
  <c r="BE284" i="1"/>
  <c r="BD284" i="1"/>
  <c r="BB284" i="1"/>
  <c r="BA284" i="1"/>
  <c r="AZ284" i="1"/>
  <c r="AY284" i="1"/>
  <c r="AX284" i="1"/>
  <c r="AT284" i="1"/>
  <c r="BW284" i="1" s="1"/>
  <c r="AP284" i="1"/>
  <c r="AM284" i="1"/>
  <c r="AL284" i="1"/>
  <c r="AK284" i="1"/>
  <c r="AJ284" i="1"/>
  <c r="AI284" i="1"/>
  <c r="BG283" i="1"/>
  <c r="BF283" i="1"/>
  <c r="BD283" i="1"/>
  <c r="BB283" i="1"/>
  <c r="AZ283" i="1"/>
  <c r="AY283" i="1"/>
  <c r="AR283" i="1"/>
  <c r="BU283" i="1" s="1"/>
  <c r="AM283" i="1"/>
  <c r="AL283" i="1"/>
  <c r="AJ283" i="1"/>
  <c r="AK283" i="1" s="1"/>
  <c r="AI283" i="1"/>
  <c r="AM282" i="1"/>
  <c r="AL282" i="1"/>
  <c r="AJ282" i="1"/>
  <c r="AK282" i="1" s="1"/>
  <c r="AI282" i="1"/>
  <c r="AR282" i="1" s="1"/>
  <c r="BU282" i="1" s="1"/>
  <c r="AM281" i="1"/>
  <c r="AL281" i="1"/>
  <c r="AJ281" i="1"/>
  <c r="AK281" i="1" s="1"/>
  <c r="AI281" i="1"/>
  <c r="BW280" i="1"/>
  <c r="BF280" i="1"/>
  <c r="BD280" i="1"/>
  <c r="BC280" i="1"/>
  <c r="BB280" i="1"/>
  <c r="BA280" i="1"/>
  <c r="AZ280" i="1"/>
  <c r="AT280" i="1"/>
  <c r="AW280" i="1" s="1"/>
  <c r="AS280" i="1"/>
  <c r="BV280" i="1" s="1"/>
  <c r="AR280" i="1"/>
  <c r="BU280" i="1" s="1"/>
  <c r="AQ280" i="1"/>
  <c r="BT280" i="1" s="1"/>
  <c r="AP280" i="1"/>
  <c r="AN280" i="1"/>
  <c r="AM280" i="1"/>
  <c r="AL280" i="1"/>
  <c r="AJ280" i="1"/>
  <c r="AK280" i="1" s="1"/>
  <c r="AI280" i="1"/>
  <c r="AY280" i="1" s="1"/>
  <c r="AZ279" i="1"/>
  <c r="AY279" i="1"/>
  <c r="AX279" i="1"/>
  <c r="AS279" i="1"/>
  <c r="BV279" i="1" s="1"/>
  <c r="AQ279" i="1"/>
  <c r="BT279" i="1" s="1"/>
  <c r="AN279" i="1"/>
  <c r="AM279" i="1"/>
  <c r="AL279" i="1"/>
  <c r="AJ279" i="1"/>
  <c r="AK279" i="1" s="1"/>
  <c r="AI279" i="1"/>
  <c r="BG278" i="1"/>
  <c r="BF278" i="1"/>
  <c r="BE278" i="1"/>
  <c r="BC278" i="1"/>
  <c r="BA278" i="1"/>
  <c r="AY278" i="1"/>
  <c r="AX278" i="1"/>
  <c r="AT278" i="1"/>
  <c r="BW278" i="1" s="1"/>
  <c r="AS278" i="1"/>
  <c r="BV278" i="1" s="1"/>
  <c r="AR278" i="1"/>
  <c r="BU278" i="1" s="1"/>
  <c r="AP278" i="1"/>
  <c r="AN278" i="1"/>
  <c r="AM278" i="1"/>
  <c r="AL278" i="1"/>
  <c r="AJ278" i="1"/>
  <c r="AK278" i="1" s="1"/>
  <c r="AI278" i="1"/>
  <c r="BG277" i="1"/>
  <c r="BE277" i="1"/>
  <c r="BD277" i="1"/>
  <c r="BC277" i="1"/>
  <c r="BB277" i="1"/>
  <c r="BA277" i="1"/>
  <c r="AZ277" i="1"/>
  <c r="AY277" i="1"/>
  <c r="AX277" i="1"/>
  <c r="AT277" i="1"/>
  <c r="BW277" i="1" s="1"/>
  <c r="AS277" i="1"/>
  <c r="BV277" i="1" s="1"/>
  <c r="AR277" i="1"/>
  <c r="BU277" i="1" s="1"/>
  <c r="AQ277" i="1"/>
  <c r="BT277" i="1" s="1"/>
  <c r="AP277" i="1"/>
  <c r="AN277" i="1"/>
  <c r="AM277" i="1"/>
  <c r="AL277" i="1"/>
  <c r="AK277" i="1"/>
  <c r="AJ277" i="1"/>
  <c r="AI277" i="1"/>
  <c r="BF277" i="1" s="1"/>
  <c r="AM276" i="1"/>
  <c r="AL276" i="1"/>
  <c r="AJ276" i="1"/>
  <c r="AK276" i="1" s="1"/>
  <c r="AI276" i="1"/>
  <c r="BD276" i="1" s="1"/>
  <c r="BA275" i="1"/>
  <c r="AX275" i="1"/>
  <c r="AM275" i="1"/>
  <c r="AL275" i="1"/>
  <c r="AK275" i="1"/>
  <c r="AJ275" i="1"/>
  <c r="AI275" i="1"/>
  <c r="AZ274" i="1"/>
  <c r="AY274" i="1"/>
  <c r="AX274" i="1"/>
  <c r="AT274" i="1"/>
  <c r="BW274" i="1" s="1"/>
  <c r="AR274" i="1"/>
  <c r="BU274" i="1" s="1"/>
  <c r="AN274" i="1"/>
  <c r="AM274" i="1"/>
  <c r="AL274" i="1"/>
  <c r="AK274" i="1"/>
  <c r="AJ274" i="1"/>
  <c r="AI274" i="1"/>
  <c r="BG273" i="1"/>
  <c r="BF273" i="1"/>
  <c r="BE273" i="1"/>
  <c r="BD273" i="1"/>
  <c r="BA273" i="1"/>
  <c r="AY273" i="1"/>
  <c r="AT273" i="1"/>
  <c r="BW273" i="1" s="1"/>
  <c r="AS273" i="1"/>
  <c r="BV273" i="1" s="1"/>
  <c r="AR273" i="1"/>
  <c r="BU273" i="1" s="1"/>
  <c r="AQ273" i="1"/>
  <c r="BT273" i="1" s="1"/>
  <c r="AN273" i="1"/>
  <c r="AM273" i="1"/>
  <c r="AL273" i="1"/>
  <c r="AJ273" i="1"/>
  <c r="AK273" i="1" s="1"/>
  <c r="AI273" i="1"/>
  <c r="BG272" i="1"/>
  <c r="BE272" i="1"/>
  <c r="BD272" i="1"/>
  <c r="BC272" i="1"/>
  <c r="BB272" i="1"/>
  <c r="BA272" i="1"/>
  <c r="AY272" i="1"/>
  <c r="AX272" i="1"/>
  <c r="AT272" i="1"/>
  <c r="BW272" i="1" s="1"/>
  <c r="AS272" i="1"/>
  <c r="BV272" i="1" s="1"/>
  <c r="AR272" i="1"/>
  <c r="BU272" i="1" s="1"/>
  <c r="AQ272" i="1"/>
  <c r="BT272" i="1" s="1"/>
  <c r="AM272" i="1"/>
  <c r="AL272" i="1"/>
  <c r="AK272" i="1"/>
  <c r="AJ272" i="1"/>
  <c r="AI272" i="1"/>
  <c r="AM271" i="1"/>
  <c r="AL271" i="1"/>
  <c r="AK271" i="1"/>
  <c r="AJ271" i="1"/>
  <c r="AI271" i="1"/>
  <c r="AX271" i="1" s="1"/>
  <c r="AP270" i="1"/>
  <c r="AM270" i="1"/>
  <c r="AL270" i="1"/>
  <c r="AK270" i="1"/>
  <c r="AJ270" i="1"/>
  <c r="AI270" i="1"/>
  <c r="BG269" i="1"/>
  <c r="AM269" i="1"/>
  <c r="AL269" i="1"/>
  <c r="AK269" i="1"/>
  <c r="AJ269" i="1"/>
  <c r="AI269" i="1"/>
  <c r="AS269" i="1" s="1"/>
  <c r="BV269" i="1" s="1"/>
  <c r="BV268" i="1"/>
  <c r="BF268" i="1"/>
  <c r="AT268" i="1"/>
  <c r="BW268" i="1" s="1"/>
  <c r="AS268" i="1"/>
  <c r="AR268" i="1"/>
  <c r="BU268" i="1" s="1"/>
  <c r="AP268" i="1"/>
  <c r="AN268" i="1"/>
  <c r="AM268" i="1"/>
  <c r="AL268" i="1"/>
  <c r="AK268" i="1"/>
  <c r="AJ268" i="1"/>
  <c r="AI268" i="1"/>
  <c r="BE267" i="1"/>
  <c r="BD267" i="1"/>
  <c r="BC267" i="1"/>
  <c r="BA267" i="1"/>
  <c r="AZ267" i="1"/>
  <c r="AY267" i="1"/>
  <c r="AX267" i="1"/>
  <c r="AT267" i="1"/>
  <c r="BW267" i="1" s="1"/>
  <c r="AS267" i="1"/>
  <c r="BV267" i="1" s="1"/>
  <c r="AR267" i="1"/>
  <c r="BU267" i="1" s="1"/>
  <c r="AQ267" i="1"/>
  <c r="BT267" i="1" s="1"/>
  <c r="AN267" i="1"/>
  <c r="AM267" i="1"/>
  <c r="AL267" i="1"/>
  <c r="AJ267" i="1"/>
  <c r="AK267" i="1" s="1"/>
  <c r="AI267" i="1"/>
  <c r="BG267" i="1" s="1"/>
  <c r="AX266" i="1"/>
  <c r="AT266" i="1"/>
  <c r="BW266" i="1" s="1"/>
  <c r="AS266" i="1"/>
  <c r="BV266" i="1" s="1"/>
  <c r="AM266" i="1"/>
  <c r="AL266" i="1"/>
  <c r="AJ266" i="1"/>
  <c r="AK266" i="1" s="1"/>
  <c r="AI266" i="1"/>
  <c r="BS265" i="1"/>
  <c r="BG265" i="1"/>
  <c r="BE265" i="1"/>
  <c r="BD265" i="1"/>
  <c r="BC265" i="1"/>
  <c r="BB265" i="1"/>
  <c r="BA265" i="1"/>
  <c r="AY265" i="1"/>
  <c r="AX265" i="1"/>
  <c r="AT265" i="1"/>
  <c r="BW265" i="1" s="1"/>
  <c r="AS265" i="1"/>
  <c r="BV265" i="1" s="1"/>
  <c r="AR265" i="1"/>
  <c r="BU265" i="1" s="1"/>
  <c r="AQ265" i="1"/>
  <c r="BT265" i="1" s="1"/>
  <c r="AP265" i="1"/>
  <c r="AN265" i="1"/>
  <c r="AM265" i="1"/>
  <c r="AL265" i="1"/>
  <c r="AJ265" i="1"/>
  <c r="AK265" i="1" s="1"/>
  <c r="AI265" i="1"/>
  <c r="BF265" i="1" s="1"/>
  <c r="AM264" i="1"/>
  <c r="AL264" i="1"/>
  <c r="AK264" i="1"/>
  <c r="AJ264" i="1"/>
  <c r="AI264" i="1"/>
  <c r="BW263" i="1"/>
  <c r="BU263" i="1"/>
  <c r="BG263" i="1"/>
  <c r="BE263" i="1"/>
  <c r="BD263" i="1"/>
  <c r="BC263" i="1"/>
  <c r="BB263" i="1"/>
  <c r="BA263" i="1"/>
  <c r="AZ263" i="1"/>
  <c r="AY263" i="1"/>
  <c r="AT263" i="1"/>
  <c r="AS263" i="1"/>
  <c r="BV263" i="1" s="1"/>
  <c r="AR263" i="1"/>
  <c r="AQ263" i="1"/>
  <c r="BT263" i="1" s="1"/>
  <c r="AP263" i="1"/>
  <c r="AN263" i="1"/>
  <c r="AM263" i="1"/>
  <c r="AL263" i="1"/>
  <c r="AJ263" i="1"/>
  <c r="AK263" i="1" s="1"/>
  <c r="AI263" i="1"/>
  <c r="BF263" i="1" s="1"/>
  <c r="BU262" i="1"/>
  <c r="BF262" i="1"/>
  <c r="BE262" i="1"/>
  <c r="BD262" i="1"/>
  <c r="BC262" i="1"/>
  <c r="BB262" i="1"/>
  <c r="BA262" i="1"/>
  <c r="AZ262" i="1"/>
  <c r="AY262" i="1"/>
  <c r="AX262" i="1"/>
  <c r="AT262" i="1"/>
  <c r="BW262" i="1" s="1"/>
  <c r="AR262" i="1"/>
  <c r="AP262" i="1"/>
  <c r="AN262" i="1"/>
  <c r="AM262" i="1"/>
  <c r="AL262" i="1"/>
  <c r="AK262" i="1"/>
  <c r="AJ262" i="1"/>
  <c r="AI262" i="1"/>
  <c r="BW261" i="1"/>
  <c r="BV261" i="1"/>
  <c r="BU261" i="1"/>
  <c r="BT261" i="1"/>
  <c r="BG261" i="1"/>
  <c r="BE261" i="1"/>
  <c r="BD261" i="1"/>
  <c r="BC261" i="1"/>
  <c r="BB261" i="1"/>
  <c r="BA261" i="1"/>
  <c r="AZ261" i="1"/>
  <c r="AY261" i="1"/>
  <c r="AX261" i="1"/>
  <c r="AT261" i="1"/>
  <c r="AS261" i="1"/>
  <c r="AR261" i="1"/>
  <c r="AQ261" i="1"/>
  <c r="AP261" i="1"/>
  <c r="AN261" i="1"/>
  <c r="AM261" i="1"/>
  <c r="AL261" i="1"/>
  <c r="AJ261" i="1"/>
  <c r="AK261" i="1" s="1"/>
  <c r="AI261" i="1"/>
  <c r="BF261" i="1" s="1"/>
  <c r="BG260" i="1"/>
  <c r="BF260" i="1"/>
  <c r="AM260" i="1"/>
  <c r="AL260" i="1"/>
  <c r="AJ260" i="1"/>
  <c r="AK260" i="1" s="1"/>
  <c r="AI260" i="1"/>
  <c r="AN259" i="1"/>
  <c r="AM259" i="1"/>
  <c r="AL259" i="1"/>
  <c r="AJ259" i="1"/>
  <c r="AK259" i="1" s="1"/>
  <c r="AI259" i="1"/>
  <c r="AM258" i="1"/>
  <c r="AL258" i="1"/>
  <c r="AJ258" i="1"/>
  <c r="AK258" i="1" s="1"/>
  <c r="AI258" i="1"/>
  <c r="BG257" i="1"/>
  <c r="BF257" i="1"/>
  <c r="BE257" i="1"/>
  <c r="BC257" i="1"/>
  <c r="AY257" i="1"/>
  <c r="AM257" i="1"/>
  <c r="AL257" i="1"/>
  <c r="AJ257" i="1"/>
  <c r="AK257" i="1" s="1"/>
  <c r="AI257" i="1"/>
  <c r="BG256" i="1"/>
  <c r="BE256" i="1"/>
  <c r="BC256" i="1"/>
  <c r="AX256" i="1"/>
  <c r="AT256" i="1"/>
  <c r="BW256" i="1" s="1"/>
  <c r="AQ256" i="1"/>
  <c r="BT256" i="1" s="1"/>
  <c r="AM256" i="1"/>
  <c r="AL256" i="1"/>
  <c r="AK256" i="1"/>
  <c r="AJ256" i="1"/>
  <c r="AI256" i="1"/>
  <c r="BE255" i="1"/>
  <c r="AY255" i="1"/>
  <c r="AT255" i="1"/>
  <c r="BW255" i="1" s="1"/>
  <c r="AS255" i="1"/>
  <c r="BV255" i="1" s="1"/>
  <c r="AR255" i="1"/>
  <c r="BU255" i="1" s="1"/>
  <c r="AQ255" i="1"/>
  <c r="BT255" i="1" s="1"/>
  <c r="AP255" i="1"/>
  <c r="AN255" i="1"/>
  <c r="AM255" i="1"/>
  <c r="AL255" i="1"/>
  <c r="AJ255" i="1"/>
  <c r="AK255" i="1" s="1"/>
  <c r="AI255" i="1"/>
  <c r="BU254" i="1"/>
  <c r="BF254" i="1"/>
  <c r="BE254" i="1"/>
  <c r="BD254" i="1"/>
  <c r="BC254" i="1"/>
  <c r="BB254" i="1"/>
  <c r="BA254" i="1"/>
  <c r="AZ254" i="1"/>
  <c r="AX254" i="1"/>
  <c r="AT254" i="1"/>
  <c r="BW254" i="1" s="1"/>
  <c r="AS254" i="1"/>
  <c r="BV254" i="1" s="1"/>
  <c r="AR254" i="1"/>
  <c r="AQ254" i="1"/>
  <c r="AP254" i="1"/>
  <c r="AN254" i="1"/>
  <c r="AM254" i="1"/>
  <c r="AL254" i="1"/>
  <c r="AK254" i="1"/>
  <c r="AJ254" i="1"/>
  <c r="AI254" i="1"/>
  <c r="BW253" i="1"/>
  <c r="BG253" i="1"/>
  <c r="BF253" i="1"/>
  <c r="BE253" i="1"/>
  <c r="BD253" i="1"/>
  <c r="BC253" i="1"/>
  <c r="BB253" i="1"/>
  <c r="BA253" i="1"/>
  <c r="AZ253" i="1"/>
  <c r="AY253" i="1"/>
  <c r="AT253" i="1"/>
  <c r="AS253" i="1"/>
  <c r="BV253" i="1" s="1"/>
  <c r="AR253" i="1"/>
  <c r="BU253" i="1" s="1"/>
  <c r="AM253" i="1"/>
  <c r="AL253" i="1"/>
  <c r="AJ253" i="1"/>
  <c r="AK253" i="1" s="1"/>
  <c r="AI253" i="1"/>
  <c r="AX252" i="1"/>
  <c r="AT252" i="1"/>
  <c r="BW252" i="1" s="1"/>
  <c r="AS252" i="1"/>
  <c r="BV252" i="1" s="1"/>
  <c r="AM252" i="1"/>
  <c r="AL252" i="1"/>
  <c r="AK252" i="1"/>
  <c r="AJ252" i="1"/>
  <c r="AI252" i="1"/>
  <c r="BW251" i="1"/>
  <c r="BU251" i="1"/>
  <c r="BT251" i="1"/>
  <c r="BS251" i="1"/>
  <c r="BG251" i="1"/>
  <c r="BE251" i="1"/>
  <c r="BD251" i="1"/>
  <c r="BC251" i="1"/>
  <c r="BB251" i="1"/>
  <c r="BA251" i="1"/>
  <c r="AZ251" i="1"/>
  <c r="AY251" i="1"/>
  <c r="AX251" i="1"/>
  <c r="AW251" i="1"/>
  <c r="AS251" i="1"/>
  <c r="BV251" i="1" s="1"/>
  <c r="AR251" i="1"/>
  <c r="AQ251" i="1"/>
  <c r="AP251" i="1"/>
  <c r="AN251" i="1"/>
  <c r="AM251" i="1"/>
  <c r="AL251" i="1"/>
  <c r="AJ251" i="1"/>
  <c r="AK251" i="1" s="1"/>
  <c r="AI251" i="1"/>
  <c r="AT251" i="1" s="1"/>
  <c r="AM250" i="1"/>
  <c r="AL250" i="1"/>
  <c r="AJ250" i="1"/>
  <c r="AK250" i="1" s="1"/>
  <c r="AI250" i="1"/>
  <c r="BG249" i="1"/>
  <c r="BB249" i="1"/>
  <c r="AM249" i="1"/>
  <c r="AL249" i="1"/>
  <c r="AJ249" i="1"/>
  <c r="AK249" i="1" s="1"/>
  <c r="AI249" i="1"/>
  <c r="BV248" i="1"/>
  <c r="BS248" i="1"/>
  <c r="BD248" i="1"/>
  <c r="BB248" i="1"/>
  <c r="BA248" i="1"/>
  <c r="AZ248" i="1"/>
  <c r="AY248" i="1"/>
  <c r="AX248" i="1"/>
  <c r="AT248" i="1"/>
  <c r="BW248" i="1" s="1"/>
  <c r="AS248" i="1"/>
  <c r="AR248" i="1"/>
  <c r="BU248" i="1" s="1"/>
  <c r="AP248" i="1"/>
  <c r="AN248" i="1"/>
  <c r="AM248" i="1"/>
  <c r="AL248" i="1"/>
  <c r="AJ248" i="1"/>
  <c r="AK248" i="1" s="1"/>
  <c r="AI248" i="1"/>
  <c r="BE248" i="1" s="1"/>
  <c r="BU247" i="1"/>
  <c r="BG247" i="1"/>
  <c r="BF247" i="1"/>
  <c r="BE247" i="1"/>
  <c r="BD247" i="1"/>
  <c r="BC247" i="1"/>
  <c r="BA247" i="1"/>
  <c r="AZ247" i="1"/>
  <c r="AY247" i="1"/>
  <c r="AX247" i="1"/>
  <c r="AS247" i="1"/>
  <c r="BV247" i="1" s="1"/>
  <c r="AR247" i="1"/>
  <c r="AQ247" i="1"/>
  <c r="BT247" i="1" s="1"/>
  <c r="AM247" i="1"/>
  <c r="AL247" i="1"/>
  <c r="AJ247" i="1"/>
  <c r="AK247" i="1" s="1"/>
  <c r="AI247" i="1"/>
  <c r="BT246" i="1"/>
  <c r="BG246" i="1"/>
  <c r="BF246" i="1"/>
  <c r="BE246" i="1"/>
  <c r="BD246" i="1"/>
  <c r="BB246" i="1"/>
  <c r="AZ246" i="1"/>
  <c r="AY246" i="1"/>
  <c r="AT246" i="1"/>
  <c r="BW246" i="1" s="1"/>
  <c r="AQ246" i="1"/>
  <c r="AM246" i="1"/>
  <c r="AL246" i="1"/>
  <c r="AJ246" i="1"/>
  <c r="AK246" i="1" s="1"/>
  <c r="AI246" i="1"/>
  <c r="BG245" i="1"/>
  <c r="BF245" i="1"/>
  <c r="BC245" i="1"/>
  <c r="BB245" i="1"/>
  <c r="BA245" i="1"/>
  <c r="AY245" i="1"/>
  <c r="AX245" i="1"/>
  <c r="AT245" i="1"/>
  <c r="BW245" i="1" s="1"/>
  <c r="AR245" i="1"/>
  <c r="BU245" i="1" s="1"/>
  <c r="AM245" i="1"/>
  <c r="AL245" i="1"/>
  <c r="AJ245" i="1"/>
  <c r="AK245" i="1" s="1"/>
  <c r="AI245" i="1"/>
  <c r="BG244" i="1"/>
  <c r="BF244" i="1"/>
  <c r="BE244" i="1"/>
  <c r="BD244" i="1"/>
  <c r="BC244" i="1"/>
  <c r="BA244" i="1"/>
  <c r="AX244" i="1"/>
  <c r="AR244" i="1"/>
  <c r="BU244" i="1" s="1"/>
  <c r="AQ244" i="1"/>
  <c r="BT244" i="1" s="1"/>
  <c r="AP244" i="1"/>
  <c r="AM244" i="1"/>
  <c r="AL244" i="1"/>
  <c r="AK244" i="1"/>
  <c r="AJ244" i="1"/>
  <c r="AI244" i="1"/>
  <c r="BV243" i="1"/>
  <c r="BF243" i="1"/>
  <c r="BD243" i="1"/>
  <c r="AZ243" i="1"/>
  <c r="AT243" i="1"/>
  <c r="BW243" i="1" s="1"/>
  <c r="AS243" i="1"/>
  <c r="AR243" i="1"/>
  <c r="BU243" i="1" s="1"/>
  <c r="AQ243" i="1"/>
  <c r="BT243" i="1" s="1"/>
  <c r="AP243" i="1"/>
  <c r="AN243" i="1"/>
  <c r="AM243" i="1"/>
  <c r="AL243" i="1"/>
  <c r="AJ243" i="1"/>
  <c r="AK243" i="1" s="1"/>
  <c r="AI243" i="1"/>
  <c r="BF242" i="1"/>
  <c r="BC242" i="1"/>
  <c r="BB242" i="1"/>
  <c r="BA242" i="1"/>
  <c r="AZ242" i="1"/>
  <c r="AY242" i="1"/>
  <c r="AX242" i="1"/>
  <c r="AT242" i="1"/>
  <c r="BW242" i="1" s="1"/>
  <c r="AS242" i="1"/>
  <c r="BV242" i="1" s="1"/>
  <c r="AR242" i="1"/>
  <c r="BU242" i="1" s="1"/>
  <c r="AQ242" i="1"/>
  <c r="BT242" i="1" s="1"/>
  <c r="AP242" i="1"/>
  <c r="AN242" i="1"/>
  <c r="AM242" i="1"/>
  <c r="AL242" i="1"/>
  <c r="AK242" i="1"/>
  <c r="AJ242" i="1"/>
  <c r="AI242" i="1"/>
  <c r="BW241" i="1"/>
  <c r="BU241" i="1"/>
  <c r="BT241" i="1"/>
  <c r="BS241" i="1"/>
  <c r="BG241" i="1"/>
  <c r="BE241" i="1"/>
  <c r="BD241" i="1"/>
  <c r="BC241" i="1"/>
  <c r="BB241" i="1"/>
  <c r="BA241" i="1"/>
  <c r="AZ241" i="1"/>
  <c r="AY241" i="1"/>
  <c r="AX241" i="1"/>
  <c r="AT241" i="1"/>
  <c r="AS241" i="1"/>
  <c r="BV241" i="1" s="1"/>
  <c r="AR241" i="1"/>
  <c r="AW241" i="1" s="1"/>
  <c r="AQ241" i="1"/>
  <c r="AP241" i="1"/>
  <c r="AN241" i="1"/>
  <c r="AM241" i="1"/>
  <c r="AL241" i="1"/>
  <c r="AJ241" i="1"/>
  <c r="AK241" i="1" s="1"/>
  <c r="AI241" i="1"/>
  <c r="BF241" i="1" s="1"/>
  <c r="AM240" i="1"/>
  <c r="AL240" i="1"/>
  <c r="AJ240" i="1"/>
  <c r="AK240" i="1" s="1"/>
  <c r="AI240" i="1"/>
  <c r="BE239" i="1"/>
  <c r="BC239" i="1"/>
  <c r="AM239" i="1"/>
  <c r="AL239" i="1"/>
  <c r="AK239" i="1"/>
  <c r="AJ239" i="1"/>
  <c r="AI239" i="1"/>
  <c r="BG238" i="1"/>
  <c r="BE238" i="1"/>
  <c r="BB238" i="1"/>
  <c r="AY238" i="1"/>
  <c r="AX238" i="1"/>
  <c r="AM238" i="1"/>
  <c r="AL238" i="1"/>
  <c r="AJ238" i="1"/>
  <c r="AK238" i="1" s="1"/>
  <c r="AI238" i="1"/>
  <c r="AZ237" i="1"/>
  <c r="AY237" i="1"/>
  <c r="AT237" i="1"/>
  <c r="BW237" i="1" s="1"/>
  <c r="AS237" i="1"/>
  <c r="BV237" i="1" s="1"/>
  <c r="AR237" i="1"/>
  <c r="BU237" i="1" s="1"/>
  <c r="AM237" i="1"/>
  <c r="AL237" i="1"/>
  <c r="AK237" i="1"/>
  <c r="AJ237" i="1"/>
  <c r="AI237" i="1"/>
  <c r="BW236" i="1"/>
  <c r="BF236" i="1"/>
  <c r="BC236" i="1"/>
  <c r="BB236" i="1"/>
  <c r="AZ236" i="1"/>
  <c r="AY236" i="1"/>
  <c r="AX236" i="1"/>
  <c r="AT236" i="1"/>
  <c r="AS236" i="1"/>
  <c r="BV236" i="1" s="1"/>
  <c r="AR236" i="1"/>
  <c r="BU236" i="1" s="1"/>
  <c r="AQ236" i="1"/>
  <c r="AP236" i="1"/>
  <c r="AM236" i="1"/>
  <c r="AL236" i="1"/>
  <c r="AK236" i="1"/>
  <c r="AJ236" i="1"/>
  <c r="AI236" i="1"/>
  <c r="BG236" i="1" s="1"/>
  <c r="AM235" i="1"/>
  <c r="AL235" i="1"/>
  <c r="AK235" i="1"/>
  <c r="AJ235" i="1"/>
  <c r="AI235" i="1"/>
  <c r="AZ234" i="1"/>
  <c r="AM234" i="1"/>
  <c r="AL234" i="1"/>
  <c r="AK234" i="1"/>
  <c r="AJ234" i="1"/>
  <c r="AI234" i="1"/>
  <c r="BU233" i="1"/>
  <c r="BG233" i="1"/>
  <c r="BF233" i="1"/>
  <c r="BC233" i="1"/>
  <c r="BB233" i="1"/>
  <c r="AZ233" i="1"/>
  <c r="AR233" i="1"/>
  <c r="AQ233" i="1"/>
  <c r="BT233" i="1" s="1"/>
  <c r="AN233" i="1"/>
  <c r="AM233" i="1"/>
  <c r="AL233" i="1"/>
  <c r="AJ233" i="1"/>
  <c r="AK233" i="1" s="1"/>
  <c r="AI233" i="1"/>
  <c r="BW232" i="1"/>
  <c r="BT232" i="1"/>
  <c r="BS232" i="1"/>
  <c r="BF232" i="1"/>
  <c r="BD232" i="1"/>
  <c r="BB232" i="1"/>
  <c r="AY232" i="1"/>
  <c r="AX232" i="1"/>
  <c r="AT232" i="1"/>
  <c r="AS232" i="1"/>
  <c r="BV232" i="1" s="1"/>
  <c r="AQ232" i="1"/>
  <c r="AP232" i="1"/>
  <c r="AM232" i="1"/>
  <c r="AL232" i="1"/>
  <c r="AK232" i="1"/>
  <c r="AJ232" i="1"/>
  <c r="AI232" i="1"/>
  <c r="BU231" i="1"/>
  <c r="BS231" i="1"/>
  <c r="BG231" i="1"/>
  <c r="BE231" i="1"/>
  <c r="BD231" i="1"/>
  <c r="BC231" i="1"/>
  <c r="BB231" i="1"/>
  <c r="BA231" i="1"/>
  <c r="AZ231" i="1"/>
  <c r="AY231" i="1"/>
  <c r="AX231" i="1"/>
  <c r="AS231" i="1"/>
  <c r="BV231" i="1" s="1"/>
  <c r="AR231" i="1"/>
  <c r="AQ231" i="1"/>
  <c r="BT231" i="1" s="1"/>
  <c r="AP231" i="1"/>
  <c r="AN231" i="1"/>
  <c r="AM231" i="1"/>
  <c r="AL231" i="1"/>
  <c r="AK231" i="1"/>
  <c r="AJ231" i="1"/>
  <c r="AI231" i="1"/>
  <c r="AT231" i="1" s="1"/>
  <c r="BW231" i="1" s="1"/>
  <c r="BG230" i="1"/>
  <c r="BC230" i="1"/>
  <c r="AM230" i="1"/>
  <c r="AL230" i="1"/>
  <c r="AJ230" i="1"/>
  <c r="AK230" i="1" s="1"/>
  <c r="AI230" i="1"/>
  <c r="BG229" i="1"/>
  <c r="BF229" i="1"/>
  <c r="BE229" i="1"/>
  <c r="BC229" i="1"/>
  <c r="BB229" i="1"/>
  <c r="BA229" i="1"/>
  <c r="AZ229" i="1"/>
  <c r="AM229" i="1"/>
  <c r="AL229" i="1"/>
  <c r="AJ229" i="1"/>
  <c r="AK229" i="1" s="1"/>
  <c r="AI229" i="1"/>
  <c r="BG228" i="1"/>
  <c r="BF228" i="1"/>
  <c r="BE228" i="1"/>
  <c r="BD228" i="1"/>
  <c r="AZ228" i="1"/>
  <c r="AX228" i="1"/>
  <c r="AM228" i="1"/>
  <c r="AL228" i="1"/>
  <c r="AK228" i="1"/>
  <c r="AJ228" i="1"/>
  <c r="AI228" i="1"/>
  <c r="BW227" i="1"/>
  <c r="BU227" i="1"/>
  <c r="BT227" i="1"/>
  <c r="BG227" i="1"/>
  <c r="BF227" i="1"/>
  <c r="BE227" i="1"/>
  <c r="BD227" i="1"/>
  <c r="BC227" i="1"/>
  <c r="BA227" i="1"/>
  <c r="AZ227" i="1"/>
  <c r="AY227" i="1"/>
  <c r="AX227" i="1"/>
  <c r="AT227" i="1"/>
  <c r="AS227" i="1"/>
  <c r="BV227" i="1" s="1"/>
  <c r="AR227" i="1"/>
  <c r="AQ227" i="1"/>
  <c r="AN227" i="1"/>
  <c r="AM227" i="1"/>
  <c r="AL227" i="1"/>
  <c r="AK227" i="1"/>
  <c r="AJ227" i="1"/>
  <c r="AI227" i="1"/>
  <c r="AY226" i="1"/>
  <c r="AM226" i="1"/>
  <c r="AL226" i="1"/>
  <c r="AJ226" i="1"/>
  <c r="AK226" i="1" s="1"/>
  <c r="AI226" i="1"/>
  <c r="AM225" i="1"/>
  <c r="AL225" i="1"/>
  <c r="AK225" i="1"/>
  <c r="AJ225" i="1"/>
  <c r="AI225" i="1"/>
  <c r="BV224" i="1"/>
  <c r="BU224" i="1"/>
  <c r="BT224" i="1"/>
  <c r="BF224" i="1"/>
  <c r="BE224" i="1"/>
  <c r="BD224" i="1"/>
  <c r="BC224" i="1"/>
  <c r="BB224" i="1"/>
  <c r="BA224" i="1"/>
  <c r="AZ224" i="1"/>
  <c r="AX224" i="1"/>
  <c r="AT224" i="1"/>
  <c r="BW224" i="1" s="1"/>
  <c r="AS224" i="1"/>
  <c r="AR224" i="1"/>
  <c r="AQ224" i="1"/>
  <c r="AP224" i="1"/>
  <c r="AN224" i="1"/>
  <c r="AM224" i="1"/>
  <c r="AL224" i="1"/>
  <c r="AJ224" i="1"/>
  <c r="AK224" i="1" s="1"/>
  <c r="AI224" i="1"/>
  <c r="AY224" i="1" s="1"/>
  <c r="AM223" i="1"/>
  <c r="AL223" i="1"/>
  <c r="AJ223" i="1"/>
  <c r="AK223" i="1" s="1"/>
  <c r="AI223" i="1"/>
  <c r="AP222" i="1"/>
  <c r="AN222" i="1"/>
  <c r="AM222" i="1"/>
  <c r="AL222" i="1"/>
  <c r="AK222" i="1"/>
  <c r="AJ222" i="1"/>
  <c r="AI222" i="1"/>
  <c r="BW221" i="1"/>
  <c r="BT221" i="1"/>
  <c r="BG221" i="1"/>
  <c r="BE221" i="1"/>
  <c r="BD221" i="1"/>
  <c r="BC221" i="1"/>
  <c r="BB221" i="1"/>
  <c r="BA221" i="1"/>
  <c r="AZ221" i="1"/>
  <c r="AY221" i="1"/>
  <c r="AX221" i="1"/>
  <c r="AT221" i="1"/>
  <c r="AS221" i="1"/>
  <c r="BV221" i="1" s="1"/>
  <c r="AR221" i="1"/>
  <c r="BU221" i="1" s="1"/>
  <c r="AQ221" i="1"/>
  <c r="AP221" i="1"/>
  <c r="AN221" i="1"/>
  <c r="AM221" i="1"/>
  <c r="AL221" i="1"/>
  <c r="AK221" i="1"/>
  <c r="AJ221" i="1"/>
  <c r="AI221" i="1"/>
  <c r="BF221" i="1" s="1"/>
  <c r="BA220" i="1"/>
  <c r="AZ220" i="1"/>
  <c r="AY220" i="1"/>
  <c r="AX220" i="1"/>
  <c r="AT220" i="1"/>
  <c r="BW220" i="1" s="1"/>
  <c r="AP220" i="1"/>
  <c r="AM220" i="1"/>
  <c r="AL220" i="1"/>
  <c r="AJ220" i="1"/>
  <c r="AK220" i="1" s="1"/>
  <c r="AI220" i="1"/>
  <c r="AM219" i="1"/>
  <c r="AL219" i="1"/>
  <c r="AJ219" i="1"/>
  <c r="AK219" i="1" s="1"/>
  <c r="AI219" i="1"/>
  <c r="AQ219" i="1" s="1"/>
  <c r="BT219" i="1" s="1"/>
  <c r="BV218" i="1"/>
  <c r="BU218" i="1"/>
  <c r="BG218" i="1"/>
  <c r="BF218" i="1"/>
  <c r="BE218" i="1"/>
  <c r="BD218" i="1"/>
  <c r="BB218" i="1"/>
  <c r="BA218" i="1"/>
  <c r="AZ218" i="1"/>
  <c r="AY218" i="1"/>
  <c r="AX218" i="1"/>
  <c r="AT218" i="1"/>
  <c r="BW218" i="1" s="1"/>
  <c r="AS218" i="1"/>
  <c r="AR218" i="1"/>
  <c r="AP218" i="1"/>
  <c r="AN218" i="1"/>
  <c r="AM218" i="1"/>
  <c r="AL218" i="1"/>
  <c r="AJ218" i="1"/>
  <c r="AK218" i="1" s="1"/>
  <c r="AI218" i="1"/>
  <c r="AM217" i="1"/>
  <c r="AL217" i="1"/>
  <c r="AJ217" i="1"/>
  <c r="AK217" i="1" s="1"/>
  <c r="AI217" i="1"/>
  <c r="BW216" i="1"/>
  <c r="BG216" i="1"/>
  <c r="BF216" i="1"/>
  <c r="BE216" i="1"/>
  <c r="BD216" i="1"/>
  <c r="BC216" i="1"/>
  <c r="BB216" i="1"/>
  <c r="AZ216" i="1"/>
  <c r="AX216" i="1"/>
  <c r="AT216" i="1"/>
  <c r="AQ216" i="1"/>
  <c r="BT216" i="1" s="1"/>
  <c r="AP216" i="1"/>
  <c r="AM216" i="1"/>
  <c r="AL216" i="1"/>
  <c r="AJ216" i="1"/>
  <c r="AK216" i="1" s="1"/>
  <c r="AI216" i="1"/>
  <c r="BG215" i="1"/>
  <c r="BE215" i="1"/>
  <c r="BD215" i="1"/>
  <c r="BC215" i="1"/>
  <c r="AY215" i="1"/>
  <c r="AX215" i="1"/>
  <c r="AT215" i="1"/>
  <c r="BW215" i="1" s="1"/>
  <c r="AS215" i="1"/>
  <c r="BV215" i="1" s="1"/>
  <c r="AR215" i="1"/>
  <c r="BU215" i="1" s="1"/>
  <c r="AQ215" i="1"/>
  <c r="BT215" i="1" s="1"/>
  <c r="AP215" i="1"/>
  <c r="AN215" i="1"/>
  <c r="AM215" i="1"/>
  <c r="AL215" i="1"/>
  <c r="AJ215" i="1"/>
  <c r="AK215" i="1" s="1"/>
  <c r="AI215" i="1"/>
  <c r="BA214" i="1"/>
  <c r="AZ214" i="1"/>
  <c r="AX214" i="1"/>
  <c r="AT214" i="1"/>
  <c r="BW214" i="1" s="1"/>
  <c r="AS214" i="1"/>
  <c r="BV214" i="1" s="1"/>
  <c r="AQ214" i="1"/>
  <c r="BT214" i="1" s="1"/>
  <c r="AM214" i="1"/>
  <c r="AL214" i="1"/>
  <c r="AJ214" i="1"/>
  <c r="AK214" i="1" s="1"/>
  <c r="AI214" i="1"/>
  <c r="AM213" i="1"/>
  <c r="AL213" i="1"/>
  <c r="AJ213" i="1"/>
  <c r="AK213" i="1" s="1"/>
  <c r="AI213" i="1"/>
  <c r="BC212" i="1"/>
  <c r="AY212" i="1"/>
  <c r="AT212" i="1"/>
  <c r="BW212" i="1" s="1"/>
  <c r="AQ212" i="1"/>
  <c r="BT212" i="1" s="1"/>
  <c r="AP212" i="1"/>
  <c r="AM212" i="1"/>
  <c r="AL212" i="1"/>
  <c r="AK212" i="1"/>
  <c r="AJ212" i="1"/>
  <c r="AI212" i="1"/>
  <c r="BW211" i="1"/>
  <c r="BV211" i="1"/>
  <c r="BU211" i="1"/>
  <c r="BS211" i="1"/>
  <c r="BG211" i="1"/>
  <c r="BE211" i="1"/>
  <c r="BD211" i="1"/>
  <c r="BC211" i="1"/>
  <c r="BB211" i="1"/>
  <c r="BA211" i="1"/>
  <c r="AZ211" i="1"/>
  <c r="AY211" i="1"/>
  <c r="AX211" i="1"/>
  <c r="AW211" i="1"/>
  <c r="AS211" i="1"/>
  <c r="AR211" i="1"/>
  <c r="AQ211" i="1"/>
  <c r="AP211" i="1"/>
  <c r="AN211" i="1"/>
  <c r="AM211" i="1"/>
  <c r="AL211" i="1"/>
  <c r="AJ211" i="1"/>
  <c r="AK211" i="1" s="1"/>
  <c r="AI211" i="1"/>
  <c r="AT211" i="1" s="1"/>
  <c r="BF210" i="1"/>
  <c r="BD210" i="1"/>
  <c r="BC210" i="1"/>
  <c r="BB210" i="1"/>
  <c r="BA210" i="1"/>
  <c r="AY210" i="1"/>
  <c r="AX210" i="1"/>
  <c r="AQ210" i="1"/>
  <c r="BT210" i="1" s="1"/>
  <c r="AP210" i="1"/>
  <c r="AN210" i="1"/>
  <c r="AM210" i="1"/>
  <c r="AL210" i="1"/>
  <c r="AK210" i="1"/>
  <c r="AJ210" i="1"/>
  <c r="AI210" i="1"/>
  <c r="BF209" i="1"/>
  <c r="BE209" i="1"/>
  <c r="BC209" i="1"/>
  <c r="AZ209" i="1"/>
  <c r="AY209" i="1"/>
  <c r="AX209" i="1"/>
  <c r="AT209" i="1"/>
  <c r="BW209" i="1" s="1"/>
  <c r="AS209" i="1"/>
  <c r="BV209" i="1" s="1"/>
  <c r="AQ209" i="1"/>
  <c r="BT209" i="1" s="1"/>
  <c r="AP209" i="1"/>
  <c r="AN209" i="1"/>
  <c r="AM209" i="1"/>
  <c r="AL209" i="1"/>
  <c r="AJ209" i="1"/>
  <c r="AK209" i="1" s="1"/>
  <c r="AI209" i="1"/>
  <c r="BU208" i="1"/>
  <c r="BG208" i="1"/>
  <c r="BF208" i="1"/>
  <c r="BE208" i="1"/>
  <c r="BD208" i="1"/>
  <c r="BB208" i="1"/>
  <c r="BA208" i="1"/>
  <c r="AZ208" i="1"/>
  <c r="AY208" i="1"/>
  <c r="AX208" i="1"/>
  <c r="AT208" i="1"/>
  <c r="BW208" i="1" s="1"/>
  <c r="AS208" i="1"/>
  <c r="BV208" i="1" s="1"/>
  <c r="AR208" i="1"/>
  <c r="AP208" i="1"/>
  <c r="AM208" i="1"/>
  <c r="AL208" i="1"/>
  <c r="AK208" i="1"/>
  <c r="AJ208" i="1"/>
  <c r="AI208" i="1"/>
  <c r="BG207" i="1"/>
  <c r="BF207" i="1"/>
  <c r="BE207" i="1"/>
  <c r="BD207" i="1"/>
  <c r="BC207" i="1"/>
  <c r="BA207" i="1"/>
  <c r="AZ207" i="1"/>
  <c r="AS207" i="1"/>
  <c r="BV207" i="1" s="1"/>
  <c r="AM207" i="1"/>
  <c r="AL207" i="1"/>
  <c r="AJ207" i="1"/>
  <c r="AK207" i="1" s="1"/>
  <c r="AI207" i="1"/>
  <c r="AM206" i="1"/>
  <c r="AL206" i="1"/>
  <c r="AJ206" i="1"/>
  <c r="AK206" i="1" s="1"/>
  <c r="AI206" i="1"/>
  <c r="BF205" i="1"/>
  <c r="BE205" i="1"/>
  <c r="BD205" i="1"/>
  <c r="BC205" i="1"/>
  <c r="BB205" i="1"/>
  <c r="BA205" i="1"/>
  <c r="AY205" i="1"/>
  <c r="AX205" i="1"/>
  <c r="AT205" i="1"/>
  <c r="BW205" i="1" s="1"/>
  <c r="AS205" i="1"/>
  <c r="BV205" i="1" s="1"/>
  <c r="AR205" i="1"/>
  <c r="BU205" i="1" s="1"/>
  <c r="AQ205" i="1"/>
  <c r="BT205" i="1" s="1"/>
  <c r="AP205" i="1"/>
  <c r="AN205" i="1"/>
  <c r="AM205" i="1"/>
  <c r="AL205" i="1"/>
  <c r="AJ205" i="1"/>
  <c r="AK205" i="1" s="1"/>
  <c r="AI205" i="1"/>
  <c r="AZ205" i="1" s="1"/>
  <c r="BV204" i="1"/>
  <c r="BG204" i="1"/>
  <c r="BF204" i="1"/>
  <c r="BE204" i="1"/>
  <c r="BD204" i="1"/>
  <c r="BC204" i="1"/>
  <c r="BB204" i="1"/>
  <c r="BA204" i="1"/>
  <c r="AZ204" i="1"/>
  <c r="AX204" i="1"/>
  <c r="AT204" i="1"/>
  <c r="BW204" i="1" s="1"/>
  <c r="AS204" i="1"/>
  <c r="AR204" i="1"/>
  <c r="BU204" i="1" s="1"/>
  <c r="AN204" i="1"/>
  <c r="AM204" i="1"/>
  <c r="AL204" i="1"/>
  <c r="AK204" i="1"/>
  <c r="AJ204" i="1"/>
  <c r="AI204" i="1"/>
  <c r="BV203" i="1"/>
  <c r="BG203" i="1"/>
  <c r="BF203" i="1"/>
  <c r="BD203" i="1"/>
  <c r="BC203" i="1"/>
  <c r="BB203" i="1"/>
  <c r="AY203" i="1"/>
  <c r="AT203" i="1"/>
  <c r="BW203" i="1" s="1"/>
  <c r="AS203" i="1"/>
  <c r="AR203" i="1"/>
  <c r="BU203" i="1" s="1"/>
  <c r="AQ203" i="1"/>
  <c r="BT203" i="1" s="1"/>
  <c r="AN203" i="1"/>
  <c r="AM203" i="1"/>
  <c r="AL203" i="1"/>
  <c r="AJ203" i="1"/>
  <c r="AK203" i="1" s="1"/>
  <c r="AI203" i="1"/>
  <c r="BU202" i="1"/>
  <c r="BT202" i="1"/>
  <c r="BS202" i="1"/>
  <c r="BF202" i="1"/>
  <c r="BE202" i="1"/>
  <c r="BD202" i="1"/>
  <c r="BC202" i="1"/>
  <c r="BB202" i="1"/>
  <c r="BA202" i="1"/>
  <c r="AZ202" i="1"/>
  <c r="AY202" i="1"/>
  <c r="AX202" i="1"/>
  <c r="AT202" i="1"/>
  <c r="BW202" i="1" s="1"/>
  <c r="AS202" i="1"/>
  <c r="BV202" i="1" s="1"/>
  <c r="AR202" i="1"/>
  <c r="AQ202" i="1"/>
  <c r="AP202" i="1"/>
  <c r="AN202" i="1"/>
  <c r="AM202" i="1"/>
  <c r="AL202" i="1"/>
  <c r="AK202" i="1"/>
  <c r="AJ202" i="1"/>
  <c r="AI202" i="1"/>
  <c r="BG202" i="1" s="1"/>
  <c r="BW201" i="1"/>
  <c r="BV201" i="1"/>
  <c r="BU201" i="1"/>
  <c r="BT201" i="1"/>
  <c r="BG201" i="1"/>
  <c r="BE201" i="1"/>
  <c r="BD201" i="1"/>
  <c r="BC201" i="1"/>
  <c r="BB201" i="1"/>
  <c r="BA201" i="1"/>
  <c r="AZ201" i="1"/>
  <c r="AY201" i="1"/>
  <c r="AX201" i="1"/>
  <c r="AT201" i="1"/>
  <c r="AS201" i="1"/>
  <c r="AR201" i="1"/>
  <c r="AQ201" i="1"/>
  <c r="AP201" i="1"/>
  <c r="AN201" i="1"/>
  <c r="AM201" i="1"/>
  <c r="AL201" i="1"/>
  <c r="AK201" i="1"/>
  <c r="AJ201" i="1"/>
  <c r="AI201" i="1"/>
  <c r="BF201" i="1" s="1"/>
  <c r="AM200" i="1"/>
  <c r="AL200" i="1"/>
  <c r="AJ200" i="1"/>
  <c r="AK200" i="1" s="1"/>
  <c r="AI200" i="1"/>
  <c r="BG199" i="1"/>
  <c r="BF199" i="1"/>
  <c r="BE199" i="1"/>
  <c r="BC199" i="1"/>
  <c r="BB199" i="1"/>
  <c r="BA199" i="1"/>
  <c r="AZ199" i="1"/>
  <c r="AY199" i="1"/>
  <c r="AX199" i="1"/>
  <c r="AT199" i="1"/>
  <c r="BW199" i="1" s="1"/>
  <c r="AS199" i="1"/>
  <c r="BV199" i="1" s="1"/>
  <c r="AQ199" i="1"/>
  <c r="BT199" i="1" s="1"/>
  <c r="AP199" i="1"/>
  <c r="AM199" i="1"/>
  <c r="AL199" i="1"/>
  <c r="AK199" i="1"/>
  <c r="AJ199" i="1"/>
  <c r="AI199" i="1"/>
  <c r="BV198" i="1"/>
  <c r="BS198" i="1"/>
  <c r="BG198" i="1"/>
  <c r="BF198" i="1"/>
  <c r="BE198" i="1"/>
  <c r="BD198" i="1"/>
  <c r="BB198" i="1"/>
  <c r="BA198" i="1"/>
  <c r="AZ198" i="1"/>
  <c r="AY198" i="1"/>
  <c r="AT198" i="1"/>
  <c r="BW198" i="1" s="1"/>
  <c r="AS198" i="1"/>
  <c r="AP198" i="1"/>
  <c r="AM198" i="1"/>
  <c r="AL198" i="1"/>
  <c r="AK198" i="1"/>
  <c r="AJ198" i="1"/>
  <c r="AI198" i="1"/>
  <c r="BT197" i="1"/>
  <c r="AY197" i="1"/>
  <c r="AX197" i="1"/>
  <c r="AS197" i="1"/>
  <c r="BV197" i="1" s="1"/>
  <c r="AQ197" i="1"/>
  <c r="AM197" i="1"/>
  <c r="AL197" i="1"/>
  <c r="AJ197" i="1"/>
  <c r="AK197" i="1" s="1"/>
  <c r="AI197" i="1"/>
  <c r="AM196" i="1"/>
  <c r="AL196" i="1"/>
  <c r="AJ196" i="1"/>
  <c r="AK196" i="1" s="1"/>
  <c r="AI196" i="1"/>
  <c r="AM195" i="1"/>
  <c r="AL195" i="1"/>
  <c r="AJ195" i="1"/>
  <c r="AK195" i="1" s="1"/>
  <c r="AI195" i="1"/>
  <c r="BW194" i="1"/>
  <c r="BU194" i="1"/>
  <c r="BE194" i="1"/>
  <c r="BC194" i="1"/>
  <c r="BB194" i="1"/>
  <c r="BA194" i="1"/>
  <c r="AX194" i="1"/>
  <c r="AT194" i="1"/>
  <c r="AS194" i="1"/>
  <c r="BV194" i="1" s="1"/>
  <c r="AR194" i="1"/>
  <c r="AQ194" i="1"/>
  <c r="BT194" i="1" s="1"/>
  <c r="AP194" i="1"/>
  <c r="AN194" i="1"/>
  <c r="AM194" i="1"/>
  <c r="AL194" i="1"/>
  <c r="AJ194" i="1"/>
  <c r="AK194" i="1" s="1"/>
  <c r="AI194" i="1"/>
  <c r="BG194" i="1" s="1"/>
  <c r="BS193" i="1"/>
  <c r="BF193" i="1"/>
  <c r="AY193" i="1"/>
  <c r="AT193" i="1"/>
  <c r="BW193" i="1" s="1"/>
  <c r="AS193" i="1"/>
  <c r="BV193" i="1" s="1"/>
  <c r="AP193" i="1"/>
  <c r="AM193" i="1"/>
  <c r="AL193" i="1"/>
  <c r="AJ193" i="1"/>
  <c r="AK193" i="1" s="1"/>
  <c r="AI193" i="1"/>
  <c r="BB192" i="1"/>
  <c r="BA192" i="1"/>
  <c r="AZ192" i="1"/>
  <c r="AM192" i="1"/>
  <c r="AL192" i="1"/>
  <c r="AK192" i="1"/>
  <c r="AJ192" i="1"/>
  <c r="AI192" i="1"/>
  <c r="BW191" i="1"/>
  <c r="BG191" i="1"/>
  <c r="BE191" i="1"/>
  <c r="BD191" i="1"/>
  <c r="BC191" i="1"/>
  <c r="BB191" i="1"/>
  <c r="BA191" i="1"/>
  <c r="AZ191" i="1"/>
  <c r="AY191" i="1"/>
  <c r="AX191" i="1"/>
  <c r="AS191" i="1"/>
  <c r="BV191" i="1" s="1"/>
  <c r="AR191" i="1"/>
  <c r="AQ191" i="1"/>
  <c r="BT191" i="1" s="1"/>
  <c r="AP191" i="1"/>
  <c r="AN191" i="1"/>
  <c r="AM191" i="1"/>
  <c r="AL191" i="1"/>
  <c r="AJ191" i="1"/>
  <c r="AK191" i="1" s="1"/>
  <c r="AI191" i="1"/>
  <c r="AT191" i="1" s="1"/>
  <c r="BG190" i="1"/>
  <c r="BF190" i="1"/>
  <c r="BD190" i="1"/>
  <c r="BC190" i="1"/>
  <c r="BB190" i="1"/>
  <c r="BA190" i="1"/>
  <c r="AZ190" i="1"/>
  <c r="AY190" i="1"/>
  <c r="AX190" i="1"/>
  <c r="AT190" i="1"/>
  <c r="BW190" i="1" s="1"/>
  <c r="AR190" i="1"/>
  <c r="BU190" i="1" s="1"/>
  <c r="AQ190" i="1"/>
  <c r="AP190" i="1"/>
  <c r="AN190" i="1"/>
  <c r="AM190" i="1"/>
  <c r="AL190" i="1"/>
  <c r="AJ190" i="1"/>
  <c r="AK190" i="1" s="1"/>
  <c r="AI190" i="1"/>
  <c r="BG189" i="1"/>
  <c r="BF189" i="1"/>
  <c r="BE189" i="1"/>
  <c r="BC189" i="1"/>
  <c r="BB189" i="1"/>
  <c r="BA189" i="1"/>
  <c r="AZ189" i="1"/>
  <c r="AY189" i="1"/>
  <c r="AX189" i="1"/>
  <c r="AT189" i="1"/>
  <c r="BW189" i="1" s="1"/>
  <c r="AS189" i="1"/>
  <c r="BV189" i="1" s="1"/>
  <c r="AM189" i="1"/>
  <c r="AL189" i="1"/>
  <c r="AK189" i="1"/>
  <c r="AJ189" i="1"/>
  <c r="AI189" i="1"/>
  <c r="BG188" i="1"/>
  <c r="BF188" i="1"/>
  <c r="BE188" i="1"/>
  <c r="BB188" i="1"/>
  <c r="BA188" i="1"/>
  <c r="AZ188" i="1"/>
  <c r="AX188" i="1"/>
  <c r="AT188" i="1"/>
  <c r="BW188" i="1" s="1"/>
  <c r="AM188" i="1"/>
  <c r="AL188" i="1"/>
  <c r="AK188" i="1"/>
  <c r="AJ188" i="1"/>
  <c r="AI188" i="1"/>
  <c r="BG187" i="1"/>
  <c r="BE187" i="1"/>
  <c r="BD187" i="1"/>
  <c r="BC187" i="1"/>
  <c r="AZ187" i="1"/>
  <c r="AX187" i="1"/>
  <c r="AS187" i="1"/>
  <c r="BV187" i="1" s="1"/>
  <c r="AR187" i="1"/>
  <c r="BU187" i="1" s="1"/>
  <c r="AQ187" i="1"/>
  <c r="BT187" i="1" s="1"/>
  <c r="AM187" i="1"/>
  <c r="AL187" i="1"/>
  <c r="AJ187" i="1"/>
  <c r="AK187" i="1" s="1"/>
  <c r="AI187" i="1"/>
  <c r="BG186" i="1"/>
  <c r="BE186" i="1"/>
  <c r="BC186" i="1"/>
  <c r="AY186" i="1"/>
  <c r="AX186" i="1"/>
  <c r="AT186" i="1"/>
  <c r="BW186" i="1" s="1"/>
  <c r="AR186" i="1"/>
  <c r="BU186" i="1" s="1"/>
  <c r="AQ186" i="1"/>
  <c r="BT186" i="1" s="1"/>
  <c r="AP186" i="1"/>
  <c r="AM186" i="1"/>
  <c r="AL186" i="1"/>
  <c r="AJ186" i="1"/>
  <c r="AK186" i="1" s="1"/>
  <c r="AI186" i="1"/>
  <c r="BW185" i="1"/>
  <c r="BU185" i="1"/>
  <c r="BE185" i="1"/>
  <c r="BD185" i="1"/>
  <c r="BC185" i="1"/>
  <c r="BA185" i="1"/>
  <c r="AY185" i="1"/>
  <c r="AX185" i="1"/>
  <c r="AT185" i="1"/>
  <c r="AS185" i="1"/>
  <c r="BV185" i="1" s="1"/>
  <c r="AR185" i="1"/>
  <c r="AQ185" i="1"/>
  <c r="BT185" i="1" s="1"/>
  <c r="AP185" i="1"/>
  <c r="AN185" i="1"/>
  <c r="AM185" i="1"/>
  <c r="AL185" i="1"/>
  <c r="AJ185" i="1"/>
  <c r="AK185" i="1" s="1"/>
  <c r="AI185" i="1"/>
  <c r="BG185" i="1" s="1"/>
  <c r="BG184" i="1"/>
  <c r="BF184" i="1"/>
  <c r="BD184" i="1"/>
  <c r="BC184" i="1"/>
  <c r="BB184" i="1"/>
  <c r="BA184" i="1"/>
  <c r="AZ184" i="1"/>
  <c r="AX184" i="1"/>
  <c r="AT184" i="1"/>
  <c r="BW184" i="1" s="1"/>
  <c r="AS184" i="1"/>
  <c r="BV184" i="1" s="1"/>
  <c r="AR184" i="1"/>
  <c r="BU184" i="1" s="1"/>
  <c r="AM184" i="1"/>
  <c r="AL184" i="1"/>
  <c r="AJ184" i="1"/>
  <c r="AK184" i="1" s="1"/>
  <c r="AI184" i="1"/>
  <c r="BV183" i="1"/>
  <c r="BG183" i="1"/>
  <c r="BF183" i="1"/>
  <c r="BE183" i="1"/>
  <c r="BD183" i="1"/>
  <c r="BC183" i="1"/>
  <c r="BB183" i="1"/>
  <c r="BA183" i="1"/>
  <c r="AZ183" i="1"/>
  <c r="AX183" i="1"/>
  <c r="AS183" i="1"/>
  <c r="AN183" i="1"/>
  <c r="AM183" i="1"/>
  <c r="AL183" i="1"/>
  <c r="AJ183" i="1"/>
  <c r="AK183" i="1" s="1"/>
  <c r="AI183" i="1"/>
  <c r="BG182" i="1"/>
  <c r="AM182" i="1"/>
  <c r="AL182" i="1"/>
  <c r="AJ182" i="1"/>
  <c r="AK182" i="1" s="1"/>
  <c r="AI182" i="1"/>
  <c r="BU181" i="1"/>
  <c r="BS181" i="1"/>
  <c r="BG181" i="1"/>
  <c r="BE181" i="1"/>
  <c r="BD181" i="1"/>
  <c r="BC181" i="1"/>
  <c r="BB181" i="1"/>
  <c r="BA181" i="1"/>
  <c r="AZ181" i="1"/>
  <c r="AY181" i="1"/>
  <c r="AX181" i="1"/>
  <c r="AT181" i="1"/>
  <c r="BW181" i="1" s="1"/>
  <c r="AS181" i="1"/>
  <c r="BV181" i="1" s="1"/>
  <c r="AR181" i="1"/>
  <c r="AQ181" i="1"/>
  <c r="BT181" i="1" s="1"/>
  <c r="AP181" i="1"/>
  <c r="AN181" i="1"/>
  <c r="AM181" i="1"/>
  <c r="AL181" i="1"/>
  <c r="AK181" i="1"/>
  <c r="AJ181" i="1"/>
  <c r="AI181" i="1"/>
  <c r="BF181" i="1" s="1"/>
  <c r="AM180" i="1"/>
  <c r="AL180" i="1"/>
  <c r="AJ180" i="1"/>
  <c r="AK180" i="1" s="1"/>
  <c r="AI180" i="1"/>
  <c r="BW179" i="1"/>
  <c r="BU179" i="1"/>
  <c r="AX179" i="1"/>
  <c r="AT179" i="1"/>
  <c r="AS179" i="1"/>
  <c r="BV179" i="1" s="1"/>
  <c r="AR179" i="1"/>
  <c r="AM179" i="1"/>
  <c r="AL179" i="1"/>
  <c r="AK179" i="1"/>
  <c r="AJ179" i="1"/>
  <c r="AI179" i="1"/>
  <c r="AN179" i="1" s="1"/>
  <c r="BG178" i="1"/>
  <c r="BF178" i="1"/>
  <c r="BE178" i="1"/>
  <c r="BD178" i="1"/>
  <c r="BC178" i="1"/>
  <c r="BB178" i="1"/>
  <c r="BA178" i="1"/>
  <c r="AZ178" i="1"/>
  <c r="AY178" i="1"/>
  <c r="AX178" i="1"/>
  <c r="AT178" i="1"/>
  <c r="BW178" i="1" s="1"/>
  <c r="AR178" i="1"/>
  <c r="BU178" i="1" s="1"/>
  <c r="AP178" i="1"/>
  <c r="AM178" i="1"/>
  <c r="AL178" i="1"/>
  <c r="AK178" i="1"/>
  <c r="AJ178" i="1"/>
  <c r="AI178" i="1"/>
  <c r="BG177" i="1"/>
  <c r="BF177" i="1"/>
  <c r="BE177" i="1"/>
  <c r="BD177" i="1"/>
  <c r="BA177" i="1"/>
  <c r="AZ177" i="1"/>
  <c r="AY177" i="1"/>
  <c r="AS177" i="1"/>
  <c r="BV177" i="1" s="1"/>
  <c r="AP177" i="1"/>
  <c r="BS177" i="1" s="1"/>
  <c r="AN177" i="1"/>
  <c r="AM177" i="1"/>
  <c r="AL177" i="1"/>
  <c r="AJ177" i="1"/>
  <c r="AK177" i="1" s="1"/>
  <c r="AI177" i="1"/>
  <c r="BG176" i="1"/>
  <c r="BF176" i="1"/>
  <c r="BD176" i="1"/>
  <c r="BB176" i="1"/>
  <c r="AY176" i="1"/>
  <c r="AX176" i="1"/>
  <c r="AT176" i="1"/>
  <c r="BW176" i="1" s="1"/>
  <c r="AS176" i="1"/>
  <c r="BV176" i="1" s="1"/>
  <c r="AR176" i="1"/>
  <c r="BU176" i="1" s="1"/>
  <c r="AQ176" i="1"/>
  <c r="BT176" i="1" s="1"/>
  <c r="AP176" i="1"/>
  <c r="AM176" i="1"/>
  <c r="AL176" i="1"/>
  <c r="AJ176" i="1"/>
  <c r="AK176" i="1" s="1"/>
  <c r="AI176" i="1"/>
  <c r="BT175" i="1"/>
  <c r="BG175" i="1"/>
  <c r="BF175" i="1"/>
  <c r="BE175" i="1"/>
  <c r="BD175" i="1"/>
  <c r="BC175" i="1"/>
  <c r="BB175" i="1"/>
  <c r="BA175" i="1"/>
  <c r="AY175" i="1"/>
  <c r="AX175" i="1"/>
  <c r="AT175" i="1"/>
  <c r="BW175" i="1" s="1"/>
  <c r="AS175" i="1"/>
  <c r="BV175" i="1" s="1"/>
  <c r="AR175" i="1"/>
  <c r="BU175" i="1" s="1"/>
  <c r="AQ175" i="1"/>
  <c r="AP175" i="1"/>
  <c r="AM175" i="1"/>
  <c r="AL175" i="1"/>
  <c r="AK175" i="1"/>
  <c r="AJ175" i="1"/>
  <c r="AI175" i="1"/>
  <c r="AZ175" i="1" s="1"/>
  <c r="BG174" i="1"/>
  <c r="BF174" i="1"/>
  <c r="BD174" i="1"/>
  <c r="BC174" i="1"/>
  <c r="BB174" i="1"/>
  <c r="BA174" i="1"/>
  <c r="AZ174" i="1"/>
  <c r="AM174" i="1"/>
  <c r="AL174" i="1"/>
  <c r="AK174" i="1"/>
  <c r="AJ174" i="1"/>
  <c r="AI174" i="1"/>
  <c r="AM173" i="1"/>
  <c r="AL173" i="1"/>
  <c r="AJ173" i="1"/>
  <c r="AK173" i="1" s="1"/>
  <c r="AI173" i="1"/>
  <c r="BV172" i="1"/>
  <c r="BT172" i="1"/>
  <c r="BF172" i="1"/>
  <c r="BE172" i="1"/>
  <c r="BD172" i="1"/>
  <c r="BC172" i="1"/>
  <c r="BB172" i="1"/>
  <c r="AZ172" i="1"/>
  <c r="AY172" i="1"/>
  <c r="AX172" i="1"/>
  <c r="AT172" i="1"/>
  <c r="BW172" i="1" s="1"/>
  <c r="AS172" i="1"/>
  <c r="AR172" i="1"/>
  <c r="BU172" i="1" s="1"/>
  <c r="AQ172" i="1"/>
  <c r="AP172" i="1"/>
  <c r="AM172" i="1"/>
  <c r="AL172" i="1"/>
  <c r="AK172" i="1"/>
  <c r="AJ172" i="1"/>
  <c r="AI172" i="1"/>
  <c r="AP171" i="1"/>
  <c r="AN171" i="1"/>
  <c r="AM171" i="1"/>
  <c r="AL171" i="1"/>
  <c r="AJ171" i="1"/>
  <c r="AK171" i="1" s="1"/>
  <c r="AI171" i="1"/>
  <c r="BW170" i="1"/>
  <c r="BF170" i="1"/>
  <c r="BE170" i="1"/>
  <c r="BD170" i="1"/>
  <c r="BC170" i="1"/>
  <c r="BB170" i="1"/>
  <c r="BA170" i="1"/>
  <c r="AZ170" i="1"/>
  <c r="AY170" i="1"/>
  <c r="AT170" i="1"/>
  <c r="AS170" i="1"/>
  <c r="BV170" i="1" s="1"/>
  <c r="AR170" i="1"/>
  <c r="BU170" i="1" s="1"/>
  <c r="AQ170" i="1"/>
  <c r="BT170" i="1" s="1"/>
  <c r="AP170" i="1"/>
  <c r="AN170" i="1"/>
  <c r="AM170" i="1"/>
  <c r="AL170" i="1"/>
  <c r="AK170" i="1"/>
  <c r="AJ170" i="1"/>
  <c r="AI170" i="1"/>
  <c r="AX170" i="1" s="1"/>
  <c r="AM169" i="1"/>
  <c r="AL169" i="1"/>
  <c r="AK169" i="1"/>
  <c r="AJ169" i="1"/>
  <c r="AI169" i="1"/>
  <c r="BB168" i="1"/>
  <c r="AM168" i="1"/>
  <c r="AL168" i="1"/>
  <c r="AK168" i="1"/>
  <c r="AJ168" i="1"/>
  <c r="AI168" i="1"/>
  <c r="BW167" i="1"/>
  <c r="BV167" i="1"/>
  <c r="BT167" i="1"/>
  <c r="BD167" i="1"/>
  <c r="BC167" i="1"/>
  <c r="BB167" i="1"/>
  <c r="BA167" i="1"/>
  <c r="AZ167" i="1"/>
  <c r="AY167" i="1"/>
  <c r="AX167" i="1"/>
  <c r="AT167" i="1"/>
  <c r="AS167" i="1"/>
  <c r="AR167" i="1"/>
  <c r="BU167" i="1" s="1"/>
  <c r="AQ167" i="1"/>
  <c r="AP167" i="1"/>
  <c r="AN167" i="1"/>
  <c r="AM167" i="1"/>
  <c r="AL167" i="1"/>
  <c r="AJ167" i="1"/>
  <c r="AK167" i="1" s="1"/>
  <c r="AI167" i="1"/>
  <c r="BE167" i="1" s="1"/>
  <c r="AM166" i="1"/>
  <c r="AL166" i="1"/>
  <c r="AJ166" i="1"/>
  <c r="AK166" i="1" s="1"/>
  <c r="AI166" i="1"/>
  <c r="AM165" i="1"/>
  <c r="AL165" i="1"/>
  <c r="AJ165" i="1"/>
  <c r="AK165" i="1" s="1"/>
  <c r="AI165" i="1"/>
  <c r="AX165" i="1" s="1"/>
  <c r="BF164" i="1"/>
  <c r="BC164" i="1"/>
  <c r="BB164" i="1"/>
  <c r="BA164" i="1"/>
  <c r="AZ164" i="1"/>
  <c r="AY164" i="1"/>
  <c r="AX164" i="1"/>
  <c r="AT164" i="1"/>
  <c r="BW164" i="1" s="1"/>
  <c r="AS164" i="1"/>
  <c r="BV164" i="1" s="1"/>
  <c r="AR164" i="1"/>
  <c r="BU164" i="1" s="1"/>
  <c r="AN164" i="1"/>
  <c r="AM164" i="1"/>
  <c r="AL164" i="1"/>
  <c r="AK164" i="1"/>
  <c r="AJ164" i="1"/>
  <c r="AI164" i="1"/>
  <c r="BG164" i="1" s="1"/>
  <c r="BT163" i="1"/>
  <c r="BS163" i="1"/>
  <c r="BG163" i="1"/>
  <c r="BF163" i="1"/>
  <c r="BE163" i="1"/>
  <c r="BD163" i="1"/>
  <c r="BC163" i="1"/>
  <c r="BB163" i="1"/>
  <c r="AY163" i="1"/>
  <c r="AR163" i="1"/>
  <c r="AQ163" i="1"/>
  <c r="AP163" i="1"/>
  <c r="AM163" i="1"/>
  <c r="AL163" i="1"/>
  <c r="AK163" i="1"/>
  <c r="AJ163" i="1"/>
  <c r="AI163" i="1"/>
  <c r="BW162" i="1"/>
  <c r="BV162" i="1"/>
  <c r="BU162" i="1"/>
  <c r="BS162" i="1"/>
  <c r="BG162" i="1"/>
  <c r="BE162" i="1"/>
  <c r="BD162" i="1"/>
  <c r="BB162" i="1"/>
  <c r="BA162" i="1"/>
  <c r="AZ162" i="1"/>
  <c r="AY162" i="1"/>
  <c r="AX162" i="1"/>
  <c r="AW162" i="1"/>
  <c r="AT162" i="1"/>
  <c r="AS162" i="1"/>
  <c r="AR162" i="1"/>
  <c r="AQ162" i="1"/>
  <c r="BT162" i="1" s="1"/>
  <c r="AP162" i="1"/>
  <c r="AN162" i="1"/>
  <c r="AM162" i="1"/>
  <c r="AL162" i="1"/>
  <c r="AJ162" i="1"/>
  <c r="AK162" i="1" s="1"/>
  <c r="AI162" i="1"/>
  <c r="BF162" i="1" s="1"/>
  <c r="BG161" i="1"/>
  <c r="BF161" i="1"/>
  <c r="BE161" i="1"/>
  <c r="BD161" i="1"/>
  <c r="AM161" i="1"/>
  <c r="AL161" i="1"/>
  <c r="AK161" i="1"/>
  <c r="AJ161" i="1"/>
  <c r="AI161" i="1"/>
  <c r="BT160" i="1"/>
  <c r="BG160" i="1"/>
  <c r="BF160" i="1"/>
  <c r="AS160" i="1"/>
  <c r="BV160" i="1" s="1"/>
  <c r="AR160" i="1"/>
  <c r="BU160" i="1" s="1"/>
  <c r="AQ160" i="1"/>
  <c r="AP160" i="1"/>
  <c r="AN160" i="1"/>
  <c r="AM160" i="1"/>
  <c r="AL160" i="1"/>
  <c r="AJ160" i="1"/>
  <c r="AK160" i="1" s="1"/>
  <c r="AI160" i="1"/>
  <c r="BS159" i="1"/>
  <c r="BF159" i="1"/>
  <c r="BE159" i="1"/>
  <c r="BD159" i="1"/>
  <c r="BC159" i="1"/>
  <c r="BB159" i="1"/>
  <c r="BA159" i="1"/>
  <c r="AZ159" i="1"/>
  <c r="AY159" i="1"/>
  <c r="AX159" i="1"/>
  <c r="AT159" i="1"/>
  <c r="BW159" i="1" s="1"/>
  <c r="AS159" i="1"/>
  <c r="BV159" i="1" s="1"/>
  <c r="AR159" i="1"/>
  <c r="BU159" i="1" s="1"/>
  <c r="AQ159" i="1"/>
  <c r="BT159" i="1" s="1"/>
  <c r="AP159" i="1"/>
  <c r="AM159" i="1"/>
  <c r="AL159" i="1"/>
  <c r="AK159" i="1"/>
  <c r="AJ159" i="1"/>
  <c r="AI159" i="1"/>
  <c r="AN159" i="1" s="1"/>
  <c r="BW158" i="1"/>
  <c r="BV158" i="1"/>
  <c r="BU158" i="1"/>
  <c r="BG158" i="1"/>
  <c r="BE158" i="1"/>
  <c r="BD158" i="1"/>
  <c r="BC158" i="1"/>
  <c r="BB158" i="1"/>
  <c r="BA158" i="1"/>
  <c r="AZ158" i="1"/>
  <c r="AY158" i="1"/>
  <c r="AX158" i="1"/>
  <c r="AT158" i="1"/>
  <c r="AS158" i="1"/>
  <c r="AR158" i="1"/>
  <c r="AQ158" i="1"/>
  <c r="BT158" i="1" s="1"/>
  <c r="AP158" i="1"/>
  <c r="AN158" i="1"/>
  <c r="AM158" i="1"/>
  <c r="AL158" i="1"/>
  <c r="AJ158" i="1"/>
  <c r="AK158" i="1" s="1"/>
  <c r="AI158" i="1"/>
  <c r="BF158" i="1" s="1"/>
  <c r="AZ157" i="1"/>
  <c r="AM157" i="1"/>
  <c r="AL157" i="1"/>
  <c r="AK157" i="1"/>
  <c r="AJ157" i="1"/>
  <c r="AI157" i="1"/>
  <c r="BG156" i="1"/>
  <c r="BF156" i="1"/>
  <c r="BE156" i="1"/>
  <c r="BC156" i="1"/>
  <c r="BB156" i="1"/>
  <c r="BA156" i="1"/>
  <c r="AZ156" i="1"/>
  <c r="AM156" i="1"/>
  <c r="AL156" i="1"/>
  <c r="AJ156" i="1"/>
  <c r="AK156" i="1" s="1"/>
  <c r="AI156" i="1"/>
  <c r="BG155" i="1"/>
  <c r="BF155" i="1"/>
  <c r="BE155" i="1"/>
  <c r="AR155" i="1"/>
  <c r="BU155" i="1" s="1"/>
  <c r="AP155" i="1"/>
  <c r="AN155" i="1"/>
  <c r="AM155" i="1"/>
  <c r="AL155" i="1"/>
  <c r="AK155" i="1"/>
  <c r="AJ155" i="1"/>
  <c r="AI155" i="1"/>
  <c r="BE154" i="1"/>
  <c r="BD154" i="1"/>
  <c r="BC154" i="1"/>
  <c r="BA154" i="1"/>
  <c r="AZ154" i="1"/>
  <c r="AY154" i="1"/>
  <c r="AX154" i="1"/>
  <c r="AT154" i="1"/>
  <c r="BW154" i="1" s="1"/>
  <c r="AS154" i="1"/>
  <c r="BV154" i="1" s="1"/>
  <c r="AR154" i="1"/>
  <c r="BU154" i="1" s="1"/>
  <c r="AQ154" i="1"/>
  <c r="BT154" i="1" s="1"/>
  <c r="AP154" i="1"/>
  <c r="AN154" i="1"/>
  <c r="AM154" i="1"/>
  <c r="AL154" i="1"/>
  <c r="AJ154" i="1"/>
  <c r="AK154" i="1" s="1"/>
  <c r="AI154" i="1"/>
  <c r="BB154" i="1" s="1"/>
  <c r="BC153" i="1"/>
  <c r="BB153" i="1"/>
  <c r="BA153" i="1"/>
  <c r="AZ153" i="1"/>
  <c r="AY153" i="1"/>
  <c r="AS153" i="1"/>
  <c r="BV153" i="1" s="1"/>
  <c r="AP153" i="1"/>
  <c r="AM153" i="1"/>
  <c r="AL153" i="1"/>
  <c r="AJ153" i="1"/>
  <c r="AK153" i="1" s="1"/>
  <c r="AI153" i="1"/>
  <c r="BG152" i="1"/>
  <c r="BE152" i="1"/>
  <c r="BC152" i="1"/>
  <c r="AY152" i="1"/>
  <c r="AX152" i="1"/>
  <c r="AT152" i="1"/>
  <c r="BW152" i="1" s="1"/>
  <c r="AS152" i="1"/>
  <c r="BV152" i="1" s="1"/>
  <c r="AR152" i="1"/>
  <c r="BU152" i="1" s="1"/>
  <c r="AQ152" i="1"/>
  <c r="BT152" i="1" s="1"/>
  <c r="AP152" i="1"/>
  <c r="AN152" i="1"/>
  <c r="AM152" i="1"/>
  <c r="AL152" i="1"/>
  <c r="AJ152" i="1"/>
  <c r="AK152" i="1" s="1"/>
  <c r="AI152" i="1"/>
  <c r="BF151" i="1"/>
  <c r="BE151" i="1"/>
  <c r="BD151" i="1"/>
  <c r="BC151" i="1"/>
  <c r="BB151" i="1"/>
  <c r="BA151" i="1"/>
  <c r="AZ151" i="1"/>
  <c r="AY151" i="1"/>
  <c r="AX151" i="1"/>
  <c r="AT151" i="1"/>
  <c r="BW151" i="1" s="1"/>
  <c r="AS151" i="1"/>
  <c r="BV151" i="1" s="1"/>
  <c r="AR151" i="1"/>
  <c r="BU151" i="1" s="1"/>
  <c r="AP151" i="1"/>
  <c r="AM151" i="1"/>
  <c r="AL151" i="1"/>
  <c r="AJ151" i="1"/>
  <c r="AK151" i="1" s="1"/>
  <c r="AI151" i="1"/>
  <c r="BG151" i="1" s="1"/>
  <c r="AM150" i="1"/>
  <c r="AL150" i="1"/>
  <c r="AJ150" i="1"/>
  <c r="AK150" i="1" s="1"/>
  <c r="AI150" i="1"/>
  <c r="AM149" i="1"/>
  <c r="AL149" i="1"/>
  <c r="AK149" i="1"/>
  <c r="AJ149" i="1"/>
  <c r="AI149" i="1"/>
  <c r="BF149" i="1" s="1"/>
  <c r="BG148" i="1"/>
  <c r="BF148" i="1"/>
  <c r="BE148" i="1"/>
  <c r="AM148" i="1"/>
  <c r="AL148" i="1"/>
  <c r="AJ148" i="1"/>
  <c r="AK148" i="1" s="1"/>
  <c r="AI148" i="1"/>
  <c r="AN148" i="1" s="1"/>
  <c r="BS147" i="1"/>
  <c r="AT147" i="1"/>
  <c r="BW147" i="1" s="1"/>
  <c r="AS147" i="1"/>
  <c r="BV147" i="1" s="1"/>
  <c r="AR147" i="1"/>
  <c r="BU147" i="1" s="1"/>
  <c r="AQ147" i="1"/>
  <c r="BT147" i="1" s="1"/>
  <c r="AP147" i="1"/>
  <c r="AM147" i="1"/>
  <c r="AL147" i="1"/>
  <c r="AK147" i="1"/>
  <c r="AJ147" i="1"/>
  <c r="AI147" i="1"/>
  <c r="BA146" i="1"/>
  <c r="AZ146" i="1"/>
  <c r="AY146" i="1"/>
  <c r="AX146" i="1"/>
  <c r="AT146" i="1"/>
  <c r="BW146" i="1" s="1"/>
  <c r="AS146" i="1"/>
  <c r="BV146" i="1" s="1"/>
  <c r="AQ146" i="1"/>
  <c r="BT146" i="1" s="1"/>
  <c r="AN146" i="1"/>
  <c r="AM146" i="1"/>
  <c r="AL146" i="1"/>
  <c r="AK146" i="1"/>
  <c r="AJ146" i="1"/>
  <c r="AI146" i="1"/>
  <c r="BG145" i="1"/>
  <c r="BF145" i="1"/>
  <c r="BE145" i="1"/>
  <c r="BD145" i="1"/>
  <c r="BB145" i="1"/>
  <c r="BA145" i="1"/>
  <c r="AY145" i="1"/>
  <c r="AR145" i="1"/>
  <c r="BU145" i="1" s="1"/>
  <c r="AQ145" i="1"/>
  <c r="BT145" i="1" s="1"/>
  <c r="AP145" i="1"/>
  <c r="AN145" i="1"/>
  <c r="AM145" i="1"/>
  <c r="AL145" i="1"/>
  <c r="AK145" i="1"/>
  <c r="AJ145" i="1"/>
  <c r="AI145" i="1"/>
  <c r="AM144" i="1"/>
  <c r="AL144" i="1"/>
  <c r="AK144" i="1"/>
  <c r="AJ144" i="1"/>
  <c r="AI144" i="1"/>
  <c r="BB143" i="1"/>
  <c r="AM143" i="1"/>
  <c r="AL143" i="1"/>
  <c r="AJ143" i="1"/>
  <c r="AK143" i="1" s="1"/>
  <c r="AI143" i="1"/>
  <c r="AM142" i="1"/>
  <c r="AL142" i="1"/>
  <c r="AJ142" i="1"/>
  <c r="AK142" i="1" s="1"/>
  <c r="AI142" i="1"/>
  <c r="BW141" i="1"/>
  <c r="BF141" i="1"/>
  <c r="BE141" i="1"/>
  <c r="BD141" i="1"/>
  <c r="BC141" i="1"/>
  <c r="BB141" i="1"/>
  <c r="BA141" i="1"/>
  <c r="AZ141" i="1"/>
  <c r="AX141" i="1"/>
  <c r="AT141" i="1"/>
  <c r="AS141" i="1"/>
  <c r="BV141" i="1" s="1"/>
  <c r="AR141" i="1"/>
  <c r="BU141" i="1" s="1"/>
  <c r="AQ141" i="1"/>
  <c r="BT141" i="1" s="1"/>
  <c r="AP141" i="1"/>
  <c r="AM141" i="1"/>
  <c r="AL141" i="1"/>
  <c r="AK141" i="1"/>
  <c r="AJ141" i="1"/>
  <c r="AI141" i="1"/>
  <c r="AY141" i="1" s="1"/>
  <c r="AM140" i="1"/>
  <c r="AL140" i="1"/>
  <c r="AJ140" i="1"/>
  <c r="AK140" i="1" s="1"/>
  <c r="AI140" i="1"/>
  <c r="AP140" i="1" s="1"/>
  <c r="BF139" i="1"/>
  <c r="BE139" i="1"/>
  <c r="BD139" i="1"/>
  <c r="BC139" i="1"/>
  <c r="BB139" i="1"/>
  <c r="BA139" i="1"/>
  <c r="AZ139" i="1"/>
  <c r="AY139" i="1"/>
  <c r="AX139" i="1"/>
  <c r="AT139" i="1"/>
  <c r="BW139" i="1" s="1"/>
  <c r="AS139" i="1"/>
  <c r="BV139" i="1" s="1"/>
  <c r="AR139" i="1"/>
  <c r="BU139" i="1" s="1"/>
  <c r="AQ139" i="1"/>
  <c r="BT139" i="1" s="1"/>
  <c r="AP139" i="1"/>
  <c r="AN139" i="1"/>
  <c r="AM139" i="1"/>
  <c r="AL139" i="1"/>
  <c r="AK139" i="1"/>
  <c r="AJ139" i="1"/>
  <c r="AI139" i="1"/>
  <c r="BG139" i="1" s="1"/>
  <c r="BV138" i="1"/>
  <c r="BU138" i="1"/>
  <c r="BS138" i="1"/>
  <c r="BG138" i="1"/>
  <c r="BE138" i="1"/>
  <c r="BD138" i="1"/>
  <c r="BC138" i="1"/>
  <c r="BB138" i="1"/>
  <c r="BA138" i="1"/>
  <c r="AZ138" i="1"/>
  <c r="AY138" i="1"/>
  <c r="AX138" i="1"/>
  <c r="BZ138" i="1" s="1"/>
  <c r="AT138" i="1"/>
  <c r="BW138" i="1" s="1"/>
  <c r="AS138" i="1"/>
  <c r="AR138" i="1"/>
  <c r="AQ138" i="1"/>
  <c r="BT138" i="1" s="1"/>
  <c r="AP138" i="1"/>
  <c r="AN138" i="1"/>
  <c r="AM138" i="1"/>
  <c r="AL138" i="1"/>
  <c r="AJ138" i="1"/>
  <c r="AK138" i="1" s="1"/>
  <c r="AI138" i="1"/>
  <c r="BF138" i="1" s="1"/>
  <c r="BH138" i="1" s="1"/>
  <c r="AT137" i="1"/>
  <c r="BW137" i="1" s="1"/>
  <c r="AR137" i="1"/>
  <c r="BU137" i="1" s="1"/>
  <c r="AQ137" i="1"/>
  <c r="BT137" i="1" s="1"/>
  <c r="AP137" i="1"/>
  <c r="AN137" i="1"/>
  <c r="AM137" i="1"/>
  <c r="AL137" i="1"/>
  <c r="AJ137" i="1"/>
  <c r="AK137" i="1" s="1"/>
  <c r="AI137" i="1"/>
  <c r="BE136" i="1"/>
  <c r="BC136" i="1"/>
  <c r="BB136" i="1"/>
  <c r="BA136" i="1"/>
  <c r="AZ136" i="1"/>
  <c r="AY136" i="1"/>
  <c r="AX136" i="1"/>
  <c r="AT136" i="1"/>
  <c r="BW136" i="1" s="1"/>
  <c r="AS136" i="1"/>
  <c r="BV136" i="1" s="1"/>
  <c r="AR136" i="1"/>
  <c r="BU136" i="1" s="1"/>
  <c r="AQ136" i="1"/>
  <c r="BT136" i="1" s="1"/>
  <c r="AP136" i="1"/>
  <c r="AN136" i="1"/>
  <c r="AM136" i="1"/>
  <c r="AL136" i="1"/>
  <c r="AJ136" i="1"/>
  <c r="AK136" i="1" s="1"/>
  <c r="AI136" i="1"/>
  <c r="BD136" i="1" s="1"/>
  <c r="BG135" i="1"/>
  <c r="BF135" i="1"/>
  <c r="BE135" i="1"/>
  <c r="BD135" i="1"/>
  <c r="BC135" i="1"/>
  <c r="BB135" i="1"/>
  <c r="BA135" i="1"/>
  <c r="AZ135" i="1"/>
  <c r="AY135" i="1"/>
  <c r="AS135" i="1"/>
  <c r="BV135" i="1" s="1"/>
  <c r="AN135" i="1"/>
  <c r="AM135" i="1"/>
  <c r="AL135" i="1"/>
  <c r="AK135" i="1"/>
  <c r="AJ135" i="1"/>
  <c r="AI135" i="1"/>
  <c r="BG134" i="1"/>
  <c r="BE134" i="1"/>
  <c r="BC134" i="1"/>
  <c r="AY134" i="1"/>
  <c r="AX134" i="1"/>
  <c r="AT134" i="1"/>
  <c r="BW134" i="1" s="1"/>
  <c r="AS134" i="1"/>
  <c r="BV134" i="1" s="1"/>
  <c r="AR134" i="1"/>
  <c r="BU134" i="1" s="1"/>
  <c r="AQ134" i="1"/>
  <c r="BT134" i="1" s="1"/>
  <c r="AP134" i="1"/>
  <c r="AW134" i="1" s="1"/>
  <c r="AN134" i="1"/>
  <c r="AM134" i="1"/>
  <c r="AL134" i="1"/>
  <c r="AJ134" i="1"/>
  <c r="AK134" i="1" s="1"/>
  <c r="AI134" i="1"/>
  <c r="AM133" i="1"/>
  <c r="AL133" i="1"/>
  <c r="AK133" i="1"/>
  <c r="AJ133" i="1"/>
  <c r="AI133" i="1"/>
  <c r="AT133" i="1" s="1"/>
  <c r="BW133" i="1" s="1"/>
  <c r="AQ132" i="1"/>
  <c r="BT132" i="1" s="1"/>
  <c r="AM132" i="1"/>
  <c r="AL132" i="1"/>
  <c r="AK132" i="1"/>
  <c r="AJ132" i="1"/>
  <c r="AI132" i="1"/>
  <c r="BW131" i="1"/>
  <c r="BG131" i="1"/>
  <c r="BE131" i="1"/>
  <c r="BD131" i="1"/>
  <c r="BB131" i="1"/>
  <c r="BA131" i="1"/>
  <c r="AZ131" i="1"/>
  <c r="AY131" i="1"/>
  <c r="AX131" i="1"/>
  <c r="AT131" i="1"/>
  <c r="AS131" i="1"/>
  <c r="BV131" i="1" s="1"/>
  <c r="AR131" i="1"/>
  <c r="BU131" i="1" s="1"/>
  <c r="AQ131" i="1"/>
  <c r="BT131" i="1" s="1"/>
  <c r="AP131" i="1"/>
  <c r="AN131" i="1"/>
  <c r="AM131" i="1"/>
  <c r="AL131" i="1"/>
  <c r="AJ131" i="1"/>
  <c r="AK131" i="1" s="1"/>
  <c r="AI131" i="1"/>
  <c r="BF131" i="1" s="1"/>
  <c r="AM130" i="1"/>
  <c r="AL130" i="1"/>
  <c r="AJ130" i="1"/>
  <c r="AK130" i="1" s="1"/>
  <c r="AI130" i="1"/>
  <c r="BW129" i="1"/>
  <c r="BV129" i="1"/>
  <c r="BF129" i="1"/>
  <c r="BE129" i="1"/>
  <c r="BC129" i="1"/>
  <c r="BA129" i="1"/>
  <c r="AX129" i="1"/>
  <c r="AT129" i="1"/>
  <c r="AS129" i="1"/>
  <c r="AR129" i="1"/>
  <c r="BU129" i="1" s="1"/>
  <c r="AQ129" i="1"/>
  <c r="BT129" i="1" s="1"/>
  <c r="AP129" i="1"/>
  <c r="AN129" i="1"/>
  <c r="AM129" i="1"/>
  <c r="AL129" i="1"/>
  <c r="AK129" i="1"/>
  <c r="AJ129" i="1"/>
  <c r="AI129" i="1"/>
  <c r="BE128" i="1"/>
  <c r="BD128" i="1"/>
  <c r="BC128" i="1"/>
  <c r="BB128" i="1"/>
  <c r="AN128" i="1"/>
  <c r="AM128" i="1"/>
  <c r="AL128" i="1"/>
  <c r="AK128" i="1"/>
  <c r="AJ128" i="1"/>
  <c r="AI128" i="1"/>
  <c r="BG127" i="1"/>
  <c r="AM127" i="1"/>
  <c r="AL127" i="1"/>
  <c r="AJ127" i="1"/>
  <c r="AK127" i="1" s="1"/>
  <c r="AI127" i="1"/>
  <c r="BG126" i="1"/>
  <c r="AM126" i="1"/>
  <c r="AL126" i="1"/>
  <c r="AK126" i="1"/>
  <c r="AJ126" i="1"/>
  <c r="AI126" i="1"/>
  <c r="BB126" i="1" s="1"/>
  <c r="BG125" i="1"/>
  <c r="BF125" i="1"/>
  <c r="BE125" i="1"/>
  <c r="BD125" i="1"/>
  <c r="BB125" i="1"/>
  <c r="AX125" i="1"/>
  <c r="AM125" i="1"/>
  <c r="AL125" i="1"/>
  <c r="AK125" i="1"/>
  <c r="AJ125" i="1"/>
  <c r="AI125" i="1"/>
  <c r="BG124" i="1"/>
  <c r="BB124" i="1"/>
  <c r="AT124" i="1"/>
  <c r="BW124" i="1" s="1"/>
  <c r="AS124" i="1"/>
  <c r="BV124" i="1" s="1"/>
  <c r="AR124" i="1"/>
  <c r="BU124" i="1" s="1"/>
  <c r="AQ124" i="1"/>
  <c r="BT124" i="1" s="1"/>
  <c r="AN124" i="1"/>
  <c r="AM124" i="1"/>
  <c r="AL124" i="1"/>
  <c r="AJ124" i="1"/>
  <c r="AK124" i="1" s="1"/>
  <c r="AI124" i="1"/>
  <c r="BT123" i="1"/>
  <c r="BE123" i="1"/>
  <c r="BD123" i="1"/>
  <c r="BC123" i="1"/>
  <c r="BB123" i="1"/>
  <c r="AZ123" i="1"/>
  <c r="AY123" i="1"/>
  <c r="AX123" i="1"/>
  <c r="AT123" i="1"/>
  <c r="BW123" i="1" s="1"/>
  <c r="AS123" i="1"/>
  <c r="BV123" i="1" s="1"/>
  <c r="AR123" i="1"/>
  <c r="BU123" i="1" s="1"/>
  <c r="AQ123" i="1"/>
  <c r="AP123" i="1"/>
  <c r="AN123" i="1"/>
  <c r="AM123" i="1"/>
  <c r="AL123" i="1"/>
  <c r="AJ123" i="1"/>
  <c r="AK123" i="1" s="1"/>
  <c r="AI123" i="1"/>
  <c r="BA123" i="1" s="1"/>
  <c r="BE122" i="1"/>
  <c r="BD122" i="1"/>
  <c r="BC122" i="1"/>
  <c r="BB122" i="1"/>
  <c r="BA122" i="1"/>
  <c r="AZ122" i="1"/>
  <c r="AY122" i="1"/>
  <c r="AS122" i="1"/>
  <c r="BV122" i="1" s="1"/>
  <c r="AP122" i="1"/>
  <c r="BS122" i="1" s="1"/>
  <c r="AN122" i="1"/>
  <c r="AM122" i="1"/>
  <c r="AL122" i="1"/>
  <c r="AK122" i="1"/>
  <c r="AJ122" i="1"/>
  <c r="AI122" i="1"/>
  <c r="BG122" i="1" s="1"/>
  <c r="BU121" i="1"/>
  <c r="BT121" i="1"/>
  <c r="BS121" i="1"/>
  <c r="BF121" i="1"/>
  <c r="BE121" i="1"/>
  <c r="BD121" i="1"/>
  <c r="BC121" i="1"/>
  <c r="BB121" i="1"/>
  <c r="BA121" i="1"/>
  <c r="AZ121" i="1"/>
  <c r="AX121" i="1"/>
  <c r="AT121" i="1"/>
  <c r="BW121" i="1" s="1"/>
  <c r="AS121" i="1"/>
  <c r="BV121" i="1" s="1"/>
  <c r="AR121" i="1"/>
  <c r="AQ121" i="1"/>
  <c r="AP121" i="1"/>
  <c r="AN121" i="1"/>
  <c r="AM121" i="1"/>
  <c r="AL121" i="1"/>
  <c r="AJ121" i="1"/>
  <c r="AK121" i="1" s="1"/>
  <c r="AI121" i="1"/>
  <c r="AY121" i="1" s="1"/>
  <c r="BG120" i="1"/>
  <c r="BF120" i="1"/>
  <c r="BE120" i="1"/>
  <c r="BD120" i="1"/>
  <c r="BC120" i="1"/>
  <c r="BB120" i="1"/>
  <c r="BA120" i="1"/>
  <c r="AM120" i="1"/>
  <c r="AL120" i="1"/>
  <c r="AJ120" i="1"/>
  <c r="AK120" i="1" s="1"/>
  <c r="AI120" i="1"/>
  <c r="AT120" i="1" s="1"/>
  <c r="BW120" i="1" s="1"/>
  <c r="BU119" i="1"/>
  <c r="BT119" i="1"/>
  <c r="BS119" i="1"/>
  <c r="BG119" i="1"/>
  <c r="BF119" i="1"/>
  <c r="BA119" i="1"/>
  <c r="AR119" i="1"/>
  <c r="AQ119" i="1"/>
  <c r="AP119" i="1"/>
  <c r="AM119" i="1"/>
  <c r="AL119" i="1"/>
  <c r="AK119" i="1"/>
  <c r="AJ119" i="1"/>
  <c r="AI119" i="1"/>
  <c r="BW118" i="1"/>
  <c r="BV118" i="1"/>
  <c r="BU118" i="1"/>
  <c r="BS118" i="1"/>
  <c r="BG118" i="1"/>
  <c r="BE118" i="1"/>
  <c r="BD118" i="1"/>
  <c r="BC118" i="1"/>
  <c r="BB118" i="1"/>
  <c r="BA118" i="1"/>
  <c r="AZ118" i="1"/>
  <c r="AY118" i="1"/>
  <c r="AX118" i="1"/>
  <c r="AT118" i="1"/>
  <c r="AS118" i="1"/>
  <c r="AR118" i="1"/>
  <c r="AQ118" i="1"/>
  <c r="BT118" i="1" s="1"/>
  <c r="AP118" i="1"/>
  <c r="AN118" i="1"/>
  <c r="AM118" i="1"/>
  <c r="AL118" i="1"/>
  <c r="AK118" i="1"/>
  <c r="AJ118" i="1"/>
  <c r="AI118" i="1"/>
  <c r="BF118" i="1" s="1"/>
  <c r="BG117" i="1"/>
  <c r="BF117" i="1"/>
  <c r="BE117" i="1"/>
  <c r="BD117" i="1"/>
  <c r="BC117" i="1"/>
  <c r="BB117" i="1"/>
  <c r="BA117" i="1"/>
  <c r="AM117" i="1"/>
  <c r="AL117" i="1"/>
  <c r="AK117" i="1"/>
  <c r="AJ117" i="1"/>
  <c r="AI117" i="1"/>
  <c r="AM116" i="1"/>
  <c r="AL116" i="1"/>
  <c r="AK116" i="1"/>
  <c r="AJ116" i="1"/>
  <c r="AI116" i="1"/>
  <c r="BE115" i="1"/>
  <c r="BD115" i="1"/>
  <c r="AM115" i="1"/>
  <c r="AL115" i="1"/>
  <c r="AJ115" i="1"/>
  <c r="AK115" i="1" s="1"/>
  <c r="AI115" i="1"/>
  <c r="BD114" i="1"/>
  <c r="AY114" i="1"/>
  <c r="AM114" i="1"/>
  <c r="AL114" i="1"/>
  <c r="AJ114" i="1"/>
  <c r="AK114" i="1" s="1"/>
  <c r="AI114" i="1"/>
  <c r="BE113" i="1"/>
  <c r="BD113" i="1"/>
  <c r="BC113" i="1"/>
  <c r="BB113" i="1"/>
  <c r="BA113" i="1"/>
  <c r="AZ113" i="1"/>
  <c r="AY113" i="1"/>
  <c r="AX113" i="1"/>
  <c r="AM113" i="1"/>
  <c r="AL113" i="1"/>
  <c r="AK113" i="1"/>
  <c r="AJ113" i="1"/>
  <c r="AI113" i="1"/>
  <c r="BD112" i="1"/>
  <c r="AM112" i="1"/>
  <c r="AL112" i="1"/>
  <c r="AK112" i="1"/>
  <c r="AI112" i="1"/>
  <c r="BW111" i="1"/>
  <c r="BV111" i="1"/>
  <c r="BT111" i="1"/>
  <c r="BS111" i="1"/>
  <c r="BG111" i="1"/>
  <c r="BE111" i="1"/>
  <c r="BD111" i="1"/>
  <c r="BC111" i="1"/>
  <c r="BB111" i="1"/>
  <c r="BA111" i="1"/>
  <c r="AZ111" i="1"/>
  <c r="AY111" i="1"/>
  <c r="AX111" i="1"/>
  <c r="AT111" i="1"/>
  <c r="AS111" i="1"/>
  <c r="AR111" i="1"/>
  <c r="BU111" i="1" s="1"/>
  <c r="AQ111" i="1"/>
  <c r="AP111" i="1"/>
  <c r="AW111" i="1" s="1"/>
  <c r="AM111" i="1"/>
  <c r="AL111" i="1"/>
  <c r="AJ111" i="1"/>
  <c r="AK111" i="1" s="1"/>
  <c r="AI111" i="1"/>
  <c r="AN111" i="1" s="1"/>
  <c r="BW110" i="1"/>
  <c r="BU110" i="1"/>
  <c r="BG110" i="1"/>
  <c r="BD110" i="1"/>
  <c r="BC110" i="1"/>
  <c r="BB110" i="1"/>
  <c r="BA110" i="1"/>
  <c r="AY110" i="1"/>
  <c r="AX110" i="1"/>
  <c r="AT110" i="1"/>
  <c r="AR110" i="1"/>
  <c r="AQ110" i="1"/>
  <c r="BT110" i="1" s="1"/>
  <c r="AP110" i="1"/>
  <c r="AN110" i="1"/>
  <c r="AM110" i="1"/>
  <c r="AL110" i="1"/>
  <c r="AJ110" i="1"/>
  <c r="AK110" i="1" s="1"/>
  <c r="AI110" i="1"/>
  <c r="BF110" i="1" s="1"/>
  <c r="AM109" i="1"/>
  <c r="AL109" i="1"/>
  <c r="AJ109" i="1"/>
  <c r="AK109" i="1" s="1"/>
  <c r="AI109" i="1"/>
  <c r="BU108" i="1"/>
  <c r="AS108" i="1"/>
  <c r="BV108" i="1" s="1"/>
  <c r="AR108" i="1"/>
  <c r="AP108" i="1"/>
  <c r="AM108" i="1"/>
  <c r="AL108" i="1"/>
  <c r="AK108" i="1"/>
  <c r="AJ108" i="1"/>
  <c r="AI108" i="1"/>
  <c r="BF107" i="1"/>
  <c r="BC107" i="1"/>
  <c r="BA107" i="1"/>
  <c r="AZ107" i="1"/>
  <c r="AY107" i="1"/>
  <c r="AX107" i="1"/>
  <c r="AT107" i="1"/>
  <c r="BW107" i="1" s="1"/>
  <c r="AS107" i="1"/>
  <c r="BV107" i="1" s="1"/>
  <c r="AR107" i="1"/>
  <c r="BU107" i="1" s="1"/>
  <c r="AQ107" i="1"/>
  <c r="BT107" i="1" s="1"/>
  <c r="AP107" i="1"/>
  <c r="AN107" i="1"/>
  <c r="AM107" i="1"/>
  <c r="AL107" i="1"/>
  <c r="AK107" i="1"/>
  <c r="AJ107" i="1"/>
  <c r="AI107" i="1"/>
  <c r="BE107" i="1" s="1"/>
  <c r="AM106" i="1"/>
  <c r="AL106" i="1"/>
  <c r="AJ106" i="1"/>
  <c r="AK106" i="1" s="1"/>
  <c r="AI106" i="1"/>
  <c r="BG105" i="1"/>
  <c r="BF105" i="1"/>
  <c r="BD105" i="1"/>
  <c r="BC105" i="1"/>
  <c r="AX105" i="1"/>
  <c r="AS105" i="1"/>
  <c r="BV105" i="1" s="1"/>
  <c r="AR105" i="1"/>
  <c r="BU105" i="1" s="1"/>
  <c r="AQ105" i="1"/>
  <c r="BT105" i="1" s="1"/>
  <c r="AP105" i="1"/>
  <c r="AN105" i="1"/>
  <c r="AM105" i="1"/>
  <c r="AL105" i="1"/>
  <c r="AK105" i="1"/>
  <c r="AJ105" i="1"/>
  <c r="AI105" i="1"/>
  <c r="BU104" i="1"/>
  <c r="BE104" i="1"/>
  <c r="BB104" i="1"/>
  <c r="BA104" i="1"/>
  <c r="AZ104" i="1"/>
  <c r="AY104" i="1"/>
  <c r="AX104" i="1"/>
  <c r="AT104" i="1"/>
  <c r="BW104" i="1" s="1"/>
  <c r="AS104" i="1"/>
  <c r="BV104" i="1" s="1"/>
  <c r="AQ104" i="1"/>
  <c r="BT104" i="1" s="1"/>
  <c r="AP104" i="1"/>
  <c r="AN104" i="1"/>
  <c r="AM104" i="1"/>
  <c r="AL104" i="1"/>
  <c r="AK104" i="1"/>
  <c r="AJ104" i="1"/>
  <c r="AI104" i="1"/>
  <c r="AR104" i="1" s="1"/>
  <c r="BG103" i="1"/>
  <c r="BF103" i="1"/>
  <c r="BE103" i="1"/>
  <c r="BD103" i="1"/>
  <c r="BB103" i="1"/>
  <c r="BA103" i="1"/>
  <c r="AZ103" i="1"/>
  <c r="AY103" i="1"/>
  <c r="AT103" i="1"/>
  <c r="BW103" i="1" s="1"/>
  <c r="AS103" i="1"/>
  <c r="BV103" i="1" s="1"/>
  <c r="AN103" i="1"/>
  <c r="AM103" i="1"/>
  <c r="AL103" i="1"/>
  <c r="AK103" i="1"/>
  <c r="AJ103" i="1"/>
  <c r="AI103" i="1"/>
  <c r="BF102" i="1"/>
  <c r="BE102" i="1"/>
  <c r="BD102" i="1"/>
  <c r="BC102" i="1"/>
  <c r="BB102" i="1"/>
  <c r="AX102" i="1"/>
  <c r="AS102" i="1"/>
  <c r="BV102" i="1" s="1"/>
  <c r="AR102" i="1"/>
  <c r="BU102" i="1" s="1"/>
  <c r="AQ102" i="1"/>
  <c r="BT102" i="1" s="1"/>
  <c r="AN102" i="1"/>
  <c r="AM102" i="1"/>
  <c r="AL102" i="1"/>
  <c r="AK102" i="1"/>
  <c r="AJ102" i="1"/>
  <c r="AI102" i="1"/>
  <c r="BF101" i="1"/>
  <c r="BC101" i="1"/>
  <c r="BB101" i="1"/>
  <c r="AZ101" i="1"/>
  <c r="AY101" i="1"/>
  <c r="AX101" i="1"/>
  <c r="AS101" i="1"/>
  <c r="BV101" i="1" s="1"/>
  <c r="AR101" i="1"/>
  <c r="BU101" i="1" s="1"/>
  <c r="AQ101" i="1"/>
  <c r="AP101" i="1"/>
  <c r="AN101" i="1"/>
  <c r="AM101" i="1"/>
  <c r="AL101" i="1"/>
  <c r="AK101" i="1"/>
  <c r="AJ101" i="1"/>
  <c r="AI101" i="1"/>
  <c r="BG101" i="1" s="1"/>
  <c r="BG100" i="1"/>
  <c r="BF100" i="1"/>
  <c r="BD100" i="1"/>
  <c r="BC100" i="1"/>
  <c r="BB100" i="1"/>
  <c r="BA100" i="1"/>
  <c r="AZ100" i="1"/>
  <c r="AY100" i="1"/>
  <c r="AX100" i="1"/>
  <c r="AM100" i="1"/>
  <c r="AL100" i="1"/>
  <c r="AJ100" i="1"/>
  <c r="AK100" i="1" s="1"/>
  <c r="AI100" i="1"/>
  <c r="AM99" i="1"/>
  <c r="AL99" i="1"/>
  <c r="AJ99" i="1"/>
  <c r="AK99" i="1" s="1"/>
  <c r="AI99" i="1"/>
  <c r="BW98" i="1"/>
  <c r="BV98" i="1"/>
  <c r="BU98" i="1"/>
  <c r="BT98" i="1"/>
  <c r="BG98" i="1"/>
  <c r="BF98" i="1"/>
  <c r="BE98" i="1"/>
  <c r="BD98" i="1"/>
  <c r="BB98" i="1"/>
  <c r="BA98" i="1"/>
  <c r="AZ98" i="1"/>
  <c r="AY98" i="1"/>
  <c r="AX98" i="1"/>
  <c r="AT98" i="1"/>
  <c r="AS98" i="1"/>
  <c r="AR98" i="1"/>
  <c r="AQ98" i="1"/>
  <c r="AP98" i="1"/>
  <c r="AN98" i="1"/>
  <c r="AM98" i="1"/>
  <c r="AL98" i="1"/>
  <c r="AJ98" i="1"/>
  <c r="AK98" i="1" s="1"/>
  <c r="AI98" i="1"/>
  <c r="BC98" i="1" s="1"/>
  <c r="AM97" i="1"/>
  <c r="AL97" i="1"/>
  <c r="AK97" i="1"/>
  <c r="AJ97" i="1"/>
  <c r="AI97" i="1"/>
  <c r="BW96" i="1"/>
  <c r="BV96" i="1"/>
  <c r="BU96" i="1"/>
  <c r="BT96" i="1"/>
  <c r="BS96" i="1"/>
  <c r="BG96" i="1"/>
  <c r="BE96" i="1"/>
  <c r="BD96" i="1"/>
  <c r="BC96" i="1"/>
  <c r="BB96" i="1"/>
  <c r="BA96" i="1"/>
  <c r="AZ96" i="1"/>
  <c r="AY96" i="1"/>
  <c r="AX96" i="1"/>
  <c r="AT96" i="1"/>
  <c r="AS96" i="1"/>
  <c r="AR96" i="1"/>
  <c r="AQ96" i="1"/>
  <c r="AP96" i="1"/>
  <c r="BH96" i="1" s="1"/>
  <c r="BZ96" i="1" s="1"/>
  <c r="AN96" i="1"/>
  <c r="AM96" i="1"/>
  <c r="AL96" i="1"/>
  <c r="AK96" i="1"/>
  <c r="AJ96" i="1"/>
  <c r="AI96" i="1"/>
  <c r="BF96" i="1" s="1"/>
  <c r="BV95" i="1"/>
  <c r="BE95" i="1"/>
  <c r="BB95" i="1"/>
  <c r="BA95" i="1"/>
  <c r="AZ95" i="1"/>
  <c r="AY95" i="1"/>
  <c r="AX95" i="1"/>
  <c r="AT95" i="1"/>
  <c r="BW95" i="1" s="1"/>
  <c r="AR95" i="1"/>
  <c r="AQ95" i="1"/>
  <c r="BT95" i="1" s="1"/>
  <c r="AP95" i="1"/>
  <c r="AN95" i="1"/>
  <c r="AM95" i="1"/>
  <c r="AL95" i="1"/>
  <c r="AK95" i="1"/>
  <c r="AJ95" i="1"/>
  <c r="AI95" i="1"/>
  <c r="AS95" i="1" s="1"/>
  <c r="BG94" i="1"/>
  <c r="BF94" i="1"/>
  <c r="BE94" i="1"/>
  <c r="BC94" i="1"/>
  <c r="BB94" i="1"/>
  <c r="BA94" i="1"/>
  <c r="AZ94" i="1"/>
  <c r="AX94" i="1"/>
  <c r="AT94" i="1"/>
  <c r="BW94" i="1" s="1"/>
  <c r="AS94" i="1"/>
  <c r="BV94" i="1" s="1"/>
  <c r="AN94" i="1"/>
  <c r="AM94" i="1"/>
  <c r="AL94" i="1"/>
  <c r="AJ94" i="1"/>
  <c r="AK94" i="1" s="1"/>
  <c r="AI94" i="1"/>
  <c r="BS93" i="1"/>
  <c r="BG93" i="1"/>
  <c r="BF93" i="1"/>
  <c r="BE93" i="1"/>
  <c r="BD93" i="1"/>
  <c r="BC93" i="1"/>
  <c r="BB93" i="1"/>
  <c r="AX93" i="1"/>
  <c r="AS93" i="1"/>
  <c r="BV93" i="1" s="1"/>
  <c r="AR93" i="1"/>
  <c r="BU93" i="1" s="1"/>
  <c r="AP93" i="1"/>
  <c r="AM93" i="1"/>
  <c r="AL93" i="1"/>
  <c r="AJ93" i="1"/>
  <c r="AK93" i="1" s="1"/>
  <c r="AI93" i="1"/>
  <c r="BW92" i="1"/>
  <c r="BV92" i="1"/>
  <c r="BU92" i="1"/>
  <c r="BT92" i="1"/>
  <c r="BS92" i="1"/>
  <c r="BG92" i="1"/>
  <c r="BF92" i="1"/>
  <c r="BE92" i="1"/>
  <c r="BD92" i="1"/>
  <c r="BC92" i="1"/>
  <c r="BA92" i="1"/>
  <c r="AZ92" i="1"/>
  <c r="AY92" i="1"/>
  <c r="AX92" i="1"/>
  <c r="AT92" i="1"/>
  <c r="AS92" i="1"/>
  <c r="AR92" i="1"/>
  <c r="AQ92" i="1"/>
  <c r="AP92" i="1"/>
  <c r="AN92" i="1"/>
  <c r="AM92" i="1"/>
  <c r="AL92" i="1"/>
  <c r="AJ92" i="1"/>
  <c r="AK92" i="1" s="1"/>
  <c r="AI92" i="1"/>
  <c r="BB92" i="1" s="1"/>
  <c r="BV91" i="1"/>
  <c r="BT91" i="1"/>
  <c r="BG91" i="1"/>
  <c r="BE91" i="1"/>
  <c r="BD91" i="1"/>
  <c r="BC91" i="1"/>
  <c r="BB91" i="1"/>
  <c r="BA91" i="1"/>
  <c r="AZ91" i="1"/>
  <c r="AY91" i="1"/>
  <c r="AX91" i="1"/>
  <c r="AT91" i="1"/>
  <c r="BW91" i="1" s="1"/>
  <c r="AS91" i="1"/>
  <c r="AR91" i="1"/>
  <c r="BU91" i="1" s="1"/>
  <c r="AQ91" i="1"/>
  <c r="AP91" i="1"/>
  <c r="BS91" i="1" s="1"/>
  <c r="AM91" i="1"/>
  <c r="AL91" i="1"/>
  <c r="AK91" i="1"/>
  <c r="AJ91" i="1"/>
  <c r="AI91" i="1"/>
  <c r="AN91" i="1" s="1"/>
  <c r="BT90" i="1"/>
  <c r="AQ90" i="1"/>
  <c r="AP90" i="1"/>
  <c r="AN90" i="1"/>
  <c r="AM90" i="1"/>
  <c r="AL90" i="1"/>
  <c r="AJ90" i="1"/>
  <c r="AK90" i="1" s="1"/>
  <c r="AI90" i="1"/>
  <c r="BW89" i="1"/>
  <c r="BV89" i="1"/>
  <c r="BU89" i="1"/>
  <c r="BF89" i="1"/>
  <c r="BE89" i="1"/>
  <c r="BC89" i="1"/>
  <c r="BB89" i="1"/>
  <c r="BA89" i="1"/>
  <c r="AZ89" i="1"/>
  <c r="AY89" i="1"/>
  <c r="AX89" i="1"/>
  <c r="AT89" i="1"/>
  <c r="AS89" i="1"/>
  <c r="AR89" i="1"/>
  <c r="AQ89" i="1"/>
  <c r="BT89" i="1" s="1"/>
  <c r="AP89" i="1"/>
  <c r="AW89" i="1" s="1"/>
  <c r="AN89" i="1"/>
  <c r="AM89" i="1"/>
  <c r="AL89" i="1"/>
  <c r="AK89" i="1"/>
  <c r="AJ89" i="1"/>
  <c r="AI89" i="1"/>
  <c r="BD89" i="1" s="1"/>
  <c r="BE88" i="1"/>
  <c r="BD88" i="1"/>
  <c r="BC88" i="1"/>
  <c r="BB88" i="1"/>
  <c r="BA88" i="1"/>
  <c r="AZ88" i="1"/>
  <c r="AY88" i="1"/>
  <c r="AT88" i="1"/>
  <c r="BW88" i="1" s="1"/>
  <c r="AS88" i="1"/>
  <c r="BV88" i="1" s="1"/>
  <c r="AR88" i="1"/>
  <c r="BU88" i="1" s="1"/>
  <c r="AM88" i="1"/>
  <c r="AL88" i="1"/>
  <c r="AK88" i="1"/>
  <c r="AJ88" i="1"/>
  <c r="AI88" i="1"/>
  <c r="BG88" i="1" s="1"/>
  <c r="BF87" i="1"/>
  <c r="BE87" i="1"/>
  <c r="BD87" i="1"/>
  <c r="BC87" i="1"/>
  <c r="BA87" i="1"/>
  <c r="AZ87" i="1"/>
  <c r="AT87" i="1"/>
  <c r="BW87" i="1" s="1"/>
  <c r="AQ87" i="1"/>
  <c r="AP87" i="1"/>
  <c r="AN87" i="1"/>
  <c r="AM87" i="1"/>
  <c r="AL87" i="1"/>
  <c r="AK87" i="1"/>
  <c r="AJ87" i="1"/>
  <c r="AI87" i="1"/>
  <c r="BF86" i="1"/>
  <c r="BD86" i="1"/>
  <c r="BA86" i="1"/>
  <c r="AZ86" i="1"/>
  <c r="AY86" i="1"/>
  <c r="AX86" i="1"/>
  <c r="AS86" i="1"/>
  <c r="BV86" i="1" s="1"/>
  <c r="AR86" i="1"/>
  <c r="BU86" i="1" s="1"/>
  <c r="AQ86" i="1"/>
  <c r="BT86" i="1" s="1"/>
  <c r="AM86" i="1"/>
  <c r="AL86" i="1"/>
  <c r="AK86" i="1"/>
  <c r="AJ86" i="1"/>
  <c r="AI86" i="1"/>
  <c r="BG85" i="1"/>
  <c r="BF85" i="1"/>
  <c r="BD85" i="1"/>
  <c r="BC85" i="1"/>
  <c r="BB85" i="1"/>
  <c r="BA85" i="1"/>
  <c r="AY85" i="1"/>
  <c r="AX85" i="1"/>
  <c r="AT85" i="1"/>
  <c r="BW85" i="1" s="1"/>
  <c r="AS85" i="1"/>
  <c r="BV85" i="1" s="1"/>
  <c r="AM85" i="1"/>
  <c r="AL85" i="1"/>
  <c r="AK85" i="1"/>
  <c r="AJ85" i="1"/>
  <c r="AI85" i="1"/>
  <c r="BD84" i="1"/>
  <c r="AM84" i="1"/>
  <c r="AL84" i="1"/>
  <c r="AJ84" i="1"/>
  <c r="AK84" i="1" s="1"/>
  <c r="AI84" i="1"/>
  <c r="BW83" i="1"/>
  <c r="BV83" i="1"/>
  <c r="BF83" i="1"/>
  <c r="BE83" i="1"/>
  <c r="BD83" i="1"/>
  <c r="BB83" i="1"/>
  <c r="BA83" i="1"/>
  <c r="AZ83" i="1"/>
  <c r="AY83" i="1"/>
  <c r="AX83" i="1"/>
  <c r="AT83" i="1"/>
  <c r="AS83" i="1"/>
  <c r="AR83" i="1"/>
  <c r="BU83" i="1" s="1"/>
  <c r="AQ83" i="1"/>
  <c r="BT83" i="1" s="1"/>
  <c r="AP83" i="1"/>
  <c r="AN83" i="1"/>
  <c r="AM83" i="1"/>
  <c r="AL83" i="1"/>
  <c r="AJ83" i="1"/>
  <c r="AK83" i="1" s="1"/>
  <c r="AI83" i="1"/>
  <c r="BC83" i="1" s="1"/>
  <c r="AM82" i="1"/>
  <c r="AL82" i="1"/>
  <c r="AJ82" i="1"/>
  <c r="AK82" i="1" s="1"/>
  <c r="AI82" i="1"/>
  <c r="BF81" i="1"/>
  <c r="BE81" i="1"/>
  <c r="BD81" i="1"/>
  <c r="BC81" i="1"/>
  <c r="AZ81" i="1"/>
  <c r="AX81" i="1"/>
  <c r="AS81" i="1"/>
  <c r="BV81" i="1" s="1"/>
  <c r="AR81" i="1"/>
  <c r="BU81" i="1" s="1"/>
  <c r="AQ81" i="1"/>
  <c r="BT81" i="1" s="1"/>
  <c r="AP81" i="1"/>
  <c r="AN81" i="1"/>
  <c r="AM81" i="1"/>
  <c r="AL81" i="1"/>
  <c r="AK81" i="1"/>
  <c r="AJ81" i="1"/>
  <c r="AI81" i="1"/>
  <c r="BG81" i="1" s="1"/>
  <c r="BF80" i="1"/>
  <c r="BC80" i="1"/>
  <c r="BB80" i="1"/>
  <c r="BA80" i="1"/>
  <c r="AZ80" i="1"/>
  <c r="AY80" i="1"/>
  <c r="AX80" i="1"/>
  <c r="AT80" i="1"/>
  <c r="BW80" i="1" s="1"/>
  <c r="AS80" i="1"/>
  <c r="BV80" i="1" s="1"/>
  <c r="AR80" i="1"/>
  <c r="BU80" i="1" s="1"/>
  <c r="AQ80" i="1"/>
  <c r="BT80" i="1" s="1"/>
  <c r="AP80" i="1"/>
  <c r="AW80" i="1" s="1"/>
  <c r="AM80" i="1"/>
  <c r="AL80" i="1"/>
  <c r="AK80" i="1"/>
  <c r="AJ80" i="1"/>
  <c r="AI80" i="1"/>
  <c r="BG79" i="1"/>
  <c r="BF79" i="1"/>
  <c r="BE79" i="1"/>
  <c r="BD79" i="1"/>
  <c r="BC79" i="1"/>
  <c r="BB79" i="1"/>
  <c r="BA79" i="1"/>
  <c r="AZ79" i="1"/>
  <c r="AX79" i="1"/>
  <c r="AM79" i="1"/>
  <c r="AL79" i="1"/>
  <c r="AJ79" i="1"/>
  <c r="AK79" i="1" s="1"/>
  <c r="AI79" i="1"/>
  <c r="BG78" i="1"/>
  <c r="BF78" i="1"/>
  <c r="BD78" i="1"/>
  <c r="BB78" i="1"/>
  <c r="AY78" i="1"/>
  <c r="AX78" i="1"/>
  <c r="AM78" i="1"/>
  <c r="AL78" i="1"/>
  <c r="AJ78" i="1"/>
  <c r="AK78" i="1" s="1"/>
  <c r="AI78" i="1"/>
  <c r="BE77" i="1"/>
  <c r="AM77" i="1"/>
  <c r="AL77" i="1"/>
  <c r="AK77" i="1"/>
  <c r="AJ77" i="1"/>
  <c r="AI77" i="1"/>
  <c r="BW76" i="1"/>
  <c r="BV76" i="1"/>
  <c r="BG76" i="1"/>
  <c r="BE76" i="1"/>
  <c r="BD76" i="1"/>
  <c r="BC76" i="1"/>
  <c r="BB76" i="1"/>
  <c r="BA76" i="1"/>
  <c r="AZ76" i="1"/>
  <c r="AY76" i="1"/>
  <c r="AX76" i="1"/>
  <c r="AT76" i="1"/>
  <c r="AS76" i="1"/>
  <c r="AR76" i="1"/>
  <c r="BU76" i="1" s="1"/>
  <c r="AQ76" i="1"/>
  <c r="BT76" i="1" s="1"/>
  <c r="AP76" i="1"/>
  <c r="AN76" i="1"/>
  <c r="AM76" i="1"/>
  <c r="AL76" i="1"/>
  <c r="AK76" i="1"/>
  <c r="AJ76" i="1"/>
  <c r="AI76" i="1"/>
  <c r="BF76" i="1" s="1"/>
  <c r="BV75" i="1"/>
  <c r="BF75" i="1"/>
  <c r="BC75" i="1"/>
  <c r="BB75" i="1"/>
  <c r="BA75" i="1"/>
  <c r="AZ75" i="1"/>
  <c r="AY75" i="1"/>
  <c r="AX75" i="1"/>
  <c r="AT75" i="1"/>
  <c r="BW75" i="1" s="1"/>
  <c r="AR75" i="1"/>
  <c r="BU75" i="1" s="1"/>
  <c r="AQ75" i="1"/>
  <c r="BT75" i="1" s="1"/>
  <c r="AP75" i="1"/>
  <c r="AN75" i="1"/>
  <c r="AM75" i="1"/>
  <c r="AL75" i="1"/>
  <c r="AJ75" i="1"/>
  <c r="AK75" i="1" s="1"/>
  <c r="AI75" i="1"/>
  <c r="AS75" i="1" s="1"/>
  <c r="BG74" i="1"/>
  <c r="BF74" i="1"/>
  <c r="BE74" i="1"/>
  <c r="BC74" i="1"/>
  <c r="BB74" i="1"/>
  <c r="BA74" i="1"/>
  <c r="AZ74" i="1"/>
  <c r="AY74" i="1"/>
  <c r="AX74" i="1"/>
  <c r="AM74" i="1"/>
  <c r="AL74" i="1"/>
  <c r="AK74" i="1"/>
  <c r="AJ74" i="1"/>
  <c r="AI74" i="1"/>
  <c r="BE73" i="1"/>
  <c r="AM73" i="1"/>
  <c r="AL73" i="1"/>
  <c r="AJ73" i="1"/>
  <c r="AK73" i="1" s="1"/>
  <c r="AI73" i="1"/>
  <c r="BW72" i="1"/>
  <c r="BU72" i="1"/>
  <c r="BF72" i="1"/>
  <c r="BE72" i="1"/>
  <c r="BD72" i="1"/>
  <c r="BC72" i="1"/>
  <c r="BA72" i="1"/>
  <c r="AZ72" i="1"/>
  <c r="AY72" i="1"/>
  <c r="AX72" i="1"/>
  <c r="AT72" i="1"/>
  <c r="AS72" i="1"/>
  <c r="BV72" i="1" s="1"/>
  <c r="AR72" i="1"/>
  <c r="AQ72" i="1"/>
  <c r="BT72" i="1" s="1"/>
  <c r="AP72" i="1"/>
  <c r="AM72" i="1"/>
  <c r="AL72" i="1"/>
  <c r="AK72" i="1"/>
  <c r="AJ72" i="1"/>
  <c r="AI72" i="1"/>
  <c r="BB72" i="1" s="1"/>
  <c r="AT71" i="1"/>
  <c r="BW71" i="1" s="1"/>
  <c r="AM71" i="1"/>
  <c r="AL71" i="1"/>
  <c r="AJ71" i="1"/>
  <c r="AK71" i="1" s="1"/>
  <c r="AI71" i="1"/>
  <c r="BW70" i="1"/>
  <c r="BV70" i="1"/>
  <c r="BF70" i="1"/>
  <c r="BE70" i="1"/>
  <c r="BD70" i="1"/>
  <c r="BC70" i="1"/>
  <c r="BB70" i="1"/>
  <c r="BA70" i="1"/>
  <c r="AY70" i="1"/>
  <c r="AX70" i="1"/>
  <c r="AW70" i="1"/>
  <c r="AT70" i="1"/>
  <c r="AS70" i="1"/>
  <c r="AR70" i="1"/>
  <c r="BU70" i="1" s="1"/>
  <c r="AQ70" i="1"/>
  <c r="BT70" i="1" s="1"/>
  <c r="AP70" i="1"/>
  <c r="AN70" i="1"/>
  <c r="AM70" i="1"/>
  <c r="AL70" i="1"/>
  <c r="AJ70" i="1"/>
  <c r="AK70" i="1" s="1"/>
  <c r="AI70" i="1"/>
  <c r="AZ70" i="1" s="1"/>
  <c r="BG69" i="1"/>
  <c r="BF69" i="1"/>
  <c r="BE69" i="1"/>
  <c r="BD69" i="1"/>
  <c r="BC69" i="1"/>
  <c r="BB69" i="1"/>
  <c r="BA69" i="1"/>
  <c r="AZ69" i="1"/>
  <c r="AY69" i="1"/>
  <c r="AX69" i="1"/>
  <c r="AT69" i="1"/>
  <c r="BW69" i="1" s="1"/>
  <c r="AS69" i="1"/>
  <c r="BV69" i="1" s="1"/>
  <c r="AQ69" i="1"/>
  <c r="BT69" i="1" s="1"/>
  <c r="AM69" i="1"/>
  <c r="AL69" i="1"/>
  <c r="AK69" i="1"/>
  <c r="AJ69" i="1"/>
  <c r="AI69" i="1"/>
  <c r="AM68" i="1"/>
  <c r="AL68" i="1"/>
  <c r="AJ68" i="1"/>
  <c r="AK68" i="1" s="1"/>
  <c r="AI68" i="1"/>
  <c r="BW67" i="1"/>
  <c r="BV67" i="1"/>
  <c r="BT67" i="1"/>
  <c r="BD67" i="1"/>
  <c r="BC67" i="1"/>
  <c r="BB67" i="1"/>
  <c r="BA67" i="1"/>
  <c r="AZ67" i="1"/>
  <c r="AY67" i="1"/>
  <c r="AX67" i="1"/>
  <c r="AT67" i="1"/>
  <c r="AS67" i="1"/>
  <c r="AR67" i="1"/>
  <c r="BU67" i="1" s="1"/>
  <c r="AQ67" i="1"/>
  <c r="AP67" i="1"/>
  <c r="AN67" i="1"/>
  <c r="AM67" i="1"/>
  <c r="AL67" i="1"/>
  <c r="AK67" i="1"/>
  <c r="AJ67" i="1"/>
  <c r="AI67" i="1"/>
  <c r="BG67" i="1" s="1"/>
  <c r="AP66" i="1"/>
  <c r="AM66" i="1"/>
  <c r="AL66" i="1"/>
  <c r="AJ66" i="1"/>
  <c r="AK66" i="1" s="1"/>
  <c r="AI66" i="1"/>
  <c r="BW65" i="1"/>
  <c r="BV65" i="1"/>
  <c r="BF65" i="1"/>
  <c r="BD65" i="1"/>
  <c r="BC65" i="1"/>
  <c r="BB65" i="1"/>
  <c r="BA65" i="1"/>
  <c r="AZ65" i="1"/>
  <c r="AY65" i="1"/>
  <c r="AX65" i="1"/>
  <c r="AT65" i="1"/>
  <c r="AS65" i="1"/>
  <c r="AR65" i="1"/>
  <c r="BU65" i="1" s="1"/>
  <c r="AQ65" i="1"/>
  <c r="BT65" i="1" s="1"/>
  <c r="AP65" i="1"/>
  <c r="AN65" i="1"/>
  <c r="AM65" i="1"/>
  <c r="AL65" i="1"/>
  <c r="AK65" i="1"/>
  <c r="AJ65" i="1"/>
  <c r="AI65" i="1"/>
  <c r="BE65" i="1" s="1"/>
  <c r="BG64" i="1"/>
  <c r="BF64" i="1"/>
  <c r="BE64" i="1"/>
  <c r="BD64" i="1"/>
  <c r="BC64" i="1"/>
  <c r="BB64" i="1"/>
  <c r="BA64" i="1"/>
  <c r="AZ64" i="1"/>
  <c r="AY64" i="1"/>
  <c r="AX64" i="1"/>
  <c r="AT64" i="1"/>
  <c r="BW64" i="1" s="1"/>
  <c r="AS64" i="1"/>
  <c r="BV64" i="1" s="1"/>
  <c r="AM64" i="1"/>
  <c r="AL64" i="1"/>
  <c r="AJ64" i="1"/>
  <c r="AK64" i="1" s="1"/>
  <c r="AI64" i="1"/>
  <c r="BV63" i="1"/>
  <c r="AS63" i="1"/>
  <c r="AM63" i="1"/>
  <c r="AL63" i="1"/>
  <c r="AJ63" i="1"/>
  <c r="AK63" i="1" s="1"/>
  <c r="AI63" i="1"/>
  <c r="BW62" i="1"/>
  <c r="BU62" i="1"/>
  <c r="BT62" i="1"/>
  <c r="BF62" i="1"/>
  <c r="BC62" i="1"/>
  <c r="BB62" i="1"/>
  <c r="BA62" i="1"/>
  <c r="AZ62" i="1"/>
  <c r="AY62" i="1"/>
  <c r="AX62" i="1"/>
  <c r="AT62" i="1"/>
  <c r="AS62" i="1"/>
  <c r="BV62" i="1" s="1"/>
  <c r="AR62" i="1"/>
  <c r="AQ62" i="1"/>
  <c r="AN62" i="1"/>
  <c r="AM62" i="1"/>
  <c r="AL62" i="1"/>
  <c r="AJ62" i="1"/>
  <c r="AK62" i="1" s="1"/>
  <c r="AI62" i="1"/>
  <c r="AP62" i="1" s="1"/>
  <c r="BS62" i="1" s="1"/>
  <c r="BG61" i="1"/>
  <c r="AM61" i="1"/>
  <c r="AL61" i="1"/>
  <c r="AJ61" i="1"/>
  <c r="AK61" i="1" s="1"/>
  <c r="AI61" i="1"/>
  <c r="BE61" i="1" s="1"/>
  <c r="AT60" i="1"/>
  <c r="BW60" i="1" s="1"/>
  <c r="AS60" i="1"/>
  <c r="BV60" i="1" s="1"/>
  <c r="AR60" i="1"/>
  <c r="BU60" i="1" s="1"/>
  <c r="AQ60" i="1"/>
  <c r="BT60" i="1" s="1"/>
  <c r="AM60" i="1"/>
  <c r="AL60" i="1"/>
  <c r="AJ60" i="1"/>
  <c r="AK60" i="1" s="1"/>
  <c r="AI60" i="1"/>
  <c r="AN60" i="1" s="1"/>
  <c r="BW59" i="1"/>
  <c r="BG59" i="1"/>
  <c r="BF59" i="1"/>
  <c r="BE59" i="1"/>
  <c r="BD59" i="1"/>
  <c r="BC59" i="1"/>
  <c r="BB59" i="1"/>
  <c r="BA59" i="1"/>
  <c r="AZ59" i="1"/>
  <c r="AY59" i="1"/>
  <c r="AX59" i="1"/>
  <c r="AT59" i="1"/>
  <c r="AS59" i="1"/>
  <c r="BV59" i="1" s="1"/>
  <c r="AQ59" i="1"/>
  <c r="BT59" i="1" s="1"/>
  <c r="AN59" i="1"/>
  <c r="AM59" i="1"/>
  <c r="AL59" i="1"/>
  <c r="AJ59" i="1"/>
  <c r="AK59" i="1" s="1"/>
  <c r="AI59" i="1"/>
  <c r="BG58" i="1"/>
  <c r="BF58" i="1"/>
  <c r="BE58" i="1"/>
  <c r="BD58" i="1"/>
  <c r="BB58" i="1"/>
  <c r="AZ58" i="1"/>
  <c r="AT58" i="1"/>
  <c r="BW58" i="1" s="1"/>
  <c r="AS58" i="1"/>
  <c r="AR58" i="1"/>
  <c r="BU58" i="1" s="1"/>
  <c r="AQ58" i="1"/>
  <c r="BT58" i="1" s="1"/>
  <c r="AP58" i="1"/>
  <c r="BS58" i="1" s="1"/>
  <c r="AM58" i="1"/>
  <c r="AL58" i="1"/>
  <c r="AK58" i="1"/>
  <c r="AJ58" i="1"/>
  <c r="AI58" i="1"/>
  <c r="BE57" i="1"/>
  <c r="BD57" i="1"/>
  <c r="BC57" i="1"/>
  <c r="BB57" i="1"/>
  <c r="BA57" i="1"/>
  <c r="AZ57" i="1"/>
  <c r="AY57" i="1"/>
  <c r="AX57" i="1"/>
  <c r="AM57" i="1"/>
  <c r="AL57" i="1"/>
  <c r="AK57" i="1"/>
  <c r="AJ57" i="1"/>
  <c r="AI57" i="1"/>
  <c r="BF57" i="1" s="1"/>
  <c r="BG56" i="1"/>
  <c r="BF56" i="1"/>
  <c r="BE56" i="1"/>
  <c r="AQ56" i="1"/>
  <c r="BT56" i="1" s="1"/>
  <c r="AP56" i="1"/>
  <c r="AN56" i="1"/>
  <c r="AM56" i="1"/>
  <c r="AL56" i="1"/>
  <c r="AJ56" i="1"/>
  <c r="AK56" i="1" s="1"/>
  <c r="AI56" i="1"/>
  <c r="BS55" i="1"/>
  <c r="BG55" i="1"/>
  <c r="BD55" i="1"/>
  <c r="BC55" i="1"/>
  <c r="BB55" i="1"/>
  <c r="BA55" i="1"/>
  <c r="AZ55" i="1"/>
  <c r="AY55" i="1"/>
  <c r="AX55" i="1"/>
  <c r="AT55" i="1"/>
  <c r="BW55" i="1" s="1"/>
  <c r="AS55" i="1"/>
  <c r="BV55" i="1" s="1"/>
  <c r="AR55" i="1"/>
  <c r="AQ55" i="1"/>
  <c r="BT55" i="1" s="1"/>
  <c r="AP55" i="1"/>
  <c r="AN55" i="1"/>
  <c r="AM55" i="1"/>
  <c r="AL55" i="1"/>
  <c r="AJ55" i="1"/>
  <c r="AK55" i="1" s="1"/>
  <c r="AI55" i="1"/>
  <c r="BF55" i="1" s="1"/>
  <c r="BF54" i="1"/>
  <c r="BE54" i="1"/>
  <c r="BD54" i="1"/>
  <c r="BC54" i="1"/>
  <c r="BB54" i="1"/>
  <c r="BA54" i="1"/>
  <c r="AZ54" i="1"/>
  <c r="AX54" i="1"/>
  <c r="AT54" i="1"/>
  <c r="BW54" i="1" s="1"/>
  <c r="AQ54" i="1"/>
  <c r="BT54" i="1" s="1"/>
  <c r="AP54" i="1"/>
  <c r="AN54" i="1"/>
  <c r="AM54" i="1"/>
  <c r="AL54" i="1"/>
  <c r="AJ54" i="1"/>
  <c r="AK54" i="1" s="1"/>
  <c r="AI54" i="1"/>
  <c r="BG54" i="1" s="1"/>
  <c r="BT53" i="1"/>
  <c r="BS53" i="1"/>
  <c r="BG53" i="1"/>
  <c r="BE53" i="1"/>
  <c r="BB53" i="1"/>
  <c r="BA53" i="1"/>
  <c r="AZ53" i="1"/>
  <c r="AY53" i="1"/>
  <c r="AX53" i="1"/>
  <c r="AT53" i="1"/>
  <c r="BW53" i="1" s="1"/>
  <c r="AS53" i="1"/>
  <c r="BV53" i="1" s="1"/>
  <c r="AR53" i="1"/>
  <c r="AQ53" i="1"/>
  <c r="AP53" i="1"/>
  <c r="AN53" i="1"/>
  <c r="AM53" i="1"/>
  <c r="AL53" i="1"/>
  <c r="AJ53" i="1"/>
  <c r="AK53" i="1" s="1"/>
  <c r="AI53" i="1"/>
  <c r="BF53" i="1" s="1"/>
  <c r="BG52" i="1"/>
  <c r="BE52" i="1"/>
  <c r="BD52" i="1"/>
  <c r="BC52" i="1"/>
  <c r="BB52" i="1"/>
  <c r="BA52" i="1"/>
  <c r="AZ52" i="1"/>
  <c r="AM52" i="1"/>
  <c r="AL52" i="1"/>
  <c r="AK52" i="1"/>
  <c r="AJ52" i="1"/>
  <c r="AI52" i="1"/>
  <c r="BF52" i="1" s="1"/>
  <c r="BU51" i="1"/>
  <c r="BT51" i="1"/>
  <c r="BS51" i="1"/>
  <c r="BG51" i="1"/>
  <c r="BE51" i="1"/>
  <c r="BD51" i="1"/>
  <c r="BC51" i="1"/>
  <c r="BB51" i="1"/>
  <c r="BA51" i="1"/>
  <c r="AZ51" i="1"/>
  <c r="AY51" i="1"/>
  <c r="AX51" i="1"/>
  <c r="AT51" i="1"/>
  <c r="BW51" i="1" s="1"/>
  <c r="AS51" i="1"/>
  <c r="AR51" i="1"/>
  <c r="AQ51" i="1"/>
  <c r="AP51" i="1"/>
  <c r="AN51" i="1"/>
  <c r="AM51" i="1"/>
  <c r="AL51" i="1"/>
  <c r="AJ51" i="1"/>
  <c r="AK51" i="1" s="1"/>
  <c r="AI51" i="1"/>
  <c r="BF51" i="1" s="1"/>
  <c r="BG50" i="1"/>
  <c r="BF50" i="1"/>
  <c r="BE50" i="1"/>
  <c r="BD50" i="1"/>
  <c r="BC50" i="1"/>
  <c r="BB50" i="1"/>
  <c r="BA50" i="1"/>
  <c r="AZ50" i="1"/>
  <c r="AY50" i="1"/>
  <c r="AX50" i="1"/>
  <c r="AT50" i="1"/>
  <c r="BW50" i="1" s="1"/>
  <c r="AR50" i="1"/>
  <c r="BU50" i="1" s="1"/>
  <c r="AP50" i="1"/>
  <c r="AM50" i="1"/>
  <c r="AL50" i="1"/>
  <c r="AJ50" i="1"/>
  <c r="AK50" i="1" s="1"/>
  <c r="AI50" i="1"/>
  <c r="BG49" i="1"/>
  <c r="BF49" i="1"/>
  <c r="BE49" i="1"/>
  <c r="BC49" i="1"/>
  <c r="BA49" i="1"/>
  <c r="AX49" i="1"/>
  <c r="AT49" i="1"/>
  <c r="BW49" i="1" s="1"/>
  <c r="AS49" i="1"/>
  <c r="BV49" i="1" s="1"/>
  <c r="AR49" i="1"/>
  <c r="BU49" i="1" s="1"/>
  <c r="AQ49" i="1"/>
  <c r="BT49" i="1" s="1"/>
  <c r="AP49" i="1"/>
  <c r="BS49" i="1" s="1"/>
  <c r="AM49" i="1"/>
  <c r="AL49" i="1"/>
  <c r="AK49" i="1"/>
  <c r="AJ49" i="1"/>
  <c r="AI49" i="1"/>
  <c r="BF48" i="1"/>
  <c r="BE48" i="1"/>
  <c r="BD48" i="1"/>
  <c r="BC48" i="1"/>
  <c r="BB48" i="1"/>
  <c r="BA48" i="1"/>
  <c r="AZ48" i="1"/>
  <c r="AY48" i="1"/>
  <c r="AX48" i="1"/>
  <c r="AM48" i="1"/>
  <c r="AL48" i="1"/>
  <c r="AJ48" i="1"/>
  <c r="AK48" i="1" s="1"/>
  <c r="AI48" i="1"/>
  <c r="BG48" i="1" s="1"/>
  <c r="BG47" i="1"/>
  <c r="BF47" i="1"/>
  <c r="BE47" i="1"/>
  <c r="BD47" i="1"/>
  <c r="BC47" i="1"/>
  <c r="AN47" i="1"/>
  <c r="AM47" i="1"/>
  <c r="AL47" i="1"/>
  <c r="AJ47" i="1"/>
  <c r="AK47" i="1" s="1"/>
  <c r="AI47" i="1"/>
  <c r="BT46" i="1"/>
  <c r="BG46" i="1"/>
  <c r="BE46" i="1"/>
  <c r="BD46" i="1"/>
  <c r="BC46" i="1"/>
  <c r="BB46" i="1"/>
  <c r="BA46" i="1"/>
  <c r="AZ46" i="1"/>
  <c r="AY46" i="1"/>
  <c r="AX46" i="1"/>
  <c r="AT46" i="1"/>
  <c r="BW46" i="1" s="1"/>
  <c r="AS46" i="1"/>
  <c r="AR46" i="1"/>
  <c r="BU46" i="1" s="1"/>
  <c r="AQ46" i="1"/>
  <c r="AP46" i="1"/>
  <c r="BS46" i="1" s="1"/>
  <c r="AM46" i="1"/>
  <c r="AL46" i="1"/>
  <c r="AK46" i="1"/>
  <c r="AJ46" i="1"/>
  <c r="AI46" i="1"/>
  <c r="AN46" i="1" s="1"/>
  <c r="BF45" i="1"/>
  <c r="BE45" i="1"/>
  <c r="BD45" i="1"/>
  <c r="BC45" i="1"/>
  <c r="BB45" i="1"/>
  <c r="BA45" i="1"/>
  <c r="AY45" i="1"/>
  <c r="AR45" i="1"/>
  <c r="BU45" i="1" s="1"/>
  <c r="AQ45" i="1"/>
  <c r="BT45" i="1" s="1"/>
  <c r="AP45" i="1"/>
  <c r="AN45" i="1"/>
  <c r="AM45" i="1"/>
  <c r="AL45" i="1"/>
  <c r="AJ45" i="1"/>
  <c r="AK45" i="1" s="1"/>
  <c r="AI45" i="1"/>
  <c r="BG45" i="1" s="1"/>
  <c r="BF44" i="1"/>
  <c r="BC44" i="1"/>
  <c r="BA44" i="1"/>
  <c r="AZ44" i="1"/>
  <c r="AY44" i="1"/>
  <c r="AX44" i="1"/>
  <c r="AT44" i="1"/>
  <c r="BW44" i="1" s="1"/>
  <c r="AS44" i="1"/>
  <c r="BV44" i="1" s="1"/>
  <c r="AR44" i="1"/>
  <c r="BU44" i="1" s="1"/>
  <c r="AM44" i="1"/>
  <c r="AL44" i="1"/>
  <c r="AK44" i="1"/>
  <c r="AJ44" i="1"/>
  <c r="AI44" i="1"/>
  <c r="BB44" i="1" s="1"/>
  <c r="BG43" i="1"/>
  <c r="BF43" i="1"/>
  <c r="BE43" i="1"/>
  <c r="BD43" i="1"/>
  <c r="BC43" i="1"/>
  <c r="BB43" i="1"/>
  <c r="BA43" i="1"/>
  <c r="AM43" i="1"/>
  <c r="AL43" i="1"/>
  <c r="AJ43" i="1"/>
  <c r="AK43" i="1" s="1"/>
  <c r="AI43" i="1"/>
  <c r="BD42" i="1"/>
  <c r="AM42" i="1"/>
  <c r="AL42" i="1"/>
  <c r="AK42" i="1"/>
  <c r="AJ42" i="1"/>
  <c r="AI42" i="1"/>
  <c r="AM41" i="1"/>
  <c r="AL41" i="1"/>
  <c r="AJ41" i="1"/>
  <c r="AK41" i="1" s="1"/>
  <c r="AI41" i="1"/>
  <c r="BW40" i="1"/>
  <c r="BF40" i="1"/>
  <c r="BD40" i="1"/>
  <c r="BB40" i="1"/>
  <c r="AY40" i="1"/>
  <c r="AX40" i="1"/>
  <c r="AT40" i="1"/>
  <c r="AS40" i="1"/>
  <c r="BV40" i="1" s="1"/>
  <c r="AR40" i="1"/>
  <c r="BU40" i="1" s="1"/>
  <c r="AQ40" i="1"/>
  <c r="BT40" i="1" s="1"/>
  <c r="AP40" i="1"/>
  <c r="AW40" i="1" s="1"/>
  <c r="AN40" i="1"/>
  <c r="AM40" i="1"/>
  <c r="AL40" i="1"/>
  <c r="AJ40" i="1"/>
  <c r="AK40" i="1" s="1"/>
  <c r="AI40" i="1"/>
  <c r="BG40" i="1" s="1"/>
  <c r="BG39" i="1"/>
  <c r="BF39" i="1"/>
  <c r="BE39" i="1"/>
  <c r="BD39" i="1"/>
  <c r="BC39" i="1"/>
  <c r="BB39" i="1"/>
  <c r="BA39" i="1"/>
  <c r="AZ39" i="1"/>
  <c r="AY39" i="1"/>
  <c r="AX39" i="1"/>
  <c r="AT39" i="1"/>
  <c r="BW39" i="1" s="1"/>
  <c r="AR39" i="1"/>
  <c r="BU39" i="1" s="1"/>
  <c r="AM39" i="1"/>
  <c r="AL39" i="1"/>
  <c r="AK39" i="1"/>
  <c r="AJ39" i="1"/>
  <c r="AI39" i="1"/>
  <c r="F39" i="1"/>
  <c r="BG38" i="1"/>
  <c r="BF38" i="1"/>
  <c r="AM38" i="1"/>
  <c r="AL38" i="1"/>
  <c r="AJ38" i="1"/>
  <c r="AK38" i="1" s="1"/>
  <c r="AI38" i="1"/>
  <c r="BB38" i="1" s="1"/>
  <c r="BG37" i="1"/>
  <c r="BF37" i="1"/>
  <c r="BE37" i="1"/>
  <c r="BD37" i="1"/>
  <c r="AT37" i="1"/>
  <c r="BW37" i="1" s="1"/>
  <c r="AR37" i="1"/>
  <c r="BU37" i="1" s="1"/>
  <c r="AP37" i="1"/>
  <c r="AM37" i="1"/>
  <c r="AL37" i="1"/>
  <c r="AJ37" i="1"/>
  <c r="AK37" i="1" s="1"/>
  <c r="AI37" i="1"/>
  <c r="F37" i="1"/>
  <c r="BG36" i="1"/>
  <c r="BF36" i="1"/>
  <c r="BD36" i="1"/>
  <c r="BB36" i="1"/>
  <c r="AY36" i="1"/>
  <c r="AX36" i="1"/>
  <c r="AT36" i="1"/>
  <c r="BW36" i="1" s="1"/>
  <c r="AS36" i="1"/>
  <c r="BV36" i="1" s="1"/>
  <c r="AR36" i="1"/>
  <c r="AQ36" i="1"/>
  <c r="BT36" i="1" s="1"/>
  <c r="AP36" i="1"/>
  <c r="AN36" i="1"/>
  <c r="AM36" i="1"/>
  <c r="AL36" i="1"/>
  <c r="AJ36" i="1"/>
  <c r="AK36" i="1" s="1"/>
  <c r="AI36" i="1"/>
  <c r="BF35" i="1"/>
  <c r="BE35" i="1"/>
  <c r="BD35" i="1"/>
  <c r="BC35" i="1"/>
  <c r="BB35" i="1"/>
  <c r="BA35" i="1"/>
  <c r="AZ35" i="1"/>
  <c r="AY35" i="1"/>
  <c r="AX35" i="1"/>
  <c r="AT35" i="1"/>
  <c r="BW35" i="1" s="1"/>
  <c r="AR35" i="1"/>
  <c r="BU35" i="1" s="1"/>
  <c r="AP35" i="1"/>
  <c r="AM35" i="1"/>
  <c r="AL35" i="1"/>
  <c r="AK35" i="1"/>
  <c r="AJ35" i="1"/>
  <c r="AI35" i="1"/>
  <c r="F35" i="1" s="1"/>
  <c r="BG34" i="1"/>
  <c r="BF34" i="1"/>
  <c r="BD34" i="1"/>
  <c r="BB34" i="1"/>
  <c r="AY34" i="1"/>
  <c r="AX34" i="1"/>
  <c r="AT34" i="1"/>
  <c r="BW34" i="1" s="1"/>
  <c r="AM34" i="1"/>
  <c r="AL34" i="1"/>
  <c r="AK34" i="1"/>
  <c r="AJ34" i="1"/>
  <c r="AI34" i="1"/>
  <c r="BF33" i="1"/>
  <c r="AM33" i="1"/>
  <c r="AL33" i="1"/>
  <c r="AK33" i="1"/>
  <c r="AJ33" i="1"/>
  <c r="AI33" i="1"/>
  <c r="AM32" i="1"/>
  <c r="AL32" i="1"/>
  <c r="AJ32" i="1"/>
  <c r="AK32" i="1" s="1"/>
  <c r="AI32" i="1"/>
  <c r="AS32" i="1" s="1"/>
  <c r="BV32" i="1" s="1"/>
  <c r="BG31" i="1"/>
  <c r="BD31" i="1"/>
  <c r="BC31" i="1"/>
  <c r="BB31" i="1"/>
  <c r="BA31" i="1"/>
  <c r="AZ31" i="1"/>
  <c r="AY31" i="1"/>
  <c r="AX31" i="1"/>
  <c r="AT31" i="1"/>
  <c r="BW31" i="1" s="1"/>
  <c r="AR31" i="1"/>
  <c r="BU31" i="1" s="1"/>
  <c r="AP31" i="1"/>
  <c r="AM31" i="1"/>
  <c r="AL31" i="1"/>
  <c r="AK31" i="1"/>
  <c r="AJ31" i="1"/>
  <c r="AI31" i="1"/>
  <c r="F31" i="1" s="1"/>
  <c r="AR30" i="1"/>
  <c r="BU30" i="1" s="1"/>
  <c r="AM30" i="1"/>
  <c r="AL30" i="1"/>
  <c r="AJ30" i="1"/>
  <c r="AK30" i="1" s="1"/>
  <c r="AI30" i="1"/>
  <c r="BG29" i="1"/>
  <c r="BF29" i="1"/>
  <c r="BD29" i="1"/>
  <c r="BC29" i="1"/>
  <c r="BB29" i="1"/>
  <c r="BA29" i="1"/>
  <c r="AZ29" i="1"/>
  <c r="AM29" i="1"/>
  <c r="AL29" i="1"/>
  <c r="AJ29" i="1"/>
  <c r="AK29" i="1" s="1"/>
  <c r="AI29" i="1"/>
  <c r="F29" i="1"/>
  <c r="AM28" i="1"/>
  <c r="AL28" i="1"/>
  <c r="AJ28" i="1"/>
  <c r="AK28" i="1" s="1"/>
  <c r="AI28" i="1"/>
  <c r="BA27" i="1"/>
  <c r="AZ27" i="1"/>
  <c r="AY27" i="1"/>
  <c r="AX27" i="1"/>
  <c r="AT27" i="1"/>
  <c r="BW27" i="1" s="1"/>
  <c r="AR27" i="1"/>
  <c r="BU27" i="1" s="1"/>
  <c r="AM27" i="1"/>
  <c r="AL27" i="1"/>
  <c r="AK27" i="1"/>
  <c r="AJ27" i="1"/>
  <c r="AI27" i="1"/>
  <c r="BG26" i="1"/>
  <c r="BF26" i="1"/>
  <c r="BD26" i="1"/>
  <c r="BB26" i="1"/>
  <c r="AY26" i="1"/>
  <c r="AX26" i="1"/>
  <c r="AT26" i="1"/>
  <c r="BW26" i="1" s="1"/>
  <c r="AS26" i="1"/>
  <c r="BV26" i="1" s="1"/>
  <c r="AR26" i="1"/>
  <c r="BU26" i="1" s="1"/>
  <c r="AQ26" i="1"/>
  <c r="BT26" i="1" s="1"/>
  <c r="AP26" i="1"/>
  <c r="AM26" i="1"/>
  <c r="AL26" i="1"/>
  <c r="AK26" i="1"/>
  <c r="AJ26" i="1"/>
  <c r="AI26" i="1"/>
  <c r="BG25" i="1"/>
  <c r="BF25" i="1"/>
  <c r="BE25" i="1"/>
  <c r="BD25" i="1"/>
  <c r="BC25" i="1"/>
  <c r="BB25" i="1"/>
  <c r="BA25" i="1"/>
  <c r="AZ25" i="1"/>
  <c r="AY25" i="1"/>
  <c r="AX25" i="1"/>
  <c r="AM25" i="1"/>
  <c r="AL25" i="1"/>
  <c r="AJ25" i="1"/>
  <c r="AK25" i="1" s="1"/>
  <c r="AI25" i="1"/>
  <c r="F25" i="1"/>
  <c r="AM24" i="1"/>
  <c r="AL24" i="1"/>
  <c r="AJ24" i="1"/>
  <c r="AK24" i="1" s="1"/>
  <c r="AI24" i="1"/>
  <c r="AR23" i="1"/>
  <c r="BU23" i="1" s="1"/>
  <c r="AM23" i="1"/>
  <c r="AL23" i="1"/>
  <c r="AJ23" i="1"/>
  <c r="AK23" i="1" s="1"/>
  <c r="AI23" i="1"/>
  <c r="F23" i="1"/>
  <c r="BG22" i="1"/>
  <c r="BF22" i="1"/>
  <c r="BD22" i="1"/>
  <c r="BB22" i="1"/>
  <c r="AY22" i="1"/>
  <c r="AX22" i="1"/>
  <c r="AT22" i="1"/>
  <c r="BW22" i="1" s="1"/>
  <c r="AS22" i="1"/>
  <c r="BV22" i="1" s="1"/>
  <c r="AR22" i="1"/>
  <c r="BU22" i="1" s="1"/>
  <c r="AQ22" i="1"/>
  <c r="BT22" i="1" s="1"/>
  <c r="AP22" i="1"/>
  <c r="AN22" i="1"/>
  <c r="AM22" i="1"/>
  <c r="AL22" i="1"/>
  <c r="AK22" i="1"/>
  <c r="AJ22" i="1"/>
  <c r="AI22" i="1"/>
  <c r="BG21" i="1"/>
  <c r="BF21" i="1"/>
  <c r="BE21" i="1"/>
  <c r="BD21" i="1"/>
  <c r="BC21" i="1"/>
  <c r="BB21" i="1"/>
  <c r="BA21" i="1"/>
  <c r="AZ21" i="1"/>
  <c r="AY21" i="1"/>
  <c r="AX21" i="1"/>
  <c r="AT21" i="1"/>
  <c r="BW21" i="1" s="1"/>
  <c r="AM21" i="1"/>
  <c r="AL21" i="1"/>
  <c r="AK21" i="1"/>
  <c r="AJ21" i="1"/>
  <c r="AI21" i="1"/>
  <c r="F21" i="1"/>
  <c r="AM20" i="1"/>
  <c r="AL20" i="1"/>
  <c r="AJ20" i="1"/>
  <c r="AK20" i="1" s="1"/>
  <c r="AI20" i="1"/>
  <c r="BG19" i="1"/>
  <c r="BF19" i="1"/>
  <c r="BE19" i="1"/>
  <c r="AM19" i="1"/>
  <c r="AL19" i="1"/>
  <c r="AJ19" i="1"/>
  <c r="AK19" i="1" s="1"/>
  <c r="AI19" i="1"/>
  <c r="AP19" i="1" s="1"/>
  <c r="F19" i="1"/>
  <c r="BD18" i="1"/>
  <c r="BB18" i="1"/>
  <c r="AY18" i="1"/>
  <c r="AX18" i="1"/>
  <c r="AT18" i="1"/>
  <c r="BW18" i="1" s="1"/>
  <c r="AS18" i="1"/>
  <c r="AR18" i="1"/>
  <c r="BU18" i="1" s="1"/>
  <c r="AQ18" i="1"/>
  <c r="BT18" i="1" s="1"/>
  <c r="AP18" i="1"/>
  <c r="AN18" i="1"/>
  <c r="AM18" i="1"/>
  <c r="AL18" i="1"/>
  <c r="AK18" i="1"/>
  <c r="AJ18" i="1"/>
  <c r="AI18" i="1"/>
  <c r="BG18" i="1" s="1"/>
  <c r="BG17" i="1"/>
  <c r="BF17" i="1"/>
  <c r="BE17" i="1"/>
  <c r="BD17" i="1"/>
  <c r="BC17" i="1"/>
  <c r="BB17" i="1"/>
  <c r="BA17" i="1"/>
  <c r="AZ17" i="1"/>
  <c r="AY17" i="1"/>
  <c r="AX17" i="1"/>
  <c r="AT17" i="1"/>
  <c r="BW17" i="1" s="1"/>
  <c r="AR17" i="1"/>
  <c r="BU17" i="1" s="1"/>
  <c r="AP17" i="1"/>
  <c r="AM17" i="1"/>
  <c r="AL17" i="1"/>
  <c r="AJ17" i="1"/>
  <c r="AK17" i="1" s="1"/>
  <c r="AI17" i="1"/>
  <c r="F17" i="1" s="1"/>
  <c r="BG16" i="1"/>
  <c r="BF16" i="1"/>
  <c r="BD16" i="1"/>
  <c r="BB16" i="1"/>
  <c r="AY16" i="1"/>
  <c r="AX16" i="1"/>
  <c r="AM16" i="1"/>
  <c r="AL16" i="1"/>
  <c r="AJ16" i="1"/>
  <c r="AK16" i="1" s="1"/>
  <c r="AI16" i="1"/>
  <c r="BG15" i="1"/>
  <c r="BF15" i="1"/>
  <c r="BE15" i="1"/>
  <c r="BD15" i="1"/>
  <c r="BC15" i="1"/>
  <c r="AR15" i="1"/>
  <c r="BU15" i="1" s="1"/>
  <c r="AP15" i="1"/>
  <c r="AM15" i="1"/>
  <c r="AL15" i="1"/>
  <c r="AJ15" i="1"/>
  <c r="AK15" i="1" s="1"/>
  <c r="AI15" i="1"/>
  <c r="F15" i="1"/>
  <c r="AM14" i="1"/>
  <c r="AL14" i="1"/>
  <c r="AJ14" i="1"/>
  <c r="AK14" i="1" s="1"/>
  <c r="AI14" i="1"/>
  <c r="BG13" i="1"/>
  <c r="BE13" i="1"/>
  <c r="BD13" i="1"/>
  <c r="BC13" i="1"/>
  <c r="BB13" i="1"/>
  <c r="BA13" i="1"/>
  <c r="AZ13" i="1"/>
  <c r="AY13" i="1"/>
  <c r="AX13" i="1"/>
  <c r="AT13" i="1"/>
  <c r="BW13" i="1" s="1"/>
  <c r="AR13" i="1"/>
  <c r="BU13" i="1" s="1"/>
  <c r="AP13" i="1"/>
  <c r="AM13" i="1"/>
  <c r="AL13" i="1"/>
  <c r="AJ13" i="1"/>
  <c r="AK13" i="1" s="1"/>
  <c r="AI13" i="1"/>
  <c r="BF13" i="1" s="1"/>
  <c r="F13" i="1"/>
  <c r="AT12" i="1"/>
  <c r="BW12" i="1" s="1"/>
  <c r="AM12" i="1"/>
  <c r="AL12" i="1"/>
  <c r="AJ12" i="1"/>
  <c r="AK12" i="1" s="1"/>
  <c r="AI12" i="1"/>
  <c r="BG11" i="1"/>
  <c r="BE11" i="1"/>
  <c r="BD11" i="1"/>
  <c r="BC11" i="1"/>
  <c r="BB11" i="1"/>
  <c r="BA11" i="1"/>
  <c r="AM11" i="1"/>
  <c r="AL11" i="1"/>
  <c r="AJ11" i="1"/>
  <c r="AK11" i="1" s="1"/>
  <c r="AI11" i="1"/>
  <c r="F11" i="1"/>
  <c r="AM10" i="1"/>
  <c r="AL10" i="1"/>
  <c r="AJ10" i="1"/>
  <c r="AK10" i="1" s="1"/>
  <c r="AI10" i="1"/>
  <c r="BG9" i="1"/>
  <c r="BF9" i="1"/>
  <c r="BE9" i="1"/>
  <c r="BD9" i="1"/>
  <c r="BC9" i="1"/>
  <c r="BB9" i="1"/>
  <c r="BA9" i="1"/>
  <c r="AZ9" i="1"/>
  <c r="AY9" i="1"/>
  <c r="AX9" i="1"/>
  <c r="AT9" i="1"/>
  <c r="BW9" i="1" s="1"/>
  <c r="AR9" i="1"/>
  <c r="BU9" i="1" s="1"/>
  <c r="AP9" i="1"/>
  <c r="AM9" i="1"/>
  <c r="AL9" i="1"/>
  <c r="AJ9" i="1"/>
  <c r="AI9" i="1"/>
  <c r="F9" i="1"/>
  <c r="BG8" i="1"/>
  <c r="BF8" i="1"/>
  <c r="BD8" i="1"/>
  <c r="BB8" i="1"/>
  <c r="AY8" i="1"/>
  <c r="AX8" i="1"/>
  <c r="AT8" i="1"/>
  <c r="BW8" i="1" s="1"/>
  <c r="AS8" i="1"/>
  <c r="BV8" i="1" s="1"/>
  <c r="AR8" i="1"/>
  <c r="BU8" i="1" s="1"/>
  <c r="AQ8" i="1"/>
  <c r="BT8" i="1" s="1"/>
  <c r="AM8" i="1"/>
  <c r="AL8" i="1"/>
  <c r="AK8" i="1"/>
  <c r="AJ8" i="1"/>
  <c r="AI8" i="1"/>
  <c r="BG7" i="1"/>
  <c r="BF7" i="1"/>
  <c r="BE7" i="1"/>
  <c r="BD7" i="1"/>
  <c r="BC7" i="1"/>
  <c r="BB7" i="1"/>
  <c r="AM7" i="1"/>
  <c r="AL7" i="1"/>
  <c r="AJ7" i="1"/>
  <c r="AK7" i="1" s="1"/>
  <c r="AI7" i="1"/>
  <c r="F7" i="1"/>
  <c r="BG6" i="1"/>
  <c r="BF6" i="1"/>
  <c r="AR6" i="1"/>
  <c r="BU6" i="1" s="1"/>
  <c r="AQ6" i="1"/>
  <c r="BT6" i="1" s="1"/>
  <c r="AM6" i="1"/>
  <c r="AL6" i="1"/>
  <c r="AJ6" i="1"/>
  <c r="AK6" i="1" s="1"/>
  <c r="AI6" i="1"/>
  <c r="AZ5" i="1"/>
  <c r="AY5" i="1"/>
  <c r="AX5" i="1"/>
  <c r="AT5" i="1"/>
  <c r="BW5" i="1" s="1"/>
  <c r="AR5" i="1"/>
  <c r="BU5" i="1" s="1"/>
  <c r="AP5" i="1"/>
  <c r="AM5" i="1"/>
  <c r="AL5" i="1"/>
  <c r="AJ5" i="1"/>
  <c r="AI5" i="1"/>
  <c r="F5" i="1"/>
  <c r="BQ4" i="1"/>
  <c r="BH4" i="1"/>
  <c r="AG4" i="1"/>
  <c r="AF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I3" i="1" l="1"/>
  <c r="BT4" i="1" s="1"/>
  <c r="H3" i="1"/>
  <c r="BS4" i="1" s="1"/>
  <c r="U3" i="1"/>
  <c r="Y3" i="1"/>
  <c r="BC142" i="1"/>
  <c r="BA142" i="1"/>
  <c r="AY142" i="1"/>
  <c r="AX142" i="1"/>
  <c r="AZ142" i="1"/>
  <c r="AT142" i="1"/>
  <c r="BW142" i="1" s="1"/>
  <c r="AS142" i="1"/>
  <c r="BV142" i="1" s="1"/>
  <c r="AR142" i="1"/>
  <c r="BU142" i="1" s="1"/>
  <c r="AQ142" i="1"/>
  <c r="BT142" i="1" s="1"/>
  <c r="BD142" i="1"/>
  <c r="BG142" i="1"/>
  <c r="BB142" i="1"/>
  <c r="BF142" i="1"/>
  <c r="BE142" i="1"/>
  <c r="AP142" i="1"/>
  <c r="AN142" i="1"/>
  <c r="AW49" i="1"/>
  <c r="BU55" i="1"/>
  <c r="AW55" i="1"/>
  <c r="BT190" i="1"/>
  <c r="AR166" i="1"/>
  <c r="BU166" i="1" s="1"/>
  <c r="AX166" i="1"/>
  <c r="AT166" i="1"/>
  <c r="BW166" i="1" s="1"/>
  <c r="AQ166" i="1"/>
  <c r="BT166" i="1" s="1"/>
  <c r="AP166" i="1"/>
  <c r="BF166" i="1"/>
  <c r="BE166" i="1"/>
  <c r="BD166" i="1"/>
  <c r="BC166" i="1"/>
  <c r="BB166" i="1"/>
  <c r="BA166" i="1"/>
  <c r="BG166" i="1"/>
  <c r="AZ166" i="1"/>
  <c r="AY166" i="1"/>
  <c r="AS166" i="1"/>
  <c r="BV166" i="1" s="1"/>
  <c r="AN166" i="1"/>
  <c r="BS220" i="1"/>
  <c r="BS56" i="1"/>
  <c r="BV18" i="1"/>
  <c r="AW18" i="1"/>
  <c r="BU191" i="1"/>
  <c r="AW191" i="1"/>
  <c r="BH91" i="1"/>
  <c r="BZ91" i="1" s="1"/>
  <c r="AW54" i="1"/>
  <c r="BS54" i="1"/>
  <c r="BH54" i="1"/>
  <c r="BZ54" i="1" s="1"/>
  <c r="BU36" i="1"/>
  <c r="AW36" i="1"/>
  <c r="AW83" i="1"/>
  <c r="BS83" i="1"/>
  <c r="AQ258" i="1"/>
  <c r="BT258" i="1" s="1"/>
  <c r="AN258" i="1"/>
  <c r="BC258" i="1"/>
  <c r="BG258" i="1"/>
  <c r="BF258" i="1"/>
  <c r="BA258" i="1"/>
  <c r="AY258" i="1"/>
  <c r="AT258" i="1"/>
  <c r="BW258" i="1" s="1"/>
  <c r="BD258" i="1"/>
  <c r="BB258" i="1"/>
  <c r="AZ258" i="1"/>
  <c r="AX258" i="1"/>
  <c r="AS258" i="1"/>
  <c r="BV258" i="1" s="1"/>
  <c r="AR258" i="1"/>
  <c r="BU258" i="1" s="1"/>
  <c r="BE258" i="1"/>
  <c r="AP258" i="1"/>
  <c r="BE14" i="1"/>
  <c r="F14" i="1"/>
  <c r="BC14" i="1"/>
  <c r="BA14" i="1"/>
  <c r="AZ14" i="1"/>
  <c r="BG14" i="1"/>
  <c r="AY14" i="1"/>
  <c r="BF14" i="1"/>
  <c r="BD14" i="1"/>
  <c r="BB14" i="1"/>
  <c r="AX14" i="1"/>
  <c r="AS14" i="1"/>
  <c r="BV14" i="1" s="1"/>
  <c r="AR14" i="1"/>
  <c r="BU14" i="1" s="1"/>
  <c r="AQ14" i="1"/>
  <c r="BT14" i="1" s="1"/>
  <c r="AP14" i="1"/>
  <c r="BV58" i="1"/>
  <c r="AW58" i="1"/>
  <c r="AX479" i="1"/>
  <c r="BF479" i="1"/>
  <c r="BD479" i="1"/>
  <c r="BB479" i="1"/>
  <c r="AS479" i="1"/>
  <c r="BV479" i="1" s="1"/>
  <c r="BE479" i="1"/>
  <c r="BA479" i="1"/>
  <c r="AY479" i="1"/>
  <c r="AN479" i="1"/>
  <c r="BG479" i="1"/>
  <c r="BC479" i="1"/>
  <c r="AZ479" i="1"/>
  <c r="AT479" i="1"/>
  <c r="BW479" i="1" s="1"/>
  <c r="AR479" i="1"/>
  <c r="BU479" i="1" s="1"/>
  <c r="AQ479" i="1"/>
  <c r="BT479" i="1" s="1"/>
  <c r="AP479" i="1"/>
  <c r="BE28" i="1"/>
  <c r="F28" i="1"/>
  <c r="BC28" i="1"/>
  <c r="BA28" i="1"/>
  <c r="AZ28" i="1"/>
  <c r="BF28" i="1"/>
  <c r="BD28" i="1"/>
  <c r="AY28" i="1"/>
  <c r="BB28" i="1"/>
  <c r="AT28" i="1"/>
  <c r="BW28" i="1" s="1"/>
  <c r="AX28" i="1"/>
  <c r="AS28" i="1"/>
  <c r="BV28" i="1" s="1"/>
  <c r="AR28" i="1"/>
  <c r="BU28" i="1" s="1"/>
  <c r="AQ28" i="1"/>
  <c r="BT28" i="1" s="1"/>
  <c r="AP28" i="1"/>
  <c r="AN28" i="1"/>
  <c r="BG28" i="1"/>
  <c r="BH76" i="1"/>
  <c r="BZ76" i="1" s="1"/>
  <c r="BS76" i="1"/>
  <c r="AW76" i="1"/>
  <c r="BA206" i="1"/>
  <c r="AN206" i="1"/>
  <c r="BE206" i="1"/>
  <c r="AZ206" i="1"/>
  <c r="AY206" i="1"/>
  <c r="BB206" i="1"/>
  <c r="AS206" i="1"/>
  <c r="BV206" i="1" s="1"/>
  <c r="AR206" i="1"/>
  <c r="BU206" i="1" s="1"/>
  <c r="BC206" i="1"/>
  <c r="AX206" i="1"/>
  <c r="AT206" i="1"/>
  <c r="BW206" i="1" s="1"/>
  <c r="AQ206" i="1"/>
  <c r="BT206" i="1" s="1"/>
  <c r="AP206" i="1"/>
  <c r="BG206" i="1"/>
  <c r="BF206" i="1"/>
  <c r="BD206" i="1"/>
  <c r="AT106" i="1"/>
  <c r="BW106" i="1" s="1"/>
  <c r="AN106" i="1"/>
  <c r="AS106" i="1"/>
  <c r="BV106" i="1" s="1"/>
  <c r="AR106" i="1"/>
  <c r="BU106" i="1" s="1"/>
  <c r="AQ106" i="1"/>
  <c r="BT106" i="1" s="1"/>
  <c r="BC106" i="1"/>
  <c r="BG106" i="1"/>
  <c r="BF106" i="1"/>
  <c r="BE106" i="1"/>
  <c r="BD106" i="1"/>
  <c r="BB106" i="1"/>
  <c r="BA106" i="1"/>
  <c r="AZ106" i="1"/>
  <c r="AY106" i="1"/>
  <c r="AX106" i="1"/>
  <c r="AP106" i="1"/>
  <c r="BH72" i="1"/>
  <c r="AW72" i="1"/>
  <c r="BS72" i="1"/>
  <c r="BS224" i="1"/>
  <c r="AW224" i="1"/>
  <c r="BH224" i="1"/>
  <c r="BZ224" i="1" s="1"/>
  <c r="AN14" i="1"/>
  <c r="AT14" i="1"/>
  <c r="BW14" i="1" s="1"/>
  <c r="AY99" i="1"/>
  <c r="AR99" i="1"/>
  <c r="BU99" i="1" s="1"/>
  <c r="BB99" i="1"/>
  <c r="BA99" i="1"/>
  <c r="AZ99" i="1"/>
  <c r="AT99" i="1"/>
  <c r="BW99" i="1" s="1"/>
  <c r="AS99" i="1"/>
  <c r="BV99" i="1" s="1"/>
  <c r="AQ99" i="1"/>
  <c r="BT99" i="1" s="1"/>
  <c r="AP99" i="1"/>
  <c r="AN99" i="1"/>
  <c r="BG99" i="1"/>
  <c r="BF99" i="1"/>
  <c r="BD99" i="1"/>
  <c r="BC99" i="1"/>
  <c r="AX99" i="1"/>
  <c r="BE99" i="1"/>
  <c r="BB217" i="1"/>
  <c r="AP217" i="1"/>
  <c r="AQ217" i="1"/>
  <c r="BT217" i="1" s="1"/>
  <c r="BG217" i="1"/>
  <c r="BE217" i="1"/>
  <c r="BC217" i="1"/>
  <c r="BA217" i="1"/>
  <c r="BF217" i="1"/>
  <c r="BD217" i="1"/>
  <c r="AT217" i="1"/>
  <c r="BW217" i="1" s="1"/>
  <c r="AS217" i="1"/>
  <c r="BV217" i="1" s="1"/>
  <c r="AR217" i="1"/>
  <c r="BU217" i="1" s="1"/>
  <c r="AN217" i="1"/>
  <c r="AZ217" i="1"/>
  <c r="AY217" i="1"/>
  <c r="AX217" i="1"/>
  <c r="BE250" i="1"/>
  <c r="AS250" i="1"/>
  <c r="BV250" i="1" s="1"/>
  <c r="AX250" i="1"/>
  <c r="AQ250" i="1"/>
  <c r="BT250" i="1" s="1"/>
  <c r="AP250" i="1"/>
  <c r="BG250" i="1"/>
  <c r="BD250" i="1"/>
  <c r="BB250" i="1"/>
  <c r="BA250" i="1"/>
  <c r="AZ250" i="1"/>
  <c r="AY250" i="1"/>
  <c r="AT250" i="1"/>
  <c r="BW250" i="1" s="1"/>
  <c r="AR250" i="1"/>
  <c r="BU250" i="1" s="1"/>
  <c r="AN250" i="1"/>
  <c r="BF250" i="1"/>
  <c r="BC250" i="1"/>
  <c r="BH98" i="1"/>
  <c r="BZ98" i="1" s="1"/>
  <c r="BS98" i="1"/>
  <c r="AW98" i="1"/>
  <c r="BS66" i="1"/>
  <c r="AW171" i="1"/>
  <c r="BS171" i="1"/>
  <c r="BZ265" i="1"/>
  <c r="AZ331" i="1"/>
  <c r="AS331" i="1"/>
  <c r="BV331" i="1" s="1"/>
  <c r="AQ331" i="1"/>
  <c r="BT331" i="1" s="1"/>
  <c r="BC331" i="1"/>
  <c r="BA331" i="1"/>
  <c r="AX331" i="1"/>
  <c r="AT331" i="1"/>
  <c r="BW331" i="1" s="1"/>
  <c r="BG331" i="1"/>
  <c r="AY331" i="1"/>
  <c r="BF331" i="1"/>
  <c r="BE331" i="1"/>
  <c r="BD331" i="1"/>
  <c r="BB331" i="1"/>
  <c r="AR331" i="1"/>
  <c r="BU331" i="1" s="1"/>
  <c r="AP331" i="1"/>
  <c r="AN331" i="1"/>
  <c r="AQ73" i="1"/>
  <c r="BT73" i="1" s="1"/>
  <c r="BD73" i="1"/>
  <c r="BB73" i="1"/>
  <c r="AZ73" i="1"/>
  <c r="AY73" i="1"/>
  <c r="AT73" i="1"/>
  <c r="BW73" i="1" s="1"/>
  <c r="AS73" i="1"/>
  <c r="BV73" i="1" s="1"/>
  <c r="AR73" i="1"/>
  <c r="BU73" i="1" s="1"/>
  <c r="AP73" i="1"/>
  <c r="AN73" i="1"/>
  <c r="BG73" i="1"/>
  <c r="BF73" i="1"/>
  <c r="BC73" i="1"/>
  <c r="BA73" i="1"/>
  <c r="AX73" i="1"/>
  <c r="BU163" i="1"/>
  <c r="BS170" i="1"/>
  <c r="AW170" i="1"/>
  <c r="BZ181" i="1"/>
  <c r="AN196" i="1"/>
  <c r="BA196" i="1"/>
  <c r="BG196" i="1"/>
  <c r="AZ196" i="1"/>
  <c r="AX196" i="1"/>
  <c r="AT196" i="1"/>
  <c r="BW196" i="1" s="1"/>
  <c r="AS196" i="1"/>
  <c r="BV196" i="1" s="1"/>
  <c r="BF196" i="1"/>
  <c r="BE196" i="1"/>
  <c r="BD196" i="1"/>
  <c r="BC196" i="1"/>
  <c r="BB196" i="1"/>
  <c r="AY196" i="1"/>
  <c r="AR196" i="1"/>
  <c r="BU196" i="1" s="1"/>
  <c r="AQ196" i="1"/>
  <c r="BT196" i="1" s="1"/>
  <c r="AP196" i="1"/>
  <c r="BS329" i="1"/>
  <c r="AW329" i="1"/>
  <c r="AR354" i="1"/>
  <c r="BU354" i="1" s="1"/>
  <c r="AX354" i="1"/>
  <c r="AT354" i="1"/>
  <c r="BW354" i="1" s="1"/>
  <c r="AQ354" i="1"/>
  <c r="BT354" i="1" s="1"/>
  <c r="BC354" i="1"/>
  <c r="AP354" i="1"/>
  <c r="BF354" i="1"/>
  <c r="BE354" i="1"/>
  <c r="BD354" i="1"/>
  <c r="BB354" i="1"/>
  <c r="BA354" i="1"/>
  <c r="AZ354" i="1"/>
  <c r="BG354" i="1"/>
  <c r="AY354" i="1"/>
  <c r="AS354" i="1"/>
  <c r="BV354" i="1" s="1"/>
  <c r="AN354" i="1"/>
  <c r="BZ51" i="1"/>
  <c r="BZ55" i="1"/>
  <c r="AT66" i="1"/>
  <c r="BW66" i="1" s="1"/>
  <c r="AY66" i="1"/>
  <c r="AR66" i="1"/>
  <c r="BU66" i="1" s="1"/>
  <c r="AQ66" i="1"/>
  <c r="BT66" i="1" s="1"/>
  <c r="BG66" i="1"/>
  <c r="BF66" i="1"/>
  <c r="BE66" i="1"/>
  <c r="BD66" i="1"/>
  <c r="BC66" i="1"/>
  <c r="BB66" i="1"/>
  <c r="BA66" i="1"/>
  <c r="AZ66" i="1"/>
  <c r="AX66" i="1"/>
  <c r="AS66" i="1"/>
  <c r="BV66" i="1" s="1"/>
  <c r="AN66" i="1"/>
  <c r="AP77" i="1"/>
  <c r="BA77" i="1"/>
  <c r="AZ77" i="1"/>
  <c r="AQ77" i="1"/>
  <c r="BT77" i="1" s="1"/>
  <c r="AY77" i="1"/>
  <c r="AX77" i="1"/>
  <c r="AR77" i="1"/>
  <c r="BU77" i="1" s="1"/>
  <c r="AT77" i="1"/>
  <c r="BW77" i="1" s="1"/>
  <c r="AS77" i="1"/>
  <c r="BV77" i="1" s="1"/>
  <c r="BG77" i="1"/>
  <c r="BF77" i="1"/>
  <c r="BD77" i="1"/>
  <c r="BC77" i="1"/>
  <c r="BB77" i="1"/>
  <c r="AN77" i="1"/>
  <c r="BS155" i="1"/>
  <c r="AZ225" i="1"/>
  <c r="AY225" i="1"/>
  <c r="AS225" i="1"/>
  <c r="BV225" i="1" s="1"/>
  <c r="AR225" i="1"/>
  <c r="BU225" i="1" s="1"/>
  <c r="AT225" i="1"/>
  <c r="BW225" i="1" s="1"/>
  <c r="AQ225" i="1"/>
  <c r="BT225" i="1" s="1"/>
  <c r="AP225" i="1"/>
  <c r="AN225" i="1"/>
  <c r="BG225" i="1"/>
  <c r="AX225" i="1"/>
  <c r="BF225" i="1"/>
  <c r="BE225" i="1"/>
  <c r="BD225" i="1"/>
  <c r="BC225" i="1"/>
  <c r="BB225" i="1"/>
  <c r="BA225" i="1"/>
  <c r="AW278" i="1"/>
  <c r="BS278" i="1"/>
  <c r="BH278" i="1"/>
  <c r="X3" i="1"/>
  <c r="O3" i="1"/>
  <c r="BY4" i="1" s="1"/>
  <c r="M3" i="1"/>
  <c r="BX4" i="1" s="1"/>
  <c r="L3" i="1"/>
  <c r="BW4" i="1" s="1"/>
  <c r="AS23" i="1"/>
  <c r="BV23" i="1" s="1"/>
  <c r="AQ23" i="1"/>
  <c r="BT23" i="1" s="1"/>
  <c r="AN23" i="1"/>
  <c r="BF23" i="1"/>
  <c r="BE23" i="1"/>
  <c r="BC23" i="1"/>
  <c r="BD23" i="1"/>
  <c r="BB23" i="1"/>
  <c r="BA23" i="1"/>
  <c r="AZ23" i="1"/>
  <c r="AT23" i="1"/>
  <c r="BW23" i="1" s="1"/>
  <c r="AX23" i="1"/>
  <c r="BG23" i="1"/>
  <c r="AY23" i="1"/>
  <c r="AP23" i="1"/>
  <c r="BU53" i="1"/>
  <c r="AW53" i="1"/>
  <c r="BS108" i="1"/>
  <c r="AW201" i="1"/>
  <c r="BS201" i="1"/>
  <c r="BH201" i="1"/>
  <c r="BH277" i="1"/>
  <c r="BS277" i="1"/>
  <c r="AW277" i="1"/>
  <c r="BS289" i="1"/>
  <c r="AW289" i="1"/>
  <c r="AT3" i="1"/>
  <c r="AT4" i="1" s="1"/>
  <c r="BT101" i="1"/>
  <c r="AW101" i="1"/>
  <c r="BS154" i="1"/>
  <c r="BH154" i="1"/>
  <c r="AW154" i="1"/>
  <c r="BS75" i="1"/>
  <c r="AW75" i="1"/>
  <c r="AP82" i="1"/>
  <c r="AR82" i="1"/>
  <c r="BU82" i="1" s="1"/>
  <c r="AN82" i="1"/>
  <c r="BG82" i="1"/>
  <c r="BF82" i="1"/>
  <c r="BE82" i="1"/>
  <c r="AZ82" i="1"/>
  <c r="BD82" i="1"/>
  <c r="BC82" i="1"/>
  <c r="BB82" i="1"/>
  <c r="BA82" i="1"/>
  <c r="AX82" i="1"/>
  <c r="AY82" i="1"/>
  <c r="AS82" i="1"/>
  <c r="BV82" i="1" s="1"/>
  <c r="AQ82" i="1"/>
  <c r="BT82" i="1" s="1"/>
  <c r="BS107" i="1"/>
  <c r="AW107" i="1"/>
  <c r="BE24" i="1"/>
  <c r="F24" i="1"/>
  <c r="BC24" i="1"/>
  <c r="BA24" i="1"/>
  <c r="AZ24" i="1"/>
  <c r="BB24" i="1"/>
  <c r="AY24" i="1"/>
  <c r="AX24" i="1"/>
  <c r="AR24" i="1"/>
  <c r="BU24" i="1" s="1"/>
  <c r="AT24" i="1"/>
  <c r="BW24" i="1" s="1"/>
  <c r="AS24" i="1"/>
  <c r="BV24" i="1" s="1"/>
  <c r="BF24" i="1"/>
  <c r="BD24" i="1"/>
  <c r="AQ24" i="1"/>
  <c r="BT24" i="1" s="1"/>
  <c r="AP24" i="1"/>
  <c r="BG116" i="1"/>
  <c r="BE116" i="1"/>
  <c r="BB116" i="1"/>
  <c r="AS116" i="1"/>
  <c r="BV116" i="1" s="1"/>
  <c r="AR116" i="1"/>
  <c r="BU116" i="1" s="1"/>
  <c r="AQ116" i="1"/>
  <c r="BT116" i="1" s="1"/>
  <c r="AN116" i="1"/>
  <c r="AZ116" i="1"/>
  <c r="AY116" i="1"/>
  <c r="AX116" i="1"/>
  <c r="AT116" i="1"/>
  <c r="BW116" i="1" s="1"/>
  <c r="AP116" i="1"/>
  <c r="BF116" i="1"/>
  <c r="BD116" i="1"/>
  <c r="BC116" i="1"/>
  <c r="BA116" i="1"/>
  <c r="AW137" i="1"/>
  <c r="BH137" i="1"/>
  <c r="BS137" i="1"/>
  <c r="BV46" i="1"/>
  <c r="AX68" i="1"/>
  <c r="BC68" i="1"/>
  <c r="BA68" i="1"/>
  <c r="AY68" i="1"/>
  <c r="AS68" i="1"/>
  <c r="BV68" i="1" s="1"/>
  <c r="AR68" i="1"/>
  <c r="BU68" i="1" s="1"/>
  <c r="AQ68" i="1"/>
  <c r="BT68" i="1" s="1"/>
  <c r="AP68" i="1"/>
  <c r="AN68" i="1"/>
  <c r="BF68" i="1"/>
  <c r="BE68" i="1"/>
  <c r="BD68" i="1"/>
  <c r="BG68" i="1"/>
  <c r="AZ68" i="1"/>
  <c r="AT68" i="1"/>
  <c r="BW68" i="1" s="1"/>
  <c r="BS131" i="1"/>
  <c r="AW131" i="1"/>
  <c r="AP144" i="1"/>
  <c r="BF144" i="1"/>
  <c r="BD144" i="1"/>
  <c r="BC144" i="1"/>
  <c r="AQ144" i="1"/>
  <c r="BT144" i="1" s="1"/>
  <c r="AN144" i="1"/>
  <c r="AZ144" i="1"/>
  <c r="BG144" i="1"/>
  <c r="BE144" i="1"/>
  <c r="BB144" i="1"/>
  <c r="BA144" i="1"/>
  <c r="AX144" i="1"/>
  <c r="AY144" i="1"/>
  <c r="AT144" i="1"/>
  <c r="BW144" i="1" s="1"/>
  <c r="AS144" i="1"/>
  <c r="BV144" i="1" s="1"/>
  <c r="AR144" i="1"/>
  <c r="BU144" i="1" s="1"/>
  <c r="BS186" i="1"/>
  <c r="AW186" i="1"/>
  <c r="J3" i="1"/>
  <c r="BU4" i="1" s="1"/>
  <c r="BE10" i="1"/>
  <c r="F10" i="1"/>
  <c r="BC10" i="1"/>
  <c r="BA10" i="1"/>
  <c r="AZ10" i="1"/>
  <c r="BG10" i="1"/>
  <c r="BF10" i="1"/>
  <c r="BB10" i="1"/>
  <c r="BD10" i="1"/>
  <c r="AY10" i="1"/>
  <c r="AX10" i="1"/>
  <c r="AS10" i="1"/>
  <c r="BV10" i="1" s="1"/>
  <c r="AR10" i="1"/>
  <c r="BU10" i="1" s="1"/>
  <c r="AQ10" i="1"/>
  <c r="BT10" i="1" s="1"/>
  <c r="AP10" i="1"/>
  <c r="AN10" i="1"/>
  <c r="BS22" i="1"/>
  <c r="AW22" i="1"/>
  <c r="BH51" i="1"/>
  <c r="BV51" i="1"/>
  <c r="BG169" i="1"/>
  <c r="AR169" i="1"/>
  <c r="BU169" i="1" s="1"/>
  <c r="AP169" i="1"/>
  <c r="AQ169" i="1"/>
  <c r="BT169" i="1" s="1"/>
  <c r="AN169" i="1"/>
  <c r="BF169" i="1"/>
  <c r="BE169" i="1"/>
  <c r="BD169" i="1"/>
  <c r="BC169" i="1"/>
  <c r="BB169" i="1"/>
  <c r="BA169" i="1"/>
  <c r="AZ169" i="1"/>
  <c r="AY169" i="1"/>
  <c r="AX169" i="1"/>
  <c r="AT169" i="1"/>
  <c r="BW169" i="1" s="1"/>
  <c r="AS169" i="1"/>
  <c r="BV169" i="1" s="1"/>
  <c r="K3" i="1"/>
  <c r="BV4" i="1" s="1"/>
  <c r="BG42" i="1"/>
  <c r="BE42" i="1"/>
  <c r="BC42" i="1"/>
  <c r="BB42" i="1"/>
  <c r="BA42" i="1"/>
  <c r="AZ42" i="1"/>
  <c r="AS42" i="1"/>
  <c r="BV42" i="1" s="1"/>
  <c r="AY42" i="1"/>
  <c r="AX42" i="1"/>
  <c r="AT42" i="1"/>
  <c r="BW42" i="1" s="1"/>
  <c r="BF42" i="1"/>
  <c r="AR42" i="1"/>
  <c r="BU42" i="1" s="1"/>
  <c r="AQ42" i="1"/>
  <c r="BT42" i="1" s="1"/>
  <c r="AP42" i="1"/>
  <c r="AN42" i="1"/>
  <c r="AW46" i="1"/>
  <c r="AT82" i="1"/>
  <c r="BW82" i="1" s="1"/>
  <c r="BS136" i="1"/>
  <c r="AW136" i="1"/>
  <c r="AP352" i="1"/>
  <c r="AQ352" i="1"/>
  <c r="BT352" i="1" s="1"/>
  <c r="BC352" i="1"/>
  <c r="AS352" i="1"/>
  <c r="BV352" i="1" s="1"/>
  <c r="AN352" i="1"/>
  <c r="BA352" i="1"/>
  <c r="AZ352" i="1"/>
  <c r="AY352" i="1"/>
  <c r="AX352" i="1"/>
  <c r="AT352" i="1"/>
  <c r="BW352" i="1" s="1"/>
  <c r="AR352" i="1"/>
  <c r="BU352" i="1" s="1"/>
  <c r="BG352" i="1"/>
  <c r="BF352" i="1"/>
  <c r="BE352" i="1"/>
  <c r="BD352" i="1"/>
  <c r="BB352" i="1"/>
  <c r="AX489" i="1"/>
  <c r="AY489" i="1"/>
  <c r="AT489" i="1"/>
  <c r="BW489" i="1" s="1"/>
  <c r="AR489" i="1"/>
  <c r="BU489" i="1" s="1"/>
  <c r="AS489" i="1"/>
  <c r="BV489" i="1" s="1"/>
  <c r="AP489" i="1"/>
  <c r="BD489" i="1"/>
  <c r="BC489" i="1"/>
  <c r="BB489" i="1"/>
  <c r="AZ489" i="1"/>
  <c r="BG489" i="1"/>
  <c r="AQ489" i="1"/>
  <c r="BT489" i="1" s="1"/>
  <c r="AN489" i="1"/>
  <c r="BF489" i="1"/>
  <c r="BE489" i="1"/>
  <c r="BA489" i="1"/>
  <c r="W3" i="1"/>
  <c r="AX150" i="1"/>
  <c r="BB150" i="1"/>
  <c r="AZ150" i="1"/>
  <c r="AT150" i="1"/>
  <c r="BW150" i="1" s="1"/>
  <c r="AQ150" i="1"/>
  <c r="BT150" i="1" s="1"/>
  <c r="AP150" i="1"/>
  <c r="AN150" i="1"/>
  <c r="BG150" i="1"/>
  <c r="AY150" i="1"/>
  <c r="BF150" i="1"/>
  <c r="BE150" i="1"/>
  <c r="BD150" i="1"/>
  <c r="BC150" i="1"/>
  <c r="BA150" i="1"/>
  <c r="AS150" i="1"/>
  <c r="BV150" i="1" s="1"/>
  <c r="AR150" i="1"/>
  <c r="BU150" i="1" s="1"/>
  <c r="AW185" i="1"/>
  <c r="BS185" i="1"/>
  <c r="BS212" i="1"/>
  <c r="AX3" i="1"/>
  <c r="AX4" i="1" s="1"/>
  <c r="AN24" i="1"/>
  <c r="BB68" i="1"/>
  <c r="AR84" i="1"/>
  <c r="BU84" i="1" s="1"/>
  <c r="AY84" i="1"/>
  <c r="AS84" i="1"/>
  <c r="BV84" i="1" s="1"/>
  <c r="AQ84" i="1"/>
  <c r="BT84" i="1" s="1"/>
  <c r="AZ84" i="1"/>
  <c r="AX84" i="1"/>
  <c r="AT84" i="1"/>
  <c r="BW84" i="1" s="1"/>
  <c r="AP84" i="1"/>
  <c r="AN84" i="1"/>
  <c r="BE84" i="1"/>
  <c r="BG84" i="1"/>
  <c r="BF84" i="1"/>
  <c r="BC84" i="1"/>
  <c r="BB84" i="1"/>
  <c r="BA84" i="1"/>
  <c r="AN449" i="1"/>
  <c r="BA449" i="1"/>
  <c r="AZ449" i="1"/>
  <c r="AX449" i="1"/>
  <c r="AT449" i="1"/>
  <c r="BW449" i="1" s="1"/>
  <c r="BF449" i="1"/>
  <c r="AS449" i="1"/>
  <c r="BV449" i="1" s="1"/>
  <c r="AQ449" i="1"/>
  <c r="BT449" i="1" s="1"/>
  <c r="BG449" i="1"/>
  <c r="BE449" i="1"/>
  <c r="BD449" i="1"/>
  <c r="BC449" i="1"/>
  <c r="BB449" i="1"/>
  <c r="AY449" i="1"/>
  <c r="AR449" i="1"/>
  <c r="BU449" i="1" s="1"/>
  <c r="AP449" i="1"/>
  <c r="AR631" i="1"/>
  <c r="BU631" i="1" s="1"/>
  <c r="BG631" i="1"/>
  <c r="BC631" i="1"/>
  <c r="AS631" i="1"/>
  <c r="BV631" i="1" s="1"/>
  <c r="AQ631" i="1"/>
  <c r="BT631" i="1" s="1"/>
  <c r="AN631" i="1"/>
  <c r="BE631" i="1"/>
  <c r="AV631" i="1"/>
  <c r="BY631" i="1" s="1"/>
  <c r="AT631" i="1"/>
  <c r="BW631" i="1" s="1"/>
  <c r="AZ631" i="1"/>
  <c r="AY631" i="1"/>
  <c r="AX631" i="1"/>
  <c r="AP631" i="1"/>
  <c r="BD631" i="1"/>
  <c r="BB631" i="1"/>
  <c r="BA631" i="1"/>
  <c r="BF631" i="1"/>
  <c r="AU3" i="1"/>
  <c r="AU4" i="1" s="1"/>
  <c r="AK9" i="1"/>
  <c r="AS3" i="1"/>
  <c r="AS4" i="1" s="1"/>
  <c r="AP3" i="1"/>
  <c r="AP4" i="1" s="1"/>
  <c r="AQ3" i="1"/>
  <c r="AQ4" i="1" s="1"/>
  <c r="AT10" i="1"/>
  <c r="BW10" i="1" s="1"/>
  <c r="BG24" i="1"/>
  <c r="AS33" i="1"/>
  <c r="BV33" i="1" s="1"/>
  <c r="AQ33" i="1"/>
  <c r="BT33" i="1" s="1"/>
  <c r="AN33" i="1"/>
  <c r="BA33" i="1"/>
  <c r="AZ33" i="1"/>
  <c r="AX33" i="1"/>
  <c r="AY33" i="1"/>
  <c r="AR33" i="1"/>
  <c r="BU33" i="1" s="1"/>
  <c r="AT33" i="1"/>
  <c r="BW33" i="1" s="1"/>
  <c r="F33" i="1"/>
  <c r="BG33" i="1"/>
  <c r="BE33" i="1"/>
  <c r="BD33" i="1"/>
  <c r="BC33" i="1"/>
  <c r="BB33" i="1"/>
  <c r="AP33" i="1"/>
  <c r="BS140" i="1"/>
  <c r="AW236" i="1"/>
  <c r="BT236" i="1"/>
  <c r="AT307" i="1"/>
  <c r="BW307" i="1" s="1"/>
  <c r="AZ307" i="1"/>
  <c r="AX307" i="1"/>
  <c r="AS307" i="1"/>
  <c r="BV307" i="1" s="1"/>
  <c r="AQ307" i="1"/>
  <c r="BT307" i="1" s="1"/>
  <c r="AN307" i="1"/>
  <c r="BG307" i="1"/>
  <c r="BF307" i="1"/>
  <c r="BE307" i="1"/>
  <c r="BD307" i="1"/>
  <c r="BC307" i="1"/>
  <c r="BB307" i="1"/>
  <c r="BA307" i="1"/>
  <c r="AY307" i="1"/>
  <c r="AR307" i="1"/>
  <c r="BU307" i="1" s="1"/>
  <c r="AP307" i="1"/>
  <c r="BE32" i="1"/>
  <c r="F32" i="1"/>
  <c r="BC32" i="1"/>
  <c r="BA32" i="1"/>
  <c r="AZ32" i="1"/>
  <c r="BG32" i="1"/>
  <c r="BF32" i="1"/>
  <c r="BD32" i="1"/>
  <c r="BB32" i="1"/>
  <c r="AY32" i="1"/>
  <c r="AX32" i="1"/>
  <c r="AT32" i="1"/>
  <c r="BW32" i="1" s="1"/>
  <c r="AR32" i="1"/>
  <c r="BU32" i="1" s="1"/>
  <c r="AQ32" i="1"/>
  <c r="BT32" i="1" s="1"/>
  <c r="AP32" i="1"/>
  <c r="AN32" i="1"/>
  <c r="BS15" i="1"/>
  <c r="AY3" i="1"/>
  <c r="AY4" i="1" s="1"/>
  <c r="BS5" i="1"/>
  <c r="BB3" i="1"/>
  <c r="BB4" i="1" s="1"/>
  <c r="BE12" i="1"/>
  <c r="F12" i="1"/>
  <c r="BC12" i="1"/>
  <c r="BA12" i="1"/>
  <c r="AZ12" i="1"/>
  <c r="AR12" i="1"/>
  <c r="BU12" i="1" s="1"/>
  <c r="AQ12" i="1"/>
  <c r="BT12" i="1" s="1"/>
  <c r="AP12" i="1"/>
  <c r="AN12" i="1"/>
  <c r="BB12" i="1"/>
  <c r="AY12" i="1"/>
  <c r="BG12" i="1"/>
  <c r="AX12" i="1"/>
  <c r="BF12" i="1"/>
  <c r="BD12" i="1"/>
  <c r="AS12" i="1"/>
  <c r="BV12" i="1" s="1"/>
  <c r="BS19" i="1"/>
  <c r="BS26" i="1"/>
  <c r="BH26" i="1"/>
  <c r="BZ26" i="1" s="1"/>
  <c r="AW26" i="1"/>
  <c r="AW37" i="1"/>
  <c r="BS37" i="1"/>
  <c r="AN71" i="1"/>
  <c r="AY71" i="1"/>
  <c r="AS71" i="1"/>
  <c r="BV71" i="1" s="1"/>
  <c r="AR71" i="1"/>
  <c r="BU71" i="1" s="1"/>
  <c r="BF71" i="1"/>
  <c r="BE71" i="1"/>
  <c r="BD71" i="1"/>
  <c r="BC71" i="1"/>
  <c r="BB71" i="1"/>
  <c r="BA71" i="1"/>
  <c r="AZ71" i="1"/>
  <c r="AX71" i="1"/>
  <c r="BG71" i="1"/>
  <c r="AQ71" i="1"/>
  <c r="BT71" i="1" s="1"/>
  <c r="AP71" i="1"/>
  <c r="BT87" i="1"/>
  <c r="BU95" i="1"/>
  <c r="AW95" i="1"/>
  <c r="AW221" i="1"/>
  <c r="BS222" i="1"/>
  <c r="BS334" i="1"/>
  <c r="BS400" i="1"/>
  <c r="BS70" i="1"/>
  <c r="BH70" i="1"/>
  <c r="BS110" i="1"/>
  <c r="BH110" i="1"/>
  <c r="AW110" i="1"/>
  <c r="BC112" i="1"/>
  <c r="AX112" i="1"/>
  <c r="AT112" i="1"/>
  <c r="BW112" i="1" s="1"/>
  <c r="AS112" i="1"/>
  <c r="BV112" i="1" s="1"/>
  <c r="AR112" i="1"/>
  <c r="BU112" i="1" s="1"/>
  <c r="AP112" i="1"/>
  <c r="AN112" i="1"/>
  <c r="BA112" i="1"/>
  <c r="AZ112" i="1"/>
  <c r="AY112" i="1"/>
  <c r="AQ112" i="1"/>
  <c r="BT112" i="1" s="1"/>
  <c r="AW141" i="1"/>
  <c r="BH210" i="1"/>
  <c r="BZ210" i="1" s="1"/>
  <c r="BS210" i="1"/>
  <c r="BH243" i="1"/>
  <c r="AW243" i="1"/>
  <c r="BS243" i="1"/>
  <c r="BD275" i="1"/>
  <c r="BF275" i="1"/>
  <c r="BC275" i="1"/>
  <c r="BG275" i="1"/>
  <c r="BB275" i="1"/>
  <c r="AZ275" i="1"/>
  <c r="AY275" i="1"/>
  <c r="AT275" i="1"/>
  <c r="BW275" i="1" s="1"/>
  <c r="AS275" i="1"/>
  <c r="BV275" i="1" s="1"/>
  <c r="AR275" i="1"/>
  <c r="BU275" i="1" s="1"/>
  <c r="AQ275" i="1"/>
  <c r="BT275" i="1" s="1"/>
  <c r="AP275" i="1"/>
  <c r="AN275" i="1"/>
  <c r="BB293" i="1"/>
  <c r="BF293" i="1"/>
  <c r="BD293" i="1"/>
  <c r="BG293" i="1"/>
  <c r="BC293" i="1"/>
  <c r="AZ293" i="1"/>
  <c r="AY293" i="1"/>
  <c r="BE293" i="1"/>
  <c r="BA293" i="1"/>
  <c r="AX293" i="1"/>
  <c r="AT293" i="1"/>
  <c r="BW293" i="1" s="1"/>
  <c r="AS293" i="1"/>
  <c r="BV293" i="1" s="1"/>
  <c r="AR293" i="1"/>
  <c r="BU293" i="1" s="1"/>
  <c r="AQ293" i="1"/>
  <c r="BT293" i="1" s="1"/>
  <c r="AP293" i="1"/>
  <c r="AN293" i="1"/>
  <c r="AP392" i="1"/>
  <c r="BB392" i="1"/>
  <c r="BG392" i="1"/>
  <c r="BE392" i="1"/>
  <c r="BC392" i="1"/>
  <c r="AT392" i="1"/>
  <c r="BW392" i="1" s="1"/>
  <c r="BA392" i="1"/>
  <c r="BD392" i="1"/>
  <c r="AR392" i="1"/>
  <c r="BU392" i="1" s="1"/>
  <c r="AZ392" i="1"/>
  <c r="AX392" i="1"/>
  <c r="AQ392" i="1"/>
  <c r="BT392" i="1" s="1"/>
  <c r="AN392" i="1"/>
  <c r="BF392" i="1"/>
  <c r="AY392" i="1"/>
  <c r="AS392" i="1"/>
  <c r="BV392" i="1" s="1"/>
  <c r="AR517" i="1"/>
  <c r="BU517" i="1" s="1"/>
  <c r="BD517" i="1"/>
  <c r="BC517" i="1"/>
  <c r="BA517" i="1"/>
  <c r="AZ517" i="1"/>
  <c r="AP517" i="1"/>
  <c r="BG517" i="1"/>
  <c r="BE517" i="1"/>
  <c r="AY517" i="1"/>
  <c r="AN517" i="1"/>
  <c r="AT517" i="1"/>
  <c r="BW517" i="1" s="1"/>
  <c r="AX517" i="1"/>
  <c r="BF517" i="1"/>
  <c r="AS517" i="1"/>
  <c r="BV517" i="1" s="1"/>
  <c r="AQ517" i="1"/>
  <c r="BT517" i="1" s="1"/>
  <c r="BB517" i="1"/>
  <c r="BE30" i="1"/>
  <c r="F30" i="1"/>
  <c r="BC30" i="1"/>
  <c r="BA30" i="1"/>
  <c r="AZ30" i="1"/>
  <c r="AQ30" i="1"/>
  <c r="BT30" i="1" s="1"/>
  <c r="AP30" i="1"/>
  <c r="AN30" i="1"/>
  <c r="AT41" i="1"/>
  <c r="BW41" i="1" s="1"/>
  <c r="AR41" i="1"/>
  <c r="BU41" i="1" s="1"/>
  <c r="AP41" i="1"/>
  <c r="AN41" i="1"/>
  <c r="BG41" i="1"/>
  <c r="BF41" i="1"/>
  <c r="BD41" i="1"/>
  <c r="BA41" i="1"/>
  <c r="BE41" i="1"/>
  <c r="BC41" i="1"/>
  <c r="BB41" i="1"/>
  <c r="BS67" i="1"/>
  <c r="AW67" i="1"/>
  <c r="BE127" i="1"/>
  <c r="AZ127" i="1"/>
  <c r="AX127" i="1"/>
  <c r="AT127" i="1"/>
  <c r="BW127" i="1" s="1"/>
  <c r="AS127" i="1"/>
  <c r="BV127" i="1" s="1"/>
  <c r="AQ127" i="1"/>
  <c r="BT127" i="1" s="1"/>
  <c r="AP127" i="1"/>
  <c r="AN127" i="1"/>
  <c r="BF127" i="1"/>
  <c r="BD127" i="1"/>
  <c r="BC127" i="1"/>
  <c r="BB127" i="1"/>
  <c r="BA127" i="1"/>
  <c r="AY127" i="1"/>
  <c r="AR127" i="1"/>
  <c r="BU127" i="1" s="1"/>
  <c r="AS157" i="1"/>
  <c r="BV157" i="1" s="1"/>
  <c r="BF157" i="1"/>
  <c r="BD157" i="1"/>
  <c r="BC157" i="1"/>
  <c r="AR157" i="1"/>
  <c r="BU157" i="1" s="1"/>
  <c r="AQ157" i="1"/>
  <c r="BT157" i="1" s="1"/>
  <c r="AP157" i="1"/>
  <c r="AN157" i="1"/>
  <c r="AY157" i="1"/>
  <c r="AX157" i="1"/>
  <c r="AT157" i="1"/>
  <c r="BW157" i="1" s="1"/>
  <c r="AS200" i="1"/>
  <c r="BV200" i="1" s="1"/>
  <c r="BE200" i="1"/>
  <c r="BG200" i="1"/>
  <c r="BB200" i="1"/>
  <c r="BA200" i="1"/>
  <c r="BD200" i="1"/>
  <c r="BC200" i="1"/>
  <c r="BF200" i="1"/>
  <c r="AZ200" i="1"/>
  <c r="AY200" i="1"/>
  <c r="AX200" i="1"/>
  <c r="AT200" i="1"/>
  <c r="BW200" i="1" s="1"/>
  <c r="AR200" i="1"/>
  <c r="BU200" i="1" s="1"/>
  <c r="AQ200" i="1"/>
  <c r="BT200" i="1" s="1"/>
  <c r="AP200" i="1"/>
  <c r="AN200" i="1"/>
  <c r="BD259" i="1"/>
  <c r="BB259" i="1"/>
  <c r="AZ259" i="1"/>
  <c r="AR259" i="1"/>
  <c r="BU259" i="1" s="1"/>
  <c r="BE259" i="1"/>
  <c r="BC259" i="1"/>
  <c r="BA259" i="1"/>
  <c r="AX259" i="1"/>
  <c r="AT259" i="1"/>
  <c r="BW259" i="1" s="1"/>
  <c r="AS259" i="1"/>
  <c r="BV259" i="1" s="1"/>
  <c r="BG259" i="1"/>
  <c r="BF259" i="1"/>
  <c r="AZ281" i="1"/>
  <c r="AX281" i="1"/>
  <c r="AT281" i="1"/>
  <c r="BW281" i="1" s="1"/>
  <c r="BE281" i="1"/>
  <c r="BC281" i="1"/>
  <c r="BA281" i="1"/>
  <c r="AY281" i="1"/>
  <c r="BG281" i="1"/>
  <c r="BF281" i="1"/>
  <c r="BD281" i="1"/>
  <c r="AR281" i="1"/>
  <c r="BU281" i="1" s="1"/>
  <c r="AQ281" i="1"/>
  <c r="BT281" i="1" s="1"/>
  <c r="AP281" i="1"/>
  <c r="AN281" i="1"/>
  <c r="BB281" i="1"/>
  <c r="AS281" i="1"/>
  <c r="BV281" i="1" s="1"/>
  <c r="AY300" i="1"/>
  <c r="AQ300" i="1"/>
  <c r="BT300" i="1" s="1"/>
  <c r="AN300" i="1"/>
  <c r="BD300" i="1"/>
  <c r="AX300" i="1"/>
  <c r="AT300" i="1"/>
  <c r="BW300" i="1" s="1"/>
  <c r="AR300" i="1"/>
  <c r="BU300" i="1" s="1"/>
  <c r="AP300" i="1"/>
  <c r="BF300" i="1"/>
  <c r="BE300" i="1"/>
  <c r="BC300" i="1"/>
  <c r="BB300" i="1"/>
  <c r="BA300" i="1"/>
  <c r="AZ300" i="1"/>
  <c r="AP303" i="1"/>
  <c r="BF303" i="1"/>
  <c r="AZ303" i="1"/>
  <c r="BE303" i="1"/>
  <c r="BD303" i="1"/>
  <c r="BA303" i="1"/>
  <c r="AY303" i="1"/>
  <c r="AX303" i="1"/>
  <c r="AT303" i="1"/>
  <c r="BW303" i="1" s="1"/>
  <c r="AS303" i="1"/>
  <c r="BV303" i="1" s="1"/>
  <c r="AQ303" i="1"/>
  <c r="BT303" i="1" s="1"/>
  <c r="AN303" i="1"/>
  <c r="AW339" i="1"/>
  <c r="BS339" i="1"/>
  <c r="BS340" i="1"/>
  <c r="BS361" i="1"/>
  <c r="AW369" i="1"/>
  <c r="BS369" i="1"/>
  <c r="BH369" i="1"/>
  <c r="BB652" i="1"/>
  <c r="BA652" i="1"/>
  <c r="AZ652" i="1"/>
  <c r="AY652" i="1"/>
  <c r="AX652" i="1"/>
  <c r="AV652" i="1"/>
  <c r="BY652" i="1" s="1"/>
  <c r="AT652" i="1"/>
  <c r="BW652" i="1" s="1"/>
  <c r="AR652" i="1"/>
  <c r="BU652" i="1" s="1"/>
  <c r="AQ652" i="1"/>
  <c r="BT652" i="1" s="1"/>
  <c r="AP652" i="1"/>
  <c r="AN652" i="1"/>
  <c r="BG652" i="1"/>
  <c r="BF652" i="1"/>
  <c r="BD652" i="1"/>
  <c r="BC652" i="1"/>
  <c r="AS652" i="1"/>
  <c r="BV652" i="1" s="1"/>
  <c r="BS13" i="1"/>
  <c r="BH13" i="1"/>
  <c r="BE20" i="1"/>
  <c r="F20" i="1"/>
  <c r="BC20" i="1"/>
  <c r="BA20" i="1"/>
  <c r="AZ20" i="1"/>
  <c r="AX20" i="1"/>
  <c r="AT20" i="1"/>
  <c r="BW20" i="1" s="1"/>
  <c r="AP20" i="1"/>
  <c r="AS20" i="1"/>
  <c r="BV20" i="1" s="1"/>
  <c r="AR20" i="1"/>
  <c r="BU20" i="1" s="1"/>
  <c r="AQ20" i="1"/>
  <c r="BT20" i="1" s="1"/>
  <c r="BC63" i="1"/>
  <c r="BA63" i="1"/>
  <c r="AY63" i="1"/>
  <c r="AT63" i="1"/>
  <c r="BW63" i="1" s="1"/>
  <c r="AR63" i="1"/>
  <c r="BU63" i="1" s="1"/>
  <c r="AQ63" i="1"/>
  <c r="BT63" i="1" s="1"/>
  <c r="AP63" i="1"/>
  <c r="AN63" i="1"/>
  <c r="BS65" i="1"/>
  <c r="BH65" i="1"/>
  <c r="AP97" i="1"/>
  <c r="AQ97" i="1"/>
  <c r="BT97" i="1" s="1"/>
  <c r="AN97" i="1"/>
  <c r="BC97" i="1"/>
  <c r="BB97" i="1"/>
  <c r="AT97" i="1"/>
  <c r="BW97" i="1" s="1"/>
  <c r="BA97" i="1"/>
  <c r="AS97" i="1"/>
  <c r="BV97" i="1" s="1"/>
  <c r="AZ97" i="1"/>
  <c r="AY97" i="1"/>
  <c r="AX97" i="1"/>
  <c r="BD109" i="1"/>
  <c r="AS109" i="1"/>
  <c r="BV109" i="1" s="1"/>
  <c r="AR109" i="1"/>
  <c r="BU109" i="1" s="1"/>
  <c r="AQ109" i="1"/>
  <c r="BT109" i="1" s="1"/>
  <c r="AN109" i="1"/>
  <c r="BF109" i="1"/>
  <c r="AY109" i="1"/>
  <c r="BE109" i="1"/>
  <c r="BC109" i="1"/>
  <c r="AX109" i="1"/>
  <c r="BB109" i="1"/>
  <c r="BA109" i="1"/>
  <c r="AZ109" i="1"/>
  <c r="AX130" i="1"/>
  <c r="AT130" i="1"/>
  <c r="BW130" i="1" s="1"/>
  <c r="AR130" i="1"/>
  <c r="BU130" i="1" s="1"/>
  <c r="AP130" i="1"/>
  <c r="AN130" i="1"/>
  <c r="BG130" i="1"/>
  <c r="BF130" i="1"/>
  <c r="BE130" i="1"/>
  <c r="BC130" i="1"/>
  <c r="BB130" i="1"/>
  <c r="BD130" i="1"/>
  <c r="BA130" i="1"/>
  <c r="AZ130" i="1"/>
  <c r="AY130" i="1"/>
  <c r="AS130" i="1"/>
  <c r="BV130" i="1" s="1"/>
  <c r="AX173" i="1"/>
  <c r="AQ173" i="1"/>
  <c r="BT173" i="1" s="1"/>
  <c r="BF173" i="1"/>
  <c r="BD173" i="1"/>
  <c r="BB173" i="1"/>
  <c r="BA173" i="1"/>
  <c r="AY173" i="1"/>
  <c r="AT173" i="1"/>
  <c r="BW173" i="1" s="1"/>
  <c r="AS173" i="1"/>
  <c r="BV173" i="1" s="1"/>
  <c r="AR173" i="1"/>
  <c r="BU173" i="1" s="1"/>
  <c r="AP173" i="1"/>
  <c r="BG173" i="1"/>
  <c r="BA226" i="1"/>
  <c r="AN226" i="1"/>
  <c r="AQ226" i="1"/>
  <c r="BT226" i="1" s="1"/>
  <c r="BG226" i="1"/>
  <c r="BE226" i="1"/>
  <c r="BD226" i="1"/>
  <c r="AX226" i="1"/>
  <c r="AT226" i="1"/>
  <c r="BW226" i="1" s="1"/>
  <c r="AS226" i="1"/>
  <c r="BV226" i="1" s="1"/>
  <c r="AR226" i="1"/>
  <c r="BU226" i="1" s="1"/>
  <c r="AP226" i="1"/>
  <c r="AZ235" i="1"/>
  <c r="AR235" i="1"/>
  <c r="BU235" i="1" s="1"/>
  <c r="AP235" i="1"/>
  <c r="AQ235" i="1"/>
  <c r="BT235" i="1" s="1"/>
  <c r="AN235" i="1"/>
  <c r="BF235" i="1"/>
  <c r="AX235" i="1"/>
  <c r="BE235" i="1"/>
  <c r="BD235" i="1"/>
  <c r="BC235" i="1"/>
  <c r="BB235" i="1"/>
  <c r="BA235" i="1"/>
  <c r="AY235" i="1"/>
  <c r="BZ241" i="1"/>
  <c r="AW242" i="1"/>
  <c r="BH242" i="1"/>
  <c r="BS270" i="1"/>
  <c r="BS310" i="1"/>
  <c r="AW310" i="1"/>
  <c r="BH368" i="1"/>
  <c r="AW368" i="1"/>
  <c r="BS368" i="1"/>
  <c r="BS484" i="1"/>
  <c r="BH484" i="1"/>
  <c r="BZ484" i="1" s="1"/>
  <c r="BF572" i="1"/>
  <c r="AU572" i="1"/>
  <c r="BX572" i="1" s="1"/>
  <c r="BB572" i="1"/>
  <c r="BA572" i="1"/>
  <c r="AZ572" i="1"/>
  <c r="BD572" i="1"/>
  <c r="AY572" i="1"/>
  <c r="AX572" i="1"/>
  <c r="AN572" i="1"/>
  <c r="AP572" i="1"/>
  <c r="BC572" i="1"/>
  <c r="AT572" i="1"/>
  <c r="BW572" i="1" s="1"/>
  <c r="AS572" i="1"/>
  <c r="BV572" i="1" s="1"/>
  <c r="AR572" i="1"/>
  <c r="BU572" i="1" s="1"/>
  <c r="AQ572" i="1"/>
  <c r="BT572" i="1" s="1"/>
  <c r="BG572" i="1"/>
  <c r="BE572" i="1"/>
  <c r="N3" i="1"/>
  <c r="BS31" i="1"/>
  <c r="BH95" i="1"/>
  <c r="BS95" i="1"/>
  <c r="AT115" i="1"/>
  <c r="BW115" i="1" s="1"/>
  <c r="AR115" i="1"/>
  <c r="BU115" i="1" s="1"/>
  <c r="AN115" i="1"/>
  <c r="BB115" i="1"/>
  <c r="BA115" i="1"/>
  <c r="AZ115" i="1"/>
  <c r="AX115" i="1"/>
  <c r="BC115" i="1"/>
  <c r="AY115" i="1"/>
  <c r="AS115" i="1"/>
  <c r="BV115" i="1" s="1"/>
  <c r="AQ115" i="1"/>
  <c r="BT115" i="1" s="1"/>
  <c r="AP115" i="1"/>
  <c r="BS208" i="1"/>
  <c r="BS209" i="1"/>
  <c r="BE230" i="1"/>
  <c r="AS230" i="1"/>
  <c r="BV230" i="1" s="1"/>
  <c r="BF230" i="1"/>
  <c r="BD230" i="1"/>
  <c r="AQ230" i="1"/>
  <c r="BT230" i="1" s="1"/>
  <c r="AN230" i="1"/>
  <c r="AT230" i="1"/>
  <c r="BW230" i="1" s="1"/>
  <c r="AR230" i="1"/>
  <c r="BU230" i="1" s="1"/>
  <c r="AP230" i="1"/>
  <c r="BB230" i="1"/>
  <c r="BA230" i="1"/>
  <c r="AZ230" i="1"/>
  <c r="AY230" i="1"/>
  <c r="AX230" i="1"/>
  <c r="AY264" i="1"/>
  <c r="AS264" i="1"/>
  <c r="BV264" i="1" s="1"/>
  <c r="BD264" i="1"/>
  <c r="AZ264" i="1"/>
  <c r="AX264" i="1"/>
  <c r="BG264" i="1"/>
  <c r="BF264" i="1"/>
  <c r="BE264" i="1"/>
  <c r="BC264" i="1"/>
  <c r="BB264" i="1"/>
  <c r="BA264" i="1"/>
  <c r="AT264" i="1"/>
  <c r="BW264" i="1" s="1"/>
  <c r="AR264" i="1"/>
  <c r="BU264" i="1" s="1"/>
  <c r="AQ264" i="1"/>
  <c r="BT264" i="1" s="1"/>
  <c r="AP264" i="1"/>
  <c r="AN264" i="1"/>
  <c r="AS385" i="1"/>
  <c r="BV385" i="1" s="1"/>
  <c r="BE385" i="1"/>
  <c r="AQ385" i="1"/>
  <c r="BT385" i="1" s="1"/>
  <c r="AN385" i="1"/>
  <c r="BD385" i="1"/>
  <c r="BB385" i="1"/>
  <c r="AZ385" i="1"/>
  <c r="AX385" i="1"/>
  <c r="AT385" i="1"/>
  <c r="BW385" i="1" s="1"/>
  <c r="AP385" i="1"/>
  <c r="BG385" i="1"/>
  <c r="BF385" i="1"/>
  <c r="BC385" i="1"/>
  <c r="BA385" i="1"/>
  <c r="AY385" i="1"/>
  <c r="AR385" i="1"/>
  <c r="BU385" i="1" s="1"/>
  <c r="BG417" i="1"/>
  <c r="BE417" i="1"/>
  <c r="BC417" i="1"/>
  <c r="AY417" i="1"/>
  <c r="AT417" i="1"/>
  <c r="BW417" i="1" s="1"/>
  <c r="AR417" i="1"/>
  <c r="BU417" i="1" s="1"/>
  <c r="BF417" i="1"/>
  <c r="BB417" i="1"/>
  <c r="BA417" i="1"/>
  <c r="AQ417" i="1"/>
  <c r="BT417" i="1" s="1"/>
  <c r="AZ417" i="1"/>
  <c r="AX417" i="1"/>
  <c r="AS417" i="1"/>
  <c r="BV417" i="1" s="1"/>
  <c r="AP417" i="1"/>
  <c r="AN417" i="1"/>
  <c r="BG425" i="1"/>
  <c r="BD425" i="1"/>
  <c r="BB425" i="1"/>
  <c r="AZ425" i="1"/>
  <c r="AR425" i="1"/>
  <c r="BU425" i="1" s="1"/>
  <c r="AS425" i="1"/>
  <c r="BV425" i="1" s="1"/>
  <c r="AP425" i="1"/>
  <c r="BF425" i="1"/>
  <c r="AT425" i="1"/>
  <c r="BW425" i="1" s="1"/>
  <c r="AN425" i="1"/>
  <c r="BE425" i="1"/>
  <c r="BC425" i="1"/>
  <c r="BA425" i="1"/>
  <c r="AY425" i="1"/>
  <c r="AX425" i="1"/>
  <c r="AQ425" i="1"/>
  <c r="BT425" i="1" s="1"/>
  <c r="AY470" i="1"/>
  <c r="AS470" i="1"/>
  <c r="BV470" i="1" s="1"/>
  <c r="AQ470" i="1"/>
  <c r="BT470" i="1" s="1"/>
  <c r="BF470" i="1"/>
  <c r="AR470" i="1"/>
  <c r="BU470" i="1" s="1"/>
  <c r="AN470" i="1"/>
  <c r="BA470" i="1"/>
  <c r="BB470" i="1"/>
  <c r="AZ470" i="1"/>
  <c r="AX470" i="1"/>
  <c r="AT470" i="1"/>
  <c r="BW470" i="1" s="1"/>
  <c r="AP470" i="1"/>
  <c r="BG470" i="1"/>
  <c r="BE470" i="1"/>
  <c r="AS11" i="1"/>
  <c r="BV11" i="1" s="1"/>
  <c r="AQ11" i="1"/>
  <c r="BT11" i="1" s="1"/>
  <c r="AN11" i="1"/>
  <c r="AZ11" i="1"/>
  <c r="AY11" i="1"/>
  <c r="AX11" i="1"/>
  <c r="AT11" i="1"/>
  <c r="BW11" i="1" s="1"/>
  <c r="AR11" i="1"/>
  <c r="BU11" i="1" s="1"/>
  <c r="AP11" i="1"/>
  <c r="AS29" i="1"/>
  <c r="BV29" i="1" s="1"/>
  <c r="AQ29" i="1"/>
  <c r="BT29" i="1" s="1"/>
  <c r="AN29" i="1"/>
  <c r="AY29" i="1"/>
  <c r="AX29" i="1"/>
  <c r="AT29" i="1"/>
  <c r="BW29" i="1" s="1"/>
  <c r="AR29" i="1"/>
  <c r="BU29" i="1" s="1"/>
  <c r="AP29" i="1"/>
  <c r="AZ90" i="1"/>
  <c r="AS90" i="1"/>
  <c r="BV90" i="1" s="1"/>
  <c r="BA90" i="1"/>
  <c r="AY90" i="1"/>
  <c r="AX90" i="1"/>
  <c r="AT90" i="1"/>
  <c r="BW90" i="1" s="1"/>
  <c r="AR90" i="1"/>
  <c r="BU90" i="1" s="1"/>
  <c r="BG90" i="1"/>
  <c r="BF90" i="1"/>
  <c r="BE90" i="1"/>
  <c r="BD90" i="1"/>
  <c r="BC90" i="1"/>
  <c r="BB90" i="1"/>
  <c r="BB112" i="1"/>
  <c r="BD182" i="1"/>
  <c r="BF182" i="1"/>
  <c r="BC182" i="1"/>
  <c r="BA182" i="1"/>
  <c r="AZ182" i="1"/>
  <c r="AR182" i="1"/>
  <c r="BU182" i="1" s="1"/>
  <c r="AQ182" i="1"/>
  <c r="BT182" i="1" s="1"/>
  <c r="AP182" i="1"/>
  <c r="AN182" i="1"/>
  <c r="BE182" i="1"/>
  <c r="BB182" i="1"/>
  <c r="AY182" i="1"/>
  <c r="AX182" i="1"/>
  <c r="AT182" i="1"/>
  <c r="BW182" i="1" s="1"/>
  <c r="AS182" i="1"/>
  <c r="BV182" i="1" s="1"/>
  <c r="AX223" i="1"/>
  <c r="AQ223" i="1"/>
  <c r="BT223" i="1" s="1"/>
  <c r="BA223" i="1"/>
  <c r="AY223" i="1"/>
  <c r="AT223" i="1"/>
  <c r="BW223" i="1" s="1"/>
  <c r="AS223" i="1"/>
  <c r="BV223" i="1" s="1"/>
  <c r="BE223" i="1"/>
  <c r="BD223" i="1"/>
  <c r="BC223" i="1"/>
  <c r="BB223" i="1"/>
  <c r="AZ223" i="1"/>
  <c r="BG223" i="1"/>
  <c r="BF223" i="1"/>
  <c r="AR223" i="1"/>
  <c r="BU223" i="1" s="1"/>
  <c r="AP223" i="1"/>
  <c r="AN223" i="1"/>
  <c r="BS255" i="1"/>
  <c r="BH255" i="1"/>
  <c r="AW255" i="1"/>
  <c r="BH338" i="1"/>
  <c r="BT338" i="1"/>
  <c r="AW361" i="1"/>
  <c r="AZ634" i="1"/>
  <c r="AY634" i="1"/>
  <c r="AS634" i="1"/>
  <c r="BV634" i="1" s="1"/>
  <c r="AN634" i="1"/>
  <c r="AT634" i="1"/>
  <c r="BW634" i="1" s="1"/>
  <c r="AR634" i="1"/>
  <c r="BU634" i="1" s="1"/>
  <c r="AP634" i="1"/>
  <c r="BG634" i="1"/>
  <c r="AX634" i="1"/>
  <c r="BA634" i="1"/>
  <c r="AV634" i="1"/>
  <c r="BY634" i="1" s="1"/>
  <c r="AQ634" i="1"/>
  <c r="BT634" i="1" s="1"/>
  <c r="BE634" i="1"/>
  <c r="BF634" i="1"/>
  <c r="BD634" i="1"/>
  <c r="BC634" i="1"/>
  <c r="BB634" i="1"/>
  <c r="BC641" i="1"/>
  <c r="BB641" i="1"/>
  <c r="AZ641" i="1"/>
  <c r="AR641" i="1"/>
  <c r="BU641" i="1" s="1"/>
  <c r="AP641" i="1"/>
  <c r="BD641" i="1"/>
  <c r="AQ641" i="1"/>
  <c r="BT641" i="1" s="1"/>
  <c r="AN641" i="1"/>
  <c r="AT641" i="1"/>
  <c r="BW641" i="1" s="1"/>
  <c r="AS641" i="1"/>
  <c r="BV641" i="1" s="1"/>
  <c r="BF641" i="1"/>
  <c r="BE641" i="1"/>
  <c r="BA641" i="1"/>
  <c r="AY641" i="1"/>
  <c r="AX641" i="1"/>
  <c r="AV641" i="1"/>
  <c r="BY641" i="1" s="1"/>
  <c r="BG641" i="1"/>
  <c r="BS261" i="1"/>
  <c r="BH261" i="1"/>
  <c r="BZ261" i="1" s="1"/>
  <c r="AW261" i="1"/>
  <c r="BS355" i="1"/>
  <c r="BH355" i="1"/>
  <c r="AW355" i="1"/>
  <c r="BS172" i="1"/>
  <c r="AW172" i="1"/>
  <c r="BS81" i="1"/>
  <c r="AR97" i="1"/>
  <c r="BU97" i="1" s="1"/>
  <c r="BF112" i="1"/>
  <c r="AQ130" i="1"/>
  <c r="BT130" i="1" s="1"/>
  <c r="BA143" i="1"/>
  <c r="AS143" i="1"/>
  <c r="BV143" i="1" s="1"/>
  <c r="AQ143" i="1"/>
  <c r="BT143" i="1" s="1"/>
  <c r="AN143" i="1"/>
  <c r="AT143" i="1"/>
  <c r="BW143" i="1" s="1"/>
  <c r="AR143" i="1"/>
  <c r="BU143" i="1" s="1"/>
  <c r="AP143" i="1"/>
  <c r="BC143" i="1"/>
  <c r="BG143" i="1"/>
  <c r="BF143" i="1"/>
  <c r="BE143" i="1"/>
  <c r="BD143" i="1"/>
  <c r="AW205" i="1"/>
  <c r="BB303" i="1"/>
  <c r="BS375" i="1"/>
  <c r="BS379" i="1"/>
  <c r="AW379" i="1"/>
  <c r="BS415" i="1"/>
  <c r="AW415" i="1"/>
  <c r="AW456" i="1"/>
  <c r="BT472" i="1"/>
  <c r="BH472" i="1"/>
  <c r="BD97" i="1"/>
  <c r="AT109" i="1"/>
  <c r="BW109" i="1" s="1"/>
  <c r="AW121" i="1"/>
  <c r="BB157" i="1"/>
  <c r="BF319" i="1"/>
  <c r="BD319" i="1"/>
  <c r="BB319" i="1"/>
  <c r="AT319" i="1"/>
  <c r="BW319" i="1" s="1"/>
  <c r="AX319" i="1"/>
  <c r="AS319" i="1"/>
  <c r="BV319" i="1" s="1"/>
  <c r="AQ319" i="1"/>
  <c r="BT319" i="1" s="1"/>
  <c r="AP319" i="1"/>
  <c r="BG319" i="1"/>
  <c r="BA319" i="1"/>
  <c r="BE319" i="1"/>
  <c r="BC319" i="1"/>
  <c r="AP372" i="1"/>
  <c r="AX372" i="1"/>
  <c r="AT372" i="1"/>
  <c r="BW372" i="1" s="1"/>
  <c r="AR372" i="1"/>
  <c r="BU372" i="1" s="1"/>
  <c r="BG372" i="1"/>
  <c r="BE372" i="1"/>
  <c r="AY372" i="1"/>
  <c r="BF372" i="1"/>
  <c r="BC372" i="1"/>
  <c r="BB372" i="1"/>
  <c r="BD372" i="1"/>
  <c r="BA372" i="1"/>
  <c r="AZ372" i="1"/>
  <c r="AS407" i="1"/>
  <c r="BV407" i="1" s="1"/>
  <c r="AQ407" i="1"/>
  <c r="BT407" i="1" s="1"/>
  <c r="BG407" i="1"/>
  <c r="BC407" i="1"/>
  <c r="BA407" i="1"/>
  <c r="AY407" i="1"/>
  <c r="AT407" i="1"/>
  <c r="BW407" i="1" s="1"/>
  <c r="AP407" i="1"/>
  <c r="AZ407" i="1"/>
  <c r="AR407" i="1"/>
  <c r="BU407" i="1" s="1"/>
  <c r="BF407" i="1"/>
  <c r="BE407" i="1"/>
  <c r="AQ451" i="1"/>
  <c r="BT451" i="1" s="1"/>
  <c r="AN451" i="1"/>
  <c r="BC451" i="1"/>
  <c r="BA451" i="1"/>
  <c r="BG451" i="1"/>
  <c r="BE451" i="1"/>
  <c r="BB451" i="1"/>
  <c r="AS451" i="1"/>
  <c r="BV451" i="1" s="1"/>
  <c r="BD451" i="1"/>
  <c r="AY451" i="1"/>
  <c r="AX451" i="1"/>
  <c r="AP451" i="1"/>
  <c r="BF451" i="1"/>
  <c r="AZ451" i="1"/>
  <c r="AT451" i="1"/>
  <c r="BW451" i="1" s="1"/>
  <c r="BS9" i="1"/>
  <c r="BH9" i="1"/>
  <c r="BZ9" i="1" s="1"/>
  <c r="BA266" i="1"/>
  <c r="AY266" i="1"/>
  <c r="AN266" i="1"/>
  <c r="AQ266" i="1"/>
  <c r="BT266" i="1" s="1"/>
  <c r="BF266" i="1"/>
  <c r="BD266" i="1"/>
  <c r="BC266" i="1"/>
  <c r="BB266" i="1"/>
  <c r="AZ266" i="1"/>
  <c r="BG266" i="1"/>
  <c r="BE266" i="1"/>
  <c r="BG112" i="1"/>
  <c r="BS104" i="1"/>
  <c r="BH104" i="1"/>
  <c r="AX108" i="1"/>
  <c r="AQ108" i="1"/>
  <c r="BT108" i="1" s="1"/>
  <c r="BC108" i="1"/>
  <c r="BB108" i="1"/>
  <c r="BA108" i="1"/>
  <c r="BH108" i="1" s="1"/>
  <c r="AY108" i="1"/>
  <c r="BG108" i="1"/>
  <c r="BF108" i="1"/>
  <c r="AT108" i="1"/>
  <c r="BW108" i="1" s="1"/>
  <c r="BE108" i="1"/>
  <c r="BD108" i="1"/>
  <c r="AZ108" i="1"/>
  <c r="AW147" i="1"/>
  <c r="BE157" i="1"/>
  <c r="BS160" i="1"/>
  <c r="AZ428" i="1"/>
  <c r="BA428" i="1"/>
  <c r="AX428" i="1"/>
  <c r="AT428" i="1"/>
  <c r="BW428" i="1" s="1"/>
  <c r="BE428" i="1"/>
  <c r="BC428" i="1"/>
  <c r="AY428" i="1"/>
  <c r="AN428" i="1"/>
  <c r="BF428" i="1"/>
  <c r="BB428" i="1"/>
  <c r="AS428" i="1"/>
  <c r="BV428" i="1" s="1"/>
  <c r="AR428" i="1"/>
  <c r="BU428" i="1" s="1"/>
  <c r="AQ428" i="1"/>
  <c r="BT428" i="1" s="1"/>
  <c r="AP428" i="1"/>
  <c r="BG428" i="1"/>
  <c r="BD428" i="1"/>
  <c r="AR3" i="1"/>
  <c r="AR4" i="1" s="1"/>
  <c r="BE16" i="1"/>
  <c r="F16" i="1"/>
  <c r="BC16" i="1"/>
  <c r="BA16" i="1"/>
  <c r="AZ16" i="1"/>
  <c r="AT16" i="1"/>
  <c r="BW16" i="1" s="1"/>
  <c r="AS16" i="1"/>
  <c r="BV16" i="1" s="1"/>
  <c r="AR16" i="1"/>
  <c r="BU16" i="1" s="1"/>
  <c r="AQ16" i="1"/>
  <c r="BT16" i="1" s="1"/>
  <c r="AP16" i="1"/>
  <c r="AN16" i="1"/>
  <c r="BD20" i="1"/>
  <c r="AY30" i="1"/>
  <c r="AS37" i="1"/>
  <c r="BV37" i="1" s="1"/>
  <c r="AQ37" i="1"/>
  <c r="BT37" i="1" s="1"/>
  <c r="AN37" i="1"/>
  <c r="BC37" i="1"/>
  <c r="BB37" i="1"/>
  <c r="BA37" i="1"/>
  <c r="AZ37" i="1"/>
  <c r="AY37" i="1"/>
  <c r="AX37" i="1"/>
  <c r="AY41" i="1"/>
  <c r="AQ48" i="1"/>
  <c r="BT48" i="1" s="1"/>
  <c r="AN48" i="1"/>
  <c r="AT48" i="1"/>
  <c r="BW48" i="1" s="1"/>
  <c r="AS48" i="1"/>
  <c r="BV48" i="1" s="1"/>
  <c r="AP48" i="1"/>
  <c r="AR48" i="1"/>
  <c r="BU48" i="1" s="1"/>
  <c r="BS50" i="1"/>
  <c r="BH50" i="1"/>
  <c r="BZ50" i="1" s="1"/>
  <c r="AP57" i="1"/>
  <c r="BG57" i="1"/>
  <c r="AT57" i="1"/>
  <c r="BW57" i="1" s="1"/>
  <c r="AS57" i="1"/>
  <c r="BV57" i="1" s="1"/>
  <c r="AR57" i="1"/>
  <c r="BU57" i="1" s="1"/>
  <c r="AQ57" i="1"/>
  <c r="BT57" i="1" s="1"/>
  <c r="AN57" i="1"/>
  <c r="BD63" i="1"/>
  <c r="BF97" i="1"/>
  <c r="BG109" i="1"/>
  <c r="BG115" i="1"/>
  <c r="AX117" i="1"/>
  <c r="AT117" i="1"/>
  <c r="BW117" i="1" s="1"/>
  <c r="AR117" i="1"/>
  <c r="BU117" i="1" s="1"/>
  <c r="AQ117" i="1"/>
  <c r="BT117" i="1" s="1"/>
  <c r="AZ117" i="1"/>
  <c r="AY117" i="1"/>
  <c r="AS117" i="1"/>
  <c r="BV117" i="1" s="1"/>
  <c r="AP117" i="1"/>
  <c r="AN117" i="1"/>
  <c r="AS133" i="1"/>
  <c r="BV133" i="1" s="1"/>
  <c r="AS137" i="1"/>
  <c r="BV137" i="1" s="1"/>
  <c r="BC137" i="1"/>
  <c r="BA137" i="1"/>
  <c r="AY137" i="1"/>
  <c r="AX137" i="1"/>
  <c r="BF137" i="1"/>
  <c r="BE137" i="1"/>
  <c r="BD137" i="1"/>
  <c r="BB137" i="1"/>
  <c r="AZ137" i="1"/>
  <c r="BG137" i="1"/>
  <c r="AN140" i="1"/>
  <c r="BG157" i="1"/>
  <c r="BE173" i="1"/>
  <c r="AS180" i="1"/>
  <c r="BV180" i="1" s="1"/>
  <c r="AZ180" i="1"/>
  <c r="AY180" i="1"/>
  <c r="AR180" i="1"/>
  <c r="BU180" i="1" s="1"/>
  <c r="AQ180" i="1"/>
  <c r="BT180" i="1" s="1"/>
  <c r="BG180" i="1"/>
  <c r="BF180" i="1"/>
  <c r="BE180" i="1"/>
  <c r="BD180" i="1"/>
  <c r="BC180" i="1"/>
  <c r="BB180" i="1"/>
  <c r="BA180" i="1"/>
  <c r="AX180" i="1"/>
  <c r="AT180" i="1"/>
  <c r="BW180" i="1" s="1"/>
  <c r="AP180" i="1"/>
  <c r="AN180" i="1"/>
  <c r="BF226" i="1"/>
  <c r="BG235" i="1"/>
  <c r="BG252" i="1"/>
  <c r="BD252" i="1"/>
  <c r="AZ252" i="1"/>
  <c r="AY252" i="1"/>
  <c r="AR252" i="1"/>
  <c r="BU252" i="1" s="1"/>
  <c r="AP252" i="1"/>
  <c r="AQ252" i="1"/>
  <c r="BT252" i="1" s="1"/>
  <c r="AN252" i="1"/>
  <c r="BA252" i="1"/>
  <c r="BF252" i="1"/>
  <c r="BE252" i="1"/>
  <c r="BC252" i="1"/>
  <c r="BB252" i="1"/>
  <c r="AY259" i="1"/>
  <c r="AN271" i="1"/>
  <c r="AQ282" i="1"/>
  <c r="BT282" i="1" s="1"/>
  <c r="BS294" i="1"/>
  <c r="BS353" i="1"/>
  <c r="BH378" i="1"/>
  <c r="AW378" i="1"/>
  <c r="BD404" i="1"/>
  <c r="BB404" i="1"/>
  <c r="AZ404" i="1"/>
  <c r="AR404" i="1"/>
  <c r="BU404" i="1" s="1"/>
  <c r="AT404" i="1"/>
  <c r="BW404" i="1" s="1"/>
  <c r="AQ404" i="1"/>
  <c r="BT404" i="1" s="1"/>
  <c r="AN404" i="1"/>
  <c r="BG404" i="1"/>
  <c r="BE404" i="1"/>
  <c r="AY404" i="1"/>
  <c r="AP404" i="1"/>
  <c r="BF404" i="1"/>
  <c r="BA404" i="1"/>
  <c r="AX404" i="1"/>
  <c r="BC404" i="1"/>
  <c r="AS404" i="1"/>
  <c r="BV404" i="1" s="1"/>
  <c r="BC443" i="1"/>
  <c r="AS455" i="1"/>
  <c r="BV455" i="1" s="1"/>
  <c r="BG455" i="1"/>
  <c r="BE455" i="1"/>
  <c r="AY455" i="1"/>
  <c r="AR455" i="1"/>
  <c r="BU455" i="1" s="1"/>
  <c r="AP455" i="1"/>
  <c r="BF455" i="1"/>
  <c r="BD455" i="1"/>
  <c r="AZ455" i="1"/>
  <c r="BB455" i="1"/>
  <c r="BA455" i="1"/>
  <c r="AX455" i="1"/>
  <c r="AT455" i="1"/>
  <c r="BW455" i="1" s="1"/>
  <c r="AQ455" i="1"/>
  <c r="BT455" i="1" s="1"/>
  <c r="AN455" i="1"/>
  <c r="BF20" i="1"/>
  <c r="BB30" i="1"/>
  <c r="BE34" i="1"/>
  <c r="F34" i="1"/>
  <c r="BC34" i="1"/>
  <c r="BA34" i="1"/>
  <c r="AZ34" i="1"/>
  <c r="AS34" i="1"/>
  <c r="BV34" i="1" s="1"/>
  <c r="AR34" i="1"/>
  <c r="BU34" i="1" s="1"/>
  <c r="AP34" i="1"/>
  <c r="AQ34" i="1"/>
  <c r="BT34" i="1" s="1"/>
  <c r="AN34" i="1"/>
  <c r="AX38" i="1"/>
  <c r="AZ41" i="1"/>
  <c r="BG44" i="1"/>
  <c r="BE44" i="1"/>
  <c r="BD44" i="1"/>
  <c r="AQ44" i="1"/>
  <c r="BT44" i="1" s="1"/>
  <c r="AP44" i="1"/>
  <c r="AN44" i="1"/>
  <c r="AQ61" i="1"/>
  <c r="BT61" i="1" s="1"/>
  <c r="BE63" i="1"/>
  <c r="BE78" i="1"/>
  <c r="BC78" i="1"/>
  <c r="BA78" i="1"/>
  <c r="AZ78" i="1"/>
  <c r="AT78" i="1"/>
  <c r="BW78" i="1" s="1"/>
  <c r="AS78" i="1"/>
  <c r="BV78" i="1" s="1"/>
  <c r="AR78" i="1"/>
  <c r="BU78" i="1" s="1"/>
  <c r="AQ78" i="1"/>
  <c r="BT78" i="1" s="1"/>
  <c r="AP78" i="1"/>
  <c r="AN78" i="1"/>
  <c r="BG97" i="1"/>
  <c r="AT128" i="1"/>
  <c r="BW128" i="1" s="1"/>
  <c r="AP128" i="1"/>
  <c r="BG128" i="1"/>
  <c r="BF128" i="1"/>
  <c r="BA128" i="1"/>
  <c r="AZ128" i="1"/>
  <c r="AR128" i="1"/>
  <c r="BU128" i="1" s="1"/>
  <c r="AQ128" i="1"/>
  <c r="BT128" i="1" s="1"/>
  <c r="AY128" i="1"/>
  <c r="AX128" i="1"/>
  <c r="AS128" i="1"/>
  <c r="BV128" i="1" s="1"/>
  <c r="BH134" i="1"/>
  <c r="AW139" i="1"/>
  <c r="BS139" i="1"/>
  <c r="BH139" i="1"/>
  <c r="BZ139" i="1" s="1"/>
  <c r="BS152" i="1"/>
  <c r="AW152" i="1"/>
  <c r="AY214" i="1"/>
  <c r="AP214" i="1"/>
  <c r="AR214" i="1"/>
  <c r="BU214" i="1" s="1"/>
  <c r="AN214" i="1"/>
  <c r="BG214" i="1"/>
  <c r="BF214" i="1"/>
  <c r="BE214" i="1"/>
  <c r="BD214" i="1"/>
  <c r="BC214" i="1"/>
  <c r="BB214" i="1"/>
  <c r="BH218" i="1"/>
  <c r="AW218" i="1"/>
  <c r="BS218" i="1"/>
  <c r="BB237" i="1"/>
  <c r="AP237" i="1"/>
  <c r="BC237" i="1"/>
  <c r="AX237" i="1"/>
  <c r="BF237" i="1"/>
  <c r="BE237" i="1"/>
  <c r="AQ237" i="1"/>
  <c r="BT237" i="1" s="1"/>
  <c r="AN237" i="1"/>
  <c r="BA237" i="1"/>
  <c r="BG237" i="1"/>
  <c r="BD237" i="1"/>
  <c r="BH241" i="1"/>
  <c r="AR271" i="1"/>
  <c r="BU271" i="1" s="1"/>
  <c r="BH297" i="1"/>
  <c r="BZ297" i="1" s="1"/>
  <c r="AW297" i="1"/>
  <c r="BS401" i="1"/>
  <c r="AW401" i="1"/>
  <c r="BT519" i="1"/>
  <c r="AW519" i="1"/>
  <c r="BS575" i="1"/>
  <c r="AN133" i="1"/>
  <c r="AQ133" i="1"/>
  <c r="BT133" i="1" s="1"/>
  <c r="AR133" i="1"/>
  <c r="BU133" i="1" s="1"/>
  <c r="AP133" i="1"/>
  <c r="BD133" i="1"/>
  <c r="AX133" i="1"/>
  <c r="BC133" i="1"/>
  <c r="BB133" i="1"/>
  <c r="BA133" i="1"/>
  <c r="AZ133" i="1"/>
  <c r="AY133" i="1"/>
  <c r="BZ337" i="1"/>
  <c r="BS360" i="1"/>
  <c r="BH360" i="1"/>
  <c r="BZ360" i="1" s="1"/>
  <c r="AW360" i="1"/>
  <c r="AP460" i="1"/>
  <c r="BB460" i="1"/>
  <c r="BA460" i="1"/>
  <c r="AY460" i="1"/>
  <c r="BG460" i="1"/>
  <c r="BE460" i="1"/>
  <c r="BC460" i="1"/>
  <c r="AQ460" i="1"/>
  <c r="BT460" i="1" s="1"/>
  <c r="BF460" i="1"/>
  <c r="AS460" i="1"/>
  <c r="BV460" i="1" s="1"/>
  <c r="AR460" i="1"/>
  <c r="BU460" i="1" s="1"/>
  <c r="AN460" i="1"/>
  <c r="AZ460" i="1"/>
  <c r="AX460" i="1"/>
  <c r="AT460" i="1"/>
  <c r="BW460" i="1" s="1"/>
  <c r="BT488" i="1"/>
  <c r="BZ13" i="1"/>
  <c r="AS19" i="1"/>
  <c r="BV19" i="1" s="1"/>
  <c r="AQ19" i="1"/>
  <c r="BT19" i="1" s="1"/>
  <c r="AN19" i="1"/>
  <c r="BD19" i="1"/>
  <c r="BC19" i="1"/>
  <c r="AX19" i="1"/>
  <c r="BB19" i="1"/>
  <c r="BA19" i="1"/>
  <c r="AZ19" i="1"/>
  <c r="AY19" i="1"/>
  <c r="BT254" i="1"/>
  <c r="AW254" i="1"/>
  <c r="AS7" i="1"/>
  <c r="BV7" i="1" s="1"/>
  <c r="AQ7" i="1"/>
  <c r="BT7" i="1" s="1"/>
  <c r="AN7" i="1"/>
  <c r="AX7" i="1"/>
  <c r="AT7" i="1"/>
  <c r="BW7" i="1" s="1"/>
  <c r="AR7" i="1"/>
  <c r="BU7" i="1" s="1"/>
  <c r="AP7" i="1"/>
  <c r="AX63" i="1"/>
  <c r="BE6" i="1"/>
  <c r="F6" i="1"/>
  <c r="BC6" i="1"/>
  <c r="BA6" i="1"/>
  <c r="AZ6" i="1"/>
  <c r="BD6" i="1"/>
  <c r="BB6" i="1"/>
  <c r="AY6" i="1"/>
  <c r="AX6" i="1"/>
  <c r="AT6" i="1"/>
  <c r="BW6" i="1" s="1"/>
  <c r="AS6" i="1"/>
  <c r="BV6" i="1" s="1"/>
  <c r="BZ95" i="1"/>
  <c r="BB20" i="1"/>
  <c r="V3" i="1"/>
  <c r="AS5" i="1"/>
  <c r="BV5" i="1" s="1"/>
  <c r="AQ5" i="1"/>
  <c r="BT5" i="1" s="1"/>
  <c r="AN5" i="1"/>
  <c r="BG5" i="1"/>
  <c r="BF5" i="1"/>
  <c r="BA5" i="1"/>
  <c r="BE5" i="1"/>
  <c r="BD5" i="1"/>
  <c r="BC5" i="1"/>
  <c r="BB5" i="1"/>
  <c r="AY7" i="1"/>
  <c r="AW9" i="1"/>
  <c r="BS17" i="1"/>
  <c r="BS18" i="1"/>
  <c r="BH18" i="1"/>
  <c r="AR19" i="1"/>
  <c r="BU19" i="1" s="1"/>
  <c r="BG20" i="1"/>
  <c r="BD30" i="1"/>
  <c r="AY38" i="1"/>
  <c r="BB47" i="1"/>
  <c r="AZ47" i="1"/>
  <c r="AX47" i="1"/>
  <c r="BA47" i="1"/>
  <c r="AY47" i="1"/>
  <c r="AP47" i="1"/>
  <c r="AT47" i="1"/>
  <c r="BW47" i="1" s="1"/>
  <c r="AS47" i="1"/>
  <c r="BV47" i="1" s="1"/>
  <c r="AR47" i="1"/>
  <c r="BU47" i="1" s="1"/>
  <c r="AQ47" i="1"/>
  <c r="BT47" i="1" s="1"/>
  <c r="AW51" i="1"/>
  <c r="BA56" i="1"/>
  <c r="AY56" i="1"/>
  <c r="AT56" i="1"/>
  <c r="BW56" i="1" s="1"/>
  <c r="BD56" i="1"/>
  <c r="BC56" i="1"/>
  <c r="BB56" i="1"/>
  <c r="AZ56" i="1"/>
  <c r="AX56" i="1"/>
  <c r="AS56" i="1"/>
  <c r="BV56" i="1" s="1"/>
  <c r="AR56" i="1"/>
  <c r="BU56" i="1" s="1"/>
  <c r="BD61" i="1"/>
  <c r="BF63" i="1"/>
  <c r="BS90" i="1"/>
  <c r="BE133" i="1"/>
  <c r="BS134" i="1"/>
  <c r="AX143" i="1"/>
  <c r="BS167" i="1"/>
  <c r="AW167" i="1"/>
  <c r="AT171" i="1"/>
  <c r="BW171" i="1" s="1"/>
  <c r="AY171" i="1"/>
  <c r="AR171" i="1"/>
  <c r="BU171" i="1" s="1"/>
  <c r="AQ171" i="1"/>
  <c r="BT171" i="1" s="1"/>
  <c r="BG171" i="1"/>
  <c r="BF171" i="1"/>
  <c r="BE171" i="1"/>
  <c r="BD171" i="1"/>
  <c r="BC171" i="1"/>
  <c r="BB171" i="1"/>
  <c r="BH171" i="1" s="1"/>
  <c r="AS171" i="1"/>
  <c r="BV171" i="1" s="1"/>
  <c r="BA171" i="1"/>
  <c r="AZ171" i="1"/>
  <c r="AX171" i="1"/>
  <c r="AZ195" i="1"/>
  <c r="AT195" i="1"/>
  <c r="BW195" i="1" s="1"/>
  <c r="AP195" i="1"/>
  <c r="BF195" i="1"/>
  <c r="BD195" i="1"/>
  <c r="BB195" i="1"/>
  <c r="BA195" i="1"/>
  <c r="BG195" i="1"/>
  <c r="BE195" i="1"/>
  <c r="BC195" i="1"/>
  <c r="AY195" i="1"/>
  <c r="AX195" i="1"/>
  <c r="AS195" i="1"/>
  <c r="BV195" i="1" s="1"/>
  <c r="AR195" i="1"/>
  <c r="BU195" i="1" s="1"/>
  <c r="AQ195" i="1"/>
  <c r="BT195" i="1" s="1"/>
  <c r="AN195" i="1"/>
  <c r="AW215" i="1"/>
  <c r="AY234" i="1"/>
  <c r="BB234" i="1"/>
  <c r="AT234" i="1"/>
  <c r="BW234" i="1" s="1"/>
  <c r="AX234" i="1"/>
  <c r="AR234" i="1"/>
  <c r="BU234" i="1" s="1"/>
  <c r="AP234" i="1"/>
  <c r="AN234" i="1"/>
  <c r="AS234" i="1"/>
  <c r="BV234" i="1" s="1"/>
  <c r="AQ234" i="1"/>
  <c r="BT234" i="1" s="1"/>
  <c r="BG234" i="1"/>
  <c r="BF234" i="1"/>
  <c r="BE234" i="1"/>
  <c r="BD234" i="1"/>
  <c r="BC234" i="1"/>
  <c r="BA234" i="1"/>
  <c r="AS260" i="1"/>
  <c r="BV260" i="1" s="1"/>
  <c r="AQ260" i="1"/>
  <c r="BT260" i="1" s="1"/>
  <c r="AN260" i="1"/>
  <c r="BE260" i="1"/>
  <c r="BD260" i="1"/>
  <c r="AZ260" i="1"/>
  <c r="AY260" i="1"/>
  <c r="BC260" i="1"/>
  <c r="BA260" i="1"/>
  <c r="AT260" i="1"/>
  <c r="BW260" i="1" s="1"/>
  <c r="BB260" i="1"/>
  <c r="AX260" i="1"/>
  <c r="AR260" i="1"/>
  <c r="BU260" i="1" s="1"/>
  <c r="AP260" i="1"/>
  <c r="AN319" i="1"/>
  <c r="AW332" i="1"/>
  <c r="BW444" i="1"/>
  <c r="AW444" i="1"/>
  <c r="AZ271" i="1"/>
  <c r="AS271" i="1"/>
  <c r="BV271" i="1" s="1"/>
  <c r="AQ271" i="1"/>
  <c r="BT271" i="1" s="1"/>
  <c r="AT271" i="1"/>
  <c r="BW271" i="1" s="1"/>
  <c r="AP271" i="1"/>
  <c r="BF271" i="1"/>
  <c r="BE271" i="1"/>
  <c r="BD271" i="1"/>
  <c r="BC271" i="1"/>
  <c r="BG271" i="1"/>
  <c r="BB271" i="1"/>
  <c r="BA271" i="1"/>
  <c r="BA282" i="1"/>
  <c r="AP282" i="1"/>
  <c r="BC282" i="1"/>
  <c r="AZ282" i="1"/>
  <c r="AX282" i="1"/>
  <c r="AT282" i="1"/>
  <c r="BW282" i="1" s="1"/>
  <c r="AS282" i="1"/>
  <c r="BV282" i="1" s="1"/>
  <c r="BG282" i="1"/>
  <c r="BF282" i="1"/>
  <c r="BE282" i="1"/>
  <c r="BD282" i="1"/>
  <c r="BB282" i="1"/>
  <c r="BE443" i="1"/>
  <c r="AS443" i="1"/>
  <c r="BV443" i="1" s="1"/>
  <c r="AY443" i="1"/>
  <c r="AR443" i="1"/>
  <c r="BU443" i="1" s="1"/>
  <c r="BD443" i="1"/>
  <c r="BB443" i="1"/>
  <c r="AZ443" i="1"/>
  <c r="AQ443" i="1"/>
  <c r="BT443" i="1" s="1"/>
  <c r="AN443" i="1"/>
  <c r="AX443" i="1"/>
  <c r="AT443" i="1"/>
  <c r="BW443" i="1" s="1"/>
  <c r="AP443" i="1"/>
  <c r="BG443" i="1"/>
  <c r="BZ613" i="1"/>
  <c r="P3" i="1"/>
  <c r="AZ7" i="1"/>
  <c r="AT19" i="1"/>
  <c r="BW19" i="1" s="1"/>
  <c r="BF30" i="1"/>
  <c r="BS36" i="1"/>
  <c r="AS52" i="1"/>
  <c r="BV52" i="1" s="1"/>
  <c r="AQ52" i="1"/>
  <c r="BT52" i="1" s="1"/>
  <c r="AP52" i="1"/>
  <c r="AY52" i="1"/>
  <c r="AX52" i="1"/>
  <c r="AR52" i="1"/>
  <c r="BU52" i="1" s="1"/>
  <c r="AT52" i="1"/>
  <c r="BW52" i="1" s="1"/>
  <c r="AN52" i="1"/>
  <c r="BH55" i="1"/>
  <c r="BG63" i="1"/>
  <c r="BF133" i="1"/>
  <c r="BS141" i="1"/>
  <c r="AY143" i="1"/>
  <c r="BS191" i="1"/>
  <c r="BH191" i="1"/>
  <c r="AR319" i="1"/>
  <c r="BU319" i="1" s="1"/>
  <c r="AN372" i="1"/>
  <c r="BA391" i="1"/>
  <c r="AN391" i="1"/>
  <c r="AP391" i="1"/>
  <c r="BC391" i="1"/>
  <c r="BD391" i="1"/>
  <c r="BF391" i="1"/>
  <c r="BB391" i="1"/>
  <c r="AS391" i="1"/>
  <c r="BV391" i="1" s="1"/>
  <c r="AX391" i="1"/>
  <c r="AT391" i="1"/>
  <c r="BW391" i="1" s="1"/>
  <c r="AQ391" i="1"/>
  <c r="BT391" i="1" s="1"/>
  <c r="BG391" i="1"/>
  <c r="BE391" i="1"/>
  <c r="AZ391" i="1"/>
  <c r="AY391" i="1"/>
  <c r="BS406" i="1"/>
  <c r="AW406" i="1"/>
  <c r="BH406" i="1"/>
  <c r="AN407" i="1"/>
  <c r="AR451" i="1"/>
  <c r="BU451" i="1" s="1"/>
  <c r="AW454" i="1"/>
  <c r="BH454" i="1"/>
  <c r="BS454" i="1"/>
  <c r="AS30" i="1"/>
  <c r="BV30" i="1" s="1"/>
  <c r="BE38" i="1"/>
  <c r="F38" i="1"/>
  <c r="BC38" i="1"/>
  <c r="BA38" i="1"/>
  <c r="AZ38" i="1"/>
  <c r="AT38" i="1"/>
  <c r="BW38" i="1" s="1"/>
  <c r="AR38" i="1"/>
  <c r="BU38" i="1" s="1"/>
  <c r="AS38" i="1"/>
  <c r="BV38" i="1" s="1"/>
  <c r="AN38" i="1"/>
  <c r="AQ38" i="1"/>
  <c r="BT38" i="1" s="1"/>
  <c r="AP38" i="1"/>
  <c r="AQ41" i="1"/>
  <c r="BT41" i="1" s="1"/>
  <c r="BA61" i="1"/>
  <c r="AT61" i="1"/>
  <c r="BW61" i="1" s="1"/>
  <c r="AR61" i="1"/>
  <c r="BU61" i="1" s="1"/>
  <c r="AP61" i="1"/>
  <c r="AN61" i="1"/>
  <c r="BC61" i="1"/>
  <c r="BB61" i="1"/>
  <c r="AS61" i="1"/>
  <c r="BV61" i="1" s="1"/>
  <c r="AZ61" i="1"/>
  <c r="AY61" i="1"/>
  <c r="AX61" i="1"/>
  <c r="BS89" i="1"/>
  <c r="AW96" i="1"/>
  <c r="BE112" i="1"/>
  <c r="AY140" i="1"/>
  <c r="AS140" i="1"/>
  <c r="BV140" i="1" s="1"/>
  <c r="AR140" i="1"/>
  <c r="BU140" i="1" s="1"/>
  <c r="BG140" i="1"/>
  <c r="BF140" i="1"/>
  <c r="BE140" i="1"/>
  <c r="BD140" i="1"/>
  <c r="AQ140" i="1"/>
  <c r="BT140" i="1" s="1"/>
  <c r="BC140" i="1"/>
  <c r="BB140" i="1"/>
  <c r="BA140" i="1"/>
  <c r="AZ140" i="1"/>
  <c r="AX140" i="1"/>
  <c r="AT140" i="1"/>
  <c r="BW140" i="1" s="1"/>
  <c r="BS153" i="1"/>
  <c r="BZ158" i="1"/>
  <c r="BZ202" i="1"/>
  <c r="AX213" i="1"/>
  <c r="AZ213" i="1"/>
  <c r="AS213" i="1"/>
  <c r="BV213" i="1" s="1"/>
  <c r="AR213" i="1"/>
  <c r="BU213" i="1" s="1"/>
  <c r="AY213" i="1"/>
  <c r="AT213" i="1"/>
  <c r="BW213" i="1" s="1"/>
  <c r="AP213" i="1"/>
  <c r="AN213" i="1"/>
  <c r="BG213" i="1"/>
  <c r="BF213" i="1"/>
  <c r="BE213" i="1"/>
  <c r="BD213" i="1"/>
  <c r="BC213" i="1"/>
  <c r="BB213" i="1"/>
  <c r="BA213" i="1"/>
  <c r="AQ213" i="1"/>
  <c r="BT213" i="1" s="1"/>
  <c r="AS240" i="1"/>
  <c r="BV240" i="1" s="1"/>
  <c r="BE240" i="1"/>
  <c r="BD240" i="1"/>
  <c r="AZ240" i="1"/>
  <c r="AY240" i="1"/>
  <c r="AX240" i="1"/>
  <c r="AT240" i="1"/>
  <c r="BW240" i="1" s="1"/>
  <c r="AQ240" i="1"/>
  <c r="BT240" i="1" s="1"/>
  <c r="AP240" i="1"/>
  <c r="BC240" i="1"/>
  <c r="BB240" i="1"/>
  <c r="BA240" i="1"/>
  <c r="AR240" i="1"/>
  <c r="BU240" i="1" s="1"/>
  <c r="AN240" i="1"/>
  <c r="BF240" i="1"/>
  <c r="BG240" i="1"/>
  <c r="AW358" i="1"/>
  <c r="BS358" i="1"/>
  <c r="Q3" i="1"/>
  <c r="AN20" i="1"/>
  <c r="AT30" i="1"/>
  <c r="BW30" i="1" s="1"/>
  <c r="AS41" i="1"/>
  <c r="BV41" i="1" s="1"/>
  <c r="AW65" i="1"/>
  <c r="BS105" i="1"/>
  <c r="AP109" i="1"/>
  <c r="BA157" i="1"/>
  <c r="BC165" i="1"/>
  <c r="BF165" i="1"/>
  <c r="BD165" i="1"/>
  <c r="BA165" i="1"/>
  <c r="AZ165" i="1"/>
  <c r="BG165" i="1"/>
  <c r="BE165" i="1"/>
  <c r="BB165" i="1"/>
  <c r="AT165" i="1"/>
  <c r="BW165" i="1" s="1"/>
  <c r="AS165" i="1"/>
  <c r="BV165" i="1" s="1"/>
  <c r="AR165" i="1"/>
  <c r="BU165" i="1" s="1"/>
  <c r="AQ165" i="1"/>
  <c r="BT165" i="1" s="1"/>
  <c r="AP165" i="1"/>
  <c r="AN165" i="1"/>
  <c r="AN173" i="1"/>
  <c r="AZ226" i="1"/>
  <c r="AS235" i="1"/>
  <c r="BV235" i="1" s="1"/>
  <c r="AP259" i="1"/>
  <c r="AR269" i="1"/>
  <c r="BU269" i="1" s="1"/>
  <c r="AP269" i="1"/>
  <c r="BD269" i="1"/>
  <c r="BC269" i="1"/>
  <c r="BA269" i="1"/>
  <c r="AY269" i="1"/>
  <c r="AX269" i="1"/>
  <c r="BF269" i="1"/>
  <c r="BE269" i="1"/>
  <c r="BB269" i="1"/>
  <c r="AZ269" i="1"/>
  <c r="AQ269" i="1"/>
  <c r="BT269" i="1" s="1"/>
  <c r="AN269" i="1"/>
  <c r="BE275" i="1"/>
  <c r="BS419" i="1"/>
  <c r="AW419" i="1"/>
  <c r="BH419" i="1"/>
  <c r="R3" i="1"/>
  <c r="AY20" i="1"/>
  <c r="BS40" i="1"/>
  <c r="BH40" i="1"/>
  <c r="BE60" i="1"/>
  <c r="BC60" i="1"/>
  <c r="BA60" i="1"/>
  <c r="AZ60" i="1"/>
  <c r="BG60" i="1"/>
  <c r="BF60" i="1"/>
  <c r="BD60" i="1"/>
  <c r="BB60" i="1"/>
  <c r="AY60" i="1"/>
  <c r="AX60" i="1"/>
  <c r="AZ63" i="1"/>
  <c r="BS80" i="1"/>
  <c r="BH80" i="1"/>
  <c r="BZ80" i="1" s="1"/>
  <c r="BE114" i="1"/>
  <c r="BC114" i="1"/>
  <c r="AZ114" i="1"/>
  <c r="BG114" i="1"/>
  <c r="BF114" i="1"/>
  <c r="BB114" i="1"/>
  <c r="BA114" i="1"/>
  <c r="AT114" i="1"/>
  <c r="BW114" i="1" s="1"/>
  <c r="AS114" i="1"/>
  <c r="BV114" i="1" s="1"/>
  <c r="AR114" i="1"/>
  <c r="BU114" i="1" s="1"/>
  <c r="AQ114" i="1"/>
  <c r="BT114" i="1" s="1"/>
  <c r="AP114" i="1"/>
  <c r="AN114" i="1"/>
  <c r="AW123" i="1"/>
  <c r="AR126" i="1"/>
  <c r="BU126" i="1" s="1"/>
  <c r="BF126" i="1"/>
  <c r="BD126" i="1"/>
  <c r="BC126" i="1"/>
  <c r="AT126" i="1"/>
  <c r="BW126" i="1" s="1"/>
  <c r="AS126" i="1"/>
  <c r="BV126" i="1" s="1"/>
  <c r="AP126" i="1"/>
  <c r="AN126" i="1"/>
  <c r="BA126" i="1"/>
  <c r="AZ126" i="1"/>
  <c r="AY126" i="1"/>
  <c r="AX126" i="1"/>
  <c r="AQ126" i="1"/>
  <c r="BT126" i="1" s="1"/>
  <c r="BS129" i="1"/>
  <c r="AW129" i="1"/>
  <c r="BG149" i="1"/>
  <c r="BE149" i="1"/>
  <c r="BD149" i="1"/>
  <c r="AT149" i="1"/>
  <c r="BW149" i="1" s="1"/>
  <c r="AS149" i="1"/>
  <c r="BV149" i="1" s="1"/>
  <c r="AR149" i="1"/>
  <c r="BU149" i="1" s="1"/>
  <c r="AQ149" i="1"/>
  <c r="BT149" i="1" s="1"/>
  <c r="AP149" i="1"/>
  <c r="BC149" i="1"/>
  <c r="BB149" i="1"/>
  <c r="BA149" i="1"/>
  <c r="AZ149" i="1"/>
  <c r="AY149" i="1"/>
  <c r="AX149" i="1"/>
  <c r="AN149" i="1"/>
  <c r="AZ173" i="1"/>
  <c r="BS176" i="1"/>
  <c r="BH176" i="1"/>
  <c r="BG192" i="1"/>
  <c r="AT192" i="1"/>
  <c r="BW192" i="1" s="1"/>
  <c r="AP192" i="1"/>
  <c r="AY192" i="1"/>
  <c r="AS192" i="1"/>
  <c r="BV192" i="1" s="1"/>
  <c r="AQ192" i="1"/>
  <c r="BT192" i="1" s="1"/>
  <c r="AN192" i="1"/>
  <c r="BF192" i="1"/>
  <c r="BE192" i="1"/>
  <c r="BD192" i="1"/>
  <c r="BC192" i="1"/>
  <c r="BD219" i="1"/>
  <c r="AR219" i="1"/>
  <c r="BU219" i="1" s="1"/>
  <c r="BA219" i="1"/>
  <c r="AT219" i="1"/>
  <c r="BW219" i="1" s="1"/>
  <c r="AY219" i="1"/>
  <c r="AS219" i="1"/>
  <c r="BV219" i="1" s="1"/>
  <c r="AP219" i="1"/>
  <c r="AN219" i="1"/>
  <c r="BG219" i="1"/>
  <c r="BF219" i="1"/>
  <c r="BE219" i="1"/>
  <c r="BC219" i="1"/>
  <c r="BB219" i="1"/>
  <c r="AZ219" i="1"/>
  <c r="AX219" i="1"/>
  <c r="BB226" i="1"/>
  <c r="AT235" i="1"/>
  <c r="BW235" i="1" s="1"/>
  <c r="AQ259" i="1"/>
  <c r="BT259" i="1" s="1"/>
  <c r="AS276" i="1"/>
  <c r="BV276" i="1" s="1"/>
  <c r="AZ276" i="1"/>
  <c r="AX276" i="1"/>
  <c r="AT276" i="1"/>
  <c r="BW276" i="1" s="1"/>
  <c r="BC276" i="1"/>
  <c r="BA276" i="1"/>
  <c r="AR276" i="1"/>
  <c r="BU276" i="1" s="1"/>
  <c r="BG276" i="1"/>
  <c r="BF276" i="1"/>
  <c r="BE276" i="1"/>
  <c r="BB276" i="1"/>
  <c r="AY276" i="1"/>
  <c r="AQ276" i="1"/>
  <c r="BT276" i="1" s="1"/>
  <c r="AP276" i="1"/>
  <c r="AN276" i="1"/>
  <c r="BS285" i="1"/>
  <c r="BG300" i="1"/>
  <c r="BC303" i="1"/>
  <c r="BA322" i="1"/>
  <c r="BC322" i="1"/>
  <c r="AZ322" i="1"/>
  <c r="AX322" i="1"/>
  <c r="AP322" i="1"/>
  <c r="BG322" i="1"/>
  <c r="BF322" i="1"/>
  <c r="BE322" i="1"/>
  <c r="AY322" i="1"/>
  <c r="AT322" i="1"/>
  <c r="BW322" i="1" s="1"/>
  <c r="AS322" i="1"/>
  <c r="BV322" i="1" s="1"/>
  <c r="AR322" i="1"/>
  <c r="BU322" i="1" s="1"/>
  <c r="AQ322" i="1"/>
  <c r="BT322" i="1" s="1"/>
  <c r="BB322" i="1"/>
  <c r="BD322" i="1"/>
  <c r="S3" i="1"/>
  <c r="AS27" i="1"/>
  <c r="BV27" i="1" s="1"/>
  <c r="AQ27" i="1"/>
  <c r="BT27" i="1" s="1"/>
  <c r="AN27" i="1"/>
  <c r="F27" i="1"/>
  <c r="BG27" i="1"/>
  <c r="BF27" i="1"/>
  <c r="BB27" i="1"/>
  <c r="BE27" i="1"/>
  <c r="BD27" i="1"/>
  <c r="BC27" i="1"/>
  <c r="AX30" i="1"/>
  <c r="AX41" i="1"/>
  <c r="BB63" i="1"/>
  <c r="BE97" i="1"/>
  <c r="BF115" i="1"/>
  <c r="AT168" i="1"/>
  <c r="BW168" i="1" s="1"/>
  <c r="BC168" i="1"/>
  <c r="BA168" i="1"/>
  <c r="AY168" i="1"/>
  <c r="AX168" i="1"/>
  <c r="AS168" i="1"/>
  <c r="BV168" i="1" s="1"/>
  <c r="AR168" i="1"/>
  <c r="BU168" i="1" s="1"/>
  <c r="AQ168" i="1"/>
  <c r="BT168" i="1" s="1"/>
  <c r="AP168" i="1"/>
  <c r="AN168" i="1"/>
  <c r="BD168" i="1"/>
  <c r="BG168" i="1"/>
  <c r="BF168" i="1"/>
  <c r="BE168" i="1"/>
  <c r="BC173" i="1"/>
  <c r="BC226" i="1"/>
  <c r="AN282" i="1"/>
  <c r="AX289" i="1"/>
  <c r="AY289" i="1"/>
  <c r="AT289" i="1"/>
  <c r="BW289" i="1" s="1"/>
  <c r="AR289" i="1"/>
  <c r="BU289" i="1" s="1"/>
  <c r="AQ289" i="1"/>
  <c r="BT289" i="1" s="1"/>
  <c r="AN289" i="1"/>
  <c r="BG289" i="1"/>
  <c r="BF289" i="1"/>
  <c r="BE289" i="1"/>
  <c r="AZ289" i="1"/>
  <c r="BD289" i="1"/>
  <c r="BC289" i="1"/>
  <c r="BB289" i="1"/>
  <c r="BA289" i="1"/>
  <c r="BG303" i="1"/>
  <c r="AW353" i="1"/>
  <c r="AW359" i="1"/>
  <c r="BA443" i="1"/>
  <c r="BD460" i="1"/>
  <c r="BA468" i="1"/>
  <c r="BE468" i="1"/>
  <c r="BC468" i="1"/>
  <c r="AZ468" i="1"/>
  <c r="AQ468" i="1"/>
  <c r="BT468" i="1" s="1"/>
  <c r="BG468" i="1"/>
  <c r="AT468" i="1"/>
  <c r="BW468" i="1" s="1"/>
  <c r="BB468" i="1"/>
  <c r="AX468" i="1"/>
  <c r="AR468" i="1"/>
  <c r="BU468" i="1" s="1"/>
  <c r="AP468" i="1"/>
  <c r="BF468" i="1"/>
  <c r="BD468" i="1"/>
  <c r="AY468" i="1"/>
  <c r="AS468" i="1"/>
  <c r="BV468" i="1" s="1"/>
  <c r="AN468" i="1"/>
  <c r="BD470" i="1"/>
  <c r="BE3" i="1"/>
  <c r="BE4" i="1" s="1"/>
  <c r="BC3" i="1"/>
  <c r="BC4" i="1" s="1"/>
  <c r="BA3" i="1"/>
  <c r="BA4" i="1" s="1"/>
  <c r="AZ3" i="1"/>
  <c r="AZ4" i="1" s="1"/>
  <c r="BG3" i="1"/>
  <c r="BG4" i="1" s="1"/>
  <c r="BF3" i="1"/>
  <c r="BF4" i="1" s="1"/>
  <c r="BD3" i="1"/>
  <c r="BD4" i="1" s="1"/>
  <c r="AN6" i="1"/>
  <c r="AW104" i="1"/>
  <c r="BS151" i="1"/>
  <c r="BH151" i="1"/>
  <c r="BZ151" i="1" s="1"/>
  <c r="AW151" i="1"/>
  <c r="AW176" i="1"/>
  <c r="AR192" i="1"/>
  <c r="BU192" i="1" s="1"/>
  <c r="AP266" i="1"/>
  <c r="AT269" i="1"/>
  <c r="BW269" i="1" s="1"/>
  <c r="AY271" i="1"/>
  <c r="AY282" i="1"/>
  <c r="AV3" i="1"/>
  <c r="AV4" i="1" s="1"/>
  <c r="AK5" i="1"/>
  <c r="AP6" i="1"/>
  <c r="BA7" i="1"/>
  <c r="BF11" i="1"/>
  <c r="AS15" i="1"/>
  <c r="BV15" i="1" s="1"/>
  <c r="AQ15" i="1"/>
  <c r="BT15" i="1" s="1"/>
  <c r="AN15" i="1"/>
  <c r="BB15" i="1"/>
  <c r="BA15" i="1"/>
  <c r="AY15" i="1"/>
  <c r="AZ15" i="1"/>
  <c r="AX15" i="1"/>
  <c r="AT15" i="1"/>
  <c r="BW15" i="1" s="1"/>
  <c r="AS25" i="1"/>
  <c r="BV25" i="1" s="1"/>
  <c r="AQ25" i="1"/>
  <c r="BT25" i="1" s="1"/>
  <c r="AN25" i="1"/>
  <c r="AT25" i="1"/>
  <c r="BW25" i="1" s="1"/>
  <c r="AR25" i="1"/>
  <c r="BU25" i="1" s="1"/>
  <c r="AP25" i="1"/>
  <c r="AP27" i="1"/>
  <c r="BE29" i="1"/>
  <c r="BG30" i="1"/>
  <c r="BS35" i="1"/>
  <c r="BH35" i="1"/>
  <c r="BD38" i="1"/>
  <c r="AX43" i="1"/>
  <c r="AT43" i="1"/>
  <c r="BW43" i="1" s="1"/>
  <c r="AR43" i="1"/>
  <c r="BU43" i="1" s="1"/>
  <c r="AQ43" i="1"/>
  <c r="BT43" i="1" s="1"/>
  <c r="AZ43" i="1"/>
  <c r="AY43" i="1"/>
  <c r="AS43" i="1"/>
  <c r="BV43" i="1" s="1"/>
  <c r="AP43" i="1"/>
  <c r="AN43" i="1"/>
  <c r="BS45" i="1"/>
  <c r="AP60" i="1"/>
  <c r="BF61" i="1"/>
  <c r="AW87" i="1"/>
  <c r="BS87" i="1"/>
  <c r="BZ104" i="1"/>
  <c r="AN108" i="1"/>
  <c r="BH111" i="1"/>
  <c r="AR113" i="1"/>
  <c r="BU113" i="1" s="1"/>
  <c r="AP113" i="1"/>
  <c r="BG113" i="1"/>
  <c r="BF113" i="1"/>
  <c r="AT113" i="1"/>
  <c r="BW113" i="1" s="1"/>
  <c r="AS113" i="1"/>
  <c r="BV113" i="1" s="1"/>
  <c r="AQ113" i="1"/>
  <c r="BT113" i="1" s="1"/>
  <c r="AN113" i="1"/>
  <c r="AX114" i="1"/>
  <c r="BZ118" i="1"/>
  <c r="BE126" i="1"/>
  <c r="AZ132" i="1"/>
  <c r="BA132" i="1"/>
  <c r="AX132" i="1"/>
  <c r="AT132" i="1"/>
  <c r="BW132" i="1" s="1"/>
  <c r="AS132" i="1"/>
  <c r="BV132" i="1" s="1"/>
  <c r="AY132" i="1"/>
  <c r="AR132" i="1"/>
  <c r="BU132" i="1" s="1"/>
  <c r="AP132" i="1"/>
  <c r="AN132" i="1"/>
  <c r="BC132" i="1"/>
  <c r="BB132" i="1"/>
  <c r="BG132" i="1"/>
  <c r="BF132" i="1"/>
  <c r="BE132" i="1"/>
  <c r="BD132" i="1"/>
  <c r="BG133" i="1"/>
  <c r="AZ143" i="1"/>
  <c r="BS145" i="1"/>
  <c r="AY165" i="1"/>
  <c r="AZ168" i="1"/>
  <c r="BS190" i="1"/>
  <c r="AX192" i="1"/>
  <c r="BS242" i="1"/>
  <c r="BS244" i="1"/>
  <c r="AW244" i="1"/>
  <c r="AR266" i="1"/>
  <c r="BU266" i="1" s="1"/>
  <c r="AS289" i="1"/>
  <c r="BV289" i="1" s="1"/>
  <c r="BZ317" i="1"/>
  <c r="BS330" i="1"/>
  <c r="AQ372" i="1"/>
  <c r="BT372" i="1" s="1"/>
  <c r="BS389" i="1"/>
  <c r="AW389" i="1"/>
  <c r="BH389" i="1"/>
  <c r="AX407" i="1"/>
  <c r="BA411" i="1"/>
  <c r="AY411" i="1"/>
  <c r="AN411" i="1"/>
  <c r="BF411" i="1"/>
  <c r="BD411" i="1"/>
  <c r="BB411" i="1"/>
  <c r="AQ411" i="1"/>
  <c r="BT411" i="1" s="1"/>
  <c r="AX411" i="1"/>
  <c r="AS411" i="1"/>
  <c r="BV411" i="1" s="1"/>
  <c r="AP411" i="1"/>
  <c r="BG411" i="1"/>
  <c r="BE411" i="1"/>
  <c r="BC411" i="1"/>
  <c r="AZ411" i="1"/>
  <c r="AT411" i="1"/>
  <c r="BW411" i="1" s="1"/>
  <c r="AR411" i="1"/>
  <c r="BU411" i="1" s="1"/>
  <c r="AQ464" i="1"/>
  <c r="BT464" i="1" s="1"/>
  <c r="BB464" i="1"/>
  <c r="AZ464" i="1"/>
  <c r="AN464" i="1"/>
  <c r="BE464" i="1"/>
  <c r="BC464" i="1"/>
  <c r="AY464" i="1"/>
  <c r="AP464" i="1"/>
  <c r="AR464" i="1"/>
  <c r="BU464" i="1" s="1"/>
  <c r="BF464" i="1"/>
  <c r="BA464" i="1"/>
  <c r="AT464" i="1"/>
  <c r="BW464" i="1" s="1"/>
  <c r="AS464" i="1"/>
  <c r="BV464" i="1" s="1"/>
  <c r="BG464" i="1"/>
  <c r="BD464" i="1"/>
  <c r="AX464" i="1"/>
  <c r="AY79" i="1"/>
  <c r="AS79" i="1"/>
  <c r="BV79" i="1" s="1"/>
  <c r="AQ79" i="1"/>
  <c r="BT79" i="1" s="1"/>
  <c r="AP79" i="1"/>
  <c r="BH181" i="1"/>
  <c r="AW181" i="1"/>
  <c r="BW466" i="1"/>
  <c r="BH466" i="1"/>
  <c r="BZ516" i="1"/>
  <c r="BU591" i="1"/>
  <c r="AS21" i="1"/>
  <c r="BV21" i="1" s="1"/>
  <c r="AQ21" i="1"/>
  <c r="BT21" i="1" s="1"/>
  <c r="AN21" i="1"/>
  <c r="AY161" i="1"/>
  <c r="AT161" i="1"/>
  <c r="BW161" i="1" s="1"/>
  <c r="AR161" i="1"/>
  <c r="BU161" i="1" s="1"/>
  <c r="AP161" i="1"/>
  <c r="AN161" i="1"/>
  <c r="BB161" i="1"/>
  <c r="BA161" i="1"/>
  <c r="AZ161" i="1"/>
  <c r="AX161" i="1"/>
  <c r="AS161" i="1"/>
  <c r="BV161" i="1" s="1"/>
  <c r="BS194" i="1"/>
  <c r="AW194" i="1"/>
  <c r="BD239" i="1"/>
  <c r="AR239" i="1"/>
  <c r="BU239" i="1" s="1"/>
  <c r="BG239" i="1"/>
  <c r="BF239" i="1"/>
  <c r="BA239" i="1"/>
  <c r="AY239" i="1"/>
  <c r="AT239" i="1"/>
  <c r="BW239" i="1" s="1"/>
  <c r="AX239" i="1"/>
  <c r="AS239" i="1"/>
  <c r="BV239" i="1" s="1"/>
  <c r="AQ239" i="1"/>
  <c r="BT239" i="1" s="1"/>
  <c r="AP239" i="1"/>
  <c r="AN239" i="1"/>
  <c r="BS263" i="1"/>
  <c r="AW263" i="1"/>
  <c r="BS268" i="1"/>
  <c r="BZ277" i="1"/>
  <c r="BT467" i="1"/>
  <c r="AW467" i="1"/>
  <c r="BF18" i="1"/>
  <c r="BE26" i="1"/>
  <c r="F26" i="1"/>
  <c r="BC26" i="1"/>
  <c r="BA26" i="1"/>
  <c r="AZ26" i="1"/>
  <c r="BE31" i="1"/>
  <c r="BG35" i="1"/>
  <c r="BZ35" i="1" s="1"/>
  <c r="AS39" i="1"/>
  <c r="BV39" i="1" s="1"/>
  <c r="AQ39" i="1"/>
  <c r="BT39" i="1" s="1"/>
  <c r="AN39" i="1"/>
  <c r="BD49" i="1"/>
  <c r="BB49" i="1"/>
  <c r="AZ49" i="1"/>
  <c r="AY49" i="1"/>
  <c r="BH49" i="1" s="1"/>
  <c r="BC58" i="1"/>
  <c r="BA58" i="1"/>
  <c r="AY58" i="1"/>
  <c r="AX58" i="1"/>
  <c r="BH58" i="1" s="1"/>
  <c r="AR69" i="1"/>
  <c r="BU69" i="1" s="1"/>
  <c r="AP69" i="1"/>
  <c r="BG80" i="1"/>
  <c r="BE80" i="1"/>
  <c r="BD80" i="1"/>
  <c r="AT86" i="1"/>
  <c r="BW86" i="1" s="1"/>
  <c r="AN86" i="1"/>
  <c r="BG86" i="1"/>
  <c r="BE86" i="1"/>
  <c r="BC86" i="1"/>
  <c r="BB86" i="1"/>
  <c r="BF88" i="1"/>
  <c r="BH118" i="1"/>
  <c r="BB119" i="1"/>
  <c r="AZ119" i="1"/>
  <c r="AX119" i="1"/>
  <c r="AT119" i="1"/>
  <c r="BW119" i="1" s="1"/>
  <c r="BE119" i="1"/>
  <c r="BD119" i="1"/>
  <c r="BC119" i="1"/>
  <c r="AY119" i="1"/>
  <c r="AS119" i="1"/>
  <c r="BE147" i="1"/>
  <c r="BF147" i="1"/>
  <c r="BC147" i="1"/>
  <c r="BA147" i="1"/>
  <c r="AZ147" i="1"/>
  <c r="BG147" i="1"/>
  <c r="BD147" i="1"/>
  <c r="BB147" i="1"/>
  <c r="AY147" i="1"/>
  <c r="AX147" i="1"/>
  <c r="AX193" i="1"/>
  <c r="BG193" i="1"/>
  <c r="AQ193" i="1"/>
  <c r="AN193" i="1"/>
  <c r="BE193" i="1"/>
  <c r="BD193" i="1"/>
  <c r="BC193" i="1"/>
  <c r="BH193" i="1" s="1"/>
  <c r="BB193" i="1"/>
  <c r="BA193" i="1"/>
  <c r="AZ193" i="1"/>
  <c r="BG212" i="1"/>
  <c r="BF212" i="1"/>
  <c r="BB212" i="1"/>
  <c r="BA212" i="1"/>
  <c r="AZ212" i="1"/>
  <c r="AX212" i="1"/>
  <c r="AS212" i="1"/>
  <c r="BV212" i="1" s="1"/>
  <c r="AR212" i="1"/>
  <c r="BU212" i="1" s="1"/>
  <c r="BE212" i="1"/>
  <c r="BD212" i="1"/>
  <c r="AW232" i="1"/>
  <c r="AW262" i="1"/>
  <c r="BS262" i="1"/>
  <c r="BE270" i="1"/>
  <c r="BC270" i="1"/>
  <c r="BA270" i="1"/>
  <c r="AS270" i="1"/>
  <c r="BV270" i="1" s="1"/>
  <c r="AY270" i="1"/>
  <c r="AR270" i="1"/>
  <c r="BU270" i="1" s="1"/>
  <c r="AQ270" i="1"/>
  <c r="BT270" i="1" s="1"/>
  <c r="BG270" i="1"/>
  <c r="BF270" i="1"/>
  <c r="BD270" i="1"/>
  <c r="BB270" i="1"/>
  <c r="AZ270" i="1"/>
  <c r="AX270" i="1"/>
  <c r="AT270" i="1"/>
  <c r="BW270" i="1" s="1"/>
  <c r="BC304" i="1"/>
  <c r="BB304" i="1"/>
  <c r="AZ304" i="1"/>
  <c r="AX304" i="1"/>
  <c r="AP304" i="1"/>
  <c r="BG304" i="1"/>
  <c r="BE304" i="1"/>
  <c r="BD304" i="1"/>
  <c r="BF304" i="1"/>
  <c r="BA304" i="1"/>
  <c r="AY304" i="1"/>
  <c r="AT304" i="1"/>
  <c r="BW304" i="1" s="1"/>
  <c r="AS304" i="1"/>
  <c r="BV304" i="1" s="1"/>
  <c r="BE306" i="1"/>
  <c r="BF306" i="1"/>
  <c r="BC306" i="1"/>
  <c r="AZ306" i="1"/>
  <c r="AX306" i="1"/>
  <c r="AS306" i="1"/>
  <c r="BV306" i="1" s="1"/>
  <c r="AR306" i="1"/>
  <c r="BU306" i="1" s="1"/>
  <c r="BG306" i="1"/>
  <c r="BD306" i="1"/>
  <c r="AT306" i="1"/>
  <c r="BW306" i="1" s="1"/>
  <c r="AQ306" i="1"/>
  <c r="BT306" i="1" s="1"/>
  <c r="AP306" i="1"/>
  <c r="AN306" i="1"/>
  <c r="BH373" i="1"/>
  <c r="BS373" i="1"/>
  <c r="BT461" i="1"/>
  <c r="BS478" i="1"/>
  <c r="BS480" i="1"/>
  <c r="BZ539" i="1"/>
  <c r="AN568" i="1"/>
  <c r="AZ568" i="1"/>
  <c r="AU568" i="1"/>
  <c r="BX568" i="1" s="1"/>
  <c r="AT568" i="1"/>
  <c r="BW568" i="1" s="1"/>
  <c r="AS568" i="1"/>
  <c r="BV568" i="1" s="1"/>
  <c r="BF568" i="1"/>
  <c r="BD568" i="1"/>
  <c r="BC568" i="1"/>
  <c r="BB568" i="1"/>
  <c r="AQ568" i="1"/>
  <c r="BT568" i="1" s="1"/>
  <c r="AP568" i="1"/>
  <c r="BG568" i="1"/>
  <c r="BE568" i="1"/>
  <c r="BA568" i="1"/>
  <c r="AY568" i="1"/>
  <c r="AR568" i="1"/>
  <c r="BU568" i="1" s="1"/>
  <c r="AX568" i="1"/>
  <c r="AS17" i="1"/>
  <c r="BV17" i="1" s="1"/>
  <c r="AQ17" i="1"/>
  <c r="BH17" i="1" s="1"/>
  <c r="BZ17" i="1" s="1"/>
  <c r="AN17" i="1"/>
  <c r="BF31" i="1"/>
  <c r="AR64" i="1"/>
  <c r="BU64" i="1" s="1"/>
  <c r="AQ64" i="1"/>
  <c r="BT64" i="1" s="1"/>
  <c r="AN64" i="1"/>
  <c r="AW92" i="1"/>
  <c r="BH92" i="1"/>
  <c r="BZ92" i="1" s="1"/>
  <c r="AQ93" i="1"/>
  <c r="BT93" i="1" s="1"/>
  <c r="BA93" i="1"/>
  <c r="AZ93" i="1"/>
  <c r="AY93" i="1"/>
  <c r="AT93" i="1"/>
  <c r="BW93" i="1" s="1"/>
  <c r="BD94" i="1"/>
  <c r="AY94" i="1"/>
  <c r="AR94" i="1"/>
  <c r="BU94" i="1" s="1"/>
  <c r="AQ94" i="1"/>
  <c r="BT94" i="1" s="1"/>
  <c r="AP94" i="1"/>
  <c r="AP102" i="1"/>
  <c r="BG102" i="1"/>
  <c r="BA102" i="1"/>
  <c r="AZ102" i="1"/>
  <c r="AY102" i="1"/>
  <c r="AT102" i="1"/>
  <c r="BW102" i="1" s="1"/>
  <c r="AP124" i="1"/>
  <c r="BC124" i="1"/>
  <c r="BA124" i="1"/>
  <c r="AY124" i="1"/>
  <c r="AX124" i="1"/>
  <c r="BF124" i="1"/>
  <c r="BE124" i="1"/>
  <c r="BD124" i="1"/>
  <c r="AZ124" i="1"/>
  <c r="BD156" i="1"/>
  <c r="AS156" i="1"/>
  <c r="BV156" i="1" s="1"/>
  <c r="AQ156" i="1"/>
  <c r="BT156" i="1" s="1"/>
  <c r="AN156" i="1"/>
  <c r="AY156" i="1"/>
  <c r="AX156" i="1"/>
  <c r="AT156" i="1"/>
  <c r="BW156" i="1" s="1"/>
  <c r="AR156" i="1"/>
  <c r="BU156" i="1" s="1"/>
  <c r="AP156" i="1"/>
  <c r="AW158" i="1"/>
  <c r="BS158" i="1"/>
  <c r="BH158" i="1"/>
  <c r="BB197" i="1"/>
  <c r="AP197" i="1"/>
  <c r="BE197" i="1"/>
  <c r="AZ197" i="1"/>
  <c r="AT197" i="1"/>
  <c r="BW197" i="1" s="1"/>
  <c r="AR197" i="1"/>
  <c r="BU197" i="1" s="1"/>
  <c r="AN197" i="1"/>
  <c r="BG197" i="1"/>
  <c r="BF197" i="1"/>
  <c r="BD197" i="1"/>
  <c r="BC197" i="1"/>
  <c r="BA197" i="1"/>
  <c r="BS199" i="1"/>
  <c r="BH199" i="1"/>
  <c r="AW199" i="1"/>
  <c r="AR229" i="1"/>
  <c r="BU229" i="1" s="1"/>
  <c r="BD229" i="1"/>
  <c r="AS229" i="1"/>
  <c r="BV229" i="1" s="1"/>
  <c r="AQ229" i="1"/>
  <c r="BT229" i="1" s="1"/>
  <c r="AN229" i="1"/>
  <c r="AX229" i="1"/>
  <c r="AT229" i="1"/>
  <c r="BW229" i="1" s="1"/>
  <c r="AP229" i="1"/>
  <c r="AW324" i="1"/>
  <c r="AS365" i="1"/>
  <c r="BV365" i="1" s="1"/>
  <c r="AP365" i="1"/>
  <c r="BC365" i="1"/>
  <c r="AT365" i="1"/>
  <c r="BW365" i="1" s="1"/>
  <c r="AQ365" i="1"/>
  <c r="BT365" i="1" s="1"/>
  <c r="BG365" i="1"/>
  <c r="AN365" i="1"/>
  <c r="BA365" i="1"/>
  <c r="AZ365" i="1"/>
  <c r="AY365" i="1"/>
  <c r="AX365" i="1"/>
  <c r="AR365" i="1"/>
  <c r="BU365" i="1" s="1"/>
  <c r="BF365" i="1"/>
  <c r="BE365" i="1"/>
  <c r="BD365" i="1"/>
  <c r="BB365" i="1"/>
  <c r="BS390" i="1"/>
  <c r="BE85" i="1"/>
  <c r="AZ85" i="1"/>
  <c r="AP85" i="1"/>
  <c r="BE100" i="1"/>
  <c r="AR100" i="1"/>
  <c r="BU100" i="1" s="1"/>
  <c r="AQ100" i="1"/>
  <c r="BT100" i="1" s="1"/>
  <c r="AP100" i="1"/>
  <c r="BS653" i="1"/>
  <c r="AS35" i="1"/>
  <c r="BV35" i="1" s="1"/>
  <c r="AQ35" i="1"/>
  <c r="AN35" i="1"/>
  <c r="BG87" i="1"/>
  <c r="BB87" i="1"/>
  <c r="AY87" i="1"/>
  <c r="AX87" i="1"/>
  <c r="AS87" i="1"/>
  <c r="BV87" i="1" s="1"/>
  <c r="AR87" i="1"/>
  <c r="BU87" i="1" s="1"/>
  <c r="AW91" i="1"/>
  <c r="BC103" i="1"/>
  <c r="AX103" i="1"/>
  <c r="AR103" i="1"/>
  <c r="BU103" i="1" s="1"/>
  <c r="AQ103" i="1"/>
  <c r="BT103" i="1" s="1"/>
  <c r="AP103" i="1"/>
  <c r="BD160" i="1"/>
  <c r="BB160" i="1"/>
  <c r="AZ160" i="1"/>
  <c r="AY160" i="1"/>
  <c r="BE160" i="1"/>
  <c r="BC160" i="1"/>
  <c r="BA160" i="1"/>
  <c r="AX160" i="1"/>
  <c r="AT160" i="1"/>
  <c r="BW160" i="1" s="1"/>
  <c r="BS205" i="1"/>
  <c r="BH205" i="1"/>
  <c r="BZ242" i="1"/>
  <c r="BS309" i="1"/>
  <c r="AQ318" i="1"/>
  <c r="BT318" i="1" s="1"/>
  <c r="AN318" i="1"/>
  <c r="BD318" i="1"/>
  <c r="BA318" i="1"/>
  <c r="AY318" i="1"/>
  <c r="AT318" i="1"/>
  <c r="BW318" i="1" s="1"/>
  <c r="AS318" i="1"/>
  <c r="BV318" i="1" s="1"/>
  <c r="BG318" i="1"/>
  <c r="BF318" i="1"/>
  <c r="BE318" i="1"/>
  <c r="BB318" i="1"/>
  <c r="AZ318" i="1"/>
  <c r="AX318" i="1"/>
  <c r="AR318" i="1"/>
  <c r="BU318" i="1" s="1"/>
  <c r="AP318" i="1"/>
  <c r="BB333" i="1"/>
  <c r="AP333" i="1"/>
  <c r="BF333" i="1"/>
  <c r="BD333" i="1"/>
  <c r="BA333" i="1"/>
  <c r="AS333" i="1"/>
  <c r="BV333" i="1" s="1"/>
  <c r="AR333" i="1"/>
  <c r="BU333" i="1" s="1"/>
  <c r="AN333" i="1"/>
  <c r="AX333" i="1"/>
  <c r="AT333" i="1"/>
  <c r="BW333" i="1" s="1"/>
  <c r="AQ333" i="1"/>
  <c r="BT333" i="1" s="1"/>
  <c r="BH337" i="1"/>
  <c r="BT337" i="1"/>
  <c r="AY340" i="1"/>
  <c r="BG340" i="1"/>
  <c r="BE340" i="1"/>
  <c r="BC340" i="1"/>
  <c r="AS340" i="1"/>
  <c r="BV340" i="1" s="1"/>
  <c r="BA340" i="1"/>
  <c r="AX340" i="1"/>
  <c r="AR340" i="1"/>
  <c r="BU340" i="1" s="1"/>
  <c r="AQ340" i="1"/>
  <c r="BT340" i="1" s="1"/>
  <c r="BF340" i="1"/>
  <c r="BD340" i="1"/>
  <c r="AT356" i="1"/>
  <c r="BW356" i="1" s="1"/>
  <c r="BC356" i="1"/>
  <c r="BA356" i="1"/>
  <c r="AY356" i="1"/>
  <c r="AP356" i="1"/>
  <c r="BF356" i="1"/>
  <c r="BD356" i="1"/>
  <c r="AR356" i="1"/>
  <c r="BU356" i="1" s="1"/>
  <c r="AQ356" i="1"/>
  <c r="BT356" i="1" s="1"/>
  <c r="BG356" i="1"/>
  <c r="BE356" i="1"/>
  <c r="AP412" i="1"/>
  <c r="BB412" i="1"/>
  <c r="AZ412" i="1"/>
  <c r="AX412" i="1"/>
  <c r="AT412" i="1"/>
  <c r="BW412" i="1" s="1"/>
  <c r="BD412" i="1"/>
  <c r="BA412" i="1"/>
  <c r="AS412" i="1"/>
  <c r="BV412" i="1" s="1"/>
  <c r="AQ412" i="1"/>
  <c r="BT412" i="1" s="1"/>
  <c r="AQ431" i="1"/>
  <c r="BT431" i="1" s="1"/>
  <c r="AX431" i="1"/>
  <c r="AT431" i="1"/>
  <c r="BW431" i="1" s="1"/>
  <c r="AR431" i="1"/>
  <c r="BU431" i="1" s="1"/>
  <c r="AP431" i="1"/>
  <c r="BF431" i="1"/>
  <c r="BD431" i="1"/>
  <c r="BB431" i="1"/>
  <c r="AZ431" i="1"/>
  <c r="AY431" i="1"/>
  <c r="BG431" i="1"/>
  <c r="AN431" i="1"/>
  <c r="BE431" i="1"/>
  <c r="BA431" i="1"/>
  <c r="BC431" i="1"/>
  <c r="BE8" i="1"/>
  <c r="F8" i="1"/>
  <c r="BC8" i="1"/>
  <c r="BA8" i="1"/>
  <c r="AZ8" i="1"/>
  <c r="BS427" i="1"/>
  <c r="BH427" i="1"/>
  <c r="AW427" i="1"/>
  <c r="T3" i="1"/>
  <c r="AS13" i="1"/>
  <c r="BV13" i="1" s="1"/>
  <c r="AQ13" i="1"/>
  <c r="AN13" i="1"/>
  <c r="BE40" i="1"/>
  <c r="F40" i="1"/>
  <c r="BC40" i="1"/>
  <c r="BA40" i="1"/>
  <c r="AZ40" i="1"/>
  <c r="BZ40" i="1" s="1"/>
  <c r="AZ45" i="1"/>
  <c r="AX45" i="1"/>
  <c r="AT45" i="1"/>
  <c r="BW45" i="1" s="1"/>
  <c r="AS45" i="1"/>
  <c r="BV45" i="1" s="1"/>
  <c r="AY54" i="1"/>
  <c r="AS54" i="1"/>
  <c r="BV54" i="1" s="1"/>
  <c r="AR54" i="1"/>
  <c r="BU54" i="1" s="1"/>
  <c r="AN79" i="1"/>
  <c r="AN85" i="1"/>
  <c r="AN100" i="1"/>
  <c r="AN120" i="1"/>
  <c r="BS178" i="1"/>
  <c r="BT211" i="1"/>
  <c r="BS216" i="1"/>
  <c r="BG222" i="1"/>
  <c r="AZ222" i="1"/>
  <c r="AS222" i="1"/>
  <c r="BV222" i="1" s="1"/>
  <c r="AR222" i="1"/>
  <c r="BU222" i="1" s="1"/>
  <c r="BF222" i="1"/>
  <c r="BD222" i="1"/>
  <c r="BB222" i="1"/>
  <c r="BA222" i="1"/>
  <c r="BE222" i="1"/>
  <c r="BC222" i="1"/>
  <c r="AY222" i="1"/>
  <c r="AX222" i="1"/>
  <c r="AT222" i="1"/>
  <c r="BW222" i="1" s="1"/>
  <c r="AQ222" i="1"/>
  <c r="BT222" i="1" s="1"/>
  <c r="AY330" i="1"/>
  <c r="BE330" i="1"/>
  <c r="BC330" i="1"/>
  <c r="BA330" i="1"/>
  <c r="AR330" i="1"/>
  <c r="BU330" i="1" s="1"/>
  <c r="BG330" i="1"/>
  <c r="BD330" i="1"/>
  <c r="AZ330" i="1"/>
  <c r="AX330" i="1"/>
  <c r="BF330" i="1"/>
  <c r="BB330" i="1"/>
  <c r="AT330" i="1"/>
  <c r="BW330" i="1" s="1"/>
  <c r="AS330" i="1"/>
  <c r="BV330" i="1" s="1"/>
  <c r="AQ330" i="1"/>
  <c r="BT330" i="1" s="1"/>
  <c r="BG377" i="1"/>
  <c r="BE377" i="1"/>
  <c r="BC377" i="1"/>
  <c r="BA377" i="1"/>
  <c r="AR377" i="1"/>
  <c r="BU377" i="1" s="1"/>
  <c r="AQ377" i="1"/>
  <c r="BT377" i="1" s="1"/>
  <c r="AN377" i="1"/>
  <c r="BD377" i="1"/>
  <c r="BB377" i="1"/>
  <c r="AS377" i="1"/>
  <c r="BV377" i="1" s="1"/>
  <c r="AP377" i="1"/>
  <c r="BF377" i="1"/>
  <c r="AN381" i="1"/>
  <c r="BA381" i="1"/>
  <c r="AX381" i="1"/>
  <c r="AT381" i="1"/>
  <c r="BW381" i="1" s="1"/>
  <c r="AR381" i="1"/>
  <c r="BU381" i="1" s="1"/>
  <c r="BF381" i="1"/>
  <c r="BD381" i="1"/>
  <c r="AS381" i="1"/>
  <c r="BV381" i="1" s="1"/>
  <c r="BG381" i="1"/>
  <c r="BE381" i="1"/>
  <c r="BC381" i="1"/>
  <c r="AY381" i="1"/>
  <c r="AQ381" i="1"/>
  <c r="BT381" i="1" s="1"/>
  <c r="AP381" i="1"/>
  <c r="BS521" i="1"/>
  <c r="BH529" i="1"/>
  <c r="BZ529" i="1" s="1"/>
  <c r="BT529" i="1"/>
  <c r="BE538" i="1"/>
  <c r="AS538" i="1"/>
  <c r="BV538" i="1" s="1"/>
  <c r="BG538" i="1"/>
  <c r="BD538" i="1"/>
  <c r="BC538" i="1"/>
  <c r="BB538" i="1"/>
  <c r="AT538" i="1"/>
  <c r="BW538" i="1" s="1"/>
  <c r="AY538" i="1"/>
  <c r="AQ538" i="1"/>
  <c r="BT538" i="1" s="1"/>
  <c r="AN538" i="1"/>
  <c r="BF538" i="1"/>
  <c r="AP538" i="1"/>
  <c r="BA538" i="1"/>
  <c r="AZ538" i="1"/>
  <c r="AX538" i="1"/>
  <c r="AR538" i="1"/>
  <c r="BU538" i="1" s="1"/>
  <c r="BD179" i="1"/>
  <c r="BF179" i="1"/>
  <c r="BC179" i="1"/>
  <c r="BA179" i="1"/>
  <c r="AZ179" i="1"/>
  <c r="BG179" i="1"/>
  <c r="BE179" i="1"/>
  <c r="BB179" i="1"/>
  <c r="AY179" i="1"/>
  <c r="AR249" i="1"/>
  <c r="BU249" i="1" s="1"/>
  <c r="BD249" i="1"/>
  <c r="BE249" i="1"/>
  <c r="AZ249" i="1"/>
  <c r="AY249" i="1"/>
  <c r="BF249" i="1"/>
  <c r="BC249" i="1"/>
  <c r="AT249" i="1"/>
  <c r="BW249" i="1" s="1"/>
  <c r="AS249" i="1"/>
  <c r="BV249" i="1" s="1"/>
  <c r="AQ249" i="1"/>
  <c r="BT249" i="1" s="1"/>
  <c r="AP249" i="1"/>
  <c r="AN249" i="1"/>
  <c r="BZ278" i="1"/>
  <c r="BH374" i="1"/>
  <c r="BZ374" i="1" s="1"/>
  <c r="AN8" i="1"/>
  <c r="AS31" i="1"/>
  <c r="BV31" i="1" s="1"/>
  <c r="AQ31" i="1"/>
  <c r="BH31" i="1" s="1"/>
  <c r="AN31" i="1"/>
  <c r="AQ85" i="1"/>
  <c r="BT85" i="1" s="1"/>
  <c r="AX88" i="1"/>
  <c r="AQ88" i="1"/>
  <c r="BT88" i="1" s="1"/>
  <c r="AP88" i="1"/>
  <c r="AN88" i="1"/>
  <c r="BS123" i="1"/>
  <c r="AR146" i="1"/>
  <c r="BU146" i="1" s="1"/>
  <c r="AP146" i="1"/>
  <c r="BG146" i="1"/>
  <c r="BF146" i="1"/>
  <c r="BE146" i="1"/>
  <c r="BD146" i="1"/>
  <c r="BC146" i="1"/>
  <c r="BB146" i="1"/>
  <c r="AQ161" i="1"/>
  <c r="BT161" i="1" s="1"/>
  <c r="BH221" i="1"/>
  <c r="BZ221" i="1" s="1"/>
  <c r="BS221" i="1"/>
  <c r="BC228" i="1"/>
  <c r="AQ228" i="1"/>
  <c r="BT228" i="1" s="1"/>
  <c r="BA228" i="1"/>
  <c r="AT228" i="1"/>
  <c r="BW228" i="1" s="1"/>
  <c r="BB228" i="1"/>
  <c r="AY228" i="1"/>
  <c r="AS228" i="1"/>
  <c r="BV228" i="1" s="1"/>
  <c r="AR228" i="1"/>
  <c r="BU228" i="1" s="1"/>
  <c r="AP228" i="1"/>
  <c r="AN228" i="1"/>
  <c r="AZ239" i="1"/>
  <c r="AX249" i="1"/>
  <c r="BB257" i="1"/>
  <c r="AZ257" i="1"/>
  <c r="AP257" i="1"/>
  <c r="AR257" i="1"/>
  <c r="BU257" i="1" s="1"/>
  <c r="BD257" i="1"/>
  <c r="BA257" i="1"/>
  <c r="AX257" i="1"/>
  <c r="AT257" i="1"/>
  <c r="BW257" i="1" s="1"/>
  <c r="AS257" i="1"/>
  <c r="BV257" i="1" s="1"/>
  <c r="AQ257" i="1"/>
  <c r="BT257" i="1" s="1"/>
  <c r="AN257" i="1"/>
  <c r="AN292" i="1"/>
  <c r="AS292" i="1"/>
  <c r="BV292" i="1" s="1"/>
  <c r="AQ292" i="1"/>
  <c r="BT292" i="1" s="1"/>
  <c r="BE292" i="1"/>
  <c r="BG292" i="1"/>
  <c r="BD292" i="1"/>
  <c r="BC292" i="1"/>
  <c r="BF292" i="1"/>
  <c r="BB292" i="1"/>
  <c r="BA292" i="1"/>
  <c r="AR292" i="1"/>
  <c r="BU292" i="1" s="1"/>
  <c r="AP292" i="1"/>
  <c r="AP343" i="1"/>
  <c r="BB343" i="1"/>
  <c r="AQ343" i="1"/>
  <c r="BT343" i="1" s="1"/>
  <c r="BD343" i="1"/>
  <c r="AT343" i="1"/>
  <c r="BW343" i="1" s="1"/>
  <c r="AR343" i="1"/>
  <c r="BU343" i="1" s="1"/>
  <c r="BG343" i="1"/>
  <c r="BF343" i="1"/>
  <c r="BA343" i="1"/>
  <c r="AZ343" i="1"/>
  <c r="AY343" i="1"/>
  <c r="AX343" i="1"/>
  <c r="AS343" i="1"/>
  <c r="BV343" i="1" s="1"/>
  <c r="BS374" i="1"/>
  <c r="BC393" i="1"/>
  <c r="AQ393" i="1"/>
  <c r="BT393" i="1" s="1"/>
  <c r="AZ393" i="1"/>
  <c r="AX393" i="1"/>
  <c r="AT393" i="1"/>
  <c r="BW393" i="1" s="1"/>
  <c r="BA393" i="1"/>
  <c r="BF393" i="1"/>
  <c r="BD393" i="1"/>
  <c r="AP393" i="1"/>
  <c r="BG393" i="1"/>
  <c r="BE393" i="1"/>
  <c r="BB393" i="1"/>
  <c r="AY393" i="1"/>
  <c r="AS393" i="1"/>
  <c r="BV393" i="1" s="1"/>
  <c r="AR393" i="1"/>
  <c r="BU393" i="1" s="1"/>
  <c r="AN393" i="1"/>
  <c r="AT148" i="1"/>
  <c r="BW148" i="1" s="1"/>
  <c r="AX148" i="1"/>
  <c r="AS148" i="1"/>
  <c r="BV148" i="1" s="1"/>
  <c r="AQ148" i="1"/>
  <c r="BT148" i="1" s="1"/>
  <c r="AP148" i="1"/>
  <c r="BD148" i="1"/>
  <c r="BC148" i="1"/>
  <c r="BB148" i="1"/>
  <c r="BA148" i="1"/>
  <c r="AZ148" i="1"/>
  <c r="AY148" i="1"/>
  <c r="AW288" i="1"/>
  <c r="BS288" i="1"/>
  <c r="BD74" i="1"/>
  <c r="AT74" i="1"/>
  <c r="BW74" i="1" s="1"/>
  <c r="AR74" i="1"/>
  <c r="BU74" i="1" s="1"/>
  <c r="AP74" i="1"/>
  <c r="AN74" i="1"/>
  <c r="AR120" i="1"/>
  <c r="BU120" i="1" s="1"/>
  <c r="AP120" i="1"/>
  <c r="AY120" i="1"/>
  <c r="AX120" i="1"/>
  <c r="AS120" i="1"/>
  <c r="BV120" i="1" s="1"/>
  <c r="AQ120" i="1"/>
  <c r="BT120" i="1" s="1"/>
  <c r="BC125" i="1"/>
  <c r="AS125" i="1"/>
  <c r="BV125" i="1" s="1"/>
  <c r="AQ125" i="1"/>
  <c r="BT125" i="1" s="1"/>
  <c r="AN125" i="1"/>
  <c r="BA125" i="1"/>
  <c r="AZ125" i="1"/>
  <c r="AY125" i="1"/>
  <c r="AT125" i="1"/>
  <c r="BW125" i="1" s="1"/>
  <c r="BE22" i="1"/>
  <c r="F22" i="1"/>
  <c r="BC22" i="1"/>
  <c r="BA22" i="1"/>
  <c r="AZ22" i="1"/>
  <c r="BE18" i="1"/>
  <c r="F18" i="1"/>
  <c r="BC18" i="1"/>
  <c r="BA18" i="1"/>
  <c r="AZ18" i="1"/>
  <c r="BZ18" i="1" s="1"/>
  <c r="AP21" i="1"/>
  <c r="AW62" i="1"/>
  <c r="AQ74" i="1"/>
  <c r="BT74" i="1" s="1"/>
  <c r="AR79" i="1"/>
  <c r="BU79" i="1" s="1"/>
  <c r="BA81" i="1"/>
  <c r="BB81" i="1"/>
  <c r="AY81" i="1"/>
  <c r="AT81" i="1"/>
  <c r="BW81" i="1" s="1"/>
  <c r="AS100" i="1"/>
  <c r="BV100" i="1" s="1"/>
  <c r="BE105" i="1"/>
  <c r="AZ105" i="1"/>
  <c r="BB105" i="1"/>
  <c r="BA105" i="1"/>
  <c r="AY105" i="1"/>
  <c r="AT105" i="1"/>
  <c r="BW105" i="1" s="1"/>
  <c r="AP125" i="1"/>
  <c r="AR148" i="1"/>
  <c r="BU148" i="1" s="1"/>
  <c r="AQ155" i="1"/>
  <c r="BT155" i="1" s="1"/>
  <c r="BC155" i="1"/>
  <c r="BA155" i="1"/>
  <c r="AY155" i="1"/>
  <c r="AX155" i="1"/>
  <c r="BD155" i="1"/>
  <c r="BB155" i="1"/>
  <c r="AZ155" i="1"/>
  <c r="AT155" i="1"/>
  <c r="BW155" i="1" s="1"/>
  <c r="AS155" i="1"/>
  <c r="BV155" i="1" s="1"/>
  <c r="AW159" i="1"/>
  <c r="BH159" i="1"/>
  <c r="BZ159" i="1" s="1"/>
  <c r="AP179" i="1"/>
  <c r="AP8" i="1"/>
  <c r="AS9" i="1"/>
  <c r="BV9" i="1" s="1"/>
  <c r="AQ9" i="1"/>
  <c r="BT9" i="1" s="1"/>
  <c r="AN9" i="1"/>
  <c r="AR21" i="1"/>
  <c r="BU21" i="1" s="1"/>
  <c r="AN26" i="1"/>
  <c r="BE36" i="1"/>
  <c r="F36" i="1"/>
  <c r="BC36" i="1"/>
  <c r="BA36" i="1"/>
  <c r="AZ36" i="1"/>
  <c r="BH36" i="1" s="1"/>
  <c r="AP39" i="1"/>
  <c r="AN49" i="1"/>
  <c r="AS50" i="1"/>
  <c r="BV50" i="1" s="1"/>
  <c r="AQ50" i="1"/>
  <c r="AN50" i="1"/>
  <c r="AN58" i="1"/>
  <c r="AR59" i="1"/>
  <c r="BU59" i="1" s="1"/>
  <c r="AP59" i="1"/>
  <c r="AP64" i="1"/>
  <c r="AN69" i="1"/>
  <c r="AS74" i="1"/>
  <c r="BV74" i="1" s="1"/>
  <c r="AT79" i="1"/>
  <c r="BW79" i="1" s="1"/>
  <c r="AN80" i="1"/>
  <c r="AR85" i="1"/>
  <c r="BU85" i="1" s="1"/>
  <c r="AP86" i="1"/>
  <c r="AN93" i="1"/>
  <c r="AT100" i="1"/>
  <c r="BW100" i="1" s="1"/>
  <c r="BS101" i="1"/>
  <c r="BH101" i="1"/>
  <c r="BZ101" i="1" s="1"/>
  <c r="AW118" i="1"/>
  <c r="AN119" i="1"/>
  <c r="AZ120" i="1"/>
  <c r="AR125" i="1"/>
  <c r="BU125" i="1" s="1"/>
  <c r="AN147" i="1"/>
  <c r="AN153" i="1"/>
  <c r="AX153" i="1"/>
  <c r="AT153" i="1"/>
  <c r="BW153" i="1" s="1"/>
  <c r="AR153" i="1"/>
  <c r="BU153" i="1" s="1"/>
  <c r="AQ153" i="1"/>
  <c r="BT153" i="1" s="1"/>
  <c r="BG153" i="1"/>
  <c r="BF153" i="1"/>
  <c r="BE153" i="1"/>
  <c r="BD153" i="1"/>
  <c r="BC161" i="1"/>
  <c r="BE174" i="1"/>
  <c r="AX174" i="1"/>
  <c r="AT174" i="1"/>
  <c r="BW174" i="1" s="1"/>
  <c r="AR174" i="1"/>
  <c r="BU174" i="1" s="1"/>
  <c r="AQ174" i="1"/>
  <c r="BT174" i="1" s="1"/>
  <c r="AY174" i="1"/>
  <c r="AS174" i="1"/>
  <c r="BV174" i="1" s="1"/>
  <c r="AP174" i="1"/>
  <c r="AN174" i="1"/>
  <c r="AQ179" i="1"/>
  <c r="BT179" i="1" s="1"/>
  <c r="AR193" i="1"/>
  <c r="BU193" i="1" s="1"/>
  <c r="AN212" i="1"/>
  <c r="BS215" i="1"/>
  <c r="BH215" i="1"/>
  <c r="AS220" i="1"/>
  <c r="BV220" i="1" s="1"/>
  <c r="BE220" i="1"/>
  <c r="AR220" i="1"/>
  <c r="BU220" i="1" s="1"/>
  <c r="AQ220" i="1"/>
  <c r="BT220" i="1" s="1"/>
  <c r="AN220" i="1"/>
  <c r="BG220" i="1"/>
  <c r="BF220" i="1"/>
  <c r="BD220" i="1"/>
  <c r="BC220" i="1"/>
  <c r="BB220" i="1"/>
  <c r="AY229" i="1"/>
  <c r="AQ238" i="1"/>
  <c r="BT238" i="1" s="1"/>
  <c r="BC238" i="1"/>
  <c r="AT238" i="1"/>
  <c r="BW238" i="1" s="1"/>
  <c r="AN238" i="1"/>
  <c r="BF238" i="1"/>
  <c r="BD238" i="1"/>
  <c r="BA238" i="1"/>
  <c r="AZ238" i="1"/>
  <c r="AS238" i="1"/>
  <c r="BV238" i="1" s="1"/>
  <c r="AR238" i="1"/>
  <c r="BU238" i="1" s="1"/>
  <c r="AP238" i="1"/>
  <c r="BB239" i="1"/>
  <c r="BA249" i="1"/>
  <c r="AN270" i="1"/>
  <c r="AT279" i="1"/>
  <c r="BW279" i="1" s="1"/>
  <c r="AR279" i="1"/>
  <c r="BU279" i="1" s="1"/>
  <c r="AP279" i="1"/>
  <c r="BF279" i="1"/>
  <c r="BG279" i="1"/>
  <c r="BE279" i="1"/>
  <c r="BD279" i="1"/>
  <c r="BC279" i="1"/>
  <c r="BB279" i="1"/>
  <c r="BA279" i="1"/>
  <c r="AN304" i="1"/>
  <c r="AY306" i="1"/>
  <c r="BS312" i="1"/>
  <c r="BH312" i="1"/>
  <c r="AW317" i="1"/>
  <c r="BS317" i="1"/>
  <c r="BH317" i="1"/>
  <c r="BS336" i="1"/>
  <c r="BG435" i="1"/>
  <c r="BF435" i="1"/>
  <c r="AZ435" i="1"/>
  <c r="BB435" i="1"/>
  <c r="AY435" i="1"/>
  <c r="AT435" i="1"/>
  <c r="BW435" i="1" s="1"/>
  <c r="AS435" i="1"/>
  <c r="BV435" i="1" s="1"/>
  <c r="AQ435" i="1"/>
  <c r="BT435" i="1" s="1"/>
  <c r="AN435" i="1"/>
  <c r="AX435" i="1"/>
  <c r="AR435" i="1"/>
  <c r="BU435" i="1" s="1"/>
  <c r="AP435" i="1"/>
  <c r="BE435" i="1"/>
  <c r="BD435" i="1"/>
  <c r="BC435" i="1"/>
  <c r="BA435" i="1"/>
  <c r="BE498" i="1"/>
  <c r="AS498" i="1"/>
  <c r="BV498" i="1" s="1"/>
  <c r="BG498" i="1"/>
  <c r="AX498" i="1"/>
  <c r="BA498" i="1"/>
  <c r="AY498" i="1"/>
  <c r="AT498" i="1"/>
  <c r="BW498" i="1" s="1"/>
  <c r="BD498" i="1"/>
  <c r="AN498" i="1"/>
  <c r="BC498" i="1"/>
  <c r="AZ498" i="1"/>
  <c r="BF498" i="1"/>
  <c r="BB498" i="1"/>
  <c r="AR498" i="1"/>
  <c r="BU498" i="1" s="1"/>
  <c r="AP498" i="1"/>
  <c r="AW518" i="1"/>
  <c r="BH518" i="1"/>
  <c r="BS518" i="1"/>
  <c r="BS527" i="1"/>
  <c r="BF46" i="1"/>
  <c r="BH46" i="1" s="1"/>
  <c r="BZ46" i="1" s="1"/>
  <c r="BC53" i="1"/>
  <c r="BH53" i="1" s="1"/>
  <c r="BE55" i="1"/>
  <c r="BD62" i="1"/>
  <c r="BH62" i="1" s="1"/>
  <c r="BZ62" i="1" s="1"/>
  <c r="BE67" i="1"/>
  <c r="BH67" i="1" s="1"/>
  <c r="BG72" i="1"/>
  <c r="BD75" i="1"/>
  <c r="BH75" i="1" s="1"/>
  <c r="BC95" i="1"/>
  <c r="BD101" i="1"/>
  <c r="BC104" i="1"/>
  <c r="BD107" i="1"/>
  <c r="BE110" i="1"/>
  <c r="BF122" i="1"/>
  <c r="BA163" i="1"/>
  <c r="AZ163" i="1"/>
  <c r="AX163" i="1"/>
  <c r="AT163" i="1"/>
  <c r="BW163" i="1" s="1"/>
  <c r="AS163" i="1"/>
  <c r="BV163" i="1" s="1"/>
  <c r="BD164" i="1"/>
  <c r="AT183" i="1"/>
  <c r="BW183" i="1" s="1"/>
  <c r="AY183" i="1"/>
  <c r="AR183" i="1"/>
  <c r="BU183" i="1" s="1"/>
  <c r="AQ183" i="1"/>
  <c r="BT183" i="1" s="1"/>
  <c r="BC188" i="1"/>
  <c r="AQ188" i="1"/>
  <c r="BT188" i="1" s="1"/>
  <c r="BD188" i="1"/>
  <c r="AY188" i="1"/>
  <c r="AS188" i="1"/>
  <c r="BV188" i="1" s="1"/>
  <c r="AP188" i="1"/>
  <c r="AN188" i="1"/>
  <c r="AR189" i="1"/>
  <c r="BU189" i="1" s="1"/>
  <c r="BD189" i="1"/>
  <c r="AP189" i="1"/>
  <c r="AQ189" i="1"/>
  <c r="BT189" i="1" s="1"/>
  <c r="AX203" i="1"/>
  <c r="BE203" i="1"/>
  <c r="BA203" i="1"/>
  <c r="AZ203" i="1"/>
  <c r="BG232" i="1"/>
  <c r="AR232" i="1"/>
  <c r="BE232" i="1"/>
  <c r="BC232" i="1"/>
  <c r="BA232" i="1"/>
  <c r="AZ232" i="1"/>
  <c r="AX233" i="1"/>
  <c r="BE233" i="1"/>
  <c r="BD233" i="1"/>
  <c r="BA233" i="1"/>
  <c r="AY233" i="1"/>
  <c r="AT233" i="1"/>
  <c r="BW233" i="1" s="1"/>
  <c r="AS233" i="1"/>
  <c r="BV233" i="1" s="1"/>
  <c r="BA246" i="1"/>
  <c r="AN246" i="1"/>
  <c r="BC246" i="1"/>
  <c r="AX246" i="1"/>
  <c r="AR246" i="1"/>
  <c r="BU246" i="1" s="1"/>
  <c r="AP246" i="1"/>
  <c r="AN256" i="1"/>
  <c r="BA256" i="1"/>
  <c r="AY256" i="1"/>
  <c r="AS256" i="1"/>
  <c r="BV256" i="1" s="1"/>
  <c r="AR256" i="1"/>
  <c r="BU256" i="1" s="1"/>
  <c r="BF256" i="1"/>
  <c r="BD256" i="1"/>
  <c r="BB256" i="1"/>
  <c r="AZ256" i="1"/>
  <c r="BA299" i="1"/>
  <c r="AY299" i="1"/>
  <c r="AN299" i="1"/>
  <c r="BC299" i="1"/>
  <c r="AZ299" i="1"/>
  <c r="AT299" i="1"/>
  <c r="BW299" i="1" s="1"/>
  <c r="AS299" i="1"/>
  <c r="BV299" i="1" s="1"/>
  <c r="BE299" i="1"/>
  <c r="BD299" i="1"/>
  <c r="BB299" i="1"/>
  <c r="AX299" i="1"/>
  <c r="AR299" i="1"/>
  <c r="BU299" i="1" s="1"/>
  <c r="AQ299" i="1"/>
  <c r="BT299" i="1" s="1"/>
  <c r="BS321" i="1"/>
  <c r="BG357" i="1"/>
  <c r="AR357" i="1"/>
  <c r="BU357" i="1" s="1"/>
  <c r="AP357" i="1"/>
  <c r="BD357" i="1"/>
  <c r="BB357" i="1"/>
  <c r="AZ357" i="1"/>
  <c r="AX357" i="1"/>
  <c r="AS357" i="1"/>
  <c r="BV357" i="1" s="1"/>
  <c r="AN357" i="1"/>
  <c r="BD364" i="1"/>
  <c r="AZ364" i="1"/>
  <c r="AX364" i="1"/>
  <c r="AT364" i="1"/>
  <c r="BW364" i="1" s="1"/>
  <c r="AY364" i="1"/>
  <c r="AS364" i="1"/>
  <c r="BV364" i="1" s="1"/>
  <c r="AQ364" i="1"/>
  <c r="BT364" i="1" s="1"/>
  <c r="AP364" i="1"/>
  <c r="AR364" i="1"/>
  <c r="BU364" i="1" s="1"/>
  <c r="AN364" i="1"/>
  <c r="BZ367" i="1"/>
  <c r="BE395" i="1"/>
  <c r="AS395" i="1"/>
  <c r="BV395" i="1" s="1"/>
  <c r="BG395" i="1"/>
  <c r="BD395" i="1"/>
  <c r="AX395" i="1"/>
  <c r="AR395" i="1"/>
  <c r="BU395" i="1" s="1"/>
  <c r="BF395" i="1"/>
  <c r="BB395" i="1"/>
  <c r="AZ395" i="1"/>
  <c r="AN395" i="1"/>
  <c r="AQ395" i="1"/>
  <c r="BT395" i="1" s="1"/>
  <c r="AP395" i="1"/>
  <c r="BS477" i="1"/>
  <c r="AZ543" i="1"/>
  <c r="BC543" i="1"/>
  <c r="AN543" i="1"/>
  <c r="BB543" i="1"/>
  <c r="BA543" i="1"/>
  <c r="AX543" i="1"/>
  <c r="AT543" i="1"/>
  <c r="BW543" i="1" s="1"/>
  <c r="BF543" i="1"/>
  <c r="BD543" i="1"/>
  <c r="AP543" i="1"/>
  <c r="BG543" i="1"/>
  <c r="BE543" i="1"/>
  <c r="AS543" i="1"/>
  <c r="BV543" i="1" s="1"/>
  <c r="AR543" i="1"/>
  <c r="BU543" i="1" s="1"/>
  <c r="AQ543" i="1"/>
  <c r="BT543" i="1" s="1"/>
  <c r="BD53" i="1"/>
  <c r="BE62" i="1"/>
  <c r="BF67" i="1"/>
  <c r="BE75" i="1"/>
  <c r="BD95" i="1"/>
  <c r="BE101" i="1"/>
  <c r="BD104" i="1"/>
  <c r="BB134" i="1"/>
  <c r="BF134" i="1"/>
  <c r="BD134" i="1"/>
  <c r="BA134" i="1"/>
  <c r="AZ134" i="1"/>
  <c r="BZ134" i="1" s="1"/>
  <c r="BE164" i="1"/>
  <c r="AN176" i="1"/>
  <c r="BE176" i="1"/>
  <c r="BC176" i="1"/>
  <c r="BA176" i="1"/>
  <c r="AZ176" i="1"/>
  <c r="BZ176" i="1" s="1"/>
  <c r="AY184" i="1"/>
  <c r="BE184" i="1"/>
  <c r="AQ184" i="1"/>
  <c r="BT184" i="1" s="1"/>
  <c r="AN184" i="1"/>
  <c r="BA186" i="1"/>
  <c r="AN186" i="1"/>
  <c r="AS186" i="1"/>
  <c r="BV186" i="1" s="1"/>
  <c r="BF186" i="1"/>
  <c r="BD186" i="1"/>
  <c r="BB186" i="1"/>
  <c r="AZ186" i="1"/>
  <c r="AP187" i="1"/>
  <c r="BB187" i="1"/>
  <c r="BF187" i="1"/>
  <c r="BA187" i="1"/>
  <c r="AY187" i="1"/>
  <c r="AT187" i="1"/>
  <c r="BW187" i="1" s="1"/>
  <c r="BZ199" i="1"/>
  <c r="AZ245" i="1"/>
  <c r="BE245" i="1"/>
  <c r="BD245" i="1"/>
  <c r="AS245" i="1"/>
  <c r="BV245" i="1" s="1"/>
  <c r="AQ245" i="1"/>
  <c r="BT245" i="1" s="1"/>
  <c r="AP245" i="1"/>
  <c r="AZ255" i="1"/>
  <c r="AX255" i="1"/>
  <c r="BF255" i="1"/>
  <c r="BB255" i="1"/>
  <c r="BA255" i="1"/>
  <c r="BG255" i="1"/>
  <c r="BD255" i="1"/>
  <c r="BC255" i="1"/>
  <c r="AW298" i="1"/>
  <c r="BS298" i="1"/>
  <c r="AY320" i="1"/>
  <c r="AX320" i="1"/>
  <c r="AT320" i="1"/>
  <c r="BW320" i="1" s="1"/>
  <c r="AR320" i="1"/>
  <c r="BU320" i="1" s="1"/>
  <c r="AS320" i="1"/>
  <c r="BV320" i="1" s="1"/>
  <c r="AP320" i="1"/>
  <c r="BG320" i="1"/>
  <c r="BS359" i="1"/>
  <c r="AR374" i="1"/>
  <c r="BU374" i="1" s="1"/>
  <c r="BD374" i="1"/>
  <c r="BF374" i="1"/>
  <c r="BC374" i="1"/>
  <c r="BA374" i="1"/>
  <c r="AS374" i="1"/>
  <c r="BV374" i="1" s="1"/>
  <c r="BG374" i="1"/>
  <c r="BB374" i="1"/>
  <c r="AY374" i="1"/>
  <c r="AN374" i="1"/>
  <c r="BE374" i="1"/>
  <c r="AW500" i="1"/>
  <c r="BS500" i="1"/>
  <c r="BB565" i="1"/>
  <c r="AP565" i="1"/>
  <c r="AY565" i="1"/>
  <c r="AX565" i="1"/>
  <c r="AR565" i="1"/>
  <c r="BU565" i="1" s="1"/>
  <c r="AN565" i="1"/>
  <c r="AQ565" i="1"/>
  <c r="BT565" i="1" s="1"/>
  <c r="AZ565" i="1"/>
  <c r="AS565" i="1"/>
  <c r="BV565" i="1" s="1"/>
  <c r="BD565" i="1"/>
  <c r="BF565" i="1"/>
  <c r="BC565" i="1"/>
  <c r="BA565" i="1"/>
  <c r="BC145" i="1"/>
  <c r="AZ145" i="1"/>
  <c r="AX145" i="1"/>
  <c r="AT145" i="1"/>
  <c r="BW145" i="1" s="1"/>
  <c r="AS145" i="1"/>
  <c r="BV145" i="1" s="1"/>
  <c r="AQ151" i="1"/>
  <c r="BT151" i="1" s="1"/>
  <c r="AN151" i="1"/>
  <c r="AY244" i="1"/>
  <c r="AS244" i="1"/>
  <c r="BV244" i="1" s="1"/>
  <c r="AN244" i="1"/>
  <c r="BB244" i="1"/>
  <c r="AZ244" i="1"/>
  <c r="AT244" i="1"/>
  <c r="BW244" i="1" s="1"/>
  <c r="AQ274" i="1"/>
  <c r="BT274" i="1" s="1"/>
  <c r="AS274" i="1"/>
  <c r="BV274" i="1" s="1"/>
  <c r="AP274" i="1"/>
  <c r="BE274" i="1"/>
  <c r="BG274" i="1"/>
  <c r="BD274" i="1"/>
  <c r="BC274" i="1"/>
  <c r="BF274" i="1"/>
  <c r="BB274" i="1"/>
  <c r="BA274" i="1"/>
  <c r="AW284" i="1"/>
  <c r="BH284" i="1"/>
  <c r="BS284" i="1"/>
  <c r="AW311" i="1"/>
  <c r="BA371" i="1"/>
  <c r="BF371" i="1"/>
  <c r="BD371" i="1"/>
  <c r="BB371" i="1"/>
  <c r="AS371" i="1"/>
  <c r="BV371" i="1" s="1"/>
  <c r="AZ371" i="1"/>
  <c r="BE371" i="1"/>
  <c r="AY371" i="1"/>
  <c r="AX371" i="1"/>
  <c r="AT371" i="1"/>
  <c r="BW371" i="1" s="1"/>
  <c r="AR371" i="1"/>
  <c r="BU371" i="1" s="1"/>
  <c r="AQ371" i="1"/>
  <c r="BT371" i="1" s="1"/>
  <c r="AP371" i="1"/>
  <c r="AN371" i="1"/>
  <c r="BZ406" i="1"/>
  <c r="BH438" i="1"/>
  <c r="BZ549" i="1"/>
  <c r="BG62" i="1"/>
  <c r="BG75" i="1"/>
  <c r="BF95" i="1"/>
  <c r="BF104" i="1"/>
  <c r="BG107" i="1"/>
  <c r="BB107" i="1"/>
  <c r="AZ110" i="1"/>
  <c r="AS110" i="1"/>
  <c r="BV110" i="1" s="1"/>
  <c r="AZ152" i="1"/>
  <c r="BF152" i="1"/>
  <c r="BD152" i="1"/>
  <c r="BB152" i="1"/>
  <c r="BA152" i="1"/>
  <c r="BB177" i="1"/>
  <c r="BC177" i="1"/>
  <c r="AX177" i="1"/>
  <c r="AT177" i="1"/>
  <c r="BW177" i="1" s="1"/>
  <c r="AR177" i="1"/>
  <c r="BU177" i="1" s="1"/>
  <c r="AQ177" i="1"/>
  <c r="AW177" i="1" s="1"/>
  <c r="AW231" i="1"/>
  <c r="AX243" i="1"/>
  <c r="BC243" i="1"/>
  <c r="AY243" i="1"/>
  <c r="BG243" i="1"/>
  <c r="BE243" i="1"/>
  <c r="BB243" i="1"/>
  <c r="BA243" i="1"/>
  <c r="BS280" i="1"/>
  <c r="AP283" i="1"/>
  <c r="BE283" i="1"/>
  <c r="BC283" i="1"/>
  <c r="BA283" i="1"/>
  <c r="AS283" i="1"/>
  <c r="BV283" i="1" s="1"/>
  <c r="AX283" i="1"/>
  <c r="AT283" i="1"/>
  <c r="BW283" i="1" s="1"/>
  <c r="AQ283" i="1"/>
  <c r="BT283" i="1" s="1"/>
  <c r="AN283" i="1"/>
  <c r="AS310" i="1"/>
  <c r="BV310" i="1" s="1"/>
  <c r="AQ310" i="1"/>
  <c r="BT310" i="1" s="1"/>
  <c r="AN310" i="1"/>
  <c r="BE310" i="1"/>
  <c r="BG310" i="1"/>
  <c r="BD310" i="1"/>
  <c r="BC310" i="1"/>
  <c r="BF310" i="1"/>
  <c r="BB310" i="1"/>
  <c r="BH310" i="1" s="1"/>
  <c r="BZ310" i="1" s="1"/>
  <c r="BS316" i="1"/>
  <c r="AW327" i="1"/>
  <c r="BS328" i="1"/>
  <c r="AQ363" i="1"/>
  <c r="BT363" i="1" s="1"/>
  <c r="BF363" i="1"/>
  <c r="BD363" i="1"/>
  <c r="AX363" i="1"/>
  <c r="BB363" i="1"/>
  <c r="AZ363" i="1"/>
  <c r="AP363" i="1"/>
  <c r="AR363" i="1"/>
  <c r="BU363" i="1" s="1"/>
  <c r="AN363" i="1"/>
  <c r="AQ383" i="1"/>
  <c r="BT383" i="1" s="1"/>
  <c r="BC383" i="1"/>
  <c r="BG383" i="1"/>
  <c r="BE383" i="1"/>
  <c r="BB383" i="1"/>
  <c r="AT383" i="1"/>
  <c r="BW383" i="1" s="1"/>
  <c r="BD383" i="1"/>
  <c r="AZ383" i="1"/>
  <c r="AX383" i="1"/>
  <c r="AP383" i="1"/>
  <c r="AN383" i="1"/>
  <c r="AW384" i="1"/>
  <c r="BZ441" i="1"/>
  <c r="BZ454" i="1"/>
  <c r="BU499" i="1"/>
  <c r="BG95" i="1"/>
  <c r="BA101" i="1"/>
  <c r="AT101" i="1"/>
  <c r="BW101" i="1" s="1"/>
  <c r="BG104" i="1"/>
  <c r="AX122" i="1"/>
  <c r="AT122" i="1"/>
  <c r="BW122" i="1" s="1"/>
  <c r="AR122" i="1"/>
  <c r="BU122" i="1" s="1"/>
  <c r="AQ122" i="1"/>
  <c r="AP164" i="1"/>
  <c r="AQ164" i="1"/>
  <c r="BT164" i="1" s="1"/>
  <c r="AW175" i="1"/>
  <c r="BS175" i="1"/>
  <c r="BH175" i="1"/>
  <c r="BZ175" i="1" s="1"/>
  <c r="BC268" i="1"/>
  <c r="BA268" i="1"/>
  <c r="AY268" i="1"/>
  <c r="AQ268" i="1"/>
  <c r="BT268" i="1" s="1"/>
  <c r="BG268" i="1"/>
  <c r="BE268" i="1"/>
  <c r="BD268" i="1"/>
  <c r="BB268" i="1"/>
  <c r="AZ268" i="1"/>
  <c r="AX268" i="1"/>
  <c r="BE301" i="1"/>
  <c r="BC301" i="1"/>
  <c r="BA301" i="1"/>
  <c r="AS301" i="1"/>
  <c r="BV301" i="1" s="1"/>
  <c r="AR301" i="1"/>
  <c r="BU301" i="1" s="1"/>
  <c r="AP301" i="1"/>
  <c r="BF301" i="1"/>
  <c r="BD301" i="1"/>
  <c r="BB301" i="1"/>
  <c r="AZ301" i="1"/>
  <c r="AY301" i="1"/>
  <c r="AX301" i="1"/>
  <c r="BS332" i="1"/>
  <c r="BA342" i="1"/>
  <c r="AY342" i="1"/>
  <c r="AN342" i="1"/>
  <c r="AT342" i="1"/>
  <c r="BW342" i="1" s="1"/>
  <c r="AR342" i="1"/>
  <c r="BU342" i="1" s="1"/>
  <c r="AP342" i="1"/>
  <c r="AX342" i="1"/>
  <c r="AQ342" i="1"/>
  <c r="BT342" i="1" s="1"/>
  <c r="BG342" i="1"/>
  <c r="BF342" i="1"/>
  <c r="BS349" i="1"/>
  <c r="BC353" i="1"/>
  <c r="BF353" i="1"/>
  <c r="BD353" i="1"/>
  <c r="BA353" i="1"/>
  <c r="AS353" i="1"/>
  <c r="BV353" i="1" s="1"/>
  <c r="AQ353" i="1"/>
  <c r="BT353" i="1" s="1"/>
  <c r="AN353" i="1"/>
  <c r="AR353" i="1"/>
  <c r="BU353" i="1" s="1"/>
  <c r="BG353" i="1"/>
  <c r="BE353" i="1"/>
  <c r="BB353" i="1"/>
  <c r="AZ353" i="1"/>
  <c r="AY353" i="1"/>
  <c r="AX353" i="1"/>
  <c r="BD465" i="1"/>
  <c r="AR465" i="1"/>
  <c r="BU465" i="1" s="1"/>
  <c r="AP465" i="1"/>
  <c r="BE465" i="1"/>
  <c r="AZ465" i="1"/>
  <c r="AX465" i="1"/>
  <c r="AT465" i="1"/>
  <c r="BW465" i="1" s="1"/>
  <c r="AS465" i="1"/>
  <c r="BV465" i="1" s="1"/>
  <c r="AN465" i="1"/>
  <c r="BF465" i="1"/>
  <c r="BC465" i="1"/>
  <c r="BG465" i="1"/>
  <c r="BB465" i="1"/>
  <c r="AY465" i="1"/>
  <c r="AQ465" i="1"/>
  <c r="BT465" i="1" s="1"/>
  <c r="BA465" i="1"/>
  <c r="BG65" i="1"/>
  <c r="BG70" i="1"/>
  <c r="AN72" i="1"/>
  <c r="BG83" i="1"/>
  <c r="BG89" i="1"/>
  <c r="BH89" i="1" s="1"/>
  <c r="BG129" i="1"/>
  <c r="BD129" i="1"/>
  <c r="BB129" i="1"/>
  <c r="AZ129" i="1"/>
  <c r="AY129" i="1"/>
  <c r="AQ135" i="1"/>
  <c r="BT135" i="1" s="1"/>
  <c r="AX135" i="1"/>
  <c r="AT135" i="1"/>
  <c r="BW135" i="1" s="1"/>
  <c r="AR135" i="1"/>
  <c r="BU135" i="1" s="1"/>
  <c r="AP135" i="1"/>
  <c r="AW138" i="1"/>
  <c r="AN163" i="1"/>
  <c r="AP183" i="1"/>
  <c r="AP184" i="1"/>
  <c r="AN187" i="1"/>
  <c r="AR188" i="1"/>
  <c r="BU188" i="1" s="1"/>
  <c r="AN189" i="1"/>
  <c r="AP203" i="1"/>
  <c r="AP207" i="1"/>
  <c r="BB207" i="1"/>
  <c r="AX207" i="1"/>
  <c r="AR207" i="1"/>
  <c r="BU207" i="1" s="1"/>
  <c r="AQ207" i="1"/>
  <c r="BT207" i="1" s="1"/>
  <c r="AY207" i="1"/>
  <c r="AT207" i="1"/>
  <c r="BW207" i="1" s="1"/>
  <c r="AN207" i="1"/>
  <c r="BE210" i="1"/>
  <c r="AS210" i="1"/>
  <c r="BV210" i="1" s="1"/>
  <c r="AZ210" i="1"/>
  <c r="AT210" i="1"/>
  <c r="BW210" i="1" s="1"/>
  <c r="AR210" i="1"/>
  <c r="BU210" i="1" s="1"/>
  <c r="BG210" i="1"/>
  <c r="AN232" i="1"/>
  <c r="AP233" i="1"/>
  <c r="BS236" i="1"/>
  <c r="AN245" i="1"/>
  <c r="AS246" i="1"/>
  <c r="BV246" i="1" s="1"/>
  <c r="BS254" i="1"/>
  <c r="AP256" i="1"/>
  <c r="AQ294" i="1"/>
  <c r="BT294" i="1" s="1"/>
  <c r="AZ294" i="1"/>
  <c r="AX294" i="1"/>
  <c r="AT294" i="1"/>
  <c r="BW294" i="1" s="1"/>
  <c r="BC294" i="1"/>
  <c r="BA294" i="1"/>
  <c r="AS294" i="1"/>
  <c r="BV294" i="1" s="1"/>
  <c r="BF299" i="1"/>
  <c r="AW302" i="1"/>
  <c r="AR305" i="1"/>
  <c r="BU305" i="1" s="1"/>
  <c r="AS305" i="1"/>
  <c r="BV305" i="1" s="1"/>
  <c r="AP305" i="1"/>
  <c r="BE305" i="1"/>
  <c r="BD305" i="1"/>
  <c r="BB305" i="1"/>
  <c r="AZ305" i="1"/>
  <c r="AY305" i="1"/>
  <c r="BG305" i="1"/>
  <c r="BF305" i="1"/>
  <c r="BC305" i="1"/>
  <c r="BA305" i="1"/>
  <c r="BS315" i="1"/>
  <c r="AN320" i="1"/>
  <c r="AW321" i="1"/>
  <c r="AW347" i="1"/>
  <c r="BH347" i="1"/>
  <c r="AQ357" i="1"/>
  <c r="BT357" i="1" s="1"/>
  <c r="BA364" i="1"/>
  <c r="BS380" i="1"/>
  <c r="AW380" i="1"/>
  <c r="BH380" i="1"/>
  <c r="AZ390" i="1"/>
  <c r="AX390" i="1"/>
  <c r="AT390" i="1"/>
  <c r="BW390" i="1" s="1"/>
  <c r="AR390" i="1"/>
  <c r="BU390" i="1" s="1"/>
  <c r="BG390" i="1"/>
  <c r="BE390" i="1"/>
  <c r="AQ390" i="1"/>
  <c r="BT390" i="1" s="1"/>
  <c r="AN390" i="1"/>
  <c r="BF390" i="1"/>
  <c r="BD390" i="1"/>
  <c r="BC390" i="1"/>
  <c r="AT395" i="1"/>
  <c r="BW395" i="1" s="1"/>
  <c r="BS432" i="1"/>
  <c r="BZ434" i="1"/>
  <c r="AW438" i="1"/>
  <c r="AS453" i="1"/>
  <c r="BV453" i="1" s="1"/>
  <c r="AQ453" i="1"/>
  <c r="BT453" i="1" s="1"/>
  <c r="BE453" i="1"/>
  <c r="BB453" i="1"/>
  <c r="AZ453" i="1"/>
  <c r="AX453" i="1"/>
  <c r="BF453" i="1"/>
  <c r="BC453" i="1"/>
  <c r="AP453" i="1"/>
  <c r="AY453" i="1"/>
  <c r="BG453" i="1"/>
  <c r="BD453" i="1"/>
  <c r="BA453" i="1"/>
  <c r="AW499" i="1"/>
  <c r="BF91" i="1"/>
  <c r="BF111" i="1"/>
  <c r="BF123" i="1"/>
  <c r="BC131" i="1"/>
  <c r="BF136" i="1"/>
  <c r="BZ136" i="1" s="1"/>
  <c r="BG141" i="1"/>
  <c r="BH141" i="1" s="1"/>
  <c r="BF154" i="1"/>
  <c r="BZ154" i="1" s="1"/>
  <c r="BG159" i="1"/>
  <c r="BC162" i="1"/>
  <c r="BF167" i="1"/>
  <c r="BG172" i="1"/>
  <c r="BA172" i="1"/>
  <c r="AQ178" i="1"/>
  <c r="BH178" i="1" s="1"/>
  <c r="BZ178" i="1" s="1"/>
  <c r="AS178" i="1"/>
  <c r="BV178" i="1" s="1"/>
  <c r="BF185" i="1"/>
  <c r="BH185" i="1" s="1"/>
  <c r="BF194" i="1"/>
  <c r="AQ198" i="1"/>
  <c r="BC198" i="1"/>
  <c r="AX198" i="1"/>
  <c r="AR198" i="1"/>
  <c r="BU198" i="1" s="1"/>
  <c r="BG350" i="1"/>
  <c r="BE350" i="1"/>
  <c r="AY350" i="1"/>
  <c r="BD350" i="1"/>
  <c r="BB350" i="1"/>
  <c r="AZ350" i="1"/>
  <c r="AQ350" i="1"/>
  <c r="BH366" i="1"/>
  <c r="BZ366" i="1" s="1"/>
  <c r="AQ370" i="1"/>
  <c r="BT370" i="1" s="1"/>
  <c r="AN370" i="1"/>
  <c r="BC370" i="1"/>
  <c r="AP370" i="1"/>
  <c r="BD370" i="1"/>
  <c r="BF370" i="1"/>
  <c r="BB370" i="1"/>
  <c r="AZ370" i="1"/>
  <c r="AY370" i="1"/>
  <c r="BZ386" i="1"/>
  <c r="BU514" i="1"/>
  <c r="BH530" i="1"/>
  <c r="BZ530" i="1" s="1"/>
  <c r="BS612" i="1"/>
  <c r="AW612" i="1"/>
  <c r="BG123" i="1"/>
  <c r="BH123" i="1" s="1"/>
  <c r="BG136" i="1"/>
  <c r="BH136" i="1" s="1"/>
  <c r="BG154" i="1"/>
  <c r="BG167" i="1"/>
  <c r="BH167" i="1" s="1"/>
  <c r="AR209" i="1"/>
  <c r="BD209" i="1"/>
  <c r="BG209" i="1"/>
  <c r="BB209" i="1"/>
  <c r="BA209" i="1"/>
  <c r="AZ215" i="1"/>
  <c r="BF215" i="1"/>
  <c r="BB215" i="1"/>
  <c r="BA215" i="1"/>
  <c r="AP247" i="1"/>
  <c r="BB247" i="1"/>
  <c r="AT247" i="1"/>
  <c r="BW247" i="1" s="1"/>
  <c r="AN247" i="1"/>
  <c r="AX253" i="1"/>
  <c r="AQ253" i="1"/>
  <c r="BT253" i="1" s="1"/>
  <c r="AP253" i="1"/>
  <c r="AS336" i="1"/>
  <c r="BV336" i="1" s="1"/>
  <c r="AQ336" i="1"/>
  <c r="BE336" i="1"/>
  <c r="BA336" i="1"/>
  <c r="AR336" i="1"/>
  <c r="BU336" i="1" s="1"/>
  <c r="AN336" i="1"/>
  <c r="BE346" i="1"/>
  <c r="BC346" i="1"/>
  <c r="BA346" i="1"/>
  <c r="AS346" i="1"/>
  <c r="BV346" i="1" s="1"/>
  <c r="BD346" i="1"/>
  <c r="AZ346" i="1"/>
  <c r="AX346" i="1"/>
  <c r="AN346" i="1"/>
  <c r="AR346" i="1"/>
  <c r="BU346" i="1" s="1"/>
  <c r="AP346" i="1"/>
  <c r="BE375" i="1"/>
  <c r="AS375" i="1"/>
  <c r="BV375" i="1" s="1"/>
  <c r="AY375" i="1"/>
  <c r="AR375" i="1"/>
  <c r="BU375" i="1" s="1"/>
  <c r="BD375" i="1"/>
  <c r="BB375" i="1"/>
  <c r="AZ375" i="1"/>
  <c r="BV416" i="1"/>
  <c r="BH416" i="1"/>
  <c r="BZ416" i="1" s="1"/>
  <c r="AW469" i="1"/>
  <c r="BS469" i="1"/>
  <c r="AW486" i="1"/>
  <c r="BS486" i="1"/>
  <c r="BG597" i="1"/>
  <c r="AN597" i="1"/>
  <c r="AZ597" i="1"/>
  <c r="AQ597" i="1"/>
  <c r="BT597" i="1" s="1"/>
  <c r="BC597" i="1"/>
  <c r="AU597" i="1"/>
  <c r="BX597" i="1" s="1"/>
  <c r="AS597" i="1"/>
  <c r="BV597" i="1" s="1"/>
  <c r="AR597" i="1"/>
  <c r="BU597" i="1" s="1"/>
  <c r="AP597" i="1"/>
  <c r="BB597" i="1"/>
  <c r="BF597" i="1"/>
  <c r="BE597" i="1"/>
  <c r="BD597" i="1"/>
  <c r="BA597" i="1"/>
  <c r="AY597" i="1"/>
  <c r="AT597" i="1"/>
  <c r="BW597" i="1" s="1"/>
  <c r="AW603" i="1"/>
  <c r="BS603" i="1"/>
  <c r="BH603" i="1"/>
  <c r="AQ314" i="1"/>
  <c r="BT314" i="1" s="1"/>
  <c r="BE314" i="1"/>
  <c r="BC314" i="1"/>
  <c r="BA314" i="1"/>
  <c r="AS314" i="1"/>
  <c r="BV314" i="1" s="1"/>
  <c r="AT314" i="1"/>
  <c r="BW314" i="1" s="1"/>
  <c r="AP314" i="1"/>
  <c r="BE326" i="1"/>
  <c r="AP326" i="1"/>
  <c r="BB326" i="1"/>
  <c r="AS326" i="1"/>
  <c r="BV326" i="1" s="1"/>
  <c r="AQ326" i="1"/>
  <c r="BT326" i="1" s="1"/>
  <c r="AN326" i="1"/>
  <c r="BD335" i="1"/>
  <c r="BB335" i="1"/>
  <c r="AR335" i="1"/>
  <c r="BU335" i="1" s="1"/>
  <c r="AS335" i="1"/>
  <c r="BV335" i="1" s="1"/>
  <c r="AP335" i="1"/>
  <c r="BG335" i="1"/>
  <c r="AQ335" i="1"/>
  <c r="BT335" i="1" s="1"/>
  <c r="BS399" i="1"/>
  <c r="AW410" i="1"/>
  <c r="BS410" i="1"/>
  <c r="BE423" i="1"/>
  <c r="AZ423" i="1"/>
  <c r="AX423" i="1"/>
  <c r="AT423" i="1"/>
  <c r="BW423" i="1" s="1"/>
  <c r="BC423" i="1"/>
  <c r="BA423" i="1"/>
  <c r="BG423" i="1"/>
  <c r="BB423" i="1"/>
  <c r="AY423" i="1"/>
  <c r="AR423" i="1"/>
  <c r="BU423" i="1" s="1"/>
  <c r="AP423" i="1"/>
  <c r="AN423" i="1"/>
  <c r="BS552" i="1"/>
  <c r="AZ185" i="1"/>
  <c r="BB185" i="1"/>
  <c r="AY194" i="1"/>
  <c r="BD194" i="1"/>
  <c r="AZ194" i="1"/>
  <c r="BZ201" i="1"/>
  <c r="AW202" i="1"/>
  <c r="BH202" i="1"/>
  <c r="AN236" i="1"/>
  <c r="BA236" i="1"/>
  <c r="BE236" i="1"/>
  <c r="BH236" i="1" s="1"/>
  <c r="BZ236" i="1" s="1"/>
  <c r="BD236" i="1"/>
  <c r="BC248" i="1"/>
  <c r="AQ248" i="1"/>
  <c r="BG248" i="1"/>
  <c r="BF248" i="1"/>
  <c r="AS296" i="1"/>
  <c r="BV296" i="1" s="1"/>
  <c r="BE296" i="1"/>
  <c r="BC296" i="1"/>
  <c r="BA296" i="1"/>
  <c r="AR296" i="1"/>
  <c r="BU296" i="1" s="1"/>
  <c r="AT296" i="1"/>
  <c r="BW296" i="1" s="1"/>
  <c r="AP296" i="1"/>
  <c r="BC324" i="1"/>
  <c r="BF324" i="1"/>
  <c r="BD324" i="1"/>
  <c r="BE324" i="1"/>
  <c r="BA324" i="1"/>
  <c r="AY324" i="1"/>
  <c r="AX324" i="1"/>
  <c r="AR325" i="1"/>
  <c r="BU325" i="1" s="1"/>
  <c r="AZ325" i="1"/>
  <c r="AX325" i="1"/>
  <c r="AT325" i="1"/>
  <c r="BW325" i="1" s="1"/>
  <c r="BB325" i="1"/>
  <c r="AY325" i="1"/>
  <c r="AS325" i="1"/>
  <c r="BV325" i="1" s="1"/>
  <c r="AQ325" i="1"/>
  <c r="AW396" i="1"/>
  <c r="BS396" i="1"/>
  <c r="BS397" i="1"/>
  <c r="AN482" i="1"/>
  <c r="BA482" i="1"/>
  <c r="BE482" i="1"/>
  <c r="BC482" i="1"/>
  <c r="AZ482" i="1"/>
  <c r="AR482" i="1"/>
  <c r="BU482" i="1" s="1"/>
  <c r="AQ482" i="1"/>
  <c r="BT482" i="1" s="1"/>
  <c r="BF482" i="1"/>
  <c r="BD482" i="1"/>
  <c r="BB482" i="1"/>
  <c r="AX482" i="1"/>
  <c r="AS482" i="1"/>
  <c r="BV482" i="1" s="1"/>
  <c r="AP482" i="1"/>
  <c r="BG482" i="1"/>
  <c r="AY482" i="1"/>
  <c r="BS493" i="1"/>
  <c r="AY592" i="1"/>
  <c r="AN592" i="1"/>
  <c r="BA592" i="1"/>
  <c r="AR592" i="1"/>
  <c r="BU592" i="1" s="1"/>
  <c r="AQ592" i="1"/>
  <c r="BT592" i="1" s="1"/>
  <c r="AP592" i="1"/>
  <c r="BG592" i="1"/>
  <c r="BF592" i="1"/>
  <c r="AX592" i="1"/>
  <c r="BD592" i="1"/>
  <c r="BB592" i="1"/>
  <c r="AU592" i="1"/>
  <c r="BX592" i="1" s="1"/>
  <c r="AT592" i="1"/>
  <c r="BW592" i="1" s="1"/>
  <c r="AS592" i="1"/>
  <c r="BV592" i="1" s="1"/>
  <c r="BC592" i="1"/>
  <c r="AZ592" i="1"/>
  <c r="BE592" i="1"/>
  <c r="AT287" i="1"/>
  <c r="BW287" i="1" s="1"/>
  <c r="AR287" i="1"/>
  <c r="BU287" i="1" s="1"/>
  <c r="AP287" i="1"/>
  <c r="BE287" i="1"/>
  <c r="BF287" i="1"/>
  <c r="BC287" i="1"/>
  <c r="BB287" i="1"/>
  <c r="BB313" i="1"/>
  <c r="AP313" i="1"/>
  <c r="BC313" i="1"/>
  <c r="AX313" i="1"/>
  <c r="AT313" i="1"/>
  <c r="BW313" i="1" s="1"/>
  <c r="AR313" i="1"/>
  <c r="BU313" i="1" s="1"/>
  <c r="AQ313" i="1"/>
  <c r="BT313" i="1" s="1"/>
  <c r="AR345" i="1"/>
  <c r="BU345" i="1" s="1"/>
  <c r="AP345" i="1"/>
  <c r="BD345" i="1"/>
  <c r="BG345" i="1"/>
  <c r="BE345" i="1"/>
  <c r="BB345" i="1"/>
  <c r="AT345" i="1"/>
  <c r="BW345" i="1" s="1"/>
  <c r="AQ345" i="1"/>
  <c r="BT345" i="1" s="1"/>
  <c r="AY369" i="1"/>
  <c r="BB369" i="1"/>
  <c r="AZ369" i="1"/>
  <c r="AN369" i="1"/>
  <c r="AS369" i="1"/>
  <c r="BV369" i="1" s="1"/>
  <c r="AQ369" i="1"/>
  <c r="BT369" i="1" s="1"/>
  <c r="BF369" i="1"/>
  <c r="BD369" i="1"/>
  <c r="BC369" i="1"/>
  <c r="AQ403" i="1"/>
  <c r="BT403" i="1" s="1"/>
  <c r="AN403" i="1"/>
  <c r="BC403" i="1"/>
  <c r="AZ403" i="1"/>
  <c r="AX403" i="1"/>
  <c r="AT403" i="1"/>
  <c r="BW403" i="1" s="1"/>
  <c r="BB403" i="1"/>
  <c r="AS403" i="1"/>
  <c r="BV403" i="1" s="1"/>
  <c r="AP403" i="1"/>
  <c r="BS421" i="1"/>
  <c r="BS429" i="1"/>
  <c r="AQ526" i="1"/>
  <c r="BT526" i="1" s="1"/>
  <c r="BC526" i="1"/>
  <c r="BE526" i="1"/>
  <c r="BB526" i="1"/>
  <c r="BA526" i="1"/>
  <c r="AR526" i="1"/>
  <c r="BU526" i="1" s="1"/>
  <c r="AY526" i="1"/>
  <c r="AS526" i="1"/>
  <c r="BV526" i="1" s="1"/>
  <c r="BG526" i="1"/>
  <c r="BD526" i="1"/>
  <c r="AX526" i="1"/>
  <c r="AN526" i="1"/>
  <c r="BF526" i="1"/>
  <c r="AT526" i="1"/>
  <c r="BW526" i="1" s="1"/>
  <c r="AP526" i="1"/>
  <c r="BT549" i="1"/>
  <c r="BH549" i="1"/>
  <c r="BG121" i="1"/>
  <c r="BH121" i="1" s="1"/>
  <c r="AN141" i="1"/>
  <c r="BG170" i="1"/>
  <c r="BH170" i="1" s="1"/>
  <c r="AN172" i="1"/>
  <c r="AN175" i="1"/>
  <c r="AN178" i="1"/>
  <c r="AN198" i="1"/>
  <c r="AY204" i="1"/>
  <c r="AQ204" i="1"/>
  <c r="BT204" i="1" s="1"/>
  <c r="AP204" i="1"/>
  <c r="AN216" i="1"/>
  <c r="BA216" i="1"/>
  <c r="AY216" i="1"/>
  <c r="AS216" i="1"/>
  <c r="BV216" i="1" s="1"/>
  <c r="AR216" i="1"/>
  <c r="BG242" i="1"/>
  <c r="BE242" i="1"/>
  <c r="BD242" i="1"/>
  <c r="AN253" i="1"/>
  <c r="BC284" i="1"/>
  <c r="BZ284" i="1" s="1"/>
  <c r="AS284" i="1"/>
  <c r="BV284" i="1" s="1"/>
  <c r="AQ284" i="1"/>
  <c r="BT284" i="1" s="1"/>
  <c r="AR284" i="1"/>
  <c r="BU284" i="1" s="1"/>
  <c r="AN284" i="1"/>
  <c r="BE286" i="1"/>
  <c r="BB286" i="1"/>
  <c r="AZ286" i="1"/>
  <c r="AX286" i="1"/>
  <c r="AP286" i="1"/>
  <c r="BG286" i="1"/>
  <c r="BD295" i="1"/>
  <c r="AP295" i="1"/>
  <c r="BB295" i="1"/>
  <c r="AX295" i="1"/>
  <c r="AT295" i="1"/>
  <c r="BW295" i="1" s="1"/>
  <c r="AR295" i="1"/>
  <c r="BU295" i="1" s="1"/>
  <c r="AQ295" i="1"/>
  <c r="BT295" i="1" s="1"/>
  <c r="AZ311" i="1"/>
  <c r="BF311" i="1"/>
  <c r="BD311" i="1"/>
  <c r="BG311" i="1"/>
  <c r="BC311" i="1"/>
  <c r="BA311" i="1"/>
  <c r="AY311" i="1"/>
  <c r="BH311" i="1" s="1"/>
  <c r="AN312" i="1"/>
  <c r="AZ312" i="1"/>
  <c r="AX312" i="1"/>
  <c r="AT312" i="1"/>
  <c r="BW312" i="1" s="1"/>
  <c r="BC312" i="1"/>
  <c r="BA312" i="1"/>
  <c r="AS312" i="1"/>
  <c r="BV312" i="1" s="1"/>
  <c r="AP323" i="1"/>
  <c r="AS323" i="1"/>
  <c r="BV323" i="1" s="1"/>
  <c r="AQ323" i="1"/>
  <c r="BT323" i="1" s="1"/>
  <c r="BE323" i="1"/>
  <c r="BF323" i="1"/>
  <c r="BC323" i="1"/>
  <c r="BB323" i="1"/>
  <c r="AQ334" i="1"/>
  <c r="BT334" i="1" s="1"/>
  <c r="AN334" i="1"/>
  <c r="BC334" i="1"/>
  <c r="AZ334" i="1"/>
  <c r="AX334" i="1"/>
  <c r="AT334" i="1"/>
  <c r="BW334" i="1" s="1"/>
  <c r="AR334" i="1"/>
  <c r="BU334" i="1" s="1"/>
  <c r="AN350" i="1"/>
  <c r="AW366" i="1"/>
  <c r="AR370" i="1"/>
  <c r="BU370" i="1" s="1"/>
  <c r="AN375" i="1"/>
  <c r="AR394" i="1"/>
  <c r="BU394" i="1" s="1"/>
  <c r="BD394" i="1"/>
  <c r="AQ394" i="1"/>
  <c r="BT394" i="1" s="1"/>
  <c r="AN394" i="1"/>
  <c r="BE394" i="1"/>
  <c r="AX394" i="1"/>
  <c r="BG394" i="1"/>
  <c r="BC394" i="1"/>
  <c r="BA394" i="1"/>
  <c r="AP394" i="1"/>
  <c r="AW433" i="1"/>
  <c r="BB450" i="1"/>
  <c r="AZ450" i="1"/>
  <c r="AP450" i="1"/>
  <c r="AS450" i="1"/>
  <c r="BV450" i="1" s="1"/>
  <c r="AQ450" i="1"/>
  <c r="BT450" i="1" s="1"/>
  <c r="BG450" i="1"/>
  <c r="BE450" i="1"/>
  <c r="BC450" i="1"/>
  <c r="AY450" i="1"/>
  <c r="AT450" i="1"/>
  <c r="BW450" i="1" s="1"/>
  <c r="AR450" i="1"/>
  <c r="BU450" i="1" s="1"/>
  <c r="BD450" i="1"/>
  <c r="BA450" i="1"/>
  <c r="AN450" i="1"/>
  <c r="BD452" i="1"/>
  <c r="BB452" i="1"/>
  <c r="AR452" i="1"/>
  <c r="BU452" i="1" s="1"/>
  <c r="BF452" i="1"/>
  <c r="BC452" i="1"/>
  <c r="AT452" i="1"/>
  <c r="BW452" i="1" s="1"/>
  <c r="BG452" i="1"/>
  <c r="BA452" i="1"/>
  <c r="AQ452" i="1"/>
  <c r="BT452" i="1" s="1"/>
  <c r="BE452" i="1"/>
  <c r="AZ452" i="1"/>
  <c r="AY452" i="1"/>
  <c r="AX452" i="1"/>
  <c r="AP452" i="1"/>
  <c r="BH509" i="1"/>
  <c r="BZ509" i="1" s="1"/>
  <c r="BH584" i="1"/>
  <c r="BZ584" i="1" s="1"/>
  <c r="BS586" i="1"/>
  <c r="AW586" i="1"/>
  <c r="AX597" i="1"/>
  <c r="BD199" i="1"/>
  <c r="AR199" i="1"/>
  <c r="BU199" i="1" s="1"/>
  <c r="BC208" i="1"/>
  <c r="AQ208" i="1"/>
  <c r="BH208" i="1" s="1"/>
  <c r="BH265" i="1"/>
  <c r="BF267" i="1"/>
  <c r="AN272" i="1"/>
  <c r="BF272" i="1"/>
  <c r="AZ272" i="1"/>
  <c r="BG308" i="1"/>
  <c r="AN308" i="1"/>
  <c r="BA308" i="1"/>
  <c r="BD315" i="1"/>
  <c r="AS315" i="1"/>
  <c r="BV315" i="1" s="1"/>
  <c r="AQ315" i="1"/>
  <c r="BT315" i="1" s="1"/>
  <c r="BE316" i="1"/>
  <c r="BG348" i="1"/>
  <c r="BE348" i="1"/>
  <c r="BC348" i="1"/>
  <c r="AN348" i="1"/>
  <c r="BB348" i="1"/>
  <c r="BS481" i="1"/>
  <c r="BH481" i="1"/>
  <c r="BV534" i="1"/>
  <c r="AW534" i="1"/>
  <c r="BH617" i="1"/>
  <c r="BS617" i="1"/>
  <c r="BE190" i="1"/>
  <c r="AS190" i="1"/>
  <c r="BV190" i="1" s="1"/>
  <c r="BG205" i="1"/>
  <c r="BZ205" i="1" s="1"/>
  <c r="BG254" i="1"/>
  <c r="AY254" i="1"/>
  <c r="BH254" i="1" s="1"/>
  <c r="AS262" i="1"/>
  <c r="BV262" i="1" s="1"/>
  <c r="AQ262" i="1"/>
  <c r="BG262" i="1"/>
  <c r="BD278" i="1"/>
  <c r="BB278" i="1"/>
  <c r="AZ278" i="1"/>
  <c r="AQ278" i="1"/>
  <c r="BT278" i="1" s="1"/>
  <c r="AR285" i="1"/>
  <c r="BU285" i="1" s="1"/>
  <c r="BF285" i="1"/>
  <c r="AZ285" i="1"/>
  <c r="BA302" i="1"/>
  <c r="BH302" i="1" s="1"/>
  <c r="AS302" i="1"/>
  <c r="BV302" i="1" s="1"/>
  <c r="AQ302" i="1"/>
  <c r="BT302" i="1" s="1"/>
  <c r="BB362" i="1"/>
  <c r="AS362" i="1"/>
  <c r="BV362" i="1" s="1"/>
  <c r="AQ362" i="1"/>
  <c r="AW362" i="1" s="1"/>
  <c r="AN362" i="1"/>
  <c r="BF362" i="1"/>
  <c r="BG362" i="1"/>
  <c r="BD362" i="1"/>
  <c r="BA362" i="1"/>
  <c r="AR362" i="1"/>
  <c r="BU362" i="1" s="1"/>
  <c r="BD384" i="1"/>
  <c r="AR384" i="1"/>
  <c r="AZ384" i="1"/>
  <c r="AX384" i="1"/>
  <c r="AT384" i="1"/>
  <c r="BW384" i="1" s="1"/>
  <c r="BF384" i="1"/>
  <c r="BB384" i="1"/>
  <c r="AY384" i="1"/>
  <c r="AS384" i="1"/>
  <c r="BV384" i="1" s="1"/>
  <c r="BG387" i="1"/>
  <c r="AY387" i="1"/>
  <c r="AT387" i="1"/>
  <c r="BW387" i="1" s="1"/>
  <c r="AR387" i="1"/>
  <c r="BC387" i="1"/>
  <c r="BS459" i="1"/>
  <c r="BG471" i="1"/>
  <c r="BE471" i="1"/>
  <c r="AN471" i="1"/>
  <c r="BB471" i="1"/>
  <c r="BD471" i="1"/>
  <c r="AT471" i="1"/>
  <c r="BW471" i="1" s="1"/>
  <c r="BF471" i="1"/>
  <c r="BC471" i="1"/>
  <c r="BA471" i="1"/>
  <c r="AZ471" i="1"/>
  <c r="AP471" i="1"/>
  <c r="AY502" i="1"/>
  <c r="BA502" i="1"/>
  <c r="AX502" i="1"/>
  <c r="BE502" i="1"/>
  <c r="BC502" i="1"/>
  <c r="AZ502" i="1"/>
  <c r="AP502" i="1"/>
  <c r="BF502" i="1"/>
  <c r="BB502" i="1"/>
  <c r="AN502" i="1"/>
  <c r="AQ502" i="1"/>
  <c r="BT502" i="1" s="1"/>
  <c r="BD502" i="1"/>
  <c r="BS528" i="1"/>
  <c r="BG540" i="1"/>
  <c r="AN540" i="1"/>
  <c r="BB540" i="1"/>
  <c r="BD540" i="1"/>
  <c r="BA540" i="1"/>
  <c r="AY540" i="1"/>
  <c r="AP540" i="1"/>
  <c r="AR540" i="1"/>
  <c r="BU540" i="1" s="1"/>
  <c r="AT540" i="1"/>
  <c r="BW540" i="1" s="1"/>
  <c r="BC540" i="1"/>
  <c r="AX540" i="1"/>
  <c r="AQ540" i="1"/>
  <c r="BT540" i="1" s="1"/>
  <c r="BE540" i="1"/>
  <c r="AP267" i="1"/>
  <c r="BB267" i="1"/>
  <c r="BB273" i="1"/>
  <c r="BC273" i="1"/>
  <c r="AZ273" i="1"/>
  <c r="AX273" i="1"/>
  <c r="AP273" i="1"/>
  <c r="AZ291" i="1"/>
  <c r="BC291" i="1"/>
  <c r="BA291" i="1"/>
  <c r="AX291" i="1"/>
  <c r="AP291" i="1"/>
  <c r="AX309" i="1"/>
  <c r="BD309" i="1"/>
  <c r="BB309" i="1"/>
  <c r="AZ309" i="1"/>
  <c r="AQ309" i="1"/>
  <c r="AS316" i="1"/>
  <c r="BF316" i="1"/>
  <c r="AZ316" i="1"/>
  <c r="BH344" i="1"/>
  <c r="BA351" i="1"/>
  <c r="AZ351" i="1"/>
  <c r="AX351" i="1"/>
  <c r="AT351" i="1"/>
  <c r="BW351" i="1" s="1"/>
  <c r="BB351" i="1"/>
  <c r="AR351" i="1"/>
  <c r="AN361" i="1"/>
  <c r="BC361" i="1"/>
  <c r="BA361" i="1"/>
  <c r="AY361" i="1"/>
  <c r="AQ361" i="1"/>
  <c r="BT361" i="1" s="1"/>
  <c r="BG361" i="1"/>
  <c r="BE361" i="1"/>
  <c r="AT361" i="1"/>
  <c r="BW361" i="1" s="1"/>
  <c r="BB402" i="1"/>
  <c r="AZ402" i="1"/>
  <c r="AX402" i="1"/>
  <c r="AP402" i="1"/>
  <c r="BF402" i="1"/>
  <c r="BD402" i="1"/>
  <c r="BA402" i="1"/>
  <c r="AQ402" i="1"/>
  <c r="BT402" i="1" s="1"/>
  <c r="AY402" i="1"/>
  <c r="AS402" i="1"/>
  <c r="BV402" i="1" s="1"/>
  <c r="BG402" i="1"/>
  <c r="BH458" i="1"/>
  <c r="BZ458" i="1" s="1"/>
  <c r="BS458" i="1"/>
  <c r="AW458" i="1"/>
  <c r="AY480" i="1"/>
  <c r="AS480" i="1"/>
  <c r="BV480" i="1" s="1"/>
  <c r="AQ480" i="1"/>
  <c r="BT480" i="1" s="1"/>
  <c r="BA480" i="1"/>
  <c r="AX480" i="1"/>
  <c r="AR480" i="1"/>
  <c r="BU480" i="1" s="1"/>
  <c r="BE480" i="1"/>
  <c r="BD480" i="1"/>
  <c r="BC480" i="1"/>
  <c r="AZ480" i="1"/>
  <c r="AT480" i="1"/>
  <c r="BW480" i="1" s="1"/>
  <c r="BD485" i="1"/>
  <c r="AR485" i="1"/>
  <c r="BU485" i="1" s="1"/>
  <c r="BG485" i="1"/>
  <c r="BE485" i="1"/>
  <c r="BB485" i="1"/>
  <c r="AT485" i="1"/>
  <c r="BW485" i="1" s="1"/>
  <c r="AY485" i="1"/>
  <c r="BF485" i="1"/>
  <c r="BC485" i="1"/>
  <c r="AZ485" i="1"/>
  <c r="AN485" i="1"/>
  <c r="AX485" i="1"/>
  <c r="AS485" i="1"/>
  <c r="BV485" i="1" s="1"/>
  <c r="AP485" i="1"/>
  <c r="BB505" i="1"/>
  <c r="AP505" i="1"/>
  <c r="BA505" i="1"/>
  <c r="AY505" i="1"/>
  <c r="AN505" i="1"/>
  <c r="BE505" i="1"/>
  <c r="BF505" i="1"/>
  <c r="BC505" i="1"/>
  <c r="AX505" i="1"/>
  <c r="BG505" i="1"/>
  <c r="BD505" i="1"/>
  <c r="AZ505" i="1"/>
  <c r="AT505" i="1"/>
  <c r="BW505" i="1" s="1"/>
  <c r="AS505" i="1"/>
  <c r="BV505" i="1" s="1"/>
  <c r="AQ505" i="1"/>
  <c r="BT505" i="1" s="1"/>
  <c r="BS596" i="1"/>
  <c r="AN199" i="1"/>
  <c r="AN208" i="1"/>
  <c r="AQ218" i="1"/>
  <c r="BT218" i="1" s="1"/>
  <c r="BC218" i="1"/>
  <c r="BG224" i="1"/>
  <c r="AP227" i="1"/>
  <c r="BB227" i="1"/>
  <c r="AW265" i="1"/>
  <c r="AP272" i="1"/>
  <c r="BS290" i="1"/>
  <c r="BH290" i="1"/>
  <c r="AP308" i="1"/>
  <c r="AN315" i="1"/>
  <c r="BG328" i="1"/>
  <c r="AX328" i="1"/>
  <c r="AS328" i="1"/>
  <c r="BV328" i="1" s="1"/>
  <c r="AQ328" i="1"/>
  <c r="BT328" i="1" s="1"/>
  <c r="AW341" i="1"/>
  <c r="AP348" i="1"/>
  <c r="BB382" i="1"/>
  <c r="AP382" i="1"/>
  <c r="AN382" i="1"/>
  <c r="BC382" i="1"/>
  <c r="BE382" i="1"/>
  <c r="BA382" i="1"/>
  <c r="AY382" i="1"/>
  <c r="AQ382" i="1"/>
  <c r="BT382" i="1" s="1"/>
  <c r="AN384" i="1"/>
  <c r="AZ400" i="1"/>
  <c r="AQ400" i="1"/>
  <c r="BT400" i="1" s="1"/>
  <c r="AN400" i="1"/>
  <c r="BD400" i="1"/>
  <c r="BC400" i="1"/>
  <c r="AY400" i="1"/>
  <c r="BE400" i="1"/>
  <c r="AW434" i="1"/>
  <c r="BH434" i="1"/>
  <c r="BS434" i="1"/>
  <c r="AW481" i="1"/>
  <c r="BH501" i="1"/>
  <c r="BZ501" i="1" s="1"/>
  <c r="BS501" i="1"/>
  <c r="AW501" i="1"/>
  <c r="BB545" i="1"/>
  <c r="AP545" i="1"/>
  <c r="BA545" i="1"/>
  <c r="AY545" i="1"/>
  <c r="AX545" i="1"/>
  <c r="BE545" i="1"/>
  <c r="BC545" i="1"/>
  <c r="AT545" i="1"/>
  <c r="BW545" i="1" s="1"/>
  <c r="BF545" i="1"/>
  <c r="AR545" i="1"/>
  <c r="BU545" i="1" s="1"/>
  <c r="AQ545" i="1"/>
  <c r="BT545" i="1" s="1"/>
  <c r="AN545" i="1"/>
  <c r="BG545" i="1"/>
  <c r="BD545" i="1"/>
  <c r="AS545" i="1"/>
  <c r="BV545" i="1" s="1"/>
  <c r="BF191" i="1"/>
  <c r="BZ191" i="1" s="1"/>
  <c r="BF211" i="1"/>
  <c r="BH211" i="1" s="1"/>
  <c r="BZ211" i="1" s="1"/>
  <c r="BF231" i="1"/>
  <c r="BF251" i="1"/>
  <c r="BH251" i="1" s="1"/>
  <c r="BZ251" i="1" s="1"/>
  <c r="AX263" i="1"/>
  <c r="BH263" i="1" s="1"/>
  <c r="AZ265" i="1"/>
  <c r="AX280" i="1"/>
  <c r="BH280" i="1" s="1"/>
  <c r="AZ290" i="1"/>
  <c r="AY298" i="1"/>
  <c r="AZ321" i="1"/>
  <c r="BH321" i="1" s="1"/>
  <c r="BZ321" i="1" s="1"/>
  <c r="BB329" i="1"/>
  <c r="BH329" i="1" s="1"/>
  <c r="AS338" i="1"/>
  <c r="BV338" i="1" s="1"/>
  <c r="BG338" i="1"/>
  <c r="AZ379" i="1"/>
  <c r="AS405" i="1"/>
  <c r="BV405" i="1" s="1"/>
  <c r="AQ405" i="1"/>
  <c r="BT405" i="1" s="1"/>
  <c r="AN405" i="1"/>
  <c r="BE405" i="1"/>
  <c r="AP405" i="1"/>
  <c r="BD405" i="1"/>
  <c r="BF405" i="1"/>
  <c r="BB405" i="1"/>
  <c r="AY405" i="1"/>
  <c r="BC421" i="1"/>
  <c r="AS421" i="1"/>
  <c r="BV421" i="1" s="1"/>
  <c r="AQ421" i="1"/>
  <c r="BT421" i="1" s="1"/>
  <c r="AN421" i="1"/>
  <c r="BF421" i="1"/>
  <c r="BE421" i="1"/>
  <c r="AX421" i="1"/>
  <c r="BG421" i="1"/>
  <c r="BB421" i="1"/>
  <c r="BA421" i="1"/>
  <c r="AN429" i="1"/>
  <c r="AQ429" i="1"/>
  <c r="AW429" i="1" s="1"/>
  <c r="BC429" i="1"/>
  <c r="AZ429" i="1"/>
  <c r="AX429" i="1"/>
  <c r="AT429" i="1"/>
  <c r="BW429" i="1" s="1"/>
  <c r="BE429" i="1"/>
  <c r="BB429" i="1"/>
  <c r="AY429" i="1"/>
  <c r="AW430" i="1"/>
  <c r="AZ448" i="1"/>
  <c r="AX448" i="1"/>
  <c r="BG448" i="1"/>
  <c r="BE448" i="1"/>
  <c r="BC448" i="1"/>
  <c r="AS448" i="1"/>
  <c r="BV448" i="1" s="1"/>
  <c r="AY448" i="1"/>
  <c r="AP448" i="1"/>
  <c r="BS467" i="1"/>
  <c r="BH467" i="1"/>
  <c r="BZ467" i="1" s="1"/>
  <c r="AS528" i="1"/>
  <c r="BV528" i="1" s="1"/>
  <c r="BE528" i="1"/>
  <c r="AN528" i="1"/>
  <c r="BB528" i="1"/>
  <c r="AT528" i="1"/>
  <c r="BW528" i="1" s="1"/>
  <c r="AQ528" i="1"/>
  <c r="BT528" i="1" s="1"/>
  <c r="BG528" i="1"/>
  <c r="BD528" i="1"/>
  <c r="BF528" i="1"/>
  <c r="AR528" i="1"/>
  <c r="BU528" i="1" s="1"/>
  <c r="BA528" i="1"/>
  <c r="AY528" i="1"/>
  <c r="AX528" i="1"/>
  <c r="AZ553" i="1"/>
  <c r="AT553" i="1"/>
  <c r="BW553" i="1" s="1"/>
  <c r="AR553" i="1"/>
  <c r="BU553" i="1" s="1"/>
  <c r="BE553" i="1"/>
  <c r="BC553" i="1"/>
  <c r="BB553" i="1"/>
  <c r="BA553" i="1"/>
  <c r="AP553" i="1"/>
  <c r="BG553" i="1"/>
  <c r="AN553" i="1"/>
  <c r="AS553" i="1"/>
  <c r="BV553" i="1" s="1"/>
  <c r="BF553" i="1"/>
  <c r="AY553" i="1"/>
  <c r="AQ553" i="1"/>
  <c r="BT553" i="1" s="1"/>
  <c r="AX570" i="1"/>
  <c r="AY570" i="1"/>
  <c r="AU570" i="1"/>
  <c r="BX570" i="1" s="1"/>
  <c r="AN570" i="1"/>
  <c r="BD570" i="1"/>
  <c r="BE570" i="1"/>
  <c r="BG570" i="1"/>
  <c r="BF570" i="1"/>
  <c r="BC570" i="1"/>
  <c r="BA570" i="1"/>
  <c r="AP570" i="1"/>
  <c r="AR570" i="1"/>
  <c r="BU570" i="1" s="1"/>
  <c r="BH573" i="1"/>
  <c r="BZ573" i="1" s="1"/>
  <c r="AW573" i="1"/>
  <c r="BS574" i="1"/>
  <c r="BB589" i="1"/>
  <c r="AQ589" i="1"/>
  <c r="BT589" i="1" s="1"/>
  <c r="AP589" i="1"/>
  <c r="AN589" i="1"/>
  <c r="AT589" i="1"/>
  <c r="BW589" i="1" s="1"/>
  <c r="AR589" i="1"/>
  <c r="BU589" i="1" s="1"/>
  <c r="BG589" i="1"/>
  <c r="AZ589" i="1"/>
  <c r="AX589" i="1"/>
  <c r="AS589" i="1"/>
  <c r="BV589" i="1" s="1"/>
  <c r="BC589" i="1"/>
  <c r="BA589" i="1"/>
  <c r="AY589" i="1"/>
  <c r="AU589" i="1"/>
  <c r="BX589" i="1" s="1"/>
  <c r="BF589" i="1"/>
  <c r="BE589" i="1"/>
  <c r="BD589" i="1"/>
  <c r="BE280" i="1"/>
  <c r="AN332" i="1"/>
  <c r="BA332" i="1"/>
  <c r="BH332" i="1" s="1"/>
  <c r="BZ332" i="1" s="1"/>
  <c r="AX359" i="1"/>
  <c r="AT359" i="1"/>
  <c r="BW359" i="1" s="1"/>
  <c r="AR359" i="1"/>
  <c r="BU359" i="1" s="1"/>
  <c r="AX378" i="1"/>
  <c r="AY378" i="1"/>
  <c r="AT378" i="1"/>
  <c r="BW378" i="1" s="1"/>
  <c r="AR378" i="1"/>
  <c r="BU378" i="1" s="1"/>
  <c r="AW386" i="1"/>
  <c r="AY399" i="1"/>
  <c r="BA399" i="1"/>
  <c r="AX399" i="1"/>
  <c r="AT399" i="1"/>
  <c r="BG399" i="1"/>
  <c r="BD399" i="1"/>
  <c r="AP420" i="1"/>
  <c r="BC420" i="1"/>
  <c r="BA420" i="1"/>
  <c r="AY420" i="1"/>
  <c r="AQ420" i="1"/>
  <c r="BT420" i="1" s="1"/>
  <c r="AZ420" i="1"/>
  <c r="BF420" i="1"/>
  <c r="BD420" i="1"/>
  <c r="AX420" i="1"/>
  <c r="BU487" i="1"/>
  <c r="BH487" i="1"/>
  <c r="BZ487" i="1" s="1"/>
  <c r="AZ513" i="1"/>
  <c r="BF513" i="1"/>
  <c r="BE513" i="1"/>
  <c r="BA513" i="1"/>
  <c r="BD513" i="1"/>
  <c r="BB513" i="1"/>
  <c r="AX513" i="1"/>
  <c r="AN513" i="1"/>
  <c r="AQ513" i="1"/>
  <c r="BT513" i="1" s="1"/>
  <c r="AP513" i="1"/>
  <c r="BG513" i="1"/>
  <c r="BZ559" i="1"/>
  <c r="AZ438" i="1"/>
  <c r="BF438" i="1"/>
  <c r="AY438" i="1"/>
  <c r="BZ438" i="1" s="1"/>
  <c r="AN438" i="1"/>
  <c r="BC438" i="1"/>
  <c r="AS438" i="1"/>
  <c r="BV438" i="1" s="1"/>
  <c r="AQ438" i="1"/>
  <c r="BT438" i="1" s="1"/>
  <c r="AS486" i="1"/>
  <c r="BV486" i="1" s="1"/>
  <c r="BE486" i="1"/>
  <c r="AZ486" i="1"/>
  <c r="AX486" i="1"/>
  <c r="AT486" i="1"/>
  <c r="BW486" i="1" s="1"/>
  <c r="BF486" i="1"/>
  <c r="BD486" i="1"/>
  <c r="AQ486" i="1"/>
  <c r="BT486" i="1" s="1"/>
  <c r="BG486" i="1"/>
  <c r="BC486" i="1"/>
  <c r="AW507" i="1"/>
  <c r="BS507" i="1"/>
  <c r="BG280" i="1"/>
  <c r="BC344" i="1"/>
  <c r="BA344" i="1"/>
  <c r="AY344" i="1"/>
  <c r="BZ344" i="1" s="1"/>
  <c r="AQ344" i="1"/>
  <c r="AY379" i="1"/>
  <c r="BH379" i="1" s="1"/>
  <c r="AN379" i="1"/>
  <c r="BB379" i="1"/>
  <c r="BH398" i="1"/>
  <c r="BZ398" i="1" s="1"/>
  <c r="BS398" i="1"/>
  <c r="AW398" i="1"/>
  <c r="AW409" i="1"/>
  <c r="BS409" i="1"/>
  <c r="BS445" i="1"/>
  <c r="BS463" i="1"/>
  <c r="AW463" i="1"/>
  <c r="AY492" i="1"/>
  <c r="BF492" i="1"/>
  <c r="AS492" i="1"/>
  <c r="BV492" i="1" s="1"/>
  <c r="BD492" i="1"/>
  <c r="BB492" i="1"/>
  <c r="AZ492" i="1"/>
  <c r="AP492" i="1"/>
  <c r="AN492" i="1"/>
  <c r="BE492" i="1"/>
  <c r="AR492" i="1"/>
  <c r="BU492" i="1" s="1"/>
  <c r="BA492" i="1"/>
  <c r="AQ492" i="1"/>
  <c r="BT492" i="1" s="1"/>
  <c r="BS537" i="1"/>
  <c r="BB570" i="1"/>
  <c r="BH516" i="1"/>
  <c r="AW516" i="1"/>
  <c r="BS516" i="1"/>
  <c r="BF288" i="1"/>
  <c r="BH288" i="1" s="1"/>
  <c r="BZ288" i="1" s="1"/>
  <c r="AN329" i="1"/>
  <c r="AX338" i="1"/>
  <c r="AX349" i="1"/>
  <c r="AT349" i="1"/>
  <c r="BW349" i="1" s="1"/>
  <c r="AR349" i="1"/>
  <c r="BH349" i="1" s="1"/>
  <c r="AN359" i="1"/>
  <c r="AN378" i="1"/>
  <c r="AZ380" i="1"/>
  <c r="BE380" i="1"/>
  <c r="BC380" i="1"/>
  <c r="BA380" i="1"/>
  <c r="AR380" i="1"/>
  <c r="BU380" i="1" s="1"/>
  <c r="AY389" i="1"/>
  <c r="BF389" i="1"/>
  <c r="BD389" i="1"/>
  <c r="BB389" i="1"/>
  <c r="AS389" i="1"/>
  <c r="BV389" i="1" s="1"/>
  <c r="BA405" i="1"/>
  <c r="AX418" i="1"/>
  <c r="AT418" i="1"/>
  <c r="BW418" i="1" s="1"/>
  <c r="AR418" i="1"/>
  <c r="BU418" i="1" s="1"/>
  <c r="AS418" i="1"/>
  <c r="BV418" i="1" s="1"/>
  <c r="AP418" i="1"/>
  <c r="BG418" i="1"/>
  <c r="BE418" i="1"/>
  <c r="BC418" i="1"/>
  <c r="BB418" i="1"/>
  <c r="AZ421" i="1"/>
  <c r="BG429" i="1"/>
  <c r="AX436" i="1"/>
  <c r="BD436" i="1"/>
  <c r="BB436" i="1"/>
  <c r="AZ436" i="1"/>
  <c r="AQ436" i="1"/>
  <c r="BT436" i="1" s="1"/>
  <c r="BA436" i="1"/>
  <c r="AS436" i="1"/>
  <c r="BV436" i="1" s="1"/>
  <c r="BC436" i="1"/>
  <c r="AT436" i="1"/>
  <c r="BW436" i="1" s="1"/>
  <c r="AP436" i="1"/>
  <c r="AN436" i="1"/>
  <c r="BA448" i="1"/>
  <c r="BA459" i="1"/>
  <c r="AY459" i="1"/>
  <c r="BH459" i="1" s="1"/>
  <c r="AN459" i="1"/>
  <c r="BF459" i="1"/>
  <c r="BD459" i="1"/>
  <c r="AT459" i="1"/>
  <c r="BW459" i="1" s="1"/>
  <c r="BG459" i="1"/>
  <c r="BC459" i="1"/>
  <c r="AR459" i="1"/>
  <c r="BE459" i="1"/>
  <c r="AZ459" i="1"/>
  <c r="AX459" i="1"/>
  <c r="BC469" i="1"/>
  <c r="BA469" i="1"/>
  <c r="AQ469" i="1"/>
  <c r="BT469" i="1" s="1"/>
  <c r="AZ469" i="1"/>
  <c r="AX469" i="1"/>
  <c r="AT469" i="1"/>
  <c r="BW469" i="1" s="1"/>
  <c r="BG469" i="1"/>
  <c r="BF469" i="1"/>
  <c r="BD469" i="1"/>
  <c r="BB469" i="1"/>
  <c r="BH469" i="1" s="1"/>
  <c r="BC474" i="1"/>
  <c r="BE474" i="1"/>
  <c r="BB474" i="1"/>
  <c r="AZ474" i="1"/>
  <c r="AR474" i="1"/>
  <c r="BU474" i="1" s="1"/>
  <c r="AY474" i="1"/>
  <c r="AS474" i="1"/>
  <c r="BV474" i="1" s="1"/>
  <c r="BF474" i="1"/>
  <c r="AP474" i="1"/>
  <c r="AT474" i="1"/>
  <c r="BW474" i="1" s="1"/>
  <c r="AN474" i="1"/>
  <c r="BS541" i="1"/>
  <c r="AX388" i="1"/>
  <c r="AP388" i="1"/>
  <c r="BC388" i="1"/>
  <c r="BG397" i="1"/>
  <c r="AQ397" i="1"/>
  <c r="BT397" i="1" s="1"/>
  <c r="AN397" i="1"/>
  <c r="BD397" i="1"/>
  <c r="BH511" i="1"/>
  <c r="AW511" i="1"/>
  <c r="BT539" i="1"/>
  <c r="BH539" i="1"/>
  <c r="BS561" i="1"/>
  <c r="BS576" i="1"/>
  <c r="BU613" i="1"/>
  <c r="BH613" i="1"/>
  <c r="AW613" i="1"/>
  <c r="AY409" i="1"/>
  <c r="BH409" i="1" s="1"/>
  <c r="BZ409" i="1" s="1"/>
  <c r="AS409" i="1"/>
  <c r="BV409" i="1" s="1"/>
  <c r="AN409" i="1"/>
  <c r="BD409" i="1"/>
  <c r="BZ419" i="1"/>
  <c r="AR442" i="1"/>
  <c r="BD442" i="1"/>
  <c r="BF442" i="1"/>
  <c r="BC442" i="1"/>
  <c r="BA442" i="1"/>
  <c r="AS442" i="1"/>
  <c r="BV442" i="1" s="1"/>
  <c r="BG442" i="1"/>
  <c r="BB442" i="1"/>
  <c r="AY442" i="1"/>
  <c r="AN442" i="1"/>
  <c r="BG445" i="1"/>
  <c r="BE445" i="1"/>
  <c r="BC445" i="1"/>
  <c r="BA445" i="1"/>
  <c r="AR445" i="1"/>
  <c r="BU445" i="1" s="1"/>
  <c r="AQ445" i="1"/>
  <c r="AN445" i="1"/>
  <c r="AY542" i="1"/>
  <c r="AX542" i="1"/>
  <c r="AT542" i="1"/>
  <c r="BW542" i="1" s="1"/>
  <c r="AS542" i="1"/>
  <c r="BV542" i="1" s="1"/>
  <c r="AR542" i="1"/>
  <c r="BU542" i="1" s="1"/>
  <c r="BE542" i="1"/>
  <c r="BC542" i="1"/>
  <c r="BA542" i="1"/>
  <c r="BG542" i="1"/>
  <c r="BD542" i="1"/>
  <c r="AZ542" i="1"/>
  <c r="BB542" i="1"/>
  <c r="AQ542" i="1"/>
  <c r="BT542" i="1" s="1"/>
  <c r="AP542" i="1"/>
  <c r="AN542" i="1"/>
  <c r="BS587" i="1"/>
  <c r="AW587" i="1"/>
  <c r="BZ599" i="1"/>
  <c r="BS622" i="1"/>
  <c r="AW408" i="1"/>
  <c r="BC413" i="1"/>
  <c r="BA413" i="1"/>
  <c r="AY413" i="1"/>
  <c r="AQ413" i="1"/>
  <c r="AT413" i="1"/>
  <c r="BW413" i="1" s="1"/>
  <c r="AR413" i="1"/>
  <c r="BU413" i="1" s="1"/>
  <c r="AN413" i="1"/>
  <c r="AR414" i="1"/>
  <c r="BU414" i="1" s="1"/>
  <c r="AP414" i="1"/>
  <c r="BD414" i="1"/>
  <c r="AN414" i="1"/>
  <c r="BC414" i="1"/>
  <c r="AP473" i="1"/>
  <c r="AN473" i="1"/>
  <c r="BB473" i="1"/>
  <c r="BD473" i="1"/>
  <c r="BA473" i="1"/>
  <c r="AY473" i="1"/>
  <c r="AQ473" i="1"/>
  <c r="BT473" i="1" s="1"/>
  <c r="BG473" i="1"/>
  <c r="BE473" i="1"/>
  <c r="AZ473" i="1"/>
  <c r="AW476" i="1"/>
  <c r="BS496" i="1"/>
  <c r="AW496" i="1"/>
  <c r="BH496" i="1"/>
  <c r="AZ503" i="1"/>
  <c r="AQ503" i="1"/>
  <c r="BT503" i="1" s="1"/>
  <c r="AN503" i="1"/>
  <c r="BD503" i="1"/>
  <c r="BA503" i="1"/>
  <c r="AX503" i="1"/>
  <c r="AT503" i="1"/>
  <c r="BW503" i="1" s="1"/>
  <c r="BG503" i="1"/>
  <c r="BE503" i="1"/>
  <c r="AR503" i="1"/>
  <c r="BU503" i="1" s="1"/>
  <c r="BC503" i="1"/>
  <c r="BB503" i="1"/>
  <c r="AY503" i="1"/>
  <c r="AS503" i="1"/>
  <c r="BV503" i="1" s="1"/>
  <c r="BG510" i="1"/>
  <c r="BF510" i="1"/>
  <c r="BE510" i="1"/>
  <c r="AX510" i="1"/>
  <c r="AR510" i="1"/>
  <c r="BU510" i="1" s="1"/>
  <c r="AP510" i="1"/>
  <c r="BB510" i="1"/>
  <c r="AZ510" i="1"/>
  <c r="AT510" i="1"/>
  <c r="BW510" i="1" s="1"/>
  <c r="AS510" i="1"/>
  <c r="BV510" i="1" s="1"/>
  <c r="AP515" i="1"/>
  <c r="BB515" i="1"/>
  <c r="AS515" i="1"/>
  <c r="BV515" i="1" s="1"/>
  <c r="AQ515" i="1"/>
  <c r="BT515" i="1" s="1"/>
  <c r="AN515" i="1"/>
  <c r="BF515" i="1"/>
  <c r="BE515" i="1"/>
  <c r="AX515" i="1"/>
  <c r="BD515" i="1"/>
  <c r="AT515" i="1"/>
  <c r="BW515" i="1" s="1"/>
  <c r="BG515" i="1"/>
  <c r="BC515" i="1"/>
  <c r="BA515" i="1"/>
  <c r="AY515" i="1"/>
  <c r="AY552" i="1"/>
  <c r="BD552" i="1"/>
  <c r="BB552" i="1"/>
  <c r="BG552" i="1"/>
  <c r="BF552" i="1"/>
  <c r="BA552" i="1"/>
  <c r="BC552" i="1"/>
  <c r="BE552" i="1"/>
  <c r="AZ552" i="1"/>
  <c r="AX552" i="1"/>
  <c r="AT552" i="1"/>
  <c r="BW552" i="1" s="1"/>
  <c r="AS552" i="1"/>
  <c r="BV552" i="1" s="1"/>
  <c r="AW559" i="1"/>
  <c r="BH559" i="1"/>
  <c r="BS582" i="1"/>
  <c r="AW582" i="1"/>
  <c r="BH441" i="1"/>
  <c r="BS447" i="1"/>
  <c r="AW472" i="1"/>
  <c r="BS472" i="1"/>
  <c r="BG490" i="1"/>
  <c r="AY490" i="1"/>
  <c r="AN490" i="1"/>
  <c r="BB490" i="1"/>
  <c r="AP490" i="1"/>
  <c r="BD490" i="1"/>
  <c r="BA490" i="1"/>
  <c r="AZ490" i="1"/>
  <c r="AX490" i="1"/>
  <c r="AT490" i="1"/>
  <c r="BW490" i="1" s="1"/>
  <c r="AS508" i="1"/>
  <c r="BV508" i="1" s="1"/>
  <c r="BE508" i="1"/>
  <c r="BC508" i="1"/>
  <c r="BA508" i="1"/>
  <c r="AZ508" i="1"/>
  <c r="AP508" i="1"/>
  <c r="BG508" i="1"/>
  <c r="BD508" i="1"/>
  <c r="AR508" i="1"/>
  <c r="BU508" i="1" s="1"/>
  <c r="BF508" i="1"/>
  <c r="AQ508" i="1"/>
  <c r="BT508" i="1" s="1"/>
  <c r="BS522" i="1"/>
  <c r="BH522" i="1"/>
  <c r="BF542" i="1"/>
  <c r="BS544" i="1"/>
  <c r="BE558" i="1"/>
  <c r="AS558" i="1"/>
  <c r="BV558" i="1" s="1"/>
  <c r="BG558" i="1"/>
  <c r="BD558" i="1"/>
  <c r="BC558" i="1"/>
  <c r="BA558" i="1"/>
  <c r="AZ558" i="1"/>
  <c r="AY558" i="1"/>
  <c r="AP558" i="1"/>
  <c r="AR558" i="1"/>
  <c r="BU558" i="1" s="1"/>
  <c r="AN558" i="1"/>
  <c r="AT558" i="1"/>
  <c r="BW558" i="1" s="1"/>
  <c r="AX558" i="1"/>
  <c r="AZ563" i="1"/>
  <c r="AN563" i="1"/>
  <c r="BA563" i="1"/>
  <c r="AX563" i="1"/>
  <c r="AT563" i="1"/>
  <c r="BW563" i="1" s="1"/>
  <c r="AP563" i="1"/>
  <c r="BG563" i="1"/>
  <c r="BF563" i="1"/>
  <c r="BE563" i="1"/>
  <c r="BD563" i="1"/>
  <c r="BC563" i="1"/>
  <c r="BB563" i="1"/>
  <c r="BA567" i="1"/>
  <c r="AP567" i="1"/>
  <c r="BE567" i="1"/>
  <c r="BD567" i="1"/>
  <c r="BC567" i="1"/>
  <c r="BG567" i="1"/>
  <c r="AR567" i="1"/>
  <c r="BU567" i="1" s="1"/>
  <c r="AN567" i="1"/>
  <c r="AZ567" i="1"/>
  <c r="AX567" i="1"/>
  <c r="AT567" i="1"/>
  <c r="BW567" i="1" s="1"/>
  <c r="AQ567" i="1"/>
  <c r="BT567" i="1" s="1"/>
  <c r="BA603" i="1"/>
  <c r="AQ603" i="1"/>
  <c r="BT603" i="1" s="1"/>
  <c r="BC603" i="1"/>
  <c r="AZ603" i="1"/>
  <c r="AX603" i="1"/>
  <c r="AU603" i="1"/>
  <c r="BX603" i="1" s="1"/>
  <c r="AT603" i="1"/>
  <c r="BW603" i="1" s="1"/>
  <c r="BF603" i="1"/>
  <c r="BD603" i="1"/>
  <c r="BB603" i="1"/>
  <c r="AY603" i="1"/>
  <c r="AR603" i="1"/>
  <c r="BU603" i="1" s="1"/>
  <c r="BG603" i="1"/>
  <c r="BS609" i="1"/>
  <c r="BH609" i="1"/>
  <c r="AW609" i="1"/>
  <c r="BF327" i="1"/>
  <c r="BH327" i="1" s="1"/>
  <c r="AX339" i="1"/>
  <c r="AZ341" i="1"/>
  <c r="BF347" i="1"/>
  <c r="BZ347" i="1" s="1"/>
  <c r="AZ355" i="1"/>
  <c r="BA360" i="1"/>
  <c r="BG367" i="1"/>
  <c r="BH367" i="1" s="1"/>
  <c r="AY368" i="1"/>
  <c r="BZ368" i="1" s="1"/>
  <c r="AT424" i="1"/>
  <c r="BW424" i="1" s="1"/>
  <c r="AP424" i="1"/>
  <c r="BC424" i="1"/>
  <c r="BB430" i="1"/>
  <c r="BF430" i="1"/>
  <c r="BD430" i="1"/>
  <c r="BA430" i="1"/>
  <c r="AS430" i="1"/>
  <c r="BV430" i="1" s="1"/>
  <c r="BG478" i="1"/>
  <c r="AQ478" i="1"/>
  <c r="BT478" i="1" s="1"/>
  <c r="AN478" i="1"/>
  <c r="BC478" i="1"/>
  <c r="BF478" i="1"/>
  <c r="BD478" i="1"/>
  <c r="BA478" i="1"/>
  <c r="AS478" i="1"/>
  <c r="BV478" i="1" s="1"/>
  <c r="BD527" i="1"/>
  <c r="AR527" i="1"/>
  <c r="BU527" i="1" s="1"/>
  <c r="AX527" i="1"/>
  <c r="AT527" i="1"/>
  <c r="BW527" i="1" s="1"/>
  <c r="AS527" i="1"/>
  <c r="BV527" i="1" s="1"/>
  <c r="AY527" i="1"/>
  <c r="AQ527" i="1"/>
  <c r="BT527" i="1" s="1"/>
  <c r="AN527" i="1"/>
  <c r="BF527" i="1"/>
  <c r="BC527" i="1"/>
  <c r="BC536" i="1"/>
  <c r="AQ536" i="1"/>
  <c r="AX536" i="1"/>
  <c r="AT536" i="1"/>
  <c r="BW536" i="1" s="1"/>
  <c r="AS536" i="1"/>
  <c r="BV536" i="1" s="1"/>
  <c r="AR536" i="1"/>
  <c r="BU536" i="1" s="1"/>
  <c r="BB536" i="1"/>
  <c r="BF536" i="1"/>
  <c r="AR557" i="1"/>
  <c r="BU557" i="1" s="1"/>
  <c r="BD557" i="1"/>
  <c r="AN557" i="1"/>
  <c r="BF557" i="1"/>
  <c r="BE557" i="1"/>
  <c r="BC557" i="1"/>
  <c r="AP557" i="1"/>
  <c r="BB557" i="1"/>
  <c r="AZ557" i="1"/>
  <c r="AX557" i="1"/>
  <c r="BG355" i="1"/>
  <c r="BG360" i="1"/>
  <c r="AW367" i="1"/>
  <c r="BC373" i="1"/>
  <c r="BZ373" i="1" s="1"/>
  <c r="AQ373" i="1"/>
  <c r="AX446" i="1"/>
  <c r="AY446" i="1"/>
  <c r="AT446" i="1"/>
  <c r="BW446" i="1" s="1"/>
  <c r="AR446" i="1"/>
  <c r="BU446" i="1" s="1"/>
  <c r="BG500" i="1"/>
  <c r="BH500" i="1" s="1"/>
  <c r="AQ500" i="1"/>
  <c r="BT500" i="1" s="1"/>
  <c r="AN500" i="1"/>
  <c r="BD500" i="1"/>
  <c r="BB500" i="1"/>
  <c r="BE500" i="1"/>
  <c r="AT500" i="1"/>
  <c r="BW500" i="1" s="1"/>
  <c r="BS531" i="1"/>
  <c r="AS557" i="1"/>
  <c r="BV557" i="1" s="1"/>
  <c r="AX561" i="1"/>
  <c r="BF561" i="1"/>
  <c r="BD561" i="1"/>
  <c r="BG561" i="1"/>
  <c r="AY561" i="1"/>
  <c r="BB561" i="1"/>
  <c r="BE561" i="1"/>
  <c r="AS561" i="1"/>
  <c r="BS562" i="1"/>
  <c r="AW562" i="1"/>
  <c r="AW599" i="1"/>
  <c r="BH599" i="1"/>
  <c r="BS599" i="1"/>
  <c r="AY595" i="1"/>
  <c r="BG595" i="1"/>
  <c r="AU595" i="1"/>
  <c r="BX595" i="1" s="1"/>
  <c r="AT595" i="1"/>
  <c r="BW595" i="1" s="1"/>
  <c r="AS595" i="1"/>
  <c r="BV595" i="1" s="1"/>
  <c r="BC595" i="1"/>
  <c r="BA595" i="1"/>
  <c r="AZ595" i="1"/>
  <c r="AX595" i="1"/>
  <c r="AR595" i="1"/>
  <c r="BU595" i="1" s="1"/>
  <c r="BB595" i="1"/>
  <c r="AQ595" i="1"/>
  <c r="BT595" i="1" s="1"/>
  <c r="AP595" i="1"/>
  <c r="AN595" i="1"/>
  <c r="BH614" i="1"/>
  <c r="BG637" i="1"/>
  <c r="BF637" i="1"/>
  <c r="BD637" i="1"/>
  <c r="BA637" i="1"/>
  <c r="AT637" i="1"/>
  <c r="BW637" i="1" s="1"/>
  <c r="BC637" i="1"/>
  <c r="BB637" i="1"/>
  <c r="AY637" i="1"/>
  <c r="AX637" i="1"/>
  <c r="AN637" i="1"/>
  <c r="AV637" i="1"/>
  <c r="BY637" i="1" s="1"/>
  <c r="AS637" i="1"/>
  <c r="BV637" i="1" s="1"/>
  <c r="AZ637" i="1"/>
  <c r="AR637" i="1"/>
  <c r="BU637" i="1" s="1"/>
  <c r="BE637" i="1"/>
  <c r="AQ637" i="1"/>
  <c r="BT637" i="1" s="1"/>
  <c r="AP637" i="1"/>
  <c r="BE415" i="1"/>
  <c r="BC415" i="1"/>
  <c r="BA415" i="1"/>
  <c r="AS415" i="1"/>
  <c r="BV415" i="1" s="1"/>
  <c r="AR430" i="1"/>
  <c r="AS433" i="1"/>
  <c r="BV433" i="1" s="1"/>
  <c r="BE433" i="1"/>
  <c r="BF433" i="1"/>
  <c r="BC433" i="1"/>
  <c r="BA433" i="1"/>
  <c r="AR433" i="1"/>
  <c r="BA439" i="1"/>
  <c r="AN439" i="1"/>
  <c r="BD439" i="1"/>
  <c r="BB439" i="1"/>
  <c r="AY439" i="1"/>
  <c r="AQ439" i="1"/>
  <c r="BG447" i="1"/>
  <c r="AY447" i="1"/>
  <c r="AN447" i="1"/>
  <c r="BB447" i="1"/>
  <c r="BA527" i="1"/>
  <c r="AY536" i="1"/>
  <c r="AX541" i="1"/>
  <c r="BF541" i="1"/>
  <c r="BD541" i="1"/>
  <c r="BC541" i="1"/>
  <c r="BB541" i="1"/>
  <c r="AS541" i="1"/>
  <c r="BV541" i="1" s="1"/>
  <c r="BG541" i="1"/>
  <c r="BA541" i="1"/>
  <c r="AY541" i="1"/>
  <c r="AN541" i="1"/>
  <c r="AZ541" i="1"/>
  <c r="AT541" i="1"/>
  <c r="BW541" i="1" s="1"/>
  <c r="AQ541" i="1"/>
  <c r="BT541" i="1" s="1"/>
  <c r="BS556" i="1"/>
  <c r="AW556" i="1"/>
  <c r="AY557" i="1"/>
  <c r="BS532" i="1"/>
  <c r="BS534" i="1"/>
  <c r="AN544" i="1"/>
  <c r="BA544" i="1"/>
  <c r="AT544" i="1"/>
  <c r="BW544" i="1" s="1"/>
  <c r="BF544" i="1"/>
  <c r="BE544" i="1"/>
  <c r="BD544" i="1"/>
  <c r="BC544" i="1"/>
  <c r="AZ544" i="1"/>
  <c r="AX544" i="1"/>
  <c r="AS544" i="1"/>
  <c r="BV544" i="1" s="1"/>
  <c r="BS579" i="1"/>
  <c r="AW579" i="1"/>
  <c r="BG358" i="1"/>
  <c r="AN401" i="1"/>
  <c r="BG401" i="1"/>
  <c r="BH401" i="1" s="1"/>
  <c r="BA401" i="1"/>
  <c r="BZ401" i="1" s="1"/>
  <c r="AY424" i="1"/>
  <c r="AN446" i="1"/>
  <c r="AY478" i="1"/>
  <c r="AX511" i="1"/>
  <c r="BB511" i="1"/>
  <c r="AZ511" i="1"/>
  <c r="AY511" i="1"/>
  <c r="AN511" i="1"/>
  <c r="AQ511" i="1"/>
  <c r="BT511" i="1" s="1"/>
  <c r="BG511" i="1"/>
  <c r="BE511" i="1"/>
  <c r="BC511" i="1"/>
  <c r="AN524" i="1"/>
  <c r="BA524" i="1"/>
  <c r="AT524" i="1"/>
  <c r="BW524" i="1" s="1"/>
  <c r="AR524" i="1"/>
  <c r="BU524" i="1" s="1"/>
  <c r="AQ524" i="1"/>
  <c r="BT524" i="1" s="1"/>
  <c r="BG524" i="1"/>
  <c r="BF524" i="1"/>
  <c r="BD524" i="1"/>
  <c r="BB524" i="1"/>
  <c r="AP524" i="1"/>
  <c r="BC524" i="1"/>
  <c r="AY524" i="1"/>
  <c r="BE527" i="1"/>
  <c r="BA536" i="1"/>
  <c r="BA554" i="1"/>
  <c r="AN554" i="1"/>
  <c r="AX554" i="1"/>
  <c r="AT554" i="1"/>
  <c r="BW554" i="1" s="1"/>
  <c r="AS554" i="1"/>
  <c r="BV554" i="1" s="1"/>
  <c r="AR554" i="1"/>
  <c r="BU554" i="1" s="1"/>
  <c r="BE554" i="1"/>
  <c r="AP554" i="1"/>
  <c r="BG557" i="1"/>
  <c r="AN561" i="1"/>
  <c r="BF376" i="1"/>
  <c r="BH376" i="1" s="1"/>
  <c r="BF396" i="1"/>
  <c r="BH396" i="1" s="1"/>
  <c r="AX408" i="1"/>
  <c r="AZ410" i="1"/>
  <c r="BH410" i="1" s="1"/>
  <c r="BZ410" i="1" s="1"/>
  <c r="BF416" i="1"/>
  <c r="AZ419" i="1"/>
  <c r="BG426" i="1"/>
  <c r="AX427" i="1"/>
  <c r="BG437" i="1"/>
  <c r="AP440" i="1"/>
  <c r="BB440" i="1"/>
  <c r="BB458" i="1"/>
  <c r="AZ461" i="1"/>
  <c r="BE461" i="1"/>
  <c r="BC461" i="1"/>
  <c r="AR461" i="1"/>
  <c r="BU461" i="1" s="1"/>
  <c r="BG488" i="1"/>
  <c r="BE488" i="1"/>
  <c r="BC488" i="1"/>
  <c r="BA488" i="1"/>
  <c r="AR488" i="1"/>
  <c r="BU488" i="1" s="1"/>
  <c r="BS514" i="1"/>
  <c r="AW514" i="1"/>
  <c r="AZ523" i="1"/>
  <c r="BC523" i="1"/>
  <c r="BA523" i="1"/>
  <c r="AY523" i="1"/>
  <c r="AP523" i="1"/>
  <c r="BF523" i="1"/>
  <c r="BD523" i="1"/>
  <c r="AR523" i="1"/>
  <c r="BU523" i="1" s="1"/>
  <c r="AN581" i="1"/>
  <c r="AT581" i="1"/>
  <c r="BW581" i="1" s="1"/>
  <c r="BE581" i="1"/>
  <c r="AU581" i="1"/>
  <c r="BX581" i="1" s="1"/>
  <c r="AS581" i="1"/>
  <c r="BV581" i="1" s="1"/>
  <c r="BG581" i="1"/>
  <c r="BD581" i="1"/>
  <c r="BC581" i="1"/>
  <c r="BB581" i="1"/>
  <c r="AQ581" i="1"/>
  <c r="AZ581" i="1"/>
  <c r="AW591" i="1"/>
  <c r="BS591" i="1"/>
  <c r="BG419" i="1"/>
  <c r="BD432" i="1"/>
  <c r="AR432" i="1"/>
  <c r="BU432" i="1" s="1"/>
  <c r="BC441" i="1"/>
  <c r="AQ441" i="1"/>
  <c r="BS457" i="1"/>
  <c r="BE476" i="1"/>
  <c r="BF476" i="1"/>
  <c r="AY476" i="1"/>
  <c r="BH476" i="1" s="1"/>
  <c r="BB483" i="1"/>
  <c r="AP483" i="1"/>
  <c r="AX483" i="1"/>
  <c r="AT483" i="1"/>
  <c r="BW483" i="1" s="1"/>
  <c r="AR483" i="1"/>
  <c r="BU483" i="1" s="1"/>
  <c r="AW488" i="1"/>
  <c r="AX491" i="1"/>
  <c r="AP491" i="1"/>
  <c r="BC491" i="1"/>
  <c r="BG491" i="1"/>
  <c r="BE491" i="1"/>
  <c r="AZ493" i="1"/>
  <c r="AX493" i="1"/>
  <c r="AY493" i="1"/>
  <c r="AT493" i="1"/>
  <c r="BW493" i="1" s="1"/>
  <c r="AR493" i="1"/>
  <c r="BU493" i="1" s="1"/>
  <c r="BA494" i="1"/>
  <c r="AN494" i="1"/>
  <c r="AP494" i="1"/>
  <c r="BC494" i="1"/>
  <c r="AS494" i="1"/>
  <c r="BV494" i="1" s="1"/>
  <c r="AQ494" i="1"/>
  <c r="BT494" i="1" s="1"/>
  <c r="BG494" i="1"/>
  <c r="AY532" i="1"/>
  <c r="BD532" i="1"/>
  <c r="BB532" i="1"/>
  <c r="BA532" i="1"/>
  <c r="AQ532" i="1"/>
  <c r="AX532" i="1"/>
  <c r="AT532" i="1"/>
  <c r="BW532" i="1" s="1"/>
  <c r="AR532" i="1"/>
  <c r="BU532" i="1" s="1"/>
  <c r="AW539" i="1"/>
  <c r="BS539" i="1"/>
  <c r="BE576" i="1"/>
  <c r="BB576" i="1"/>
  <c r="AQ576" i="1"/>
  <c r="AZ576" i="1"/>
  <c r="AX576" i="1"/>
  <c r="AU576" i="1"/>
  <c r="BX576" i="1" s="1"/>
  <c r="BA576" i="1"/>
  <c r="BS580" i="1"/>
  <c r="BH580" i="1"/>
  <c r="AW605" i="1"/>
  <c r="BS605" i="1"/>
  <c r="BH628" i="1"/>
  <c r="BS628" i="1"/>
  <c r="AW466" i="1"/>
  <c r="AW475" i="1"/>
  <c r="AQ484" i="1"/>
  <c r="BT484" i="1" s="1"/>
  <c r="BC484" i="1"/>
  <c r="AN484" i="1"/>
  <c r="BB484" i="1"/>
  <c r="AR497" i="1"/>
  <c r="BU497" i="1" s="1"/>
  <c r="BD497" i="1"/>
  <c r="AQ497" i="1"/>
  <c r="BT497" i="1" s="1"/>
  <c r="BE497" i="1"/>
  <c r="BF497" i="1"/>
  <c r="BB497" i="1"/>
  <c r="AZ497" i="1"/>
  <c r="AP497" i="1"/>
  <c r="BD547" i="1"/>
  <c r="AR547" i="1"/>
  <c r="BU547" i="1" s="1"/>
  <c r="AX547" i="1"/>
  <c r="AT547" i="1"/>
  <c r="BW547" i="1" s="1"/>
  <c r="AP547" i="1"/>
  <c r="BF547" i="1"/>
  <c r="BB547" i="1"/>
  <c r="AZ547" i="1"/>
  <c r="BS548" i="1"/>
  <c r="AW549" i="1"/>
  <c r="AW564" i="1"/>
  <c r="AY581" i="1"/>
  <c r="AZ594" i="1"/>
  <c r="AY594" i="1"/>
  <c r="AS594" i="1"/>
  <c r="BV594" i="1" s="1"/>
  <c r="BF594" i="1"/>
  <c r="BE594" i="1"/>
  <c r="BD594" i="1"/>
  <c r="BC594" i="1"/>
  <c r="BB594" i="1"/>
  <c r="BA594" i="1"/>
  <c r="AX594" i="1"/>
  <c r="AP594" i="1"/>
  <c r="AQ594" i="1"/>
  <c r="BT594" i="1" s="1"/>
  <c r="AR575" i="1"/>
  <c r="BU575" i="1" s="1"/>
  <c r="BC575" i="1"/>
  <c r="AU575" i="1"/>
  <c r="BX575" i="1" s="1"/>
  <c r="AT575" i="1"/>
  <c r="BW575" i="1" s="1"/>
  <c r="BG575" i="1"/>
  <c r="BF575" i="1"/>
  <c r="BE575" i="1"/>
  <c r="AX575" i="1"/>
  <c r="BA575" i="1"/>
  <c r="AW577" i="1"/>
  <c r="AW614" i="1"/>
  <c r="AT426" i="1"/>
  <c r="AT437" i="1"/>
  <c r="AT457" i="1"/>
  <c r="BW457" i="1" s="1"/>
  <c r="AN458" i="1"/>
  <c r="AW462" i="1"/>
  <c r="BB463" i="1"/>
  <c r="AY463" i="1"/>
  <c r="BH463" i="1" s="1"/>
  <c r="BZ463" i="1" s="1"/>
  <c r="BA472" i="1"/>
  <c r="AY472" i="1"/>
  <c r="AT477" i="1"/>
  <c r="AW477" i="1" s="1"/>
  <c r="BB477" i="1"/>
  <c r="AZ477" i="1"/>
  <c r="AX477" i="1"/>
  <c r="AN477" i="1"/>
  <c r="AX488" i="1"/>
  <c r="AN491" i="1"/>
  <c r="AN493" i="1"/>
  <c r="AX523" i="1"/>
  <c r="BF581" i="1"/>
  <c r="AW583" i="1"/>
  <c r="BF444" i="1"/>
  <c r="AX456" i="1"/>
  <c r="BH456" i="1" s="1"/>
  <c r="BG462" i="1"/>
  <c r="BH462" i="1" s="1"/>
  <c r="BG475" i="1"/>
  <c r="BH475" i="1" s="1"/>
  <c r="BZ475" i="1" s="1"/>
  <c r="BA481" i="1"/>
  <c r="AP590" i="1"/>
  <c r="AX590" i="1"/>
  <c r="BG590" i="1"/>
  <c r="BF590" i="1"/>
  <c r="BE590" i="1"/>
  <c r="AQ590" i="1"/>
  <c r="BT590" i="1" s="1"/>
  <c r="BC590" i="1"/>
  <c r="BS616" i="1"/>
  <c r="AN624" i="1"/>
  <c r="BD624" i="1"/>
  <c r="AZ624" i="1"/>
  <c r="BF624" i="1"/>
  <c r="BE624" i="1"/>
  <c r="AS624" i="1"/>
  <c r="BV624" i="1" s="1"/>
  <c r="BC624" i="1"/>
  <c r="AP624" i="1"/>
  <c r="BG624" i="1"/>
  <c r="AV624" i="1"/>
  <c r="BY624" i="1" s="1"/>
  <c r="BB624" i="1"/>
  <c r="BA624" i="1"/>
  <c r="AY624" i="1"/>
  <c r="AX624" i="1"/>
  <c r="BG481" i="1"/>
  <c r="AP495" i="1"/>
  <c r="BB495" i="1"/>
  <c r="BG495" i="1"/>
  <c r="AT495" i="1"/>
  <c r="BW495" i="1" s="1"/>
  <c r="BH504" i="1"/>
  <c r="AW504" i="1"/>
  <c r="AY512" i="1"/>
  <c r="AR512" i="1"/>
  <c r="BU512" i="1" s="1"/>
  <c r="AP512" i="1"/>
  <c r="AN512" i="1"/>
  <c r="BE512" i="1"/>
  <c r="BG520" i="1"/>
  <c r="BC520" i="1"/>
  <c r="BA520" i="1"/>
  <c r="AZ520" i="1"/>
  <c r="AP520" i="1"/>
  <c r="AP555" i="1"/>
  <c r="BB555" i="1"/>
  <c r="BE555" i="1"/>
  <c r="BC555" i="1"/>
  <c r="AR555" i="1"/>
  <c r="BU555" i="1" s="1"/>
  <c r="AN555" i="1"/>
  <c r="BG555" i="1"/>
  <c r="AY562" i="1"/>
  <c r="AX562" i="1"/>
  <c r="AT562" i="1"/>
  <c r="BW562" i="1" s="1"/>
  <c r="BG562" i="1"/>
  <c r="BE562" i="1"/>
  <c r="BD562" i="1"/>
  <c r="BC562" i="1"/>
  <c r="AQ562" i="1"/>
  <c r="BG571" i="1"/>
  <c r="AN571" i="1"/>
  <c r="BE571" i="1"/>
  <c r="BD571" i="1"/>
  <c r="BC571" i="1"/>
  <c r="AU571" i="1"/>
  <c r="BX571" i="1" s="1"/>
  <c r="AU598" i="1"/>
  <c r="BX598" i="1" s="1"/>
  <c r="BA598" i="1"/>
  <c r="AN598" i="1"/>
  <c r="BG598" i="1"/>
  <c r="AT598" i="1"/>
  <c r="BW598" i="1" s="1"/>
  <c r="BE598" i="1"/>
  <c r="BD598" i="1"/>
  <c r="BC598" i="1"/>
  <c r="AS598" i="1"/>
  <c r="BV598" i="1" s="1"/>
  <c r="AQ598" i="1"/>
  <c r="BT598" i="1" s="1"/>
  <c r="AP598" i="1"/>
  <c r="AR607" i="1"/>
  <c r="BU607" i="1" s="1"/>
  <c r="BD607" i="1"/>
  <c r="BE607" i="1"/>
  <c r="AQ607" i="1"/>
  <c r="BT607" i="1" s="1"/>
  <c r="BA607" i="1"/>
  <c r="AZ607" i="1"/>
  <c r="AY607" i="1"/>
  <c r="AX607" i="1"/>
  <c r="AU607" i="1"/>
  <c r="BX607" i="1" s="1"/>
  <c r="AS607" i="1"/>
  <c r="BV607" i="1" s="1"/>
  <c r="AP607" i="1"/>
  <c r="AN607" i="1"/>
  <c r="AR624" i="1"/>
  <c r="BU624" i="1" s="1"/>
  <c r="AQ506" i="1"/>
  <c r="BT506" i="1" s="1"/>
  <c r="BC506" i="1"/>
  <c r="AS506" i="1"/>
  <c r="BV506" i="1" s="1"/>
  <c r="AP506" i="1"/>
  <c r="BF506" i="1"/>
  <c r="BS519" i="1"/>
  <c r="BH519" i="1"/>
  <c r="AX521" i="1"/>
  <c r="AT521" i="1"/>
  <c r="BW521" i="1" s="1"/>
  <c r="AR521" i="1"/>
  <c r="BU521" i="1" s="1"/>
  <c r="AQ521" i="1"/>
  <c r="BT521" i="1" s="1"/>
  <c r="BG521" i="1"/>
  <c r="AP535" i="1"/>
  <c r="BB535" i="1"/>
  <c r="BE535" i="1"/>
  <c r="BC535" i="1"/>
  <c r="BA535" i="1"/>
  <c r="AZ535" i="1"/>
  <c r="AR535" i="1"/>
  <c r="BU535" i="1" s="1"/>
  <c r="AX551" i="1"/>
  <c r="AP551" i="1"/>
  <c r="BC551" i="1"/>
  <c r="BG560" i="1"/>
  <c r="AN560" i="1"/>
  <c r="AP560" i="1"/>
  <c r="BC560" i="1"/>
  <c r="BS569" i="1"/>
  <c r="AW569" i="1"/>
  <c r="AW611" i="1"/>
  <c r="BH611" i="1"/>
  <c r="BS611" i="1"/>
  <c r="BT639" i="1"/>
  <c r="BG466" i="1"/>
  <c r="BC496" i="1"/>
  <c r="AQ496" i="1"/>
  <c r="BT496" i="1" s="1"/>
  <c r="AZ496" i="1"/>
  <c r="BZ496" i="1" s="1"/>
  <c r="BA514" i="1"/>
  <c r="AN514" i="1"/>
  <c r="BB514" i="1"/>
  <c r="AY514" i="1"/>
  <c r="AX514" i="1"/>
  <c r="AR537" i="1"/>
  <c r="BD537" i="1"/>
  <c r="AN537" i="1"/>
  <c r="BB537" i="1"/>
  <c r="AP571" i="1"/>
  <c r="BC578" i="1"/>
  <c r="BD578" i="1"/>
  <c r="AR578" i="1"/>
  <c r="BU578" i="1" s="1"/>
  <c r="AU578" i="1"/>
  <c r="BX578" i="1" s="1"/>
  <c r="AT578" i="1"/>
  <c r="BW578" i="1" s="1"/>
  <c r="AS578" i="1"/>
  <c r="BV578" i="1" s="1"/>
  <c r="AQ578" i="1"/>
  <c r="AN578" i="1"/>
  <c r="BS585" i="1"/>
  <c r="AY590" i="1"/>
  <c r="AN604" i="1"/>
  <c r="BC604" i="1"/>
  <c r="AR604" i="1"/>
  <c r="BU604" i="1" s="1"/>
  <c r="BE604" i="1"/>
  <c r="AS604" i="1"/>
  <c r="BV604" i="1" s="1"/>
  <c r="AT604" i="1"/>
  <c r="BW604" i="1" s="1"/>
  <c r="AQ604" i="1"/>
  <c r="BT604" i="1" s="1"/>
  <c r="AP604" i="1"/>
  <c r="BD604" i="1"/>
  <c r="BA604" i="1"/>
  <c r="AZ604" i="1"/>
  <c r="AY604" i="1"/>
  <c r="AY625" i="1"/>
  <c r="AR625" i="1"/>
  <c r="BU625" i="1" s="1"/>
  <c r="AV625" i="1"/>
  <c r="BY625" i="1" s="1"/>
  <c r="AZ625" i="1"/>
  <c r="AT625" i="1"/>
  <c r="BW625" i="1" s="1"/>
  <c r="BG625" i="1"/>
  <c r="BF625" i="1"/>
  <c r="BE625" i="1"/>
  <c r="BD625" i="1"/>
  <c r="BC625" i="1"/>
  <c r="AP625" i="1"/>
  <c r="AX625" i="1"/>
  <c r="BE518" i="1"/>
  <c r="BZ518" i="1" s="1"/>
  <c r="AS518" i="1"/>
  <c r="BV518" i="1" s="1"/>
  <c r="AZ522" i="1"/>
  <c r="BA531" i="1"/>
  <c r="BH531" i="1" s="1"/>
  <c r="BG533" i="1"/>
  <c r="AQ546" i="1"/>
  <c r="AW546" i="1" s="1"/>
  <c r="BC546" i="1"/>
  <c r="BE546" i="1"/>
  <c r="BB546" i="1"/>
  <c r="BG550" i="1"/>
  <c r="AT550" i="1"/>
  <c r="BW550" i="1" s="1"/>
  <c r="AR550" i="1"/>
  <c r="AN564" i="1"/>
  <c r="BA564" i="1"/>
  <c r="BF564" i="1"/>
  <c r="BE564" i="1"/>
  <c r="BD564" i="1"/>
  <c r="BH564" i="1" s="1"/>
  <c r="BZ564" i="1" s="1"/>
  <c r="AS577" i="1"/>
  <c r="BV577" i="1" s="1"/>
  <c r="AQ577" i="1"/>
  <c r="BC577" i="1"/>
  <c r="BD577" i="1"/>
  <c r="BB577" i="1"/>
  <c r="BA577" i="1"/>
  <c r="AR588" i="1"/>
  <c r="BG588" i="1"/>
  <c r="AZ588" i="1"/>
  <c r="AY588" i="1"/>
  <c r="AX588" i="1"/>
  <c r="AX596" i="1"/>
  <c r="AZ596" i="1"/>
  <c r="AY596" i="1"/>
  <c r="AN596" i="1"/>
  <c r="BC606" i="1"/>
  <c r="AR606" i="1"/>
  <c r="AZ606" i="1"/>
  <c r="BF606" i="1"/>
  <c r="BE606" i="1"/>
  <c r="BD606" i="1"/>
  <c r="BB606" i="1"/>
  <c r="AP627" i="1"/>
  <c r="BG627" i="1"/>
  <c r="BD627" i="1"/>
  <c r="BC627" i="1"/>
  <c r="BA627" i="1"/>
  <c r="AR627" i="1"/>
  <c r="BU627" i="1" s="1"/>
  <c r="BE627" i="1"/>
  <c r="BF627" i="1"/>
  <c r="BB627" i="1"/>
  <c r="AZ627" i="1"/>
  <c r="AY627" i="1"/>
  <c r="AN627" i="1"/>
  <c r="AW550" i="1"/>
  <c r="AQ566" i="1"/>
  <c r="BT566" i="1" s="1"/>
  <c r="BB566" i="1"/>
  <c r="AP566" i="1"/>
  <c r="AN566" i="1"/>
  <c r="BD574" i="1"/>
  <c r="AS574" i="1"/>
  <c r="BV574" i="1" s="1"/>
  <c r="BF574" i="1"/>
  <c r="BE574" i="1"/>
  <c r="BC574" i="1"/>
  <c r="AW588" i="1"/>
  <c r="AU618" i="1"/>
  <c r="BX618" i="1" s="1"/>
  <c r="BF618" i="1"/>
  <c r="AZ618" i="1"/>
  <c r="AY618" i="1"/>
  <c r="BE618" i="1"/>
  <c r="BD618" i="1"/>
  <c r="BC618" i="1"/>
  <c r="BB618" i="1"/>
  <c r="BA618" i="1"/>
  <c r="AX618" i="1"/>
  <c r="AP618" i="1"/>
  <c r="BB626" i="1"/>
  <c r="AX626" i="1"/>
  <c r="AZ626" i="1"/>
  <c r="AQ626" i="1"/>
  <c r="BT626" i="1" s="1"/>
  <c r="AN626" i="1"/>
  <c r="BE626" i="1"/>
  <c r="BG626" i="1"/>
  <c r="BF626" i="1"/>
  <c r="BD626" i="1"/>
  <c r="BC626" i="1"/>
  <c r="BA626" i="1"/>
  <c r="AY626" i="1"/>
  <c r="AP626" i="1"/>
  <c r="BG522" i="1"/>
  <c r="BB525" i="1"/>
  <c r="AP525" i="1"/>
  <c r="BA534" i="1"/>
  <c r="AN534" i="1"/>
  <c r="BC556" i="1"/>
  <c r="AQ556" i="1"/>
  <c r="AX556" i="1"/>
  <c r="AT556" i="1"/>
  <c r="BW556" i="1" s="1"/>
  <c r="AQ579" i="1"/>
  <c r="BT579" i="1" s="1"/>
  <c r="AS579" i="1"/>
  <c r="BV579" i="1" s="1"/>
  <c r="BD579" i="1"/>
  <c r="BH579" i="1" s="1"/>
  <c r="BD507" i="1"/>
  <c r="AR507" i="1"/>
  <c r="BU507" i="1" s="1"/>
  <c r="BC516" i="1"/>
  <c r="AQ516" i="1"/>
  <c r="BT516" i="1" s="1"/>
  <c r="AS548" i="1"/>
  <c r="BV548" i="1" s="1"/>
  <c r="BE548" i="1"/>
  <c r="AN548" i="1"/>
  <c r="AN591" i="1"/>
  <c r="AZ591" i="1"/>
  <c r="AY591" i="1"/>
  <c r="BA591" i="1"/>
  <c r="AX591" i="1"/>
  <c r="BS619" i="1"/>
  <c r="AX627" i="1"/>
  <c r="AN504" i="1"/>
  <c r="BA504" i="1"/>
  <c r="AT530" i="1"/>
  <c r="BW530" i="1" s="1"/>
  <c r="AT533" i="1"/>
  <c r="AY550" i="1"/>
  <c r="BA580" i="1"/>
  <c r="BZ580" i="1" s="1"/>
  <c r="BE580" i="1"/>
  <c r="AS580" i="1"/>
  <c r="BD580" i="1"/>
  <c r="BC580" i="1"/>
  <c r="BB580" i="1"/>
  <c r="BH583" i="1"/>
  <c r="AU588" i="1"/>
  <c r="BX588" i="1" s="1"/>
  <c r="AU596" i="1"/>
  <c r="BX596" i="1" s="1"/>
  <c r="AS600" i="1"/>
  <c r="BV600" i="1" s="1"/>
  <c r="BA600" i="1"/>
  <c r="AN600" i="1"/>
  <c r="AZ600" i="1"/>
  <c r="AP600" i="1"/>
  <c r="AU606" i="1"/>
  <c r="BX606" i="1" s="1"/>
  <c r="AU615" i="1"/>
  <c r="BX615" i="1" s="1"/>
  <c r="AT615" i="1"/>
  <c r="BW615" i="1" s="1"/>
  <c r="BF615" i="1"/>
  <c r="AX615" i="1"/>
  <c r="AS615" i="1"/>
  <c r="BV615" i="1" s="1"/>
  <c r="AR615" i="1"/>
  <c r="BU615" i="1" s="1"/>
  <c r="AQ615" i="1"/>
  <c r="BT615" i="1" s="1"/>
  <c r="AP615" i="1"/>
  <c r="AN615" i="1"/>
  <c r="BS635" i="1"/>
  <c r="BH635" i="1"/>
  <c r="AW635" i="1"/>
  <c r="AX636" i="1"/>
  <c r="AT636" i="1"/>
  <c r="BW636" i="1" s="1"/>
  <c r="AQ636" i="1"/>
  <c r="BT636" i="1" s="1"/>
  <c r="BF636" i="1"/>
  <c r="BG636" i="1"/>
  <c r="BE636" i="1"/>
  <c r="BC636" i="1"/>
  <c r="BB636" i="1"/>
  <c r="AR636" i="1"/>
  <c r="BU636" i="1" s="1"/>
  <c r="AP636" i="1"/>
  <c r="AN636" i="1"/>
  <c r="AY605" i="1"/>
  <c r="AR605" i="1"/>
  <c r="BD605" i="1"/>
  <c r="AT609" i="1"/>
  <c r="BW609" i="1" s="1"/>
  <c r="AR609" i="1"/>
  <c r="BU609" i="1" s="1"/>
  <c r="BD609" i="1"/>
  <c r="AZ609" i="1"/>
  <c r="BZ609" i="1" s="1"/>
  <c r="BC621" i="1"/>
  <c r="AR621" i="1"/>
  <c r="BU621" i="1" s="1"/>
  <c r="BF621" i="1"/>
  <c r="BE621" i="1"/>
  <c r="AT621" i="1"/>
  <c r="BW621" i="1" s="1"/>
  <c r="AQ621" i="1"/>
  <c r="BG621" i="1"/>
  <c r="AS636" i="1"/>
  <c r="BV636" i="1" s="1"/>
  <c r="BF569" i="1"/>
  <c r="BH569" i="1" s="1"/>
  <c r="BH608" i="1"/>
  <c r="AV636" i="1"/>
  <c r="BY636" i="1" s="1"/>
  <c r="BD587" i="1"/>
  <c r="AU587" i="1"/>
  <c r="BX587" i="1" s="1"/>
  <c r="BG587" i="1"/>
  <c r="AP593" i="1"/>
  <c r="AY593" i="1"/>
  <c r="BC593" i="1"/>
  <c r="AQ593" i="1"/>
  <c r="BT593" i="1" s="1"/>
  <c r="BC601" i="1"/>
  <c r="AP601" i="1"/>
  <c r="BA601" i="1"/>
  <c r="BE601" i="1"/>
  <c r="AR601" i="1"/>
  <c r="BU601" i="1" s="1"/>
  <c r="AY636" i="1"/>
  <c r="AW584" i="1"/>
  <c r="AQ622" i="1"/>
  <c r="BT622" i="1" s="1"/>
  <c r="BF622" i="1"/>
  <c r="BB622" i="1"/>
  <c r="AU622" i="1"/>
  <c r="BX622" i="1" s="1"/>
  <c r="AZ622" i="1"/>
  <c r="AZ636" i="1"/>
  <c r="BA636" i="1"/>
  <c r="BS645" i="1"/>
  <c r="BG617" i="1"/>
  <c r="AY617" i="1"/>
  <c r="AX617" i="1"/>
  <c r="AS617" i="1"/>
  <c r="BV617" i="1" s="1"/>
  <c r="AN621" i="1"/>
  <c r="BA623" i="1"/>
  <c r="AT623" i="1"/>
  <c r="BW623" i="1" s="1"/>
  <c r="AP623" i="1"/>
  <c r="BB623" i="1"/>
  <c r="BG623" i="1"/>
  <c r="AS623" i="1"/>
  <c r="BV623" i="1" s="1"/>
  <c r="BZ629" i="1"/>
  <c r="BD636" i="1"/>
  <c r="BF499" i="1"/>
  <c r="BH499" i="1" s="1"/>
  <c r="BF519" i="1"/>
  <c r="BF539" i="1"/>
  <c r="BF559" i="1"/>
  <c r="BE573" i="1"/>
  <c r="BE583" i="1"/>
  <c r="BE585" i="1"/>
  <c r="AQ602" i="1"/>
  <c r="BT602" i="1" s="1"/>
  <c r="BB602" i="1"/>
  <c r="AP602" i="1"/>
  <c r="BF608" i="1"/>
  <c r="BZ608" i="1" s="1"/>
  <c r="BC608" i="1"/>
  <c r="AR608" i="1"/>
  <c r="AR611" i="1"/>
  <c r="BU611" i="1" s="1"/>
  <c r="AT611" i="1"/>
  <c r="BW611" i="1" s="1"/>
  <c r="BE611" i="1"/>
  <c r="BZ611" i="1" s="1"/>
  <c r="AS620" i="1"/>
  <c r="BV620" i="1" s="1"/>
  <c r="BD620" i="1"/>
  <c r="AQ620" i="1"/>
  <c r="BT620" i="1" s="1"/>
  <c r="AP620" i="1"/>
  <c r="BC620" i="1"/>
  <c r="BS629" i="1"/>
  <c r="BH629" i="1"/>
  <c r="AW629" i="1"/>
  <c r="BD630" i="1"/>
  <c r="AX630" i="1"/>
  <c r="AS630" i="1"/>
  <c r="AW630" i="1" s="1"/>
  <c r="BA630" i="1"/>
  <c r="AZ630" i="1"/>
  <c r="AN644" i="1"/>
  <c r="BG644" i="1"/>
  <c r="BF644" i="1"/>
  <c r="BD644" i="1"/>
  <c r="AZ644" i="1"/>
  <c r="AX644" i="1"/>
  <c r="AT644" i="1"/>
  <c r="BW644" i="1" s="1"/>
  <c r="AP644" i="1"/>
  <c r="BC644" i="1"/>
  <c r="AW633" i="1"/>
  <c r="BS633" i="1"/>
  <c r="AR651" i="1"/>
  <c r="BU651" i="1" s="1"/>
  <c r="AQ651" i="1"/>
  <c r="BT651" i="1" s="1"/>
  <c r="AP651" i="1"/>
  <c r="AN651" i="1"/>
  <c r="BG651" i="1"/>
  <c r="BF651" i="1"/>
  <c r="BD651" i="1"/>
  <c r="BC651" i="1"/>
  <c r="BB651" i="1"/>
  <c r="BA651" i="1"/>
  <c r="AZ651" i="1"/>
  <c r="AX651" i="1"/>
  <c r="AT651" i="1"/>
  <c r="BW651" i="1" s="1"/>
  <c r="AS651" i="1"/>
  <c r="BV651" i="1" s="1"/>
  <c r="AY651" i="1"/>
  <c r="AS640" i="1"/>
  <c r="BV640" i="1" s="1"/>
  <c r="AR640" i="1"/>
  <c r="BU640" i="1" s="1"/>
  <c r="AP640" i="1"/>
  <c r="BD640" i="1"/>
  <c r="BB640" i="1"/>
  <c r="AT640" i="1"/>
  <c r="BW640" i="1" s="1"/>
  <c r="AQ640" i="1"/>
  <c r="BT640" i="1" s="1"/>
  <c r="AN640" i="1"/>
  <c r="BG640" i="1"/>
  <c r="BF582" i="1"/>
  <c r="BH582" i="1" s="1"/>
  <c r="BZ582" i="1" s="1"/>
  <c r="AT585" i="1"/>
  <c r="AW585" i="1" s="1"/>
  <c r="BF586" i="1"/>
  <c r="BH586" i="1" s="1"/>
  <c r="BZ586" i="1" s="1"/>
  <c r="AU608" i="1"/>
  <c r="BX608" i="1" s="1"/>
  <c r="AX620" i="1"/>
  <c r="AV630" i="1"/>
  <c r="BY630" i="1" s="1"/>
  <c r="BS632" i="1"/>
  <c r="AV638" i="1"/>
  <c r="BY638" i="1" s="1"/>
  <c r="AT638" i="1"/>
  <c r="BW638" i="1" s="1"/>
  <c r="AR638" i="1"/>
  <c r="BU638" i="1" s="1"/>
  <c r="AN638" i="1"/>
  <c r="BF638" i="1"/>
  <c r="BD638" i="1"/>
  <c r="AZ638" i="1"/>
  <c r="AY638" i="1"/>
  <c r="AS638" i="1"/>
  <c r="BV638" i="1" s="1"/>
  <c r="BA644" i="1"/>
  <c r="AT612" i="1"/>
  <c r="BF613" i="1"/>
  <c r="AU614" i="1"/>
  <c r="BX614" i="1" s="1"/>
  <c r="AU616" i="1"/>
  <c r="BF628" i="1"/>
  <c r="AZ628" i="1"/>
  <c r="BZ628" i="1" s="1"/>
  <c r="AV628" i="1"/>
  <c r="BY628" i="1" s="1"/>
  <c r="BH650" i="1"/>
  <c r="BZ650" i="1" s="1"/>
  <c r="AQ642" i="1"/>
  <c r="BT642" i="1" s="1"/>
  <c r="AP642" i="1"/>
  <c r="BF642" i="1"/>
  <c r="BB642" i="1"/>
  <c r="AZ642" i="1"/>
  <c r="AR642" i="1"/>
  <c r="BU642" i="1" s="1"/>
  <c r="AY645" i="1"/>
  <c r="AX645" i="1"/>
  <c r="AV645" i="1"/>
  <c r="BY645" i="1" s="1"/>
  <c r="AT645" i="1"/>
  <c r="BW645" i="1" s="1"/>
  <c r="AR645" i="1"/>
  <c r="BG645" i="1"/>
  <c r="BF645" i="1"/>
  <c r="BD645" i="1"/>
  <c r="AZ645" i="1"/>
  <c r="BF635" i="1"/>
  <c r="BC635" i="1"/>
  <c r="AY635" i="1"/>
  <c r="BZ635" i="1" s="1"/>
  <c r="BA643" i="1"/>
  <c r="AZ643" i="1"/>
  <c r="AX643" i="1"/>
  <c r="AT643" i="1"/>
  <c r="BW643" i="1" s="1"/>
  <c r="AP643" i="1"/>
  <c r="BF643" i="1"/>
  <c r="BB643" i="1"/>
  <c r="BF614" i="1"/>
  <c r="BZ614" i="1" s="1"/>
  <c r="BF616" i="1"/>
  <c r="BH616" i="1" s="1"/>
  <c r="BB632" i="1"/>
  <c r="AV632" i="1"/>
  <c r="BY632" i="1" s="1"/>
  <c r="AQ632" i="1"/>
  <c r="BS646" i="1"/>
  <c r="BF612" i="1"/>
  <c r="BG614" i="1"/>
  <c r="BG616" i="1"/>
  <c r="AN645" i="1"/>
  <c r="AW650" i="1"/>
  <c r="BF639" i="1"/>
  <c r="AX647" i="1"/>
  <c r="BG648" i="1"/>
  <c r="AV649" i="1"/>
  <c r="AQ653" i="1"/>
  <c r="BT653" i="1" s="1"/>
  <c r="BA654" i="1"/>
  <c r="BH654" i="1" s="1"/>
  <c r="K1" i="3"/>
  <c r="AE1" i="3"/>
  <c r="AR653" i="1"/>
  <c r="BU653" i="1" s="1"/>
  <c r="M1" i="3"/>
  <c r="AG1" i="3"/>
  <c r="AR646" i="1"/>
  <c r="BB647" i="1"/>
  <c r="AP648" i="1"/>
  <c r="AV653" i="1"/>
  <c r="BY653" i="1" s="1"/>
  <c r="BE654" i="1"/>
  <c r="O1" i="2"/>
  <c r="AT646" i="1"/>
  <c r="BW646" i="1" s="1"/>
  <c r="BD647" i="1"/>
  <c r="AR648" i="1"/>
  <c r="BU648" i="1" s="1"/>
  <c r="AX653" i="1"/>
  <c r="BG654" i="1"/>
  <c r="AR639" i="1"/>
  <c r="BE647" i="1"/>
  <c r="BF647" i="1"/>
  <c r="AT648" i="1"/>
  <c r="BW648" i="1" s="1"/>
  <c r="BS654" i="1"/>
  <c r="AT619" i="1"/>
  <c r="AW619" i="1" s="1"/>
  <c r="BA633" i="1"/>
  <c r="AT639" i="1"/>
  <c r="BW639" i="1" s="1"/>
  <c r="AX646" i="1"/>
  <c r="BG647" i="1"/>
  <c r="AV648" i="1"/>
  <c r="BY648" i="1" s="1"/>
  <c r="BA653" i="1"/>
  <c r="AN654" i="1"/>
  <c r="T1" i="3"/>
  <c r="BB653" i="1"/>
  <c r="BD653" i="1"/>
  <c r="BE633" i="1"/>
  <c r="BB646" i="1"/>
  <c r="AP647" i="1"/>
  <c r="AZ648" i="1"/>
  <c r="BE653" i="1"/>
  <c r="BF653" i="1"/>
  <c r="BD646" i="1"/>
  <c r="AR647" i="1"/>
  <c r="BU647" i="1" s="1"/>
  <c r="BB648" i="1"/>
  <c r="BG653" i="1"/>
  <c r="BB639" i="1"/>
  <c r="BE646" i="1"/>
  <c r="AS647" i="1"/>
  <c r="BV647" i="1" s="1"/>
  <c r="BF646" i="1"/>
  <c r="AT647" i="1"/>
  <c r="BW647" i="1" s="1"/>
  <c r="BD648" i="1"/>
  <c r="AX654" i="1"/>
  <c r="BD639" i="1"/>
  <c r="BE648" i="1"/>
  <c r="J1" i="3"/>
  <c r="BZ4" i="1" l="1"/>
  <c r="BZ209" i="1"/>
  <c r="BZ105" i="1"/>
  <c r="BZ560" i="1"/>
  <c r="BZ244" i="1"/>
  <c r="BZ125" i="1"/>
  <c r="BZ593" i="1"/>
  <c r="BZ537" i="1"/>
  <c r="BZ553" i="1"/>
  <c r="BZ162" i="1"/>
  <c r="BZ238" i="1"/>
  <c r="BZ377" i="1"/>
  <c r="BZ450" i="1"/>
  <c r="BZ256" i="1"/>
  <c r="BZ585" i="1"/>
  <c r="BZ506" i="1"/>
  <c r="BZ414" i="1"/>
  <c r="BZ296" i="1"/>
  <c r="BZ274" i="1"/>
  <c r="BZ492" i="1"/>
  <c r="BZ362" i="1"/>
  <c r="BZ308" i="1"/>
  <c r="BZ397" i="1"/>
  <c r="BZ123" i="1"/>
  <c r="BZ478" i="1"/>
  <c r="BZ622" i="1"/>
  <c r="BZ228" i="1"/>
  <c r="BZ85" i="1"/>
  <c r="BZ520" i="1"/>
  <c r="BZ78" i="1"/>
  <c r="BZ444" i="1"/>
  <c r="BZ208" i="1"/>
  <c r="BZ600" i="1"/>
  <c r="BZ267" i="1"/>
  <c r="BZ190" i="1"/>
  <c r="BZ606" i="1"/>
  <c r="BZ316" i="1"/>
  <c r="BZ621" i="1"/>
  <c r="BZ426" i="1"/>
  <c r="BZ285" i="1"/>
  <c r="BZ447" i="1"/>
  <c r="BZ53" i="1"/>
  <c r="BZ601" i="1"/>
  <c r="BZ473" i="1"/>
  <c r="BS59" i="1"/>
  <c r="BH59" i="1"/>
  <c r="BZ59" i="1" s="1"/>
  <c r="AW59" i="1"/>
  <c r="AW142" i="1"/>
  <c r="BS142" i="1"/>
  <c r="BH142" i="1"/>
  <c r="BZ142" i="1" s="1"/>
  <c r="AW250" i="1"/>
  <c r="BS250" i="1"/>
  <c r="BH250" i="1"/>
  <c r="BZ250" i="1" s="1"/>
  <c r="BH322" i="1"/>
  <c r="BZ322" i="1" s="1"/>
  <c r="BS322" i="1"/>
  <c r="AW322" i="1"/>
  <c r="BH105" i="1"/>
  <c r="BH209" i="1"/>
  <c r="BH361" i="1"/>
  <c r="BZ361" i="1" s="1"/>
  <c r="AW127" i="1"/>
  <c r="BH127" i="1"/>
  <c r="BS127" i="1"/>
  <c r="BS517" i="1"/>
  <c r="BH517" i="1"/>
  <c r="AW517" i="1"/>
  <c r="AW15" i="1"/>
  <c r="BH140" i="1"/>
  <c r="BZ140" i="1" s="1"/>
  <c r="BH19" i="1"/>
  <c r="BZ19" i="1" s="1"/>
  <c r="AW222" i="1"/>
  <c r="BZ144" i="1"/>
  <c r="BZ14" i="1"/>
  <c r="BZ49" i="1"/>
  <c r="BT536" i="1"/>
  <c r="AW536" i="1"/>
  <c r="BH536" i="1"/>
  <c r="BH447" i="1"/>
  <c r="BH436" i="1"/>
  <c r="AW436" i="1"/>
  <c r="BS436" i="1"/>
  <c r="BZ325" i="1"/>
  <c r="BH203" i="1"/>
  <c r="BZ203" i="1" s="1"/>
  <c r="BS203" i="1"/>
  <c r="AW203" i="1"/>
  <c r="BS543" i="1"/>
  <c r="BH543" i="1"/>
  <c r="BZ543" i="1" s="1"/>
  <c r="AW543" i="1"/>
  <c r="BS174" i="1"/>
  <c r="AW174" i="1"/>
  <c r="BH174" i="1"/>
  <c r="BZ174" i="1" s="1"/>
  <c r="BH249" i="1"/>
  <c r="BZ249" i="1" s="1"/>
  <c r="AW249" i="1"/>
  <c r="BS249" i="1"/>
  <c r="BH521" i="1"/>
  <c r="AW653" i="1"/>
  <c r="AW124" i="1"/>
  <c r="BS124" i="1"/>
  <c r="BH124" i="1"/>
  <c r="BZ132" i="1"/>
  <c r="AW105" i="1"/>
  <c r="AW443" i="1"/>
  <c r="BS443" i="1"/>
  <c r="BH443" i="1"/>
  <c r="AW93" i="1"/>
  <c r="BH223" i="1"/>
  <c r="AW223" i="1"/>
  <c r="BS223" i="1"/>
  <c r="BZ90" i="1"/>
  <c r="AW210" i="1"/>
  <c r="BH392" i="1"/>
  <c r="BZ392" i="1" s="1"/>
  <c r="BS392" i="1"/>
  <c r="AW392" i="1"/>
  <c r="BH489" i="1"/>
  <c r="BS489" i="1"/>
  <c r="AW489" i="1"/>
  <c r="AW116" i="1"/>
  <c r="BS116" i="1"/>
  <c r="BH116" i="1"/>
  <c r="BZ116" i="1" s="1"/>
  <c r="AW331" i="1"/>
  <c r="BH331" i="1"/>
  <c r="BS331" i="1"/>
  <c r="BH66" i="1"/>
  <c r="BZ99" i="1"/>
  <c r="AW521" i="1"/>
  <c r="BZ365" i="1"/>
  <c r="BZ193" i="1"/>
  <c r="AW79" i="1"/>
  <c r="BS79" i="1"/>
  <c r="BH79" i="1"/>
  <c r="BZ79" i="1" s="1"/>
  <c r="BZ376" i="1"/>
  <c r="AW25" i="1"/>
  <c r="BS25" i="1"/>
  <c r="BH25" i="1"/>
  <c r="BZ25" i="1" s="1"/>
  <c r="AW294" i="1"/>
  <c r="BZ264" i="1"/>
  <c r="BH275" i="1"/>
  <c r="BZ275" i="1" s="1"/>
  <c r="AW275" i="1"/>
  <c r="BS275" i="1"/>
  <c r="BS642" i="1"/>
  <c r="BH642" i="1"/>
  <c r="BZ642" i="1" s="1"/>
  <c r="AW642" i="1"/>
  <c r="AW608" i="1"/>
  <c r="BU608" i="1"/>
  <c r="BZ616" i="1"/>
  <c r="BU537" i="1"/>
  <c r="AW537" i="1"/>
  <c r="AW560" i="1"/>
  <c r="BS560" i="1"/>
  <c r="BH560" i="1"/>
  <c r="BS494" i="1"/>
  <c r="BH494" i="1"/>
  <c r="BZ494" i="1" s="1"/>
  <c r="AW494" i="1"/>
  <c r="BS558" i="1"/>
  <c r="AW558" i="1"/>
  <c r="BH558" i="1"/>
  <c r="BZ558" i="1" s="1"/>
  <c r="BS492" i="1"/>
  <c r="BH492" i="1"/>
  <c r="AW492" i="1"/>
  <c r="BT344" i="1"/>
  <c r="AW344" i="1"/>
  <c r="BH298" i="1"/>
  <c r="BZ298" i="1" s="1"/>
  <c r="BH272" i="1"/>
  <c r="BZ272" i="1" s="1"/>
  <c r="BS272" i="1"/>
  <c r="AW272" i="1"/>
  <c r="AW617" i="1"/>
  <c r="AW328" i="1"/>
  <c r="BY649" i="1"/>
  <c r="AW649" i="1"/>
  <c r="BH649" i="1"/>
  <c r="BZ649" i="1" s="1"/>
  <c r="BH632" i="1"/>
  <c r="BZ632" i="1" s="1"/>
  <c r="BZ651" i="1"/>
  <c r="BZ636" i="1"/>
  <c r="BZ625" i="1"/>
  <c r="BS506" i="1"/>
  <c r="BH506" i="1"/>
  <c r="AW506" i="1"/>
  <c r="BZ461" i="1"/>
  <c r="BZ544" i="1"/>
  <c r="BZ430" i="1"/>
  <c r="BH587" i="1"/>
  <c r="BZ587" i="1" s="1"/>
  <c r="BT445" i="1"/>
  <c r="BH445" i="1"/>
  <c r="BZ445" i="1" s="1"/>
  <c r="BH388" i="1"/>
  <c r="BS388" i="1"/>
  <c r="AW388" i="1"/>
  <c r="BZ469" i="1"/>
  <c r="BZ418" i="1"/>
  <c r="BZ569" i="1"/>
  <c r="BZ528" i="1"/>
  <c r="BZ290" i="1"/>
  <c r="AW540" i="1"/>
  <c r="BS540" i="1"/>
  <c r="BH540" i="1"/>
  <c r="BZ502" i="1"/>
  <c r="BH450" i="1"/>
  <c r="AW450" i="1"/>
  <c r="BS450" i="1"/>
  <c r="BZ313" i="1"/>
  <c r="BU209" i="1"/>
  <c r="AW209" i="1"/>
  <c r="BZ167" i="1"/>
  <c r="BZ70" i="1"/>
  <c r="BS283" i="1"/>
  <c r="AW283" i="1"/>
  <c r="BH283" i="1"/>
  <c r="BZ283" i="1" s="1"/>
  <c r="BH162" i="1"/>
  <c r="BZ357" i="1"/>
  <c r="AW188" i="1"/>
  <c r="BS188" i="1"/>
  <c r="BH188" i="1"/>
  <c r="BZ188" i="1" s="1"/>
  <c r="BH39" i="1"/>
  <c r="BZ39" i="1" s="1"/>
  <c r="BS39" i="1"/>
  <c r="AW39" i="1"/>
  <c r="BZ155" i="1"/>
  <c r="AW148" i="1"/>
  <c r="BS148" i="1"/>
  <c r="BH148" i="1"/>
  <c r="BZ148" i="1" s="1"/>
  <c r="BH653" i="1"/>
  <c r="AW60" i="1"/>
  <c r="BS60" i="1"/>
  <c r="BH60" i="1"/>
  <c r="BZ276" i="1"/>
  <c r="BH126" i="1"/>
  <c r="AW126" i="1"/>
  <c r="BS126" i="1"/>
  <c r="AW180" i="1"/>
  <c r="BH180" i="1"/>
  <c r="BS180" i="1"/>
  <c r="BH93" i="1"/>
  <c r="BZ93" i="1" s="1"/>
  <c r="BH451" i="1"/>
  <c r="BZ451" i="1" s="1"/>
  <c r="BS451" i="1"/>
  <c r="AW451" i="1"/>
  <c r="BH415" i="1"/>
  <c r="BZ415" i="1" s="1"/>
  <c r="AW484" i="1"/>
  <c r="BH340" i="1"/>
  <c r="BZ311" i="1"/>
  <c r="BZ12" i="1"/>
  <c r="BH32" i="1"/>
  <c r="BS32" i="1"/>
  <c r="AW32" i="1"/>
  <c r="AW33" i="1"/>
  <c r="BH33" i="1"/>
  <c r="BZ33" i="1" s="1"/>
  <c r="BS33" i="1"/>
  <c r="AW150" i="1"/>
  <c r="BH150" i="1"/>
  <c r="BS150" i="1"/>
  <c r="AW68" i="1"/>
  <c r="BS68" i="1"/>
  <c r="BH68" i="1"/>
  <c r="BZ68" i="1" s="1"/>
  <c r="BZ36" i="1"/>
  <c r="BH196" i="1"/>
  <c r="BS196" i="1"/>
  <c r="AW196" i="1"/>
  <c r="BH163" i="1"/>
  <c r="BZ163" i="1" s="1"/>
  <c r="BT581" i="1"/>
  <c r="BH581" i="1"/>
  <c r="BH315" i="1"/>
  <c r="BZ315" i="1" s="1"/>
  <c r="BH129" i="1"/>
  <c r="BZ129" i="1" s="1"/>
  <c r="BZ87" i="1"/>
  <c r="AW61" i="1"/>
  <c r="BH61" i="1"/>
  <c r="BZ61" i="1" s="1"/>
  <c r="BS61" i="1"/>
  <c r="BZ517" i="1"/>
  <c r="BS624" i="1"/>
  <c r="BH624" i="1"/>
  <c r="BZ624" i="1" s="1"/>
  <c r="AW624" i="1"/>
  <c r="BT325" i="1"/>
  <c r="BH325" i="1"/>
  <c r="AW325" i="1"/>
  <c r="BZ145" i="1"/>
  <c r="BH343" i="1"/>
  <c r="BZ343" i="1" s="1"/>
  <c r="BS343" i="1"/>
  <c r="AW343" i="1"/>
  <c r="BS14" i="1"/>
  <c r="BH14" i="1"/>
  <c r="AW14" i="1"/>
  <c r="AW571" i="1"/>
  <c r="BH571" i="1"/>
  <c r="BZ571" i="1" s="1"/>
  <c r="BS571" i="1"/>
  <c r="AW622" i="1"/>
  <c r="BH570" i="1"/>
  <c r="BZ570" i="1" s="1"/>
  <c r="AW570" i="1"/>
  <c r="BS570" i="1"/>
  <c r="BS498" i="1"/>
  <c r="BH498" i="1"/>
  <c r="AW498" i="1"/>
  <c r="BZ153" i="1"/>
  <c r="BH213" i="1"/>
  <c r="BS213" i="1"/>
  <c r="AW213" i="1"/>
  <c r="BH222" i="1"/>
  <c r="BH604" i="1"/>
  <c r="BZ604" i="1" s="1"/>
  <c r="AW604" i="1"/>
  <c r="BS604" i="1"/>
  <c r="BW426" i="1"/>
  <c r="AW426" i="1"/>
  <c r="BS483" i="1"/>
  <c r="AW483" i="1"/>
  <c r="BH483" i="1"/>
  <c r="BZ483" i="1" s="1"/>
  <c r="BZ446" i="1"/>
  <c r="BH418" i="1"/>
  <c r="BS418" i="1"/>
  <c r="AW418" i="1"/>
  <c r="BV316" i="1"/>
  <c r="AW316" i="1"/>
  <c r="BH371" i="1"/>
  <c r="BZ371" i="1" s="1"/>
  <c r="AW371" i="1"/>
  <c r="BS371" i="1"/>
  <c r="AW189" i="1"/>
  <c r="BS189" i="1"/>
  <c r="BH189" i="1"/>
  <c r="BZ189" i="1" s="1"/>
  <c r="BS292" i="1"/>
  <c r="BH292" i="1"/>
  <c r="BZ292" i="1" s="1"/>
  <c r="AW292" i="1"/>
  <c r="BZ160" i="1"/>
  <c r="BZ77" i="1"/>
  <c r="BS217" i="1"/>
  <c r="BH217" i="1"/>
  <c r="AW217" i="1"/>
  <c r="BS473" i="1"/>
  <c r="BH473" i="1"/>
  <c r="AW473" i="1"/>
  <c r="BT309" i="1"/>
  <c r="AW309" i="1"/>
  <c r="BU387" i="1"/>
  <c r="BH387" i="1"/>
  <c r="BZ387" i="1" s="1"/>
  <c r="BH328" i="1"/>
  <c r="BZ435" i="1"/>
  <c r="BT50" i="1"/>
  <c r="AW50" i="1"/>
  <c r="BZ428" i="1"/>
  <c r="BH372" i="1"/>
  <c r="BZ372" i="1" s="1"/>
  <c r="BS372" i="1"/>
  <c r="AW372" i="1"/>
  <c r="AW163" i="1"/>
  <c r="AW77" i="1"/>
  <c r="BS77" i="1"/>
  <c r="BH77" i="1"/>
  <c r="AW66" i="1"/>
  <c r="AW28" i="1"/>
  <c r="BS28" i="1"/>
  <c r="BH28" i="1"/>
  <c r="BS166" i="1"/>
  <c r="BH166" i="1"/>
  <c r="BZ166" i="1" s="1"/>
  <c r="AW166" i="1"/>
  <c r="BS643" i="1"/>
  <c r="BH643" i="1"/>
  <c r="BZ643" i="1" s="1"/>
  <c r="AW643" i="1"/>
  <c r="BZ172" i="1"/>
  <c r="BS508" i="1"/>
  <c r="AW508" i="1"/>
  <c r="BH508" i="1"/>
  <c r="BZ508" i="1" s="1"/>
  <c r="BZ388" i="1"/>
  <c r="BT336" i="1"/>
  <c r="AW336" i="1"/>
  <c r="BZ353" i="1"/>
  <c r="AW156" i="1"/>
  <c r="BS156" i="1"/>
  <c r="BH156" i="1"/>
  <c r="AW173" i="1"/>
  <c r="BS173" i="1"/>
  <c r="BH173" i="1"/>
  <c r="BZ173" i="1" s="1"/>
  <c r="AW30" i="1"/>
  <c r="BS30" i="1"/>
  <c r="BH30" i="1"/>
  <c r="AW647" i="1"/>
  <c r="BH647" i="1"/>
  <c r="BS647" i="1"/>
  <c r="BZ626" i="1"/>
  <c r="BH227" i="1"/>
  <c r="BZ227" i="1" s="1"/>
  <c r="AW227" i="1"/>
  <c r="BS227" i="1"/>
  <c r="BS592" i="1"/>
  <c r="BH592" i="1"/>
  <c r="BZ592" i="1" s="1"/>
  <c r="AW592" i="1"/>
  <c r="BS146" i="1"/>
  <c r="BH146" i="1"/>
  <c r="BZ146" i="1" s="1"/>
  <c r="AW146" i="1"/>
  <c r="BS165" i="1"/>
  <c r="BH165" i="1"/>
  <c r="AW165" i="1"/>
  <c r="BH319" i="1"/>
  <c r="BS319" i="1"/>
  <c r="AW319" i="1"/>
  <c r="AW160" i="1"/>
  <c r="BZ653" i="1"/>
  <c r="BS566" i="1"/>
  <c r="AW566" i="1"/>
  <c r="BH566" i="1"/>
  <c r="BZ566" i="1" s="1"/>
  <c r="BH551" i="1"/>
  <c r="BZ551" i="1" s="1"/>
  <c r="BS551" i="1"/>
  <c r="AW551" i="1"/>
  <c r="BZ72" i="1"/>
  <c r="BH480" i="1"/>
  <c r="BH330" i="1"/>
  <c r="AW468" i="1"/>
  <c r="BS468" i="1"/>
  <c r="BH468" i="1"/>
  <c r="BZ468" i="1" s="1"/>
  <c r="BS128" i="1"/>
  <c r="BH128" i="1"/>
  <c r="AW128" i="1"/>
  <c r="BH155" i="1"/>
  <c r="BS618" i="1"/>
  <c r="BH618" i="1"/>
  <c r="BZ618" i="1" s="1"/>
  <c r="AW618" i="1"/>
  <c r="AW440" i="1"/>
  <c r="BH440" i="1"/>
  <c r="BZ440" i="1" s="1"/>
  <c r="BS440" i="1"/>
  <c r="BU433" i="1"/>
  <c r="BH433" i="1"/>
  <c r="BZ433" i="1" s="1"/>
  <c r="AW589" i="1"/>
  <c r="BH589" i="1"/>
  <c r="BS589" i="1"/>
  <c r="BZ218" i="1"/>
  <c r="BZ141" i="1"/>
  <c r="BZ500" i="1"/>
  <c r="BH103" i="1"/>
  <c r="BZ103" i="1" s="1"/>
  <c r="BS103" i="1"/>
  <c r="AW103" i="1"/>
  <c r="AW480" i="1"/>
  <c r="BZ31" i="1"/>
  <c r="AW411" i="1"/>
  <c r="BS411" i="1"/>
  <c r="BH411" i="1"/>
  <c r="BZ411" i="1" s="1"/>
  <c r="BZ60" i="1"/>
  <c r="BS214" i="1"/>
  <c r="BH214" i="1"/>
  <c r="BZ214" i="1" s="1"/>
  <c r="AW214" i="1"/>
  <c r="BS300" i="1"/>
  <c r="BH300" i="1"/>
  <c r="AW300" i="1"/>
  <c r="AW212" i="1"/>
  <c r="BS615" i="1"/>
  <c r="AW615" i="1"/>
  <c r="BH615" i="1"/>
  <c r="BS424" i="1"/>
  <c r="AW424" i="1"/>
  <c r="BH424" i="1"/>
  <c r="BZ424" i="1" s="1"/>
  <c r="BZ359" i="1"/>
  <c r="BZ405" i="1"/>
  <c r="BH505" i="1"/>
  <c r="BZ505" i="1" s="1"/>
  <c r="BS505" i="1"/>
  <c r="AW505" i="1"/>
  <c r="BZ110" i="1"/>
  <c r="BH81" i="1"/>
  <c r="AW29" i="1"/>
  <c r="BS29" i="1"/>
  <c r="BH29" i="1"/>
  <c r="BZ29" i="1" s="1"/>
  <c r="BH334" i="1"/>
  <c r="BZ334" i="1" s="1"/>
  <c r="BZ630" i="1"/>
  <c r="BS593" i="1"/>
  <c r="BH593" i="1"/>
  <c r="AW593" i="1"/>
  <c r="BS525" i="1"/>
  <c r="BH525" i="1"/>
  <c r="BZ525" i="1" s="1"/>
  <c r="AW525" i="1"/>
  <c r="BH557" i="1"/>
  <c r="AW557" i="1"/>
  <c r="BS557" i="1"/>
  <c r="BZ603" i="1"/>
  <c r="AW474" i="1"/>
  <c r="BS474" i="1"/>
  <c r="BH474" i="1"/>
  <c r="BZ474" i="1" s="1"/>
  <c r="BZ389" i="1"/>
  <c r="AW338" i="1"/>
  <c r="BS394" i="1"/>
  <c r="BH394" i="1"/>
  <c r="AW394" i="1"/>
  <c r="BS314" i="1"/>
  <c r="BH314" i="1"/>
  <c r="BZ314" i="1" s="1"/>
  <c r="AW314" i="1"/>
  <c r="BZ498" i="1"/>
  <c r="BH478" i="1"/>
  <c r="AW246" i="1"/>
  <c r="BS246" i="1"/>
  <c r="BH246" i="1"/>
  <c r="BZ246" i="1" s="1"/>
  <c r="BS64" i="1"/>
  <c r="BH64" i="1"/>
  <c r="BZ64" i="1" s="1"/>
  <c r="AW64" i="1"/>
  <c r="BH179" i="1"/>
  <c r="BZ179" i="1" s="1"/>
  <c r="BS179" i="1"/>
  <c r="AW179" i="1"/>
  <c r="BZ289" i="1"/>
  <c r="AW145" i="1"/>
  <c r="BZ339" i="1"/>
  <c r="BH323" i="1"/>
  <c r="BZ323" i="1" s="1"/>
  <c r="BS323" i="1"/>
  <c r="AW323" i="1"/>
  <c r="BS295" i="1"/>
  <c r="AW295" i="1"/>
  <c r="BH295" i="1"/>
  <c r="BZ295" i="1" s="1"/>
  <c r="BH552" i="1"/>
  <c r="BZ552" i="1" s="1"/>
  <c r="AW315" i="1"/>
  <c r="BZ257" i="1"/>
  <c r="BH640" i="1"/>
  <c r="BZ640" i="1" s="1"/>
  <c r="AW640" i="1"/>
  <c r="BS640" i="1"/>
  <c r="BH600" i="1"/>
  <c r="BS600" i="1"/>
  <c r="AW600" i="1"/>
  <c r="BV561" i="1"/>
  <c r="AW561" i="1"/>
  <c r="BH486" i="1"/>
  <c r="BZ486" i="1" s="1"/>
  <c r="BS395" i="1"/>
  <c r="AW395" i="1"/>
  <c r="BH395" i="1"/>
  <c r="BH197" i="1"/>
  <c r="BZ197" i="1" s="1"/>
  <c r="BS197" i="1"/>
  <c r="AW197" i="1"/>
  <c r="BZ407" i="1"/>
  <c r="AW24" i="1"/>
  <c r="BH24" i="1"/>
  <c r="BZ24" i="1" s="1"/>
  <c r="BS24" i="1"/>
  <c r="BZ354" i="1"/>
  <c r="BS402" i="1"/>
  <c r="AW402" i="1"/>
  <c r="BH402" i="1"/>
  <c r="BZ402" i="1" s="1"/>
  <c r="BS204" i="1"/>
  <c r="AW204" i="1"/>
  <c r="BH204" i="1"/>
  <c r="BZ204" i="1" s="1"/>
  <c r="BZ465" i="1"/>
  <c r="AW435" i="1"/>
  <c r="BS435" i="1"/>
  <c r="BH435" i="1"/>
  <c r="BH412" i="1"/>
  <c r="BZ412" i="1" s="1"/>
  <c r="BS412" i="1"/>
  <c r="AW412" i="1"/>
  <c r="AW268" i="1"/>
  <c r="BU588" i="1"/>
  <c r="BH588" i="1"/>
  <c r="BZ588" i="1" s="1"/>
  <c r="BZ521" i="1"/>
  <c r="BZ542" i="1"/>
  <c r="BZ349" i="1"/>
  <c r="BS502" i="1"/>
  <c r="BH502" i="1"/>
  <c r="AW502" i="1"/>
  <c r="BH294" i="1"/>
  <c r="BH15" i="1"/>
  <c r="BZ15" i="1" s="1"/>
  <c r="BS623" i="1"/>
  <c r="BH623" i="1"/>
  <c r="BZ623" i="1" s="1"/>
  <c r="AW623" i="1"/>
  <c r="BS512" i="1"/>
  <c r="BH512" i="1"/>
  <c r="BZ512" i="1" s="1"/>
  <c r="AW512" i="1"/>
  <c r="AW497" i="1"/>
  <c r="BH497" i="1"/>
  <c r="BZ497" i="1" s="1"/>
  <c r="BS497" i="1"/>
  <c r="BS554" i="1"/>
  <c r="AW554" i="1"/>
  <c r="BH554" i="1"/>
  <c r="BZ338" i="1"/>
  <c r="BZ476" i="1"/>
  <c r="BT439" i="1"/>
  <c r="BH439" i="1"/>
  <c r="BZ439" i="1" s="1"/>
  <c r="BZ589" i="1"/>
  <c r="BT248" i="1"/>
  <c r="AW248" i="1"/>
  <c r="BZ581" i="1"/>
  <c r="BZ647" i="1"/>
  <c r="BZ617" i="1"/>
  <c r="BT556" i="1"/>
  <c r="BH556" i="1"/>
  <c r="BZ556" i="1" s="1"/>
  <c r="BT576" i="1"/>
  <c r="BH576" i="1"/>
  <c r="BZ576" i="1" s="1"/>
  <c r="BZ378" i="1"/>
  <c r="BZ170" i="1"/>
  <c r="BT122" i="1"/>
  <c r="BH122" i="1"/>
  <c r="BH431" i="1"/>
  <c r="AW431" i="1"/>
  <c r="BS431" i="1"/>
  <c r="AW161" i="1"/>
  <c r="BS161" i="1"/>
  <c r="BH161" i="1"/>
  <c r="BZ165" i="1"/>
  <c r="BS282" i="1"/>
  <c r="BH282" i="1"/>
  <c r="BZ282" i="1" s="1"/>
  <c r="AW282" i="1"/>
  <c r="AW260" i="1"/>
  <c r="BS260" i="1"/>
  <c r="BH260" i="1"/>
  <c r="BZ133" i="1"/>
  <c r="BZ180" i="1"/>
  <c r="AW340" i="1"/>
  <c r="BZ127" i="1"/>
  <c r="BH293" i="1"/>
  <c r="AW293" i="1"/>
  <c r="BS293" i="1"/>
  <c r="BH400" i="1"/>
  <c r="BZ400" i="1" s="1"/>
  <c r="BS449" i="1"/>
  <c r="BH449" i="1"/>
  <c r="AW449" i="1"/>
  <c r="BS169" i="1"/>
  <c r="BH169" i="1"/>
  <c r="AW169" i="1"/>
  <c r="BH289" i="1"/>
  <c r="AW23" i="1"/>
  <c r="BS23" i="1"/>
  <c r="BH23" i="1"/>
  <c r="BT441" i="1"/>
  <c r="AW441" i="1"/>
  <c r="BZ420" i="1"/>
  <c r="BZ263" i="1"/>
  <c r="BT17" i="1"/>
  <c r="AW17" i="1"/>
  <c r="BH145" i="1"/>
  <c r="AW122" i="1"/>
  <c r="BH356" i="1"/>
  <c r="BZ356" i="1" s="1"/>
  <c r="BS356" i="1"/>
  <c r="AW356" i="1"/>
  <c r="BZ156" i="1"/>
  <c r="BZ391" i="1"/>
  <c r="BZ143" i="1"/>
  <c r="BS133" i="1"/>
  <c r="BH133" i="1"/>
  <c r="AW133" i="1"/>
  <c r="BZ223" i="1"/>
  <c r="AW318" i="1"/>
  <c r="BS318" i="1"/>
  <c r="BH318" i="1"/>
  <c r="BZ318" i="1" s="1"/>
  <c r="BS225" i="1"/>
  <c r="BH225" i="1"/>
  <c r="AW225" i="1"/>
  <c r="BH437" i="1"/>
  <c r="BZ437" i="1" s="1"/>
  <c r="BW437" i="1"/>
  <c r="AW437" i="1"/>
  <c r="AW637" i="1"/>
  <c r="BS637" i="1"/>
  <c r="BH637" i="1"/>
  <c r="BZ637" i="1" s="1"/>
  <c r="BH442" i="1"/>
  <c r="BZ442" i="1" s="1"/>
  <c r="AW442" i="1"/>
  <c r="BU442" i="1"/>
  <c r="BS448" i="1"/>
  <c r="AW448" i="1"/>
  <c r="BH448" i="1"/>
  <c r="BZ482" i="1"/>
  <c r="BH306" i="1"/>
  <c r="BZ306" i="1" s="1"/>
  <c r="AW306" i="1"/>
  <c r="BS306" i="1"/>
  <c r="BZ126" i="1"/>
  <c r="AW143" i="1"/>
  <c r="BS143" i="1"/>
  <c r="BH143" i="1"/>
  <c r="BZ254" i="1"/>
  <c r="BS207" i="1"/>
  <c r="BH207" i="1"/>
  <c r="BZ207" i="1" s="1"/>
  <c r="AW207" i="1"/>
  <c r="BS625" i="1"/>
  <c r="AW625" i="1"/>
  <c r="BH625" i="1"/>
  <c r="BS567" i="1"/>
  <c r="BH567" i="1"/>
  <c r="BZ567" i="1" s="1"/>
  <c r="AW567" i="1"/>
  <c r="BZ448" i="1"/>
  <c r="BZ309" i="1"/>
  <c r="BZ65" i="1"/>
  <c r="BS164" i="1"/>
  <c r="BH164" i="1"/>
  <c r="BZ164" i="1" s="1"/>
  <c r="AW164" i="1"/>
  <c r="BS21" i="1"/>
  <c r="AW21" i="1"/>
  <c r="BH21" i="1"/>
  <c r="BZ21" i="1" s="1"/>
  <c r="BT13" i="1"/>
  <c r="AW13" i="1"/>
  <c r="BH45" i="1"/>
  <c r="BZ45" i="1" s="1"/>
  <c r="AW266" i="1"/>
  <c r="BS266" i="1"/>
  <c r="BH266" i="1"/>
  <c r="BZ266" i="1" s="1"/>
  <c r="BZ443" i="1"/>
  <c r="BZ235" i="1"/>
  <c r="AW602" i="1"/>
  <c r="BH602" i="1"/>
  <c r="BZ602" i="1" s="1"/>
  <c r="BS602" i="1"/>
  <c r="BZ488" i="1"/>
  <c r="AW457" i="1"/>
  <c r="BT208" i="1"/>
  <c r="AW208" i="1"/>
  <c r="BS313" i="1"/>
  <c r="BH313" i="1"/>
  <c r="AW313" i="1"/>
  <c r="BH316" i="1"/>
  <c r="AW187" i="1"/>
  <c r="BS187" i="1"/>
  <c r="BH187" i="1"/>
  <c r="BZ187" i="1" s="1"/>
  <c r="AW239" i="1"/>
  <c r="BS239" i="1"/>
  <c r="BH239" i="1"/>
  <c r="AW330" i="1"/>
  <c r="BS44" i="1"/>
  <c r="BH44" i="1"/>
  <c r="BZ44" i="1" s="1"/>
  <c r="AW44" i="1"/>
  <c r="BS404" i="1"/>
  <c r="AW404" i="1"/>
  <c r="BH404" i="1"/>
  <c r="BZ404" i="1" s="1"/>
  <c r="AW90" i="1"/>
  <c r="BH212" i="1"/>
  <c r="BH299" i="1"/>
  <c r="BZ510" i="1"/>
  <c r="BS326" i="1"/>
  <c r="AW326" i="1"/>
  <c r="BH326" i="1"/>
  <c r="BZ326" i="1" s="1"/>
  <c r="BH120" i="1"/>
  <c r="BZ120" i="1" s="1"/>
  <c r="AW120" i="1"/>
  <c r="BS120" i="1"/>
  <c r="AW43" i="1"/>
  <c r="BS43" i="1"/>
  <c r="BH43" i="1"/>
  <c r="BZ43" i="1" s="1"/>
  <c r="BH200" i="1"/>
  <c r="BZ200" i="1" s="1"/>
  <c r="AW200" i="1"/>
  <c r="BS200" i="1"/>
  <c r="BZ32" i="1"/>
  <c r="BZ489" i="1"/>
  <c r="BZ66" i="1"/>
  <c r="BX616" i="1"/>
  <c r="AW616" i="1"/>
  <c r="BS495" i="1"/>
  <c r="BH495" i="1"/>
  <c r="BZ495" i="1" s="1"/>
  <c r="AW495" i="1"/>
  <c r="BH523" i="1"/>
  <c r="BZ523" i="1" s="1"/>
  <c r="BS523" i="1"/>
  <c r="AW523" i="1"/>
  <c r="BZ122" i="1"/>
  <c r="AW102" i="1"/>
  <c r="BS102" i="1"/>
  <c r="BH102" i="1"/>
  <c r="BZ102" i="1" s="1"/>
  <c r="AW285" i="1"/>
  <c r="BH358" i="1"/>
  <c r="BZ358" i="1" s="1"/>
  <c r="BZ150" i="1"/>
  <c r="BS84" i="1"/>
  <c r="AW84" i="1"/>
  <c r="BH84" i="1"/>
  <c r="BZ84" i="1" s="1"/>
  <c r="AW56" i="1"/>
  <c r="BZ511" i="1"/>
  <c r="BS382" i="1"/>
  <c r="BH382" i="1"/>
  <c r="BZ382" i="1" s="1"/>
  <c r="AW382" i="1"/>
  <c r="BU351" i="1"/>
  <c r="BH351" i="1"/>
  <c r="BZ351" i="1" s="1"/>
  <c r="BZ369" i="1"/>
  <c r="BZ253" i="1"/>
  <c r="BS135" i="1"/>
  <c r="BH135" i="1"/>
  <c r="AW135" i="1"/>
  <c r="BZ234" i="1"/>
  <c r="BZ63" i="1"/>
  <c r="AW81" i="1"/>
  <c r="BZ470" i="1"/>
  <c r="AW20" i="1"/>
  <c r="BS20" i="1"/>
  <c r="BH20" i="1"/>
  <c r="BZ20" i="1" s="1"/>
  <c r="BZ300" i="1"/>
  <c r="BZ293" i="1"/>
  <c r="AW45" i="1"/>
  <c r="BS82" i="1"/>
  <c r="AW82" i="1"/>
  <c r="BH82" i="1"/>
  <c r="BZ654" i="1"/>
  <c r="BZ550" i="1"/>
  <c r="BT578" i="1"/>
  <c r="AW578" i="1"/>
  <c r="AW581" i="1"/>
  <c r="BU459" i="1"/>
  <c r="AW459" i="1"/>
  <c r="BH457" i="1"/>
  <c r="BZ457" i="1" s="1"/>
  <c r="AW528" i="1"/>
  <c r="BU384" i="1"/>
  <c r="BH384" i="1"/>
  <c r="BZ384" i="1" s="1"/>
  <c r="AW421" i="1"/>
  <c r="AW351" i="1"/>
  <c r="BH493" i="1"/>
  <c r="BZ493" i="1" s="1"/>
  <c r="BH397" i="1"/>
  <c r="AW530" i="1"/>
  <c r="BZ111" i="1"/>
  <c r="AW432" i="1"/>
  <c r="AW565" i="1"/>
  <c r="BH565" i="1"/>
  <c r="BS565" i="1"/>
  <c r="BZ255" i="1"/>
  <c r="AW478" i="1"/>
  <c r="BZ269" i="1"/>
  <c r="AW52" i="1"/>
  <c r="BS52" i="1"/>
  <c r="BH52" i="1"/>
  <c r="BZ52" i="1" s="1"/>
  <c r="BZ171" i="1"/>
  <c r="AW7" i="1"/>
  <c r="BS7" i="1"/>
  <c r="BH7" i="1"/>
  <c r="BZ7" i="1" s="1"/>
  <c r="BH575" i="1"/>
  <c r="BZ575" i="1" s="1"/>
  <c r="BH152" i="1"/>
  <c r="BZ152" i="1" s="1"/>
  <c r="BZ38" i="1"/>
  <c r="AW264" i="1"/>
  <c r="BS264" i="1"/>
  <c r="BH264" i="1"/>
  <c r="AW230" i="1"/>
  <c r="BS230" i="1"/>
  <c r="BH230" i="1"/>
  <c r="BZ230" i="1" s="1"/>
  <c r="BS226" i="1"/>
  <c r="AW226" i="1"/>
  <c r="BH226" i="1"/>
  <c r="BS73" i="1"/>
  <c r="BH73" i="1"/>
  <c r="BZ73" i="1" s="1"/>
  <c r="AW73" i="1"/>
  <c r="BZ331" i="1"/>
  <c r="BT31" i="1"/>
  <c r="AW31" i="1"/>
  <c r="AW229" i="1"/>
  <c r="BS229" i="1"/>
  <c r="BH229" i="1"/>
  <c r="AW11" i="1"/>
  <c r="BS11" i="1"/>
  <c r="BH11" i="1"/>
  <c r="BH87" i="1"/>
  <c r="AW399" i="1"/>
  <c r="BW399" i="1"/>
  <c r="BZ340" i="1"/>
  <c r="BZ56" i="1"/>
  <c r="AW417" i="1"/>
  <c r="BS417" i="1"/>
  <c r="BH417" i="1"/>
  <c r="BZ449" i="1"/>
  <c r="BZ124" i="1"/>
  <c r="BS304" i="1"/>
  <c r="BH304" i="1"/>
  <c r="BZ304" i="1" s="1"/>
  <c r="AW304" i="1"/>
  <c r="BZ41" i="1"/>
  <c r="BZ128" i="1"/>
  <c r="AW63" i="1"/>
  <c r="BH63" i="1"/>
  <c r="BS63" i="1"/>
  <c r="BS281" i="1"/>
  <c r="BH281" i="1"/>
  <c r="AW281" i="1"/>
  <c r="AW71" i="1"/>
  <c r="BS71" i="1"/>
  <c r="BH71" i="1"/>
  <c r="BZ71" i="1" s="1"/>
  <c r="BH5" i="1"/>
  <c r="BZ5" i="1" s="1"/>
  <c r="AW108" i="1"/>
  <c r="BZ11" i="1"/>
  <c r="BZ591" i="1"/>
  <c r="AW598" i="1"/>
  <c r="BS598" i="1"/>
  <c r="BH598" i="1"/>
  <c r="BZ598" i="1" s="1"/>
  <c r="BZ312" i="1"/>
  <c r="BS370" i="1"/>
  <c r="BH370" i="1"/>
  <c r="BZ370" i="1" s="1"/>
  <c r="AW370" i="1"/>
  <c r="BS601" i="1"/>
  <c r="BH601" i="1"/>
  <c r="AW601" i="1"/>
  <c r="BH446" i="1"/>
  <c r="BZ280" i="1"/>
  <c r="BS381" i="1"/>
  <c r="BH381" i="1"/>
  <c r="BZ381" i="1" s="1"/>
  <c r="AW381" i="1"/>
  <c r="AW168" i="1"/>
  <c r="BS168" i="1"/>
  <c r="BH168" i="1"/>
  <c r="BZ168" i="1" s="1"/>
  <c r="AW182" i="1"/>
  <c r="BS182" i="1"/>
  <c r="BH182" i="1"/>
  <c r="BZ182" i="1" s="1"/>
  <c r="AW400" i="1"/>
  <c r="BS352" i="1"/>
  <c r="AW352" i="1"/>
  <c r="BH352" i="1"/>
  <c r="BZ352" i="1" s="1"/>
  <c r="AW510" i="1"/>
  <c r="BS510" i="1"/>
  <c r="BH510" i="1"/>
  <c r="BS291" i="1"/>
  <c r="BH291" i="1"/>
  <c r="AW291" i="1"/>
  <c r="BZ324" i="1"/>
  <c r="BS100" i="1"/>
  <c r="BH100" i="1"/>
  <c r="BZ100" i="1" s="1"/>
  <c r="AW100" i="1"/>
  <c r="BZ217" i="1"/>
  <c r="AW471" i="1"/>
  <c r="BH471" i="1"/>
  <c r="BZ471" i="1" s="1"/>
  <c r="BS471" i="1"/>
  <c r="BZ302" i="1"/>
  <c r="BH248" i="1"/>
  <c r="BZ248" i="1" s="1"/>
  <c r="BZ634" i="1"/>
  <c r="BH157" i="1"/>
  <c r="BZ157" i="1" s="1"/>
  <c r="AW157" i="1"/>
  <c r="BS157" i="1"/>
  <c r="BS542" i="1"/>
  <c r="AW542" i="1"/>
  <c r="BH542" i="1"/>
  <c r="BZ67" i="1"/>
  <c r="BH56" i="1"/>
  <c r="BH645" i="1"/>
  <c r="BZ645" i="1" s="1"/>
  <c r="BV580" i="1"/>
  <c r="AW580" i="1"/>
  <c r="AW606" i="1"/>
  <c r="BU606" i="1"/>
  <c r="BZ423" i="1"/>
  <c r="BH279" i="1"/>
  <c r="BZ279" i="1" s="1"/>
  <c r="BS279" i="1"/>
  <c r="AW279" i="1"/>
  <c r="BZ222" i="1"/>
  <c r="BZ568" i="1"/>
  <c r="BS234" i="1"/>
  <c r="AW234" i="1"/>
  <c r="BH234" i="1"/>
  <c r="AW470" i="1"/>
  <c r="BS470" i="1"/>
  <c r="BH470" i="1"/>
  <c r="AW374" i="1"/>
  <c r="BZ23" i="1"/>
  <c r="AW155" i="1"/>
  <c r="BH585" i="1"/>
  <c r="BW585" i="1"/>
  <c r="BZ583" i="1"/>
  <c r="AW548" i="1"/>
  <c r="BZ427" i="1"/>
  <c r="BZ268" i="1"/>
  <c r="BZ565" i="1"/>
  <c r="BH86" i="1"/>
  <c r="BZ86" i="1" s="1"/>
  <c r="BS86" i="1"/>
  <c r="AW86" i="1"/>
  <c r="BS85" i="1"/>
  <c r="BH85" i="1"/>
  <c r="AW85" i="1"/>
  <c r="AW375" i="1"/>
  <c r="BZ75" i="1"/>
  <c r="AW112" i="1"/>
  <c r="BS112" i="1"/>
  <c r="BH112" i="1"/>
  <c r="AW607" i="1"/>
  <c r="BS607" i="1"/>
  <c r="BH607" i="1"/>
  <c r="BS485" i="1"/>
  <c r="BH485" i="1"/>
  <c r="BZ485" i="1" s="1"/>
  <c r="AW485" i="1"/>
  <c r="BZ350" i="1"/>
  <c r="BS365" i="1"/>
  <c r="AW365" i="1"/>
  <c r="BH365" i="1"/>
  <c r="AW47" i="1"/>
  <c r="BS47" i="1"/>
  <c r="BH47" i="1"/>
  <c r="BH353" i="1"/>
  <c r="BW612" i="1"/>
  <c r="BH612" i="1"/>
  <c r="BZ612" i="1" s="1"/>
  <c r="BU605" i="1"/>
  <c r="BH605" i="1"/>
  <c r="BZ605" i="1" s="1"/>
  <c r="BU550" i="1"/>
  <c r="BH550" i="1"/>
  <c r="BZ466" i="1"/>
  <c r="BZ472" i="1"/>
  <c r="BZ527" i="1"/>
  <c r="BZ490" i="1"/>
  <c r="BZ436" i="1"/>
  <c r="BH507" i="1"/>
  <c r="BZ507" i="1" s="1"/>
  <c r="BZ579" i="1"/>
  <c r="BH596" i="1"/>
  <c r="BZ596" i="1" s="1"/>
  <c r="BH287" i="1"/>
  <c r="BZ287" i="1" s="1"/>
  <c r="BS287" i="1"/>
  <c r="AW287" i="1"/>
  <c r="BS651" i="1"/>
  <c r="AW651" i="1"/>
  <c r="BH651" i="1"/>
  <c r="BZ615" i="1"/>
  <c r="BW533" i="1"/>
  <c r="BH533" i="1"/>
  <c r="BZ533" i="1" s="1"/>
  <c r="AW533" i="1"/>
  <c r="BH638" i="1"/>
  <c r="BZ638" i="1" s="1"/>
  <c r="AW555" i="1"/>
  <c r="BS555" i="1"/>
  <c r="BH555" i="1"/>
  <c r="BZ555" i="1" s="1"/>
  <c r="BH590" i="1"/>
  <c r="BZ590" i="1" s="1"/>
  <c r="AW590" i="1"/>
  <c r="BS590" i="1"/>
  <c r="BH524" i="1"/>
  <c r="AW524" i="1"/>
  <c r="BS524" i="1"/>
  <c r="BH534" i="1"/>
  <c r="BZ534" i="1" s="1"/>
  <c r="AW563" i="1"/>
  <c r="BH563" i="1"/>
  <c r="BS563" i="1"/>
  <c r="AW544" i="1"/>
  <c r="BH561" i="1"/>
  <c r="BZ561" i="1" s="1"/>
  <c r="AW541" i="1"/>
  <c r="BH405" i="1"/>
  <c r="BS405" i="1"/>
  <c r="AW405" i="1"/>
  <c r="AW348" i="1"/>
  <c r="BH348" i="1"/>
  <c r="BZ348" i="1" s="1"/>
  <c r="BS348" i="1"/>
  <c r="AW596" i="1"/>
  <c r="BH528" i="1"/>
  <c r="BH341" i="1"/>
  <c r="BZ341" i="1" s="1"/>
  <c r="BH421" i="1"/>
  <c r="AW493" i="1"/>
  <c r="AW296" i="1"/>
  <c r="BS296" i="1"/>
  <c r="BH296" i="1"/>
  <c r="BH194" i="1"/>
  <c r="BZ194" i="1"/>
  <c r="BH514" i="1"/>
  <c r="BZ514" i="1" s="1"/>
  <c r="BH432" i="1"/>
  <c r="BZ432" i="1" s="1"/>
  <c r="BZ327" i="1"/>
  <c r="AW364" i="1"/>
  <c r="BS364" i="1"/>
  <c r="BH364" i="1"/>
  <c r="BU232" i="1"/>
  <c r="BH232" i="1"/>
  <c r="BZ232" i="1" s="1"/>
  <c r="AW527" i="1"/>
  <c r="BH336" i="1"/>
  <c r="BZ336" i="1" s="1"/>
  <c r="BH309" i="1"/>
  <c r="BZ499" i="1"/>
  <c r="BH461" i="1"/>
  <c r="AW276" i="1"/>
  <c r="BS276" i="1"/>
  <c r="BH276" i="1"/>
  <c r="BH114" i="1"/>
  <c r="AW114" i="1"/>
  <c r="BS114" i="1"/>
  <c r="AW252" i="1"/>
  <c r="BS252" i="1"/>
  <c r="BH252" i="1"/>
  <c r="BZ252" i="1" s="1"/>
  <c r="BH147" i="1"/>
  <c r="BZ147" i="1" s="1"/>
  <c r="BH270" i="1"/>
  <c r="BZ270" i="1" s="1"/>
  <c r="AW631" i="1"/>
  <c r="BS631" i="1"/>
  <c r="BH631" i="1"/>
  <c r="AW153" i="1"/>
  <c r="AW42" i="1"/>
  <c r="BS42" i="1"/>
  <c r="BH42" i="1"/>
  <c r="BZ42" i="1" s="1"/>
  <c r="BH144" i="1"/>
  <c r="BS144" i="1"/>
  <c r="AW144" i="1"/>
  <c r="BS258" i="1"/>
  <c r="AW258" i="1"/>
  <c r="BH258" i="1"/>
  <c r="BZ258" i="1" s="1"/>
  <c r="BH220" i="1"/>
  <c r="BZ220" i="1" s="1"/>
  <c r="AW547" i="1"/>
  <c r="BH547" i="1"/>
  <c r="BZ547" i="1" s="1"/>
  <c r="BS547" i="1"/>
  <c r="BH393" i="1"/>
  <c r="BZ393" i="1" s="1"/>
  <c r="BS393" i="1"/>
  <c r="AW393" i="1"/>
  <c r="BZ572" i="1"/>
  <c r="AW10" i="1"/>
  <c r="BH10" i="1"/>
  <c r="BS10" i="1"/>
  <c r="BH633" i="1"/>
  <c r="BZ633" i="1"/>
  <c r="BZ526" i="1"/>
  <c r="AW219" i="1"/>
  <c r="BS219" i="1"/>
  <c r="BH219" i="1"/>
  <c r="BZ219" i="1" s="1"/>
  <c r="BT562" i="1"/>
  <c r="BH562" i="1"/>
  <c r="BZ562" i="1" s="1"/>
  <c r="BZ399" i="1"/>
  <c r="BH452" i="1"/>
  <c r="BZ452" i="1" s="1"/>
  <c r="BS452" i="1"/>
  <c r="AW452" i="1"/>
  <c r="AW335" i="1"/>
  <c r="BS335" i="1"/>
  <c r="BH335" i="1"/>
  <c r="BZ335" i="1" s="1"/>
  <c r="BH453" i="1"/>
  <c r="BS453" i="1"/>
  <c r="AW453" i="1"/>
  <c r="BZ81" i="1"/>
  <c r="BS259" i="1"/>
  <c r="BH259" i="1"/>
  <c r="BZ259" i="1" s="1"/>
  <c r="AW259" i="1"/>
  <c r="BH488" i="1"/>
  <c r="BS48" i="1"/>
  <c r="BH48" i="1"/>
  <c r="BZ48" i="1" s="1"/>
  <c r="AW48" i="1"/>
  <c r="BZ417" i="1"/>
  <c r="BH479" i="1"/>
  <c r="AW479" i="1"/>
  <c r="BS479" i="1"/>
  <c r="BZ522" i="1"/>
  <c r="BZ421" i="1"/>
  <c r="BZ536" i="1"/>
  <c r="BZ383" i="1"/>
  <c r="BS545" i="1"/>
  <c r="AW545" i="1"/>
  <c r="BH545" i="1"/>
  <c r="BZ545" i="1" s="1"/>
  <c r="AW342" i="1"/>
  <c r="BS342" i="1"/>
  <c r="BH342" i="1"/>
  <c r="BZ342" i="1" s="1"/>
  <c r="BS274" i="1"/>
  <c r="BH274" i="1"/>
  <c r="AW274" i="1"/>
  <c r="BZ395" i="1"/>
  <c r="BZ213" i="1"/>
  <c r="BZ37" i="1"/>
  <c r="BZ557" i="1"/>
  <c r="BZ291" i="1"/>
  <c r="BH233" i="1"/>
  <c r="BZ233" i="1" s="1"/>
  <c r="AW233" i="1"/>
  <c r="BS233" i="1"/>
  <c r="BZ212" i="1"/>
  <c r="BH160" i="1"/>
  <c r="BS652" i="1"/>
  <c r="BH652" i="1"/>
  <c r="BZ652" i="1" s="1"/>
  <c r="AW652" i="1"/>
  <c r="BS106" i="1"/>
  <c r="BH106" i="1"/>
  <c r="BZ106" i="1" s="1"/>
  <c r="AW106" i="1"/>
  <c r="AW206" i="1"/>
  <c r="BS206" i="1"/>
  <c r="BH206" i="1"/>
  <c r="BS357" i="1"/>
  <c r="BH357" i="1"/>
  <c r="AW357" i="1"/>
  <c r="BZ260" i="1"/>
  <c r="BZ121" i="1"/>
  <c r="AW115" i="1"/>
  <c r="BS115" i="1"/>
  <c r="BH115" i="1"/>
  <c r="BZ115" i="1" s="1"/>
  <c r="BV630" i="1"/>
  <c r="BH630" i="1"/>
  <c r="BH253" i="1"/>
  <c r="AW253" i="1"/>
  <c r="BS253" i="1"/>
  <c r="BZ281" i="1"/>
  <c r="AW190" i="1"/>
  <c r="BH541" i="1"/>
  <c r="AW461" i="1"/>
  <c r="BZ22" i="1"/>
  <c r="BH285" i="1"/>
  <c r="AW119" i="1"/>
  <c r="BS648" i="1"/>
  <c r="BH648" i="1"/>
  <c r="BZ648" i="1" s="1"/>
  <c r="AW648" i="1"/>
  <c r="BZ607" i="1"/>
  <c r="BH491" i="1"/>
  <c r="BZ491" i="1" s="1"/>
  <c r="AW491" i="1"/>
  <c r="BS491" i="1"/>
  <c r="BH537" i="1"/>
  <c r="AW574" i="1"/>
  <c r="BT262" i="1"/>
  <c r="BH262" i="1"/>
  <c r="BZ262" i="1" s="1"/>
  <c r="BZ394" i="1"/>
  <c r="BU216" i="1"/>
  <c r="AW216" i="1"/>
  <c r="AW526" i="1"/>
  <c r="BS526" i="1"/>
  <c r="BH526" i="1"/>
  <c r="BS403" i="1"/>
  <c r="AW403" i="1"/>
  <c r="BH403" i="1"/>
  <c r="BZ403" i="1" s="1"/>
  <c r="AW397" i="1"/>
  <c r="BZ346" i="1"/>
  <c r="BZ135" i="1"/>
  <c r="BZ301" i="1"/>
  <c r="BH363" i="1"/>
  <c r="BZ363" i="1" s="1"/>
  <c r="AW363" i="1"/>
  <c r="BS363" i="1"/>
  <c r="BZ243" i="1"/>
  <c r="BH359" i="1"/>
  <c r="BS245" i="1"/>
  <c r="AW245" i="1"/>
  <c r="BH245" i="1"/>
  <c r="BZ245" i="1" s="1"/>
  <c r="BH527" i="1"/>
  <c r="AW390" i="1"/>
  <c r="BV119" i="1"/>
  <c r="BH119" i="1"/>
  <c r="BZ119" i="1" s="1"/>
  <c r="BS69" i="1"/>
  <c r="BH69" i="1"/>
  <c r="BZ69" i="1" s="1"/>
  <c r="AW69" i="1"/>
  <c r="BS464" i="1"/>
  <c r="AW464" i="1"/>
  <c r="BH464" i="1"/>
  <c r="BZ464" i="1" s="1"/>
  <c r="AW192" i="1"/>
  <c r="BS192" i="1"/>
  <c r="BH192" i="1"/>
  <c r="BZ192" i="1" s="1"/>
  <c r="BS391" i="1"/>
  <c r="BH391" i="1"/>
  <c r="AW391" i="1"/>
  <c r="BZ47" i="1"/>
  <c r="BS460" i="1"/>
  <c r="AW460" i="1"/>
  <c r="BH460" i="1"/>
  <c r="AW575" i="1"/>
  <c r="BH78" i="1"/>
  <c r="AW78" i="1"/>
  <c r="BS78" i="1"/>
  <c r="AW455" i="1"/>
  <c r="BH455" i="1"/>
  <c r="BZ455" i="1" s="1"/>
  <c r="BS455" i="1"/>
  <c r="BH172" i="1"/>
  <c r="AW641" i="1"/>
  <c r="BH641" i="1"/>
  <c r="BZ641" i="1" s="1"/>
  <c r="BS641" i="1"/>
  <c r="AW572" i="1"/>
  <c r="BS572" i="1"/>
  <c r="BH572" i="1"/>
  <c r="AW270" i="1"/>
  <c r="AW97" i="1"/>
  <c r="BS97" i="1"/>
  <c r="BH97" i="1"/>
  <c r="BZ97" i="1" s="1"/>
  <c r="BZ112" i="1"/>
  <c r="BH37" i="1"/>
  <c r="BZ307" i="1"/>
  <c r="BZ631" i="1"/>
  <c r="BH22" i="1"/>
  <c r="BH354" i="1"/>
  <c r="AW354" i="1"/>
  <c r="BS354" i="1"/>
  <c r="BU646" i="1"/>
  <c r="AW646" i="1"/>
  <c r="BS620" i="1"/>
  <c r="BH620" i="1"/>
  <c r="BZ620" i="1" s="1"/>
  <c r="AW620" i="1"/>
  <c r="BS490" i="1"/>
  <c r="BH490" i="1"/>
  <c r="AW490" i="1"/>
  <c r="BS553" i="1"/>
  <c r="BH553" i="1"/>
  <c r="AW553" i="1"/>
  <c r="BH429" i="1"/>
  <c r="BZ429" i="1" s="1"/>
  <c r="BT429" i="1"/>
  <c r="AW552" i="1"/>
  <c r="BZ462" i="1"/>
  <c r="BZ330" i="1"/>
  <c r="AW333" i="1"/>
  <c r="BS333" i="1"/>
  <c r="BH333" i="1"/>
  <c r="BZ333" i="1" s="1"/>
  <c r="BZ58" i="1"/>
  <c r="BZ226" i="1"/>
  <c r="AW19" i="1"/>
  <c r="BZ456" i="1"/>
  <c r="BH622" i="1"/>
  <c r="AW503" i="1"/>
  <c r="BZ328" i="1"/>
  <c r="BH267" i="1"/>
  <c r="AW267" i="1"/>
  <c r="BS267" i="1"/>
  <c r="BH482" i="1"/>
  <c r="AW482" i="1"/>
  <c r="BS482" i="1"/>
  <c r="BT198" i="1"/>
  <c r="AW198" i="1"/>
  <c r="BH198" i="1"/>
  <c r="BZ198" i="1" s="1"/>
  <c r="BZ294" i="1"/>
  <c r="BT177" i="1"/>
  <c r="BH177" i="1"/>
  <c r="BZ177" i="1" s="1"/>
  <c r="BS320" i="1"/>
  <c r="BH320" i="1"/>
  <c r="BZ320" i="1" s="1"/>
  <c r="AW320" i="1"/>
  <c r="BH269" i="1"/>
  <c r="AW269" i="1"/>
  <c r="BS269" i="1"/>
  <c r="BS16" i="1"/>
  <c r="BH16" i="1"/>
  <c r="BZ16" i="1" s="1"/>
  <c r="AW16" i="1"/>
  <c r="AW5" i="1"/>
  <c r="BT546" i="1"/>
  <c r="BH546" i="1"/>
  <c r="BS595" i="1"/>
  <c r="AW595" i="1"/>
  <c r="BH595" i="1"/>
  <c r="BZ595" i="1" s="1"/>
  <c r="BU349" i="1"/>
  <c r="AW349" i="1"/>
  <c r="BZ364" i="1"/>
  <c r="AW132" i="1"/>
  <c r="BS132" i="1"/>
  <c r="BH132" i="1"/>
  <c r="AW385" i="1"/>
  <c r="BS385" i="1"/>
  <c r="BH385" i="1"/>
  <c r="BZ385" i="1" s="1"/>
  <c r="BW619" i="1"/>
  <c r="BH619" i="1"/>
  <c r="BZ619" i="1" s="1"/>
  <c r="BS644" i="1"/>
  <c r="AW644" i="1"/>
  <c r="BH644" i="1"/>
  <c r="BZ644" i="1" s="1"/>
  <c r="BH606" i="1"/>
  <c r="AW345" i="1"/>
  <c r="BS345" i="1"/>
  <c r="BH345" i="1"/>
  <c r="BZ345" i="1" s="1"/>
  <c r="BZ215" i="1"/>
  <c r="AW312" i="1"/>
  <c r="BZ229" i="1"/>
  <c r="AW6" i="1"/>
  <c r="BS6" i="1"/>
  <c r="BH6" i="1"/>
  <c r="BZ6" i="1" s="1"/>
  <c r="BZ531" i="1"/>
  <c r="BH308" i="1"/>
  <c r="BS308" i="1"/>
  <c r="AW308" i="1"/>
  <c r="BZ540" i="1"/>
  <c r="BT362" i="1"/>
  <c r="BH362" i="1"/>
  <c r="BH286" i="1"/>
  <c r="BZ286" i="1" s="1"/>
  <c r="BS286" i="1"/>
  <c r="AW286" i="1"/>
  <c r="BS256" i="1"/>
  <c r="BH256" i="1"/>
  <c r="AW256" i="1"/>
  <c r="BS301" i="1"/>
  <c r="BH301" i="1"/>
  <c r="AW301" i="1"/>
  <c r="AW377" i="1"/>
  <c r="BS377" i="1"/>
  <c r="BH377" i="1"/>
  <c r="BZ185" i="1"/>
  <c r="AW193" i="1"/>
  <c r="BT193" i="1"/>
  <c r="BH268" i="1"/>
  <c r="BZ30" i="1"/>
  <c r="BS109" i="1"/>
  <c r="BH109" i="1"/>
  <c r="BZ109" i="1" s="1"/>
  <c r="AW109" i="1"/>
  <c r="BZ108" i="1"/>
  <c r="BZ82" i="1"/>
  <c r="BT621" i="1"/>
  <c r="BH621" i="1"/>
  <c r="AW621" i="1"/>
  <c r="BT373" i="1"/>
  <c r="AW373" i="1"/>
  <c r="BH515" i="1"/>
  <c r="BZ515" i="1" s="1"/>
  <c r="BS515" i="1"/>
  <c r="AW515" i="1"/>
  <c r="BZ329" i="1"/>
  <c r="AW423" i="1"/>
  <c r="BH423" i="1"/>
  <c r="BS423" i="1"/>
  <c r="BT178" i="1"/>
  <c r="AW178" i="1"/>
  <c r="BZ89" i="1"/>
  <c r="BS383" i="1"/>
  <c r="BH383" i="1"/>
  <c r="AW383" i="1"/>
  <c r="AW257" i="1"/>
  <c r="BS257" i="1"/>
  <c r="BH257" i="1"/>
  <c r="BH216" i="1"/>
  <c r="BZ216" i="1" s="1"/>
  <c r="BT35" i="1"/>
  <c r="AW35" i="1"/>
  <c r="BZ161" i="1"/>
  <c r="BH190" i="1"/>
  <c r="BH27" i="1"/>
  <c r="BZ27" i="1" s="1"/>
  <c r="BS27" i="1"/>
  <c r="AW27" i="1"/>
  <c r="AW240" i="1"/>
  <c r="BS240" i="1"/>
  <c r="BH240" i="1"/>
  <c r="BZ240" i="1" s="1"/>
  <c r="AW38" i="1"/>
  <c r="BS38" i="1"/>
  <c r="BH38" i="1"/>
  <c r="BH444" i="1"/>
  <c r="BZ396" i="1"/>
  <c r="BZ460" i="1"/>
  <c r="AW407" i="1"/>
  <c r="BH407" i="1"/>
  <c r="BS407" i="1"/>
  <c r="BH303" i="1"/>
  <c r="BZ303" i="1" s="1"/>
  <c r="BS303" i="1"/>
  <c r="AW303" i="1"/>
  <c r="BS41" i="1"/>
  <c r="BH41" i="1"/>
  <c r="AW41" i="1"/>
  <c r="AW307" i="1"/>
  <c r="BS307" i="1"/>
  <c r="BH307" i="1"/>
  <c r="AW140" i="1"/>
  <c r="BZ10" i="1"/>
  <c r="AW627" i="1"/>
  <c r="BS627" i="1"/>
  <c r="BH627" i="1"/>
  <c r="BZ627" i="1" s="1"/>
  <c r="BZ379" i="1"/>
  <c r="BZ453" i="1"/>
  <c r="BH465" i="1"/>
  <c r="BS465" i="1"/>
  <c r="AW465" i="1"/>
  <c r="BU639" i="1"/>
  <c r="BH639" i="1"/>
  <c r="BZ639" i="1" s="1"/>
  <c r="BH577" i="1"/>
  <c r="BZ577" i="1" s="1"/>
  <c r="BT577" i="1"/>
  <c r="BS414" i="1"/>
  <c r="BH414" i="1"/>
  <c r="AW414" i="1"/>
  <c r="BH578" i="1"/>
  <c r="BZ578" i="1" s="1"/>
  <c r="BZ554" i="1"/>
  <c r="BH426" i="1"/>
  <c r="AW299" i="1"/>
  <c r="BH503" i="1"/>
  <c r="BZ503" i="1" s="1"/>
  <c r="BS597" i="1"/>
  <c r="BH597" i="1"/>
  <c r="BZ597" i="1" s="1"/>
  <c r="AW597" i="1"/>
  <c r="AW350" i="1"/>
  <c r="BT350" i="1"/>
  <c r="BH350" i="1"/>
  <c r="BS305" i="1"/>
  <c r="BH305" i="1"/>
  <c r="BZ305" i="1" s="1"/>
  <c r="AW305" i="1"/>
  <c r="BS184" i="1"/>
  <c r="AW184" i="1"/>
  <c r="BH184" i="1"/>
  <c r="BZ184" i="1" s="1"/>
  <c r="AW228" i="1"/>
  <c r="BS228" i="1"/>
  <c r="BH228" i="1"/>
  <c r="BS538" i="1"/>
  <c r="BH538" i="1"/>
  <c r="BZ538" i="1" s="1"/>
  <c r="AW538" i="1"/>
  <c r="BH90" i="1"/>
  <c r="BS130" i="1"/>
  <c r="BH130" i="1"/>
  <c r="BZ130" i="1" s="1"/>
  <c r="AW130" i="1"/>
  <c r="BH183" i="1"/>
  <c r="BZ183" i="1" s="1"/>
  <c r="AW183" i="1"/>
  <c r="BS183" i="1"/>
  <c r="BZ114" i="1"/>
  <c r="BH149" i="1"/>
  <c r="BZ149" i="1" s="1"/>
  <c r="AW149" i="1"/>
  <c r="BS149" i="1"/>
  <c r="BH153" i="1"/>
  <c r="BZ137" i="1"/>
  <c r="BH375" i="1"/>
  <c r="BZ375" i="1" s="1"/>
  <c r="BZ459" i="1"/>
  <c r="AW446" i="1"/>
  <c r="BZ431" i="1"/>
  <c r="BZ239" i="1"/>
  <c r="BH195" i="1"/>
  <c r="BZ195" i="1" s="1"/>
  <c r="BS195" i="1"/>
  <c r="AW195" i="1"/>
  <c r="BZ319" i="1"/>
  <c r="BS634" i="1"/>
  <c r="AW634" i="1"/>
  <c r="BH634" i="1"/>
  <c r="BS235" i="1"/>
  <c r="AW235" i="1"/>
  <c r="BH235" i="1"/>
  <c r="BH339" i="1"/>
  <c r="BS12" i="1"/>
  <c r="BH12" i="1"/>
  <c r="AW12" i="1"/>
  <c r="AW99" i="1"/>
  <c r="BS99" i="1"/>
  <c r="BH99" i="1"/>
  <c r="BZ28" i="1"/>
  <c r="BH83" i="1"/>
  <c r="BZ83" i="1" s="1"/>
  <c r="BT413" i="1"/>
  <c r="AW413" i="1"/>
  <c r="BH413" i="1"/>
  <c r="AW576" i="1"/>
  <c r="AW439" i="1"/>
  <c r="BZ131" i="1"/>
  <c r="BZ107" i="1"/>
  <c r="AW125" i="1"/>
  <c r="BS125" i="1"/>
  <c r="BH125" i="1"/>
  <c r="BS94" i="1"/>
  <c r="BH94" i="1"/>
  <c r="BZ94" i="1" s="1"/>
  <c r="AW94" i="1"/>
  <c r="BS428" i="1"/>
  <c r="BH428" i="1"/>
  <c r="AW428" i="1"/>
  <c r="BS425" i="1"/>
  <c r="BH425" i="1"/>
  <c r="BZ425" i="1" s="1"/>
  <c r="AW425" i="1"/>
  <c r="AW334" i="1"/>
  <c r="BZ206" i="1"/>
  <c r="BW477" i="1"/>
  <c r="BH477" i="1"/>
  <c r="BZ477" i="1" s="1"/>
  <c r="BH548" i="1"/>
  <c r="BZ548" i="1" s="1"/>
  <c r="BZ524" i="1"/>
  <c r="BZ413" i="1"/>
  <c r="BZ480" i="1"/>
  <c r="BS273" i="1"/>
  <c r="BH273" i="1"/>
  <c r="BZ273" i="1" s="1"/>
  <c r="AW273" i="1"/>
  <c r="AW346" i="1"/>
  <c r="BS346" i="1"/>
  <c r="BH346" i="1"/>
  <c r="BH74" i="1"/>
  <c r="BZ74" i="1" s="1"/>
  <c r="BS74" i="1"/>
  <c r="AW74" i="1"/>
  <c r="BS88" i="1"/>
  <c r="BH88" i="1"/>
  <c r="BZ88" i="1" s="1"/>
  <c r="AW88" i="1"/>
  <c r="AW220" i="1"/>
  <c r="BH646" i="1"/>
  <c r="BZ646" i="1" s="1"/>
  <c r="BU645" i="1"/>
  <c r="AW645" i="1"/>
  <c r="BZ519" i="1"/>
  <c r="AW638" i="1"/>
  <c r="AW639" i="1"/>
  <c r="AW520" i="1"/>
  <c r="BS520" i="1"/>
  <c r="BH520" i="1"/>
  <c r="BZ481" i="1"/>
  <c r="BH594" i="1"/>
  <c r="BS594" i="1"/>
  <c r="AW594" i="1"/>
  <c r="AW532" i="1"/>
  <c r="BT532" i="1"/>
  <c r="BU430" i="1"/>
  <c r="BH430" i="1"/>
  <c r="BZ355" i="1"/>
  <c r="BH544" i="1"/>
  <c r="AW445" i="1"/>
  <c r="BH513" i="1"/>
  <c r="BZ513" i="1" s="1"/>
  <c r="AW513" i="1"/>
  <c r="BS513" i="1"/>
  <c r="AW632" i="1"/>
  <c r="BT632" i="1"/>
  <c r="AW636" i="1"/>
  <c r="BH636" i="1"/>
  <c r="BS636" i="1"/>
  <c r="BZ504" i="1"/>
  <c r="BH626" i="1"/>
  <c r="BS626" i="1"/>
  <c r="AW626" i="1"/>
  <c r="BZ546" i="1"/>
  <c r="BS535" i="1"/>
  <c r="BH535" i="1"/>
  <c r="BZ535" i="1" s="1"/>
  <c r="AW535" i="1"/>
  <c r="BZ594" i="1"/>
  <c r="AW628" i="1"/>
  <c r="BH532" i="1"/>
  <c r="BZ532" i="1" s="1"/>
  <c r="BZ541" i="1"/>
  <c r="BZ563" i="1"/>
  <c r="BH408" i="1"/>
  <c r="BZ408" i="1" s="1"/>
  <c r="BZ380" i="1"/>
  <c r="BH420" i="1"/>
  <c r="AW420" i="1"/>
  <c r="BS420" i="1"/>
  <c r="BH574" i="1"/>
  <c r="BZ574" i="1" s="1"/>
  <c r="BH399" i="1"/>
  <c r="BS247" i="1"/>
  <c r="BH247" i="1"/>
  <c r="BZ247" i="1" s="1"/>
  <c r="AW247" i="1"/>
  <c r="AW387" i="1"/>
  <c r="BH231" i="1"/>
  <c r="BZ231" i="1" s="1"/>
  <c r="BZ299" i="1"/>
  <c r="BS238" i="1"/>
  <c r="BH238" i="1"/>
  <c r="AW238" i="1"/>
  <c r="AW8" i="1"/>
  <c r="BS8" i="1"/>
  <c r="BH8" i="1"/>
  <c r="BZ8" i="1" s="1"/>
  <c r="BH390" i="1"/>
  <c r="BZ390" i="1" s="1"/>
  <c r="BH324" i="1"/>
  <c r="AW568" i="1"/>
  <c r="BS568" i="1"/>
  <c r="BH568" i="1"/>
  <c r="BH591" i="1"/>
  <c r="BH244" i="1"/>
  <c r="BS113" i="1"/>
  <c r="AW113" i="1"/>
  <c r="BH113" i="1"/>
  <c r="BZ113" i="1" s="1"/>
  <c r="AW271" i="1"/>
  <c r="BH271" i="1"/>
  <c r="BZ271" i="1" s="1"/>
  <c r="BS271" i="1"/>
  <c r="AW237" i="1"/>
  <c r="BH237" i="1"/>
  <c r="BZ237" i="1" s="1"/>
  <c r="BS237" i="1"/>
  <c r="BH34" i="1"/>
  <c r="BZ34" i="1" s="1"/>
  <c r="BS34" i="1"/>
  <c r="AW34" i="1"/>
  <c r="BS117" i="1"/>
  <c r="BH117" i="1"/>
  <c r="BZ117" i="1" s="1"/>
  <c r="AW117" i="1"/>
  <c r="BH57" i="1"/>
  <c r="BZ57" i="1" s="1"/>
  <c r="AW57" i="1"/>
  <c r="BS57" i="1"/>
  <c r="BZ169" i="1"/>
  <c r="BH186" i="1"/>
  <c r="BZ186" i="1" s="1"/>
  <c r="BH131" i="1"/>
  <c r="BH107" i="1"/>
  <c r="BZ225" i="1"/>
  <c r="BZ196" i="1"/>
  <c r="BZ479" i="1"/>
</calcChain>
</file>

<file path=xl/sharedStrings.xml><?xml version="1.0" encoding="utf-8"?>
<sst xmlns="http://schemas.openxmlformats.org/spreadsheetml/2006/main" count="7485" uniqueCount="2065">
  <si>
    <t>Constituency + 2019 Notional Result</t>
  </si>
  <si>
    <t>Code</t>
  </si>
  <si>
    <t>Region</t>
  </si>
  <si>
    <t>Electorate</t>
  </si>
  <si>
    <t>Turnout</t>
  </si>
  <si>
    <t>LAB</t>
  </si>
  <si>
    <t>CON</t>
  </si>
  <si>
    <t>RFM</t>
  </si>
  <si>
    <t>LDM</t>
  </si>
  <si>
    <t>GRN</t>
  </si>
  <si>
    <t>SNP</t>
  </si>
  <si>
    <t>PLC</t>
  </si>
  <si>
    <t>IND</t>
  </si>
  <si>
    <t>WPGB</t>
  </si>
  <si>
    <t>SDP</t>
  </si>
  <si>
    <t>Localist</t>
  </si>
  <si>
    <t>DUP</t>
  </si>
  <si>
    <t>SF</t>
  </si>
  <si>
    <t>ALL</t>
  </si>
  <si>
    <t>SDLP</t>
  </si>
  <si>
    <t>UUP</t>
  </si>
  <si>
    <t>TUV</t>
  </si>
  <si>
    <t>Minor 1</t>
  </si>
  <si>
    <t>Minor 2</t>
  </si>
  <si>
    <t>Minor 3</t>
  </si>
  <si>
    <t>Minor 4</t>
  </si>
  <si>
    <t>Minor 5</t>
  </si>
  <si>
    <t>Minor 6</t>
  </si>
  <si>
    <t>Completed?</t>
  </si>
  <si>
    <t>Verified by 2nd Person?</t>
  </si>
  <si>
    <t>TOTAL VOTES</t>
  </si>
  <si>
    <t>Winner</t>
  </si>
  <si>
    <t>Hold or Gain</t>
  </si>
  <si>
    <t>Outcome</t>
  </si>
  <si>
    <t>Majority</t>
  </si>
  <si>
    <t>% Majority</t>
  </si>
  <si>
    <t>Others</t>
  </si>
  <si>
    <t>Top IND</t>
  </si>
  <si>
    <t>Minor</t>
  </si>
  <si>
    <t>Other</t>
  </si>
  <si>
    <t>2019 Vote Share</t>
  </si>
  <si>
    <t>Vote Share Change</t>
  </si>
  <si>
    <t>Aldershot</t>
  </si>
  <si>
    <t>E14001063</t>
  </si>
  <si>
    <t>South East</t>
  </si>
  <si>
    <t>Aldridge-Brownhills</t>
  </si>
  <si>
    <t>E14001064</t>
  </si>
  <si>
    <t>West Midlands</t>
  </si>
  <si>
    <t>Altrincham and Sale West</t>
  </si>
  <si>
    <t>E14001065</t>
  </si>
  <si>
    <t>North West</t>
  </si>
  <si>
    <t>Amber Valley</t>
  </si>
  <si>
    <t>E14001066</t>
  </si>
  <si>
    <t>East Midlands</t>
  </si>
  <si>
    <t>Arundel and South Downs</t>
  </si>
  <si>
    <t>E14001067</t>
  </si>
  <si>
    <t>Ashfield</t>
  </si>
  <si>
    <t>E14001068</t>
  </si>
  <si>
    <t>Ashford</t>
  </si>
  <si>
    <t>E14001069</t>
  </si>
  <si>
    <t>Ashton-under-Lyne</t>
  </si>
  <si>
    <t>E14001070</t>
  </si>
  <si>
    <t>Aylesbury</t>
  </si>
  <si>
    <t>E14001071</t>
  </si>
  <si>
    <t>Banbury</t>
  </si>
  <si>
    <t>E14001072</t>
  </si>
  <si>
    <t>Barking</t>
  </si>
  <si>
    <t>E14001073</t>
  </si>
  <si>
    <t>Greater London</t>
  </si>
  <si>
    <t>Barnsley North</t>
  </si>
  <si>
    <t>E14001074</t>
  </si>
  <si>
    <t>Yorkshire and the Humber</t>
  </si>
  <si>
    <t>Barnsley South</t>
  </si>
  <si>
    <t>E14001075</t>
  </si>
  <si>
    <t>Barrow and Furness</t>
  </si>
  <si>
    <t>E14001076</t>
  </si>
  <si>
    <t>Basildon and Billericay</t>
  </si>
  <si>
    <t>E14001077</t>
  </si>
  <si>
    <t>East of England</t>
  </si>
  <si>
    <t>Basingstoke</t>
  </si>
  <si>
    <t>E14001078</t>
  </si>
  <si>
    <t>Bassetlaw</t>
  </si>
  <si>
    <t>E14001079</t>
  </si>
  <si>
    <t>Bath</t>
  </si>
  <si>
    <t>E14001080</t>
  </si>
  <si>
    <t>South West</t>
  </si>
  <si>
    <t>Battersea</t>
  </si>
  <si>
    <t>E14001081</t>
  </si>
  <si>
    <t>Beaconsfield</t>
  </si>
  <si>
    <t>E14001082</t>
  </si>
  <si>
    <t>Beckenham and Penge</t>
  </si>
  <si>
    <t>E14001083</t>
  </si>
  <si>
    <t>Bedford</t>
  </si>
  <si>
    <t>E14001084</t>
  </si>
  <si>
    <t>Bermondsey and Old Southwark</t>
  </si>
  <si>
    <t>E14001085</t>
  </si>
  <si>
    <t>Bethnal Green and Stepney</t>
  </si>
  <si>
    <t>E14001086</t>
  </si>
  <si>
    <t xml:space="preserve"> </t>
  </si>
  <si>
    <t>Beverley and Holderness</t>
  </si>
  <si>
    <t>E14001087</t>
  </si>
  <si>
    <t>Bexhill and Battle</t>
  </si>
  <si>
    <t>E14001088</t>
  </si>
  <si>
    <t>Bexleyheath and Crayford</t>
  </si>
  <si>
    <t>E14001089</t>
  </si>
  <si>
    <t>Bicester and Woodstock</t>
  </si>
  <si>
    <t>E14001090</t>
  </si>
  <si>
    <t>Birkenhead</t>
  </si>
  <si>
    <t>E14001091</t>
  </si>
  <si>
    <t>Birmingham Edgbaston</t>
  </si>
  <si>
    <t>E14001092</t>
  </si>
  <si>
    <t>Birmingham Erdington</t>
  </si>
  <si>
    <t>E14001093</t>
  </si>
  <si>
    <t>Birmingham Hall Green and Moseley</t>
  </si>
  <si>
    <t>E14001094</t>
  </si>
  <si>
    <t>Birmingham Hodge Hill and Solihull North</t>
  </si>
  <si>
    <t>E14001095</t>
  </si>
  <si>
    <t>Birmingham Ladywood</t>
  </si>
  <si>
    <t>E14001096</t>
  </si>
  <si>
    <t>Birmingham Northfield</t>
  </si>
  <si>
    <t>E14001097</t>
  </si>
  <si>
    <t>Birmingham Perry Barr</t>
  </si>
  <si>
    <t>E14001098</t>
  </si>
  <si>
    <t>Birmingham Selly Oak</t>
  </si>
  <si>
    <t>E14001099</t>
  </si>
  <si>
    <t>Birmingham Yardley</t>
  </si>
  <si>
    <t>E14001100</t>
  </si>
  <si>
    <t>Bishop Auckland</t>
  </si>
  <si>
    <t>E14001101</t>
  </si>
  <si>
    <t>North East</t>
  </si>
  <si>
    <t>Blackburn</t>
  </si>
  <si>
    <t>E14001102</t>
  </si>
  <si>
    <t>Blackley and Middleton South</t>
  </si>
  <si>
    <t>E14001103</t>
  </si>
  <si>
    <t>Blackpool North and Fleetwood</t>
  </si>
  <si>
    <t>E14001104</t>
  </si>
  <si>
    <t>Blackpool South</t>
  </si>
  <si>
    <t>E14001105</t>
  </si>
  <si>
    <t>Blaydon and Consett</t>
  </si>
  <si>
    <t>E14001106</t>
  </si>
  <si>
    <t>Blyth and Ashington</t>
  </si>
  <si>
    <t>E14001107</t>
  </si>
  <si>
    <t>Bognor Regis and Littlehampton</t>
  </si>
  <si>
    <t>E14001108</t>
  </si>
  <si>
    <t>Bolsover</t>
  </si>
  <si>
    <t>E14001109</t>
  </si>
  <si>
    <t>Bolton North East</t>
  </si>
  <si>
    <t>E14001110</t>
  </si>
  <si>
    <t>Bolton South and Walkden</t>
  </si>
  <si>
    <t>E14001111</t>
  </si>
  <si>
    <t>Bolton West</t>
  </si>
  <si>
    <t>E14001112</t>
  </si>
  <si>
    <t>Bootle</t>
  </si>
  <si>
    <t>E14001113</t>
  </si>
  <si>
    <t>Boston and Skegness</t>
  </si>
  <si>
    <t>E14001114</t>
  </si>
  <si>
    <t>Bournemouth East</t>
  </si>
  <si>
    <t>E14001115</t>
  </si>
  <si>
    <t>Bournemouth West</t>
  </si>
  <si>
    <t>E14001116</t>
  </si>
  <si>
    <t>Bracknell</t>
  </si>
  <si>
    <t>E14001117</t>
  </si>
  <si>
    <t>Bradford East</t>
  </si>
  <si>
    <t>E14001118</t>
  </si>
  <si>
    <t>Bradford South</t>
  </si>
  <si>
    <t>E14001119</t>
  </si>
  <si>
    <t>Bradford West</t>
  </si>
  <si>
    <t>E14001120</t>
  </si>
  <si>
    <t>Braintree</t>
  </si>
  <si>
    <t>E14001121</t>
  </si>
  <si>
    <t>Brent East</t>
  </si>
  <si>
    <t>E14001122</t>
  </si>
  <si>
    <t>Brent West</t>
  </si>
  <si>
    <t>E14001123</t>
  </si>
  <si>
    <t>Brentford and Isleworth</t>
  </si>
  <si>
    <t>E14001124</t>
  </si>
  <si>
    <t>Brentwood and Ongar</t>
  </si>
  <si>
    <t>E14001125</t>
  </si>
  <si>
    <t>Bridgwater</t>
  </si>
  <si>
    <t>E14001126</t>
  </si>
  <si>
    <t>Bridlington and The Wolds</t>
  </si>
  <si>
    <t>E14001127</t>
  </si>
  <si>
    <t>Brigg and Immingham</t>
  </si>
  <si>
    <t>E14001128</t>
  </si>
  <si>
    <t>Brighton Kemptown and Peacehaven</t>
  </si>
  <si>
    <t>E14001129</t>
  </si>
  <si>
    <t>Brighton Pavilion</t>
  </si>
  <si>
    <t>E14001130</t>
  </si>
  <si>
    <t>Bristol Central</t>
  </si>
  <si>
    <t>E14001131</t>
  </si>
  <si>
    <t>Bristol East</t>
  </si>
  <si>
    <t>E14001132</t>
  </si>
  <si>
    <t>Bristol North East</t>
  </si>
  <si>
    <t>E14001133</t>
  </si>
  <si>
    <t>Bristol North West</t>
  </si>
  <si>
    <t>E14001134</t>
  </si>
  <si>
    <t>Bristol South</t>
  </si>
  <si>
    <t>E14001135</t>
  </si>
  <si>
    <t>Broadland and Fakenham</t>
  </si>
  <si>
    <t>E14001136</t>
  </si>
  <si>
    <t>Bromley and Biggin Hill</t>
  </si>
  <si>
    <t>E14001137</t>
  </si>
  <si>
    <t>Bromsgrove</t>
  </si>
  <si>
    <t>E14001138</t>
  </si>
  <si>
    <t>Broxbourne</t>
  </si>
  <si>
    <t>E14001139</t>
  </si>
  <si>
    <t>Broxtowe</t>
  </si>
  <si>
    <t>E14001140</t>
  </si>
  <si>
    <t>Buckingham and Bletchley</t>
  </si>
  <si>
    <t>E14001141</t>
  </si>
  <si>
    <t>Burnley</t>
  </si>
  <si>
    <t>E14001142</t>
  </si>
  <si>
    <t>Burton and Uttoxeter</t>
  </si>
  <si>
    <t>E14001143</t>
  </si>
  <si>
    <t>Bury North</t>
  </si>
  <si>
    <t>E14001144</t>
  </si>
  <si>
    <t>Bury South</t>
  </si>
  <si>
    <t>E14001145</t>
  </si>
  <si>
    <t>Bury St Edmunds and Stowmarket</t>
  </si>
  <si>
    <t>E14001146</t>
  </si>
  <si>
    <t>Calder Valley</t>
  </si>
  <si>
    <t>E14001147</t>
  </si>
  <si>
    <t>Camborne and Redruth</t>
  </si>
  <si>
    <t>E14001148</t>
  </si>
  <si>
    <t>Cambridge</t>
  </si>
  <si>
    <t>E14001149</t>
  </si>
  <si>
    <t>Cannock Chase</t>
  </si>
  <si>
    <t>E14001150</t>
  </si>
  <si>
    <t>Canterbury</t>
  </si>
  <si>
    <t>E14001151</t>
  </si>
  <si>
    <t>Carlisle</t>
  </si>
  <si>
    <t>E14001152</t>
  </si>
  <si>
    <t>Carshalton and Wallington</t>
  </si>
  <si>
    <t>E14001153</t>
  </si>
  <si>
    <t>Castle Point</t>
  </si>
  <si>
    <t>E14001154</t>
  </si>
  <si>
    <t>Central Devon</t>
  </si>
  <si>
    <t>E14001155</t>
  </si>
  <si>
    <t>Central Suffolk and North Ipswich</t>
  </si>
  <si>
    <t>E14001156</t>
  </si>
  <si>
    <t>Chatham and Aylesford</t>
  </si>
  <si>
    <t>E14001157</t>
  </si>
  <si>
    <t>Cheadle</t>
  </si>
  <si>
    <t>E14001158</t>
  </si>
  <si>
    <t>Chelmsford</t>
  </si>
  <si>
    <t>E14001159</t>
  </si>
  <si>
    <t>Chelsea and Fulham</t>
  </si>
  <si>
    <t>E14001160</t>
  </si>
  <si>
    <t>Cheltenham</t>
  </si>
  <si>
    <t>E14001161</t>
  </si>
  <si>
    <t>Chesham and Amersham</t>
  </si>
  <si>
    <t>E14001162</t>
  </si>
  <si>
    <t>Chester North and Neston</t>
  </si>
  <si>
    <t>E14001163</t>
  </si>
  <si>
    <t>Chester South and Eddisbury</t>
  </si>
  <si>
    <t>E14001164</t>
  </si>
  <si>
    <t>Chesterfield</t>
  </si>
  <si>
    <t>E14001165</t>
  </si>
  <si>
    <t>Chichester</t>
  </si>
  <si>
    <t>E14001166</t>
  </si>
  <si>
    <t>Chingford and Woodford Green</t>
  </si>
  <si>
    <t>E14001167</t>
  </si>
  <si>
    <t>Chippenham</t>
  </si>
  <si>
    <t>E14001168</t>
  </si>
  <si>
    <t>Chipping Barnet</t>
  </si>
  <si>
    <t>E14001169</t>
  </si>
  <si>
    <t>SPKR</t>
  </si>
  <si>
    <t>Chorley</t>
  </si>
  <si>
    <t>E14001170</t>
  </si>
  <si>
    <t>Christchurch</t>
  </si>
  <si>
    <t>E14001171</t>
  </si>
  <si>
    <t>Cities of London and Westminster</t>
  </si>
  <si>
    <t>E14001172</t>
  </si>
  <si>
    <t>City of Durham</t>
  </si>
  <si>
    <t>E14001173</t>
  </si>
  <si>
    <t>Clacton</t>
  </si>
  <si>
    <t>E14001174</t>
  </si>
  <si>
    <t>Clapham and Brixton Hill</t>
  </si>
  <si>
    <t>E14001175</t>
  </si>
  <si>
    <t>Colchester</t>
  </si>
  <si>
    <t>E14001176</t>
  </si>
  <si>
    <t>Colne Valley</t>
  </si>
  <si>
    <t>E14001177</t>
  </si>
  <si>
    <t>Congleton</t>
  </si>
  <si>
    <t>E14001178</t>
  </si>
  <si>
    <t>Corby and East Northamptonshire</t>
  </si>
  <si>
    <t>E14001179</t>
  </si>
  <si>
    <t>Coventry East</t>
  </si>
  <si>
    <t>E14001180</t>
  </si>
  <si>
    <t>Coventry North West</t>
  </si>
  <si>
    <t>E14001181</t>
  </si>
  <si>
    <t>Coventry South</t>
  </si>
  <si>
    <t>E14001182</t>
  </si>
  <si>
    <t>Cramlington and Killingworth</t>
  </si>
  <si>
    <t>E14001183</t>
  </si>
  <si>
    <t>Crawley</t>
  </si>
  <si>
    <t>E14001184</t>
  </si>
  <si>
    <t>Crewe and Nantwich</t>
  </si>
  <si>
    <t>E14001185</t>
  </si>
  <si>
    <t>Croydon East</t>
  </si>
  <si>
    <t>E14001186</t>
  </si>
  <si>
    <t>Croydon South</t>
  </si>
  <si>
    <t>E14001187</t>
  </si>
  <si>
    <t>Croydon West</t>
  </si>
  <si>
    <t>E14001188</t>
  </si>
  <si>
    <t>Dagenham and Rainham</t>
  </si>
  <si>
    <t>E14001189</t>
  </si>
  <si>
    <t>Darlington</t>
  </si>
  <si>
    <t>E14001190</t>
  </si>
  <si>
    <t>Dartford</t>
  </si>
  <si>
    <t>E14001191</t>
  </si>
  <si>
    <t>Daventry</t>
  </si>
  <si>
    <t>E14001192</t>
  </si>
  <si>
    <t>Derby North</t>
  </si>
  <si>
    <t>E14001193</t>
  </si>
  <si>
    <t>Derby South</t>
  </si>
  <si>
    <t>E14001194</t>
  </si>
  <si>
    <t>Derbyshire Dales</t>
  </si>
  <si>
    <t>E14001195</t>
  </si>
  <si>
    <t>Dewsbury and Batley</t>
  </si>
  <si>
    <t>E14001196</t>
  </si>
  <si>
    <t>Didcot and Wantage</t>
  </si>
  <si>
    <t>E14001197</t>
  </si>
  <si>
    <t>Doncaster Central</t>
  </si>
  <si>
    <t>E14001198</t>
  </si>
  <si>
    <t>Doncaster East and the Isle of Axholme</t>
  </si>
  <si>
    <t>E14001199</t>
  </si>
  <si>
    <t>Doncaster North</t>
  </si>
  <si>
    <t>E14001200</t>
  </si>
  <si>
    <t>Dorking and Horley</t>
  </si>
  <si>
    <t>E14001201</t>
  </si>
  <si>
    <t>Dover and Deal</t>
  </si>
  <si>
    <t>E14001202</t>
  </si>
  <si>
    <t>Droitwich and Evesham</t>
  </si>
  <si>
    <t>E14001203</t>
  </si>
  <si>
    <t>Dudley</t>
  </si>
  <si>
    <t>E14001204</t>
  </si>
  <si>
    <t>Dulwich and West Norwood</t>
  </si>
  <si>
    <t>E14001205</t>
  </si>
  <si>
    <t>Dunstable and Leighton Buzzard</t>
  </si>
  <si>
    <t>E14001206</t>
  </si>
  <si>
    <t>Ealing Central and Acton</t>
  </si>
  <si>
    <t>E14001207</t>
  </si>
  <si>
    <t>Ealing North</t>
  </si>
  <si>
    <t>E14001208</t>
  </si>
  <si>
    <t>Ealing Southall</t>
  </si>
  <si>
    <t>E14001209</t>
  </si>
  <si>
    <t>Earley and Woodley</t>
  </si>
  <si>
    <t>E14001210</t>
  </si>
  <si>
    <t>Easington</t>
  </si>
  <si>
    <t>E14001211</t>
  </si>
  <si>
    <t>East Grinstead and Uckfield</t>
  </si>
  <si>
    <t>E14001212</t>
  </si>
  <si>
    <t>East Ham</t>
  </si>
  <si>
    <t>E14001213</t>
  </si>
  <si>
    <t>East Hampshire</t>
  </si>
  <si>
    <t>E14001214</t>
  </si>
  <si>
    <t>East Surrey</t>
  </si>
  <si>
    <t>E14001215</t>
  </si>
  <si>
    <t>East Thanet</t>
  </si>
  <si>
    <t>E14001216</t>
  </si>
  <si>
    <t>East Wiltshire</t>
  </si>
  <si>
    <t>E14001217</t>
  </si>
  <si>
    <t>East Worthing and Shoreham</t>
  </si>
  <si>
    <t>E14001218</t>
  </si>
  <si>
    <t>Eastbourne</t>
  </si>
  <si>
    <t>E14001219</t>
  </si>
  <si>
    <t>Eastleigh</t>
  </si>
  <si>
    <t>E14001220</t>
  </si>
  <si>
    <t>Edmonton and Winchmore Hill</t>
  </si>
  <si>
    <t>E14001221</t>
  </si>
  <si>
    <t>Ellesmere Port and Bromborough</t>
  </si>
  <si>
    <t>E14001222</t>
  </si>
  <si>
    <t>Eltham and Chislehurst</t>
  </si>
  <si>
    <t>E14001223</t>
  </si>
  <si>
    <t>Ely and East Cambridgeshire</t>
  </si>
  <si>
    <t>E14001224</t>
  </si>
  <si>
    <t>Enfield North</t>
  </si>
  <si>
    <t>E14001225</t>
  </si>
  <si>
    <t>Epping Forest</t>
  </si>
  <si>
    <t>E14001226</t>
  </si>
  <si>
    <t>Epsom and Ewell</t>
  </si>
  <si>
    <t>E14001227</t>
  </si>
  <si>
    <t>Erewash</t>
  </si>
  <si>
    <t>E14001228</t>
  </si>
  <si>
    <t>Erith and Thamesmead</t>
  </si>
  <si>
    <t>E14001229</t>
  </si>
  <si>
    <t>Esher and Walton</t>
  </si>
  <si>
    <t>E14001230</t>
  </si>
  <si>
    <t>Exeter</t>
  </si>
  <si>
    <t>E14001231</t>
  </si>
  <si>
    <t>Exmouth and Exeter East</t>
  </si>
  <si>
    <t>E14001232</t>
  </si>
  <si>
    <t>Fareham and Waterlooville</t>
  </si>
  <si>
    <t>E14001233</t>
  </si>
  <si>
    <t>Farnham and Bordon</t>
  </si>
  <si>
    <t>E14001234</t>
  </si>
  <si>
    <t>Faversham and Mid Kent</t>
  </si>
  <si>
    <t>E14001235</t>
  </si>
  <si>
    <t>Feltham and Heston</t>
  </si>
  <si>
    <t>E14001236</t>
  </si>
  <si>
    <t>Filton and Bradley Stoke</t>
  </si>
  <si>
    <t>E14001237</t>
  </si>
  <si>
    <t>Finchley and Golders Green</t>
  </si>
  <si>
    <t>E14001238</t>
  </si>
  <si>
    <t>Folkestone and Hythe</t>
  </si>
  <si>
    <t>E14001239</t>
  </si>
  <si>
    <t>Forest of Dean</t>
  </si>
  <si>
    <t>E14001240</t>
  </si>
  <si>
    <t>Frome and East Somerset</t>
  </si>
  <si>
    <t>E14001241</t>
  </si>
  <si>
    <t>Fylde</t>
  </si>
  <si>
    <t>E14001242</t>
  </si>
  <si>
    <t>Gainsborough</t>
  </si>
  <si>
    <t>E14001243</t>
  </si>
  <si>
    <t>Gateshead Central and Whickham</t>
  </si>
  <si>
    <t>E14001244</t>
  </si>
  <si>
    <t>Gedling</t>
  </si>
  <si>
    <t>E14001245</t>
  </si>
  <si>
    <t>Gillingham and Rainham</t>
  </si>
  <si>
    <t>E14001246</t>
  </si>
  <si>
    <t>Glastonbury and Somerton</t>
  </si>
  <si>
    <t>E14001247</t>
  </si>
  <si>
    <t>Gloucester</t>
  </si>
  <si>
    <t>E14001248</t>
  </si>
  <si>
    <t>Godalming and Ash</t>
  </si>
  <si>
    <t>E14001249</t>
  </si>
  <si>
    <t>Goole and Pocklington</t>
  </si>
  <si>
    <t>E14001250</t>
  </si>
  <si>
    <t>Gorton and Denton</t>
  </si>
  <si>
    <t>E14001251</t>
  </si>
  <si>
    <t>Gosport</t>
  </si>
  <si>
    <t>E14001252</t>
  </si>
  <si>
    <t>Grantham and Bourne</t>
  </si>
  <si>
    <t>E14001253</t>
  </si>
  <si>
    <t>Gravesham</t>
  </si>
  <si>
    <t>E14001254</t>
  </si>
  <si>
    <t>Great Grimsby and Cleethorpes</t>
  </si>
  <si>
    <t>E14001255</t>
  </si>
  <si>
    <t>Great Yarmouth</t>
  </si>
  <si>
    <t>E14001256</t>
  </si>
  <si>
    <t>Greenwich and Woolwich</t>
  </si>
  <si>
    <t>E14001257</t>
  </si>
  <si>
    <t>Guildford</t>
  </si>
  <si>
    <t>E14001258</t>
  </si>
  <si>
    <t>Hackney North and Stoke Newington</t>
  </si>
  <si>
    <t>E14001259</t>
  </si>
  <si>
    <t>Hackney South and Shoreditch</t>
  </si>
  <si>
    <t>E14001260</t>
  </si>
  <si>
    <t>Halesowen</t>
  </si>
  <si>
    <t>E14001261</t>
  </si>
  <si>
    <t>Halifax</t>
  </si>
  <si>
    <t>E14001262</t>
  </si>
  <si>
    <t>Hamble Valley</t>
  </si>
  <si>
    <t>E14001263</t>
  </si>
  <si>
    <t>Hammersmith and Chiswick</t>
  </si>
  <si>
    <t>E14001264</t>
  </si>
  <si>
    <t>Hampstead and Highgate</t>
  </si>
  <si>
    <t>E14001265</t>
  </si>
  <si>
    <t>Harborough, Oadby and Wigston</t>
  </si>
  <si>
    <t>E14001266</t>
  </si>
  <si>
    <t>Harlow</t>
  </si>
  <si>
    <t>E14001267</t>
  </si>
  <si>
    <t>Harpenden and Berkhamsted</t>
  </si>
  <si>
    <t>E14001268</t>
  </si>
  <si>
    <t>Harrogate and Knaresborough</t>
  </si>
  <si>
    <t>E14001269</t>
  </si>
  <si>
    <t>Harrow East</t>
  </si>
  <si>
    <t>E14001270</t>
  </si>
  <si>
    <t>Harrow West</t>
  </si>
  <si>
    <t>E14001271</t>
  </si>
  <si>
    <t>Hartlepool</t>
  </si>
  <si>
    <t>E14001272</t>
  </si>
  <si>
    <t>Harwich and North Essex</t>
  </si>
  <si>
    <t>E14001273</t>
  </si>
  <si>
    <t>Hastings and Rye</t>
  </si>
  <si>
    <t>E14001274</t>
  </si>
  <si>
    <t>Havant</t>
  </si>
  <si>
    <t>E14001275</t>
  </si>
  <si>
    <t>Hayes and Harlington</t>
  </si>
  <si>
    <t>E14001276</t>
  </si>
  <si>
    <t>Hazel Grove</t>
  </si>
  <si>
    <t>E14001277</t>
  </si>
  <si>
    <t>Hemel Hempstead</t>
  </si>
  <si>
    <t>E14001278</t>
  </si>
  <si>
    <t>Hendon</t>
  </si>
  <si>
    <t>E14001279</t>
  </si>
  <si>
    <t>Henley and Thame</t>
  </si>
  <si>
    <t>E14001280</t>
  </si>
  <si>
    <t>Hereford and South Herefordshire</t>
  </si>
  <si>
    <t>E14001281</t>
  </si>
  <si>
    <t>Herne Bay and Sandwich</t>
  </si>
  <si>
    <t>E14001282</t>
  </si>
  <si>
    <t>Hertford and Stortford</t>
  </si>
  <si>
    <t>E14001283</t>
  </si>
  <si>
    <t>Hertsmere</t>
  </si>
  <si>
    <t>E14001284</t>
  </si>
  <si>
    <t>Hexham</t>
  </si>
  <si>
    <t>E14001285</t>
  </si>
  <si>
    <t>Heywood and Middleton North</t>
  </si>
  <si>
    <t>E14001286</t>
  </si>
  <si>
    <t>High Peak</t>
  </si>
  <si>
    <t>E14001287</t>
  </si>
  <si>
    <t>Hinckley and Bosworth</t>
  </si>
  <si>
    <t>E14001288</t>
  </si>
  <si>
    <t>Hitchin</t>
  </si>
  <si>
    <t>E14001289</t>
  </si>
  <si>
    <t>Holborn and St Pancras</t>
  </si>
  <si>
    <t>E14001290</t>
  </si>
  <si>
    <t>Honiton and Sidmouth</t>
  </si>
  <si>
    <t>E14001291</t>
  </si>
  <si>
    <t>Hornchurch and Upminster</t>
  </si>
  <si>
    <t>E14001292</t>
  </si>
  <si>
    <t>Hornsey and Friern Barnet</t>
  </si>
  <si>
    <t>E14001293</t>
  </si>
  <si>
    <t>Horsham</t>
  </si>
  <si>
    <t>E14001294</t>
  </si>
  <si>
    <t>Houghton and Sunderland South</t>
  </si>
  <si>
    <t>E14001295</t>
  </si>
  <si>
    <t>Hove and Portslade</t>
  </si>
  <si>
    <t>E14001296</t>
  </si>
  <si>
    <t>Huddersfield</t>
  </si>
  <si>
    <t>E14001297</t>
  </si>
  <si>
    <t>Huntingdon</t>
  </si>
  <si>
    <t>E14001298</t>
  </si>
  <si>
    <t>Hyndburn</t>
  </si>
  <si>
    <t>E14001299</t>
  </si>
  <si>
    <t>Ilford North</t>
  </si>
  <si>
    <t>E14001300</t>
  </si>
  <si>
    <t>Ilford South</t>
  </si>
  <si>
    <t>E14001301</t>
  </si>
  <si>
    <t>Ipswich</t>
  </si>
  <si>
    <t>E14001302</t>
  </si>
  <si>
    <t>Isle of Wight East</t>
  </si>
  <si>
    <t>E14001303</t>
  </si>
  <si>
    <t>Isle of Wight West</t>
  </si>
  <si>
    <t>E14001304</t>
  </si>
  <si>
    <t>Islington North</t>
  </si>
  <si>
    <t>E14001305</t>
  </si>
  <si>
    <t>Islington South and Finsbury</t>
  </si>
  <si>
    <t>E14001306</t>
  </si>
  <si>
    <t>Jarrow and Gateshead East</t>
  </si>
  <si>
    <t>E14001307</t>
  </si>
  <si>
    <t>Keighley and Ilkley</t>
  </si>
  <si>
    <t>E14001308</t>
  </si>
  <si>
    <t>Kenilworth and Southam</t>
  </si>
  <si>
    <t>E14001309</t>
  </si>
  <si>
    <t>Kensington and Bayswater</t>
  </si>
  <si>
    <t>E14001310</t>
  </si>
  <si>
    <t>Kettering</t>
  </si>
  <si>
    <t>E14001311</t>
  </si>
  <si>
    <t>Kingston and Surbiton</t>
  </si>
  <si>
    <t>E14001312</t>
  </si>
  <si>
    <t>Kingston upon Hull East</t>
  </si>
  <si>
    <t>E14001313</t>
  </si>
  <si>
    <t>Kingston upon Hull North and Cottingham</t>
  </si>
  <si>
    <t>E14001314</t>
  </si>
  <si>
    <t>Kingston upon Hull West and Haltemprice</t>
  </si>
  <si>
    <t>E14001315</t>
  </si>
  <si>
    <t>Kingswinford and South Staffordshire</t>
  </si>
  <si>
    <t>E14001316</t>
  </si>
  <si>
    <t>Knowsley</t>
  </si>
  <si>
    <t>E14001317</t>
  </si>
  <si>
    <t>Lancaster and Wyre</t>
  </si>
  <si>
    <t>E14001318</t>
  </si>
  <si>
    <t>Leeds Central and Headingley</t>
  </si>
  <si>
    <t>E14001319</t>
  </si>
  <si>
    <t>Leeds East</t>
  </si>
  <si>
    <t>E14001320</t>
  </si>
  <si>
    <t>Leeds North East</t>
  </si>
  <si>
    <t>E14001321</t>
  </si>
  <si>
    <t>Leeds North West</t>
  </si>
  <si>
    <t>E14001322</t>
  </si>
  <si>
    <t>Leeds South</t>
  </si>
  <si>
    <t>E14001323</t>
  </si>
  <si>
    <t>Leeds South West and Morley</t>
  </si>
  <si>
    <t>E14001324</t>
  </si>
  <si>
    <t>Leeds West and Pudsey</t>
  </si>
  <si>
    <t>E14001325</t>
  </si>
  <si>
    <t>Leicester East</t>
  </si>
  <si>
    <t>E14001326</t>
  </si>
  <si>
    <t>Leicester South</t>
  </si>
  <si>
    <t>E14001327</t>
  </si>
  <si>
    <t>Leicester West</t>
  </si>
  <si>
    <t>E14001328</t>
  </si>
  <si>
    <t>Leigh and Atherton</t>
  </si>
  <si>
    <t>E14001329</t>
  </si>
  <si>
    <t>Lewes</t>
  </si>
  <si>
    <t>E14001330</t>
  </si>
  <si>
    <t>Lewisham East</t>
  </si>
  <si>
    <t>E14001331</t>
  </si>
  <si>
    <t>Lewisham North</t>
  </si>
  <si>
    <t>E14001332</t>
  </si>
  <si>
    <t>Lewisham West and East Dulwich</t>
  </si>
  <si>
    <t>E14001333</t>
  </si>
  <si>
    <t>Leyton and Wanstead</t>
  </si>
  <si>
    <t>E14001334</t>
  </si>
  <si>
    <t>Lichfield</t>
  </si>
  <si>
    <t>E14001335</t>
  </si>
  <si>
    <t>Lincoln</t>
  </si>
  <si>
    <t>E14001336</t>
  </si>
  <si>
    <t>Liverpool Garston</t>
  </si>
  <si>
    <t>E14001337</t>
  </si>
  <si>
    <t>Liverpool Riverside</t>
  </si>
  <si>
    <t>E14001338</t>
  </si>
  <si>
    <t>Liverpool Walton</t>
  </si>
  <si>
    <t>E14001339</t>
  </si>
  <si>
    <t>Liverpool Wavertree</t>
  </si>
  <si>
    <t>E14001340</t>
  </si>
  <si>
    <t>Liverpool West Derby</t>
  </si>
  <si>
    <t>E14001341</t>
  </si>
  <si>
    <t>Loughborough</t>
  </si>
  <si>
    <t>E14001342</t>
  </si>
  <si>
    <t>Louth and Horncastle</t>
  </si>
  <si>
    <t>E14001343</t>
  </si>
  <si>
    <t>Lowestoft</t>
  </si>
  <si>
    <t>E14001344</t>
  </si>
  <si>
    <t>Luton North</t>
  </si>
  <si>
    <t>E14001345</t>
  </si>
  <si>
    <t>Luton South and South Bedfordshire</t>
  </si>
  <si>
    <t>E14001346</t>
  </si>
  <si>
    <t>Macclesfield</t>
  </si>
  <si>
    <t>E14001347</t>
  </si>
  <si>
    <t>Maidenhead</t>
  </si>
  <si>
    <t>E14001348</t>
  </si>
  <si>
    <t>Maidstone and Malling</t>
  </si>
  <si>
    <t>E14001349</t>
  </si>
  <si>
    <t>Makerfield</t>
  </si>
  <si>
    <t>E14001350</t>
  </si>
  <si>
    <t>Maldon</t>
  </si>
  <si>
    <t>E14001351</t>
  </si>
  <si>
    <t>Manchester Central</t>
  </si>
  <si>
    <t>E14001352</t>
  </si>
  <si>
    <t>Manchester Rusholme</t>
  </si>
  <si>
    <t>E14001353</t>
  </si>
  <si>
    <t>Manchester Withington</t>
  </si>
  <si>
    <t>E14001354</t>
  </si>
  <si>
    <t>Mansfield</t>
  </si>
  <si>
    <t>E14001355</t>
  </si>
  <si>
    <t>Melksham and Devizes</t>
  </si>
  <si>
    <t>E14001356</t>
  </si>
  <si>
    <t>Melton and Syston</t>
  </si>
  <si>
    <t>E14001357</t>
  </si>
  <si>
    <t>Meriden and Solihull East</t>
  </si>
  <si>
    <t>E14001358</t>
  </si>
  <si>
    <t>Mid Bedfordshire</t>
  </si>
  <si>
    <t>E14001359</t>
  </si>
  <si>
    <t>Mid Buckinghamshire</t>
  </si>
  <si>
    <t>E14001360</t>
  </si>
  <si>
    <t>Mid Cheshire</t>
  </si>
  <si>
    <t>E14001361</t>
  </si>
  <si>
    <t>Mid Derbyshire</t>
  </si>
  <si>
    <t>E14001362</t>
  </si>
  <si>
    <t>Mid Dorset and North Poole</t>
  </si>
  <si>
    <t>E14001363</t>
  </si>
  <si>
    <t>Mid Leicestershire</t>
  </si>
  <si>
    <t>E14001364</t>
  </si>
  <si>
    <t>Mid Norfolk</t>
  </si>
  <si>
    <t>E14001365</t>
  </si>
  <si>
    <t>Mid Sussex</t>
  </si>
  <si>
    <t>E14001366</t>
  </si>
  <si>
    <t>Middlesbrough and Thornaby East</t>
  </si>
  <si>
    <t>E14001367</t>
  </si>
  <si>
    <t>Middlesbrough South and East Cleveland</t>
  </si>
  <si>
    <t>E14001368</t>
  </si>
  <si>
    <t>Milton Keynes Central</t>
  </si>
  <si>
    <t>E14001369</t>
  </si>
  <si>
    <t>Milton Keynes North</t>
  </si>
  <si>
    <t>E14001370</t>
  </si>
  <si>
    <t>Mitcham and Morden</t>
  </si>
  <si>
    <t>E14001371</t>
  </si>
  <si>
    <t>Morecambe and Lunesdale</t>
  </si>
  <si>
    <t>E14001372</t>
  </si>
  <si>
    <t>New Forest East</t>
  </si>
  <si>
    <t>E14001373</t>
  </si>
  <si>
    <t>New Forest West</t>
  </si>
  <si>
    <t>E14001374</t>
  </si>
  <si>
    <t>Newark</t>
  </si>
  <si>
    <t>E14001375</t>
  </si>
  <si>
    <t>Newbury</t>
  </si>
  <si>
    <t>E14001376</t>
  </si>
  <si>
    <t>Newcastle upon Tyne Central and West</t>
  </si>
  <si>
    <t>E14001377</t>
  </si>
  <si>
    <t>Newcastle upon Tyne East and Wallsend</t>
  </si>
  <si>
    <t>E14001378</t>
  </si>
  <si>
    <t>Newcastle upon Tyne North</t>
  </si>
  <si>
    <t>E14001379</t>
  </si>
  <si>
    <t>Newcastle-under-Lyme</t>
  </si>
  <si>
    <t>E14001380</t>
  </si>
  <si>
    <t>Newton Abbot</t>
  </si>
  <si>
    <t>E14001381</t>
  </si>
  <si>
    <t>Newton Aycliffe and Spennymoor</t>
  </si>
  <si>
    <t>E14001382</t>
  </si>
  <si>
    <t>Normanton and Hemsworth</t>
  </si>
  <si>
    <t>E14001383</t>
  </si>
  <si>
    <t>North Bedfordshire</t>
  </si>
  <si>
    <t>E14001384</t>
  </si>
  <si>
    <t>North Cornwall</t>
  </si>
  <si>
    <t>E14001385</t>
  </si>
  <si>
    <t>North Cotswolds</t>
  </si>
  <si>
    <t>E14001386</t>
  </si>
  <si>
    <t>North Devon</t>
  </si>
  <si>
    <t>E14001387</t>
  </si>
  <si>
    <t>North Dorset</t>
  </si>
  <si>
    <t>E14001388</t>
  </si>
  <si>
    <t>North Durham</t>
  </si>
  <si>
    <t>E14001389</t>
  </si>
  <si>
    <t>North East Cambridgeshire</t>
  </si>
  <si>
    <t>E14001390</t>
  </si>
  <si>
    <t>North East Derbyshire</t>
  </si>
  <si>
    <t>E14001391</t>
  </si>
  <si>
    <t>North East Hampshire</t>
  </si>
  <si>
    <t>E14001392</t>
  </si>
  <si>
    <t>North East Hertfordshire</t>
  </si>
  <si>
    <t>E14001393</t>
  </si>
  <si>
    <t>North East Somerset and Hanham</t>
  </si>
  <si>
    <t>E14001394</t>
  </si>
  <si>
    <t>North Herefordshire</t>
  </si>
  <si>
    <t>E14001395</t>
  </si>
  <si>
    <t>North Norfolk</t>
  </si>
  <si>
    <t>E14001396</t>
  </si>
  <si>
    <t>North Northumberland</t>
  </si>
  <si>
    <t>E14001397</t>
  </si>
  <si>
    <t>North Shropshire</t>
  </si>
  <si>
    <t>E14001398</t>
  </si>
  <si>
    <t>North Somerset</t>
  </si>
  <si>
    <t>E14001399</t>
  </si>
  <si>
    <t>North Warwickshire and Bedworth</t>
  </si>
  <si>
    <t>E14001400</t>
  </si>
  <si>
    <t>North West Cambridgeshire</t>
  </si>
  <si>
    <t>E14001401</t>
  </si>
  <si>
    <t>North West Essex</t>
  </si>
  <si>
    <t>E14001402</t>
  </si>
  <si>
    <t>North West Hampshire</t>
  </si>
  <si>
    <t>E14001403</t>
  </si>
  <si>
    <t>North West Leicestershire</t>
  </si>
  <si>
    <t>E14001404</t>
  </si>
  <si>
    <t>North West Norfolk</t>
  </si>
  <si>
    <t>E14001405</t>
  </si>
  <si>
    <t>Northampton North</t>
  </si>
  <si>
    <t>E14001406</t>
  </si>
  <si>
    <t>Northampton South</t>
  </si>
  <si>
    <t>E14001407</t>
  </si>
  <si>
    <t>Norwich North</t>
  </si>
  <si>
    <t>E14001408</t>
  </si>
  <si>
    <t>Norwich South</t>
  </si>
  <si>
    <t>E14001409</t>
  </si>
  <si>
    <t>Nottingham East</t>
  </si>
  <si>
    <t>E14001410</t>
  </si>
  <si>
    <t>Nottingham North and Kimberley</t>
  </si>
  <si>
    <t>E14001411</t>
  </si>
  <si>
    <t>Nottingham South</t>
  </si>
  <si>
    <t>E14001412</t>
  </si>
  <si>
    <t>Nuneaton</t>
  </si>
  <si>
    <t>E14001413</t>
  </si>
  <si>
    <t>Old Bexley and Sidcup</t>
  </si>
  <si>
    <t>E14001414</t>
  </si>
  <si>
    <t>Oldham East and Saddleworth</t>
  </si>
  <si>
    <t>E14001415</t>
  </si>
  <si>
    <t>Oldham West, Chadderton and Royton</t>
  </si>
  <si>
    <t>E14001416</t>
  </si>
  <si>
    <t>Orpington</t>
  </si>
  <si>
    <t>E14001417</t>
  </si>
  <si>
    <t>Ossett and Denby Dale</t>
  </si>
  <si>
    <t>E14001418</t>
  </si>
  <si>
    <t>Oxford East</t>
  </si>
  <si>
    <t>E14001419</t>
  </si>
  <si>
    <t>Oxford West and Abingdon</t>
  </si>
  <si>
    <t>E14001420</t>
  </si>
  <si>
    <t>Peckham</t>
  </si>
  <si>
    <t>E14001421</t>
  </si>
  <si>
    <t>Pendle and Clitheroe</t>
  </si>
  <si>
    <t>E14001422</t>
  </si>
  <si>
    <t>Penistone and Stocksbridge</t>
  </si>
  <si>
    <t>E14001423</t>
  </si>
  <si>
    <t>Penrith and Solway</t>
  </si>
  <si>
    <t>E14001424</t>
  </si>
  <si>
    <t>Peterborough</t>
  </si>
  <si>
    <t>E14001425</t>
  </si>
  <si>
    <t>Plymouth Moor View</t>
  </si>
  <si>
    <t>E14001426</t>
  </si>
  <si>
    <t>Plymouth Sutton and Devonport</t>
  </si>
  <si>
    <t>E14001427</t>
  </si>
  <si>
    <t>Pontefract, Castleford and Knottingley</t>
  </si>
  <si>
    <t>E14001428</t>
  </si>
  <si>
    <t>Poole</t>
  </si>
  <si>
    <t>E14001429</t>
  </si>
  <si>
    <t>Poplar and Limehouse</t>
  </si>
  <si>
    <t>E14001430</t>
  </si>
  <si>
    <t>Portsmouth North</t>
  </si>
  <si>
    <t>E14001431</t>
  </si>
  <si>
    <t>Portsmouth South</t>
  </si>
  <si>
    <t>E14001432</t>
  </si>
  <si>
    <t>Preston</t>
  </si>
  <si>
    <t>E14001433</t>
  </si>
  <si>
    <t>Putney</t>
  </si>
  <si>
    <t>E14001434</t>
  </si>
  <si>
    <t>Queen's Park and Maida Vale</t>
  </si>
  <si>
    <t>E14001435</t>
  </si>
  <si>
    <t>Rawmarsh and Conisbrough</t>
  </si>
  <si>
    <t>E14001436</t>
  </si>
  <si>
    <t>Rayleigh and Wickford</t>
  </si>
  <si>
    <t>E14001437</t>
  </si>
  <si>
    <t>Reading Central</t>
  </si>
  <si>
    <t>E14001438</t>
  </si>
  <si>
    <t>Reading West and Mid Berkshire</t>
  </si>
  <si>
    <t>E14001439</t>
  </si>
  <si>
    <t>Redcar</t>
  </si>
  <si>
    <t>E14001440</t>
  </si>
  <si>
    <t>Redditch</t>
  </si>
  <si>
    <t>E14001441</t>
  </si>
  <si>
    <t>Reigate</t>
  </si>
  <si>
    <t>E14001442</t>
  </si>
  <si>
    <t>Ribble Valley</t>
  </si>
  <si>
    <t>E14001443</t>
  </si>
  <si>
    <t>Richmond and Northallerton</t>
  </si>
  <si>
    <t>E14001444</t>
  </si>
  <si>
    <t>Richmond Park</t>
  </si>
  <si>
    <t>E14001445</t>
  </si>
  <si>
    <t>Rochdale</t>
  </si>
  <si>
    <t>E14001446</t>
  </si>
  <si>
    <t>Rochester and Strood</t>
  </si>
  <si>
    <t>E14001447</t>
  </si>
  <si>
    <t>Romford</t>
  </si>
  <si>
    <t>E14001448</t>
  </si>
  <si>
    <t>Romsey and Southampton North</t>
  </si>
  <si>
    <t>E14001449</t>
  </si>
  <si>
    <t>Rossendale and Darwen</t>
  </si>
  <si>
    <t>E14001450</t>
  </si>
  <si>
    <t>Rother Valley</t>
  </si>
  <si>
    <t>E14001451</t>
  </si>
  <si>
    <t>Rotherham</t>
  </si>
  <si>
    <t>E14001452</t>
  </si>
  <si>
    <t>Rugby</t>
  </si>
  <si>
    <t>E14001453</t>
  </si>
  <si>
    <t>Ruislip, Northwood and Pinner</t>
  </si>
  <si>
    <t>E14001454</t>
  </si>
  <si>
    <t>Runcorn and Helsby</t>
  </si>
  <si>
    <t>E14001455</t>
  </si>
  <si>
    <t>Runnymede and Weybridge</t>
  </si>
  <si>
    <t>E14001456</t>
  </si>
  <si>
    <t>Rushcliffe</t>
  </si>
  <si>
    <t>E14001457</t>
  </si>
  <si>
    <t>Rutland and Stamford</t>
  </si>
  <si>
    <t>E14001458</t>
  </si>
  <si>
    <t>Salford</t>
  </si>
  <si>
    <t>E14001459</t>
  </si>
  <si>
    <t>Salisbury</t>
  </si>
  <si>
    <t>E14001460</t>
  </si>
  <si>
    <t>Scarborough and Whitby</t>
  </si>
  <si>
    <t>E14001461</t>
  </si>
  <si>
    <t>Scunthorpe</t>
  </si>
  <si>
    <t>E14001462</t>
  </si>
  <si>
    <t>Sefton Central</t>
  </si>
  <si>
    <t>E14001463</t>
  </si>
  <si>
    <t>Selby</t>
  </si>
  <si>
    <t>E14001464</t>
  </si>
  <si>
    <t>Sevenoaks</t>
  </si>
  <si>
    <t>E14001465</t>
  </si>
  <si>
    <t>Sheffield Brightside and Hillsborough</t>
  </si>
  <si>
    <t>E14001466</t>
  </si>
  <si>
    <t>Sheffield Central</t>
  </si>
  <si>
    <t>E14001467</t>
  </si>
  <si>
    <t>Sheffield Hallam</t>
  </si>
  <si>
    <t>E14001468</t>
  </si>
  <si>
    <t>Sheffield Heeley</t>
  </si>
  <si>
    <t>E14001469</t>
  </si>
  <si>
    <t>Sheffield South East</t>
  </si>
  <si>
    <t>E14001470</t>
  </si>
  <si>
    <t>Sherwood Forest</t>
  </si>
  <si>
    <t>E14001471</t>
  </si>
  <si>
    <t>Shipley</t>
  </si>
  <si>
    <t>E14001472</t>
  </si>
  <si>
    <t>Shrewsbury</t>
  </si>
  <si>
    <t>E14001473</t>
  </si>
  <si>
    <t>Sittingbourne and Sheppey</t>
  </si>
  <si>
    <t>E14001474</t>
  </si>
  <si>
    <t>Skipton and Ripon</t>
  </si>
  <si>
    <t>E14001475</t>
  </si>
  <si>
    <t>Sleaford and North Hykeham</t>
  </si>
  <si>
    <t>E14001476</t>
  </si>
  <si>
    <t>Slough</t>
  </si>
  <si>
    <t>E14001477</t>
  </si>
  <si>
    <t>Smethwick</t>
  </si>
  <si>
    <t>E14001478</t>
  </si>
  <si>
    <t>Solihull West and Shirley</t>
  </si>
  <si>
    <t>E14001479</t>
  </si>
  <si>
    <t>South Basildon and East Thurrock</t>
  </si>
  <si>
    <t>E14001480</t>
  </si>
  <si>
    <t>South Cambridgeshire</t>
  </si>
  <si>
    <t>E14001481</t>
  </si>
  <si>
    <t>South Cotswolds</t>
  </si>
  <si>
    <t>E14001482</t>
  </si>
  <si>
    <t>South Derbyshire</t>
  </si>
  <si>
    <t>E14001483</t>
  </si>
  <si>
    <t>South Devon</t>
  </si>
  <si>
    <t>E14001484</t>
  </si>
  <si>
    <t>South Dorset</t>
  </si>
  <si>
    <t>E14001485</t>
  </si>
  <si>
    <t>South East Cornwall</t>
  </si>
  <si>
    <t>E14001486</t>
  </si>
  <si>
    <t>South Holland and The Deepings</t>
  </si>
  <si>
    <t>E14001487</t>
  </si>
  <si>
    <t>South Leicestershire</t>
  </si>
  <si>
    <t>E14001488</t>
  </si>
  <si>
    <t>South Norfolk</t>
  </si>
  <si>
    <t>E14001489</t>
  </si>
  <si>
    <t>South Northamptonshire</t>
  </si>
  <si>
    <t>E14001490</t>
  </si>
  <si>
    <t>South Ribble</t>
  </si>
  <si>
    <t>E14001491</t>
  </si>
  <si>
    <t>South Shields</t>
  </si>
  <si>
    <t>E14001492</t>
  </si>
  <si>
    <t>South Shropshire</t>
  </si>
  <si>
    <t>E14001493</t>
  </si>
  <si>
    <t>South Suffolk</t>
  </si>
  <si>
    <t>E14001494</t>
  </si>
  <si>
    <t>South West Devon</t>
  </si>
  <si>
    <t>E14001495</t>
  </si>
  <si>
    <t>South West Hertfordshire</t>
  </si>
  <si>
    <t>E14001496</t>
  </si>
  <si>
    <t>South West Norfolk</t>
  </si>
  <si>
    <t>E14001497</t>
  </si>
  <si>
    <t>South West Wiltshire</t>
  </si>
  <si>
    <t>E14001498</t>
  </si>
  <si>
    <t>Southampton Itchen</t>
  </si>
  <si>
    <t>E14001499</t>
  </si>
  <si>
    <t>Southampton Test</t>
  </si>
  <si>
    <t>E14001500</t>
  </si>
  <si>
    <t>Southend East and Rochford</t>
  </si>
  <si>
    <t>E14001501</t>
  </si>
  <si>
    <t>Southend West and Leigh</t>
  </si>
  <si>
    <t>E14001502</t>
  </si>
  <si>
    <t>Southgate and Wood Green</t>
  </si>
  <si>
    <t>E14001503</t>
  </si>
  <si>
    <t>Southport</t>
  </si>
  <si>
    <t>E14001504</t>
  </si>
  <si>
    <t>Spelthorne</t>
  </si>
  <si>
    <t>E14001505</t>
  </si>
  <si>
    <t>Spen Valley</t>
  </si>
  <si>
    <t>E14001506</t>
  </si>
  <si>
    <t>St Albans</t>
  </si>
  <si>
    <t>E14001507</t>
  </si>
  <si>
    <t>St Austell and Newquay</t>
  </si>
  <si>
    <t>E14001508</t>
  </si>
  <si>
    <t>St Helens North</t>
  </si>
  <si>
    <t>E14001509</t>
  </si>
  <si>
    <t>St Helens South and Whiston</t>
  </si>
  <si>
    <t>E14001510</t>
  </si>
  <si>
    <t>St Ives</t>
  </si>
  <si>
    <t>E14001511</t>
  </si>
  <si>
    <t>St Neots and Mid Cambridgeshire</t>
  </si>
  <si>
    <t>E14001512</t>
  </si>
  <si>
    <t>Stafford</t>
  </si>
  <si>
    <t>E14001513</t>
  </si>
  <si>
    <t>Staffordshire Moorlands</t>
  </si>
  <si>
    <t>E14001514</t>
  </si>
  <si>
    <t>Stalybridge and Hyde</t>
  </si>
  <si>
    <t>E14001515</t>
  </si>
  <si>
    <t>Stevenage</t>
  </si>
  <si>
    <t>E14001516</t>
  </si>
  <si>
    <t>Stockport</t>
  </si>
  <si>
    <t>E14001517</t>
  </si>
  <si>
    <t>Stockton North</t>
  </si>
  <si>
    <t>E14001518</t>
  </si>
  <si>
    <t>Stockton West</t>
  </si>
  <si>
    <t>E14001519</t>
  </si>
  <si>
    <t>Stoke-on-Trent Central</t>
  </si>
  <si>
    <t>E14001520</t>
  </si>
  <si>
    <t>Stoke-on-Trent North</t>
  </si>
  <si>
    <t>E14001521</t>
  </si>
  <si>
    <t>Stoke-on-Trent South</t>
  </si>
  <si>
    <t>E14001522</t>
  </si>
  <si>
    <t>Stone, Great Wyrley and Penkridge</t>
  </si>
  <si>
    <t>E14001523</t>
  </si>
  <si>
    <t>Stourbridge</t>
  </si>
  <si>
    <t>E14001524</t>
  </si>
  <si>
    <t>Stratford and Bow</t>
  </si>
  <si>
    <t>E14001525</t>
  </si>
  <si>
    <t>Stratford-on-Avon</t>
  </si>
  <si>
    <t>E14001526</t>
  </si>
  <si>
    <t>Streatham and Croydon North</t>
  </si>
  <si>
    <t>E14001527</t>
  </si>
  <si>
    <t>Stretford and Urmston</t>
  </si>
  <si>
    <t>E14001528</t>
  </si>
  <si>
    <t>Stroud</t>
  </si>
  <si>
    <t>E14001529</t>
  </si>
  <si>
    <t>Suffolk Coastal</t>
  </si>
  <si>
    <t>E14001530</t>
  </si>
  <si>
    <t>Sunderland Central</t>
  </si>
  <si>
    <t>E14001531</t>
  </si>
  <si>
    <t>Surrey Heath</t>
  </si>
  <si>
    <t>E14001532</t>
  </si>
  <si>
    <t>Sussex Weald</t>
  </si>
  <si>
    <t>E14001533</t>
  </si>
  <si>
    <t>Sutton and Cheam</t>
  </si>
  <si>
    <t>E14001534</t>
  </si>
  <si>
    <t>Sutton Coldfield</t>
  </si>
  <si>
    <t>E14001535</t>
  </si>
  <si>
    <t>Swindon North</t>
  </si>
  <si>
    <t>E14001536</t>
  </si>
  <si>
    <t>Swindon South</t>
  </si>
  <si>
    <t>E14001537</t>
  </si>
  <si>
    <t>Tamworth</t>
  </si>
  <si>
    <t>E14001538</t>
  </si>
  <si>
    <t>Tatton</t>
  </si>
  <si>
    <t>E14001539</t>
  </si>
  <si>
    <t>Taunton and Wellington</t>
  </si>
  <si>
    <t>E14001540</t>
  </si>
  <si>
    <t>Telford</t>
  </si>
  <si>
    <t>E14001541</t>
  </si>
  <si>
    <t>Tewkesbury</t>
  </si>
  <si>
    <t>E14001542</t>
  </si>
  <si>
    <t>The Wrekin</t>
  </si>
  <si>
    <t>E14001543</t>
  </si>
  <si>
    <t>Thirsk and Malton</t>
  </si>
  <si>
    <t>E14001544</t>
  </si>
  <si>
    <t>Thornbury and Yate</t>
  </si>
  <si>
    <t>E14001545</t>
  </si>
  <si>
    <t>Thurrock</t>
  </si>
  <si>
    <t>E14001546</t>
  </si>
  <si>
    <t>Tipton and Wednesbury</t>
  </si>
  <si>
    <t>E14001547</t>
  </si>
  <si>
    <t>Tiverton and Minehead</t>
  </si>
  <si>
    <t>E14001548</t>
  </si>
  <si>
    <t>Tonbridge</t>
  </si>
  <si>
    <t>E14001549</t>
  </si>
  <si>
    <t>Tooting</t>
  </si>
  <si>
    <t>E14001550</t>
  </si>
  <si>
    <t>Torbay</t>
  </si>
  <si>
    <t>E14001551</t>
  </si>
  <si>
    <t>Torridge and Tavistock</t>
  </si>
  <si>
    <t>E14001552</t>
  </si>
  <si>
    <t>Tottenham</t>
  </si>
  <si>
    <t>E14001553</t>
  </si>
  <si>
    <t>Truro and Falmouth</t>
  </si>
  <si>
    <t>E14001554</t>
  </si>
  <si>
    <t>Tunbridge Wells</t>
  </si>
  <si>
    <t>E14001555</t>
  </si>
  <si>
    <t>Twickenham</t>
  </si>
  <si>
    <t>E14001556</t>
  </si>
  <si>
    <t>Tynemouth</t>
  </si>
  <si>
    <t>E14001557</t>
  </si>
  <si>
    <t>Uxbridge and South Ruislip</t>
  </si>
  <si>
    <t>E14001558</t>
  </si>
  <si>
    <t>Vauxhall and Camberwell Green</t>
  </si>
  <si>
    <t>E14001559</t>
  </si>
  <si>
    <t>Wakefield and Rothwell</t>
  </si>
  <si>
    <t>E14001560</t>
  </si>
  <si>
    <t>Wallasey</t>
  </si>
  <si>
    <t>E14001561</t>
  </si>
  <si>
    <t>Walsall and Bloxwich</t>
  </si>
  <si>
    <t>E14001562</t>
  </si>
  <si>
    <t>Walthamstow</t>
  </si>
  <si>
    <t>E14001563</t>
  </si>
  <si>
    <t>Warrington North</t>
  </si>
  <si>
    <t>E14001564</t>
  </si>
  <si>
    <t>Warrington South</t>
  </si>
  <si>
    <t>E14001565</t>
  </si>
  <si>
    <t>Warwick and Leamington</t>
  </si>
  <si>
    <t>E14001566</t>
  </si>
  <si>
    <t>Washington and Gateshead South</t>
  </si>
  <si>
    <t>E14001567</t>
  </si>
  <si>
    <t>Watford</t>
  </si>
  <si>
    <t>E14001568</t>
  </si>
  <si>
    <t>Waveney Valley</t>
  </si>
  <si>
    <t>E14001569</t>
  </si>
  <si>
    <t>Weald of Kent</t>
  </si>
  <si>
    <t>E14001570</t>
  </si>
  <si>
    <t>Wellingborough and Rushden</t>
  </si>
  <si>
    <t>E14001571</t>
  </si>
  <si>
    <t>Wells and Mendip Hills</t>
  </si>
  <si>
    <t>E14001572</t>
  </si>
  <si>
    <t>Welwyn Hatfield</t>
  </si>
  <si>
    <t>E14001573</t>
  </si>
  <si>
    <t>West Bromwich</t>
  </si>
  <si>
    <t>E14001574</t>
  </si>
  <si>
    <t>West Dorset</t>
  </si>
  <si>
    <t>E14001575</t>
  </si>
  <si>
    <t>West Ham and Beckton</t>
  </si>
  <si>
    <t>E14001576</t>
  </si>
  <si>
    <t>West Lancashire</t>
  </si>
  <si>
    <t>E14001577</t>
  </si>
  <si>
    <t>West Suffolk</t>
  </si>
  <si>
    <t>E14001578</t>
  </si>
  <si>
    <t>West Worcestershire</t>
  </si>
  <si>
    <t>E14001579</t>
  </si>
  <si>
    <t>Westmorland and Lonsdale</t>
  </si>
  <si>
    <t>E14001580</t>
  </si>
  <si>
    <t>Weston-super-Mare</t>
  </si>
  <si>
    <t>E14001581</t>
  </si>
  <si>
    <t>Wetherby and Easingwold</t>
  </si>
  <si>
    <t>E14001582</t>
  </si>
  <si>
    <t>Whitehaven and Workington</t>
  </si>
  <si>
    <t>E14001583</t>
  </si>
  <si>
    <t>Widnes and Halewood</t>
  </si>
  <si>
    <t>E14001584</t>
  </si>
  <si>
    <t>Wigan</t>
  </si>
  <si>
    <t>E14001585</t>
  </si>
  <si>
    <t>Wimbledon</t>
  </si>
  <si>
    <t>E14001586</t>
  </si>
  <si>
    <t>Winchester</t>
  </si>
  <si>
    <t>E14001587</t>
  </si>
  <si>
    <t>Windsor</t>
  </si>
  <si>
    <t>E14001588</t>
  </si>
  <si>
    <t>Wirral West</t>
  </si>
  <si>
    <t>E14001589</t>
  </si>
  <si>
    <t>Witham</t>
  </si>
  <si>
    <t>E14001590</t>
  </si>
  <si>
    <t>Witney</t>
  </si>
  <si>
    <t>E14001591</t>
  </si>
  <si>
    <t>Woking</t>
  </si>
  <si>
    <t>E14001592</t>
  </si>
  <si>
    <t>Wokingham</t>
  </si>
  <si>
    <t>E14001593</t>
  </si>
  <si>
    <t>Wolverhampton North East</t>
  </si>
  <si>
    <t>E14001594</t>
  </si>
  <si>
    <t>Wolverhampton South East</t>
  </si>
  <si>
    <t>E14001595</t>
  </si>
  <si>
    <t>Wolverhampton West</t>
  </si>
  <si>
    <t>E14001596</t>
  </si>
  <si>
    <t>Worcester</t>
  </si>
  <si>
    <t>E14001597</t>
  </si>
  <si>
    <t>Worsley and Eccles</t>
  </si>
  <si>
    <t>E14001598</t>
  </si>
  <si>
    <t>Worthing West</t>
  </si>
  <si>
    <t>E14001599</t>
  </si>
  <si>
    <t>Wycombe</t>
  </si>
  <si>
    <t>E14001600</t>
  </si>
  <si>
    <t>Wyre Forest</t>
  </si>
  <si>
    <t>E14001601</t>
  </si>
  <si>
    <t>Wythenshawe and Sale East</t>
  </si>
  <si>
    <t>E14001602</t>
  </si>
  <si>
    <t>Yeovil</t>
  </si>
  <si>
    <t>E14001603</t>
  </si>
  <si>
    <t>York Central</t>
  </si>
  <si>
    <t>E14001604</t>
  </si>
  <si>
    <t>York Outer</t>
  </si>
  <si>
    <t>E14001605</t>
  </si>
  <si>
    <t>Belfast East</t>
  </si>
  <si>
    <t>N05000001</t>
  </si>
  <si>
    <t>Northern Ireland</t>
  </si>
  <si>
    <t>Belfast North</t>
  </si>
  <si>
    <t>N05000002</t>
  </si>
  <si>
    <t>Belfast South and Mid Down</t>
  </si>
  <si>
    <t>N05000003</t>
  </si>
  <si>
    <t>Belfast West</t>
  </si>
  <si>
    <t>N05000004</t>
  </si>
  <si>
    <t>East Antrim</t>
  </si>
  <si>
    <t>N05000005</t>
  </si>
  <si>
    <t>East Londonderry</t>
  </si>
  <si>
    <t>N05000006</t>
  </si>
  <si>
    <t>Fermanagh and South Tyrone</t>
  </si>
  <si>
    <t>N05000007</t>
  </si>
  <si>
    <t>Foyle</t>
  </si>
  <si>
    <t>N05000008</t>
  </si>
  <si>
    <t>Lagan Valley</t>
  </si>
  <si>
    <t>N05000009</t>
  </si>
  <si>
    <t>Mid Ulster</t>
  </si>
  <si>
    <t>N05000010</t>
  </si>
  <si>
    <t>Newry and Armagh</t>
  </si>
  <si>
    <t>N05000011</t>
  </si>
  <si>
    <t>North Antrim</t>
  </si>
  <si>
    <t>N05000012</t>
  </si>
  <si>
    <t>North Down</t>
  </si>
  <si>
    <t>N05000013</t>
  </si>
  <si>
    <t>South Antrim</t>
  </si>
  <si>
    <t>N05000014</t>
  </si>
  <si>
    <t>South Down</t>
  </si>
  <si>
    <t>N05000015</t>
  </si>
  <si>
    <t>Strangford</t>
  </si>
  <si>
    <t>N05000016</t>
  </si>
  <si>
    <t>Upper Bann</t>
  </si>
  <si>
    <t>N05000017</t>
  </si>
  <si>
    <t>West Tyrone</t>
  </si>
  <si>
    <t>N05000018</t>
  </si>
  <si>
    <t>Ayr, Carrick and Cumnock</t>
  </si>
  <si>
    <t>S14000006</t>
  </si>
  <si>
    <t>Scotland</t>
  </si>
  <si>
    <t>Berwickshire, Roxburgh and Selkirk</t>
  </si>
  <si>
    <t>S14000008</t>
  </si>
  <si>
    <t>Central Ayrshire</t>
  </si>
  <si>
    <t>S14000010</t>
  </si>
  <si>
    <t>East Renfrewshire</t>
  </si>
  <si>
    <t>S14000021</t>
  </si>
  <si>
    <t>Na h-Eileanan an Iar</t>
  </si>
  <si>
    <t>S14000027</t>
  </si>
  <si>
    <t>Kilmarnock and Loudoun</t>
  </si>
  <si>
    <t>S14000040</t>
  </si>
  <si>
    <t>Midlothian</t>
  </si>
  <si>
    <t>S14000045</t>
  </si>
  <si>
    <t>North Ayrshire and Arran</t>
  </si>
  <si>
    <t>S14000048</t>
  </si>
  <si>
    <t>Orkney and Shetland</t>
  </si>
  <si>
    <t>S14000051</t>
  </si>
  <si>
    <t>West Aberdeenshire and Kincardine</t>
  </si>
  <si>
    <t>S14000058</t>
  </si>
  <si>
    <t>Aberdeen North</t>
  </si>
  <si>
    <t>S14000060</t>
  </si>
  <si>
    <t>Aberdeen South</t>
  </si>
  <si>
    <t>S14000061</t>
  </si>
  <si>
    <t>Aberdeenshire North and Moray East</t>
  </si>
  <si>
    <t>S14000062</t>
  </si>
  <si>
    <t>Airdrie and Shotts</t>
  </si>
  <si>
    <t>S14000063</t>
  </si>
  <si>
    <t>Alloa and Grangemouth</t>
  </si>
  <si>
    <t>S14000064</t>
  </si>
  <si>
    <t>Angus and Perthshire Glens</t>
  </si>
  <si>
    <t>S14000065</t>
  </si>
  <si>
    <t>Arbroath and Broughty Ferry</t>
  </si>
  <si>
    <t>S14000066</t>
  </si>
  <si>
    <t>Argyll, Bute and South Lochaber</t>
  </si>
  <si>
    <t>S14000067</t>
  </si>
  <si>
    <t>Bathgate and Linlithgow</t>
  </si>
  <si>
    <t>S14000068</t>
  </si>
  <si>
    <t>Caithness, Sutherland and Easter Ross</t>
  </si>
  <si>
    <t>S14000069</t>
  </si>
  <si>
    <t>Coatbridge and Bellshill</t>
  </si>
  <si>
    <t>S14000070</t>
  </si>
  <si>
    <t>Cowdenbeath and Kirkcaldy</t>
  </si>
  <si>
    <t>S14000071</t>
  </si>
  <si>
    <t>Cumbernauld and Kirkintilloch</t>
  </si>
  <si>
    <t>S14000072</t>
  </si>
  <si>
    <t>Dumfries and Galloway</t>
  </si>
  <si>
    <t>S14000073</t>
  </si>
  <si>
    <t>Dumfriesshire, Clydesdale and Tweeddale</t>
  </si>
  <si>
    <t>S14000074</t>
  </si>
  <si>
    <t>Dundee Central</t>
  </si>
  <si>
    <t>S14000075</t>
  </si>
  <si>
    <t>Dunfermline and Dollar</t>
  </si>
  <si>
    <t>S14000076</t>
  </si>
  <si>
    <t>East Kilbride and Strathaven</t>
  </si>
  <si>
    <t>S14000077</t>
  </si>
  <si>
    <t>Edinburgh East and Musselburgh</t>
  </si>
  <si>
    <t>S14000078</t>
  </si>
  <si>
    <t>Edinburgh North and Leith</t>
  </si>
  <si>
    <t>S14000079</t>
  </si>
  <si>
    <t>Edinburgh South</t>
  </si>
  <si>
    <t>S14000080</t>
  </si>
  <si>
    <t>Edinburgh South West</t>
  </si>
  <si>
    <t>S14000081</t>
  </si>
  <si>
    <t>Edinburgh West</t>
  </si>
  <si>
    <t>S14000082</t>
  </si>
  <si>
    <t>Falkirk</t>
  </si>
  <si>
    <t>S14000083</t>
  </si>
  <si>
    <t>Glasgow East</t>
  </si>
  <si>
    <t>S14000084</t>
  </si>
  <si>
    <t>Glasgow North</t>
  </si>
  <si>
    <t>S14000085</t>
  </si>
  <si>
    <t>Glasgow North East</t>
  </si>
  <si>
    <t>S14000086</t>
  </si>
  <si>
    <t>Glasgow South</t>
  </si>
  <si>
    <t>S14000087</t>
  </si>
  <si>
    <t>Glasgow South West</t>
  </si>
  <si>
    <t>S14000088</t>
  </si>
  <si>
    <t>Glasgow West</t>
  </si>
  <si>
    <t>S14000089</t>
  </si>
  <si>
    <t>Glenrothes and Mid Fife</t>
  </si>
  <si>
    <t>S14000090</t>
  </si>
  <si>
    <t>Gordon and Buchan</t>
  </si>
  <si>
    <t>S14000091</t>
  </si>
  <si>
    <t>Hamilton and Clyde Valley</t>
  </si>
  <si>
    <t>S14000092</t>
  </si>
  <si>
    <t>Inverclyde and Renfrewshire West</t>
  </si>
  <si>
    <t>S14000093</t>
  </si>
  <si>
    <t>Inverness, Skye and West Ross-shire</t>
  </si>
  <si>
    <t>S14000094</t>
  </si>
  <si>
    <t>Livingston</t>
  </si>
  <si>
    <t>S14000095</t>
  </si>
  <si>
    <t>Lothian East</t>
  </si>
  <si>
    <t>S14000096</t>
  </si>
  <si>
    <t>Mid Dunbartonshire</t>
  </si>
  <si>
    <t>S14000097</t>
  </si>
  <si>
    <t>Moray West, Nairn and Strathspey</t>
  </si>
  <si>
    <t>S14000098</t>
  </si>
  <si>
    <t>Motherwell, Wishaw and Carluke</t>
  </si>
  <si>
    <t>S14000099</t>
  </si>
  <si>
    <t>North East Fife</t>
  </si>
  <si>
    <t>S14000100</t>
  </si>
  <si>
    <t>Paisley and Renfrewshire North</t>
  </si>
  <si>
    <t>S14000101</t>
  </si>
  <si>
    <t>Paisley and Renfrewshire South</t>
  </si>
  <si>
    <t>S14000102</t>
  </si>
  <si>
    <t>Perth and Kinross-shire</t>
  </si>
  <si>
    <t>S14000103</t>
  </si>
  <si>
    <t>Rutherglen</t>
  </si>
  <si>
    <t>S14000104</t>
  </si>
  <si>
    <t>Stirling and Strathallan</t>
  </si>
  <si>
    <t>S14000105</t>
  </si>
  <si>
    <t>West Dunbartonshire</t>
  </si>
  <si>
    <t>S14000106</t>
  </si>
  <si>
    <t>Aberafan Maesteg</t>
  </si>
  <si>
    <t>W07000081</t>
  </si>
  <si>
    <t>Wales</t>
  </si>
  <si>
    <t>Alyn and Deeside</t>
  </si>
  <si>
    <t>W07000082</t>
  </si>
  <si>
    <t>Bangor Aberconwy</t>
  </si>
  <si>
    <t>W07000083</t>
  </si>
  <si>
    <t>Blaenau Gwent and Rhymney</t>
  </si>
  <si>
    <t>W07000084</t>
  </si>
  <si>
    <t>Brecon, Radnor and Cwm Tawe</t>
  </si>
  <si>
    <t>W07000085</t>
  </si>
  <si>
    <t>Bridgend</t>
  </si>
  <si>
    <t>W07000086</t>
  </si>
  <si>
    <t>Caerfyrddin</t>
  </si>
  <si>
    <t>W07000087</t>
  </si>
  <si>
    <t>Caerphilly</t>
  </si>
  <si>
    <t>W07000088</t>
  </si>
  <si>
    <t>Cardiff East</t>
  </si>
  <si>
    <t>W07000089</t>
  </si>
  <si>
    <t>Cardiff North</t>
  </si>
  <si>
    <t>W07000090</t>
  </si>
  <si>
    <t>Cardiff South and Penarth</t>
  </si>
  <si>
    <t>W07000091</t>
  </si>
  <si>
    <t>Cardiff West</t>
  </si>
  <si>
    <t>W07000092</t>
  </si>
  <si>
    <t>Ceredigion Preseli</t>
  </si>
  <si>
    <t>W07000093</t>
  </si>
  <si>
    <t>Clwyd East</t>
  </si>
  <si>
    <t>W07000094</t>
  </si>
  <si>
    <t>Clwyd North</t>
  </si>
  <si>
    <t>W07000095</t>
  </si>
  <si>
    <t>Dwyfor Meirionnydd</t>
  </si>
  <si>
    <t>W07000096</t>
  </si>
  <si>
    <t>Gower</t>
  </si>
  <si>
    <t>W07000097</t>
  </si>
  <si>
    <t>Llanelli</t>
  </si>
  <si>
    <t>W07000098</t>
  </si>
  <si>
    <t>Merthyr Tydfil and Aberdare</t>
  </si>
  <si>
    <t>W07000099</t>
  </si>
  <si>
    <t>Mid and South Pembrokeshire</t>
  </si>
  <si>
    <t>W07000100</t>
  </si>
  <si>
    <t>Monmouthshire</t>
  </si>
  <si>
    <t>W07000101</t>
  </si>
  <si>
    <t>Montgomeryshire and Glyndwr</t>
  </si>
  <si>
    <t>W07000102</t>
  </si>
  <si>
    <t>Neath and Swansea East</t>
  </si>
  <si>
    <t>W07000103</t>
  </si>
  <si>
    <t>Newport East</t>
  </si>
  <si>
    <t>W07000104</t>
  </si>
  <si>
    <t>Newport West and Islwyn</t>
  </si>
  <si>
    <t>W07000105</t>
  </si>
  <si>
    <t>Pontypridd</t>
  </si>
  <si>
    <t>W07000106</t>
  </si>
  <si>
    <t>Rhondda and Ogmore</t>
  </si>
  <si>
    <t>W07000107</t>
  </si>
  <si>
    <t>Swansea West</t>
  </si>
  <si>
    <t>W07000108</t>
  </si>
  <si>
    <t>Torfaen</t>
  </si>
  <si>
    <t>W07000109</t>
  </si>
  <si>
    <t>Vale of Glamorgan</t>
  </si>
  <si>
    <t>W07000110</t>
  </si>
  <si>
    <t>Wrexham</t>
  </si>
  <si>
    <t>W07000111</t>
  </si>
  <si>
    <t>Ynys Mon</t>
  </si>
  <si>
    <t>W07000112</t>
  </si>
  <si>
    <t>Constituency</t>
  </si>
  <si>
    <t>Seats</t>
  </si>
  <si>
    <t>Complete %</t>
  </si>
  <si>
    <t>Link</t>
  </si>
  <si>
    <t>ElectionMapsUK</t>
  </si>
  <si>
    <t>Candidates</t>
  </si>
  <si>
    <t>Party Name(s) of Others or Localists</t>
  </si>
  <si>
    <t>Labour</t>
  </si>
  <si>
    <t>LibDem</t>
  </si>
  <si>
    <t>GRN (All)</t>
  </si>
  <si>
    <t>Reform</t>
  </si>
  <si>
    <r>
      <rPr>
        <b/>
        <sz val="7"/>
        <color rgb="FFFFFFFF"/>
        <rFont val="Fira Sans"/>
      </rPr>
      <t>Ind/</t>
    </r>
    <r>
      <rPr>
        <b/>
        <sz val="7"/>
        <color rgb="FFFFFFFF"/>
        <rFont val="Fira Sans"/>
      </rPr>
      <t>NoDsc</t>
    </r>
  </si>
  <si>
    <t>Workers</t>
  </si>
  <si>
    <t>Heritage</t>
  </si>
  <si>
    <t>TUSC</t>
  </si>
  <si>
    <t>PC</t>
  </si>
  <si>
    <t>Yorks</t>
  </si>
  <si>
    <t>Rejoin</t>
  </si>
  <si>
    <t>UKIP</t>
  </si>
  <si>
    <t>CPA</t>
  </si>
  <si>
    <t>MRLP</t>
  </si>
  <si>
    <t>ALBA</t>
  </si>
  <si>
    <t>All</t>
  </si>
  <si>
    <t>SFP</t>
  </si>
  <si>
    <t>PoW</t>
  </si>
  <si>
    <t>EngDem</t>
  </si>
  <si>
    <t>CPB</t>
  </si>
  <si>
    <t>Climate</t>
  </si>
  <si>
    <t>SocLab</t>
  </si>
  <si>
    <t>Liberal</t>
  </si>
  <si>
    <t>&lt; Seats Stood In</t>
  </si>
  <si>
    <t>&lt; No. Candidates</t>
  </si>
  <si>
    <t>https://www.northyorks.gov.uk/sites/default/files/2024-06/SPN%20Richmond%20and%20Northallerton%2007.06.2024.pdf</t>
  </si>
  <si>
    <t>Count Binface</t>
  </si>
  <si>
    <t>https://www.oxford.gov.uk/downloads/file/3404/statement-of-person-s-nominated</t>
  </si>
  <si>
    <t>Independent Oxford Alliance, Workers Revolutionary Party</t>
  </si>
  <si>
    <t>https://www.ealing.gov.uk/download/downloads/id/19828/statement_of_persons_nominated_and_notice_of_poll_-_ealing_southall_constituency_4_july_2024.pdf</t>
  </si>
  <si>
    <t>https://www.camden.gov.uk/documents/d/guest/notice-of-poll-and-sits-of-ps-holborn-and-st-pancras-1</t>
  </si>
  <si>
    <t>Socialist Equality Party</t>
  </si>
  <si>
    <t>https://www.towerhamlets.gov.uk/Documents/Democracy/Elections/2024/SOPN-Bethnal-Green-Stepney.docx</t>
  </si>
  <si>
    <t>Animal Welfare Party</t>
  </si>
  <si>
    <t>https://www.westminster.gov.uk/about-council/democracy/elections-referendums-and-how-vote/general-election-4-july-2024</t>
  </si>
  <si>
    <t>https://www.dover.gov.uk/Council--Democracy/Elections/4-July-2024-UKPGE-Statement-of-Persons-Nominated-Notice-of-Poll-and-Situation-of-Polling-Stations.pdf</t>
  </si>
  <si>
    <t>https://www.leeds.gov.uk/docs/Leeds%20North%20East.pdf</t>
  </si>
  <si>
    <t>Alliance for Green Socialism</t>
  </si>
  <si>
    <t>https://www.slough.gov.uk/downloads/file/4285/statement-of-persons-nominated-notice-of-poll-and-situation-of-polling-stations</t>
  </si>
  <si>
    <t>https://www.leicester.gov.uk/media/twmb2lev/statement-of-persons-nominated-notice-of-poll-leicester-east.pdf</t>
  </si>
  <si>
    <t>One Leicester</t>
  </si>
  <si>
    <t>https://rdcpublic.blob.core.windows.net/website-uploads/2024/06/Statement-of-Persons-Nominated-Notice-of-Poll-and-Situation-of-Polling-Stations-UKPGE-2024.pdf</t>
  </si>
  <si>
    <t>https://www.bradford.gov.uk/your-council/elections-and-voting/statement-of-persons-nominated-and-notice-of-poll/</t>
  </si>
  <si>
    <t>https://www.hounslow.gov.uk/info/20043/elections_and_voting/2459/uk_parliamentary_general_election_2024_-_statement_of_persons_nominated_notice_of_poll_and_situation_of_polling_stations/2</t>
  </si>
  <si>
    <t>https://www.rbkc.gov.uk/council-councillors-and-democracy/local-democracy-and-elections/notice-election-parliamentary-election-kensington-and-bayswater-constituency</t>
  </si>
  <si>
    <t>https://www.manchester.gov.uk/directory_record/466431/manchester_central</t>
  </si>
  <si>
    <t>Communist Future</t>
  </si>
  <si>
    <t>https://www.southwark.gov.uk/assets/attach/270709/Notice-of-Poll-and-Statement-of-Persons-Nominated-for-Peckham-4-July-2024.pdf</t>
  </si>
  <si>
    <t>Workers Revolutionary, The Yoruba Party</t>
  </si>
  <si>
    <t>https://www.preston.gov.uk/media/18011/Statement-of-Persons-Nominated-Parliamentary/pdf/Parliamentary_-_Statement_of_Pers_Nom_Notice_of_Poll_Sit_of_Poll_Stat_3.pdf?m=1717778214250</t>
  </si>
  <si>
    <t>Alliance for Democracy and Freedom</t>
  </si>
  <si>
    <t>https://www.bradford.gov.uk/media/yewch0ci/statement-of-persons-nominated-and-notice-of-poll-general-election-2024.pdf</t>
  </si>
  <si>
    <t>https://www.southend.gov.uk/elections-registering-vote/elections-2024/5</t>
  </si>
  <si>
    <t>Confelicity, Psychedelic Movement</t>
  </si>
  <si>
    <t>https://www.newham.gov.uk/downloads/file/7477/stratford-and-bow-constituency-statement-of-persons-nominated-notice-of-poll-and-situation-of-polling-stations</t>
  </si>
  <si>
    <t>https://new.haringey.gov.uk/council-elections/elections-voting/general-election-2024/statement-persons-nominated-notice-poll-tottenham-constituency</t>
  </si>
  <si>
    <t>Communist League</t>
  </si>
  <si>
    <t>https://www.walthamforest.gov.uk/sites/default/files/2024-06/Statement%20of%20Persons%20Nominated%20and%20Notice%20Of%20Poll%20%20UK%20Parliamentary%20General%20Election%202024%20for%20Walthamstow%20%28PDF%29.pdf</t>
  </si>
  <si>
    <t>https://www.eoni.org.uk/getmedia/ede0bab2-9da9-428d-9cac-fe44bf120b6d/Statement-of-Persons-Nominated-combined-with-Notice-of-Poll_1</t>
  </si>
  <si>
    <t>People Before Profit, Aontú</t>
  </si>
  <si>
    <r>
      <rPr>
        <u/>
        <sz val="10"/>
        <color rgb="FF1155CC"/>
        <rFont val="Fira Sans"/>
      </rPr>
      <t>https://www.eoni.org.uk/getmedia/ede0bab2-9da9-428d-9cac-fe44bf120b6d/Statement-of-Persons-Nominated-combined-with-Notice-of-Poll_1</t>
    </r>
    <r>
      <rPr>
        <sz val="10"/>
        <rFont val="Fira Sans"/>
      </rPr>
      <t>1</t>
    </r>
  </si>
  <si>
    <t>https://www.dundeecity.gov.uk/sites/default/files/publications/notice_of_poll_and_persons_nominated.pdf</t>
  </si>
  <si>
    <t>https://www.edinburgh.gov.uk/elections-voting/ways-vote/6</t>
  </si>
  <si>
    <t>https://liverpool.gov.uk/media/2g2ci1xp/statement-of-persons-noinated-liverpool-garston.docx</t>
  </si>
  <si>
    <t>Liverpool Community Independents, Workers Revolutionary Party</t>
  </si>
  <si>
    <t>https://www.winchester.gov.uk/assets/attach/40793/Statement-of-Persons-Nominated-Notice-of-Poll-and-Situation-of-Polling-Stations.pdf</t>
  </si>
  <si>
    <t>Hampshire Independents</t>
  </si>
  <si>
    <t>https://beta.bathnes.gov.uk/statement-persons-nominated-and-notice-poll-election-member-parliament-bath-constituency</t>
  </si>
  <si>
    <t>https://www.wandsworth.gov.uk/media/4uxj4kww/statement_of_persons_nominated_notice_of_poll_battersea_2024.pdf</t>
  </si>
  <si>
    <t>https://blackburn-darwen.org.uk/wp-content/uploads/Statement-of-Persons-Nominated-Notice-of-Poll-and-Situation-of-Polling-Stations-UKGPE.pdf</t>
  </si>
  <si>
    <t>English Democrats</t>
  </si>
  <si>
    <t>https://legacy.brent.gov.uk/media/16421185/statement-of-persons-nominated-ukge24-brent-east.pdf?_ga=2.98603998.1319045725.1717779265-1551197769.1717779265</t>
  </si>
  <si>
    <t>https://www.bury.gov.uk/council-and-democracy/elections-and-voting/statement-of-persons-nominated-notice-of-poll-and-situation-of-polling-stations-for-bury-south</t>
  </si>
  <si>
    <t>https://www.chelmsford.gov.uk/media/kf5fxe3k/sopn-and-notice-of-poll.pdf</t>
  </si>
  <si>
    <t>https://www.bcpcouncil.gov.uk/councillors-committees-and-elections/elections-and-voting/candidates-standing-for-the-2024-uk-parliamentary-general-election</t>
  </si>
  <si>
    <t>https://legacy.tendringdc.gov.uk/sites/default/files/documents/council/elections%20%26%20voting/2024/UKPGE%20-%20NOP%20SOP%20SOPN%202024%20Clacton.pdf</t>
  </si>
  <si>
    <t>https://www.coventry.gov.uk/elections-voting/uk-parliamentary-general-election-2024/8</t>
  </si>
  <si>
    <t>https://www.doncaster.gov.uk/Documents/DocumentView/Stream/Media/Default/Council%20and%20Democracy/Elections/Doncaster%20North%20-%20Statement%20of%20Persons%20Nominated%20Notice%20of%20Poll.pdf</t>
  </si>
  <si>
    <t>British Dems</t>
  </si>
  <si>
    <t>https://www.royalgreenwich.gov.uk/download/downloads/id/6674/eltham_and_chislehurst_statement_of_persons_nominated.pdf</t>
  </si>
  <si>
    <t>https://www.eastcambs.gov.uk/sites/default/files/Statement%20of%20Persons%20Nominated.pdf</t>
  </si>
  <si>
    <t>https://www.islington.gov.uk/about-the-council/voting-and-elections/general-election-2024/election-of-a-member-of-parliament-for-islington-south-and-finsbury</t>
  </si>
  <si>
    <t>https://www.hull.gov.uk/downloads/file/3391/Statement_of_Persons_Nominated_and_Notice_of_Poll___Kingston_upon_Hull_North_and_Cottingham_Constituency.pdf</t>
  </si>
  <si>
    <t>https://www.leeds.gov.uk/docs/Leeds%20East.pdf</t>
  </si>
  <si>
    <t>https://www.leicester.gov.uk/media/vpdf1pxg/statement-of-persons-nominated-notice-of-poll-leicester-south.pdf</t>
  </si>
  <si>
    <t>https://lewisham.gov.uk/-/media/0-mayor-and-council/elections/statement-of-persons-nominated-lewisham-north-for-election-on-4724.pdf</t>
  </si>
  <si>
    <t>https://www.lincoln.gov.uk/downloads/file/1676/statement-of-persons-nominated-notice-of-poll-and-situation-of-polling-stations</t>
  </si>
  <si>
    <t>https://www.mansfield.gov.uk/downloads/file/6549/notice-of-poll-situation-of-polling-stations-and-statement-of-persons-nominated</t>
  </si>
  <si>
    <t>https://www.newark-sherwooddc.gov.uk/your-council/your-council/elections/4-july-2024-parliamentary-election/</t>
  </si>
  <si>
    <t>https://new.newcastle.gov.uk/sites/default/files/2024-06/20240607_Elections_General_July-24_Newcastle-East-Wallsend_Statement-of-persons-nominated.pdf</t>
  </si>
  <si>
    <t>https://www.pendle.gov.uk/downloads/file/12026/statement_of_persons_nominated_for_pendle_and_clitheroe_constituency</t>
  </si>
  <si>
    <t>https://www.plymouth.gov.uk/sites/default/files/2024-06/PSD.pdf</t>
  </si>
  <si>
    <t>https://www.sandwell.gov.uk/candidates</t>
  </si>
  <si>
    <t>https://www.cotswold.gov.uk/media/4wym05ua/statement-of-persons-nominated-and-notice-of-poll-south-cotswolds.pdf</t>
  </si>
  <si>
    <t>https://www.dacorum.gov.uk/docs/default-source/council-democracy/elections-and-voting/statement-of-persons-nominated-and-notice-of-poll---south-west-herts.pdf?sfvrsn=ec241e9e_5</t>
  </si>
  <si>
    <t>UK Voice</t>
  </si>
  <si>
    <t>https://www.west-norfolk.gov.uk/download/downloads/id/8711/sopn_and_notice_of_poll_-_south_west_norfolk.pdf</t>
  </si>
  <si>
    <t>https://www.cornwall.gov.uk/the-council-and-democracy/elections/elections-and-referendums/2024-parliamentary-election/</t>
  </si>
  <si>
    <t>The Common People</t>
  </si>
  <si>
    <t>https://www.stockton.gov.uk/media/6432/Statement-of-Persons-nominated-notice-of-poll-and-situation-of-polling-stations-Stockton-West/pdf/Statement_of_Persons_nominated_-_notice_of_poll_and_situation_of_polling_stations_Stockton_West.pdf?m=1717778329877</t>
  </si>
  <si>
    <t>Independents for Direct Democracy</t>
  </si>
  <si>
    <t>https://www.wealden.gov.uk/voting-and-elections/forthcoming-elections/</t>
  </si>
  <si>
    <t>https://my.northtyneside.gov.uk/sites/default/files/web-page-related-files/Tynemouth%20-%20SoPN%20and%20NoP.pdf</t>
  </si>
  <si>
    <t>https://www.merton.gov.uk/system/files/statement_of_persons_nominated_and_notice_of_poll_-_wimbledon_constituency.pdf</t>
  </si>
  <si>
    <t>https://www.buckinghamshire.gov.uk/documents/32511/2024.07.04_Wycombe_Constituency_Statement_of_Persons_Nominated.pdf</t>
  </si>
  <si>
    <t>https://www.york.gov.uk/downloads/file/9638/york-central-constituency-statement-of-persons-nominated-and-notice-of-poll</t>
  </si>
  <si>
    <t>https://www.york.gov.uk/downloads/file/9639/york-outer-constituency-statement-of-persons-nominated-and-notice-of-poll</t>
  </si>
  <si>
    <t>Aontú</t>
  </si>
  <si>
    <t>https://eastrenfrewshire.gov.uk/media/10411/Statement-of-Person-Nominated-and-Notice-Poll/pdf/Notice_of_Poll_and_Situation_of_Polling_Places.pdf?m=1717779014187</t>
  </si>
  <si>
    <t>Independence for Scotland Party</t>
  </si>
  <si>
    <t>https://www.aberdeencity.gov.uk/sites/default/files/2024-06/Notice-of-poll-Aberdeen%20North.pdf</t>
  </si>
  <si>
    <t>https://www.clacks.gov.uk/document/7101.pdf</t>
  </si>
  <si>
    <t>https://www.fife.gov.uk/__data/assets/word_doc/0034/588535/UKPE2024-Notice-Of-Poll-DD.docx</t>
  </si>
  <si>
    <t>Scottish Libertarian Party</t>
  </si>
  <si>
    <t>https://www.glasgow.gov.uk/media/12223/Glasgow-North-East/pdf/NORTH_EAST_-_SOPN_and_NOP.pdf?m=1717783302123</t>
  </si>
  <si>
    <t>https://www.northlanarkshire.gov.uk/sites/default/files/2024-06/Notice%20of%20Poll%20Published%20MW.docx</t>
  </si>
  <si>
    <t>British Unionists, Scottish Libertarian Party</t>
  </si>
  <si>
    <t>https://www.southlanarkshire.gov.uk/info/200237/elections/2221/uk_parliamentary_general_election_thursday_4_july_2024</t>
  </si>
  <si>
    <t>Scottish Socialist Party</t>
  </si>
  <si>
    <t>https://www.cardiff.gov.uk/ENG/Your-Council/Voting-and-elections/Elections-Information/Upcoming-elections-and-polls/cardiff-west-constituency-notices/Pages/default.aspx</t>
  </si>
  <si>
    <t>Propel</t>
  </si>
  <si>
    <t>https://www.merthyr.gov.uk/council/voting-and-elections/uk-parliamentary-general-election/</t>
  </si>
  <si>
    <t>https://www.monmouthshire.gov.uk/general-election-2024/</t>
  </si>
  <si>
    <t>True and Fair Party</t>
  </si>
  <si>
    <t>https://www.rctcbc.gov.uk/EN/Council/Votingandelections/Noticeofelections/StatementsofPersonsNominated.aspx</t>
  </si>
  <si>
    <t>https://www.cheshireeast.gov.uk/pdf/elections/parliamentary-election-2024/statement-of-persons-nominated-and-notice-of-poll-crewe-and-nantwich-constituency.pdf</t>
  </si>
  <si>
    <t>OMLRP, Crewe First</t>
  </si>
  <si>
    <t>https://www.gosport.gov.uk/media/4838/2024-PGE-Statement-of-Persons-Nominated-Notice-of-Poll-Situation-of-Polling-Stations/pdf/2024_PGE_-_Statement_of_Persons_Nominated__Notice_of_Poll___Situation_of_Polling_Stations.pdf?m=1717778102373</t>
  </si>
  <si>
    <t>https://www.southkesteven.gov.uk/sites/default/files/2024-06/Statement%20of%20Persons%20Nominated%20and%20Notice%20of%20Poll_Grantham%20and%20Bourne%20constituency.pdf</t>
  </si>
  <si>
    <t>Lincolnshire INDs</t>
  </si>
  <si>
    <t>https://www.kingston.gov.uk/downloads/file/2832/statement-of-persons-nominated-kingston-and-surbiton-constituency</t>
  </si>
  <si>
    <t>Kingston Independent Residents</t>
  </si>
  <si>
    <t>https://www.teignbridge.gov.uk/voting-and-elections/next-elections/general-election-2024/statement-of-persons-nominated-notice-of-poll-and-situation-of-polling-stations/</t>
  </si>
  <si>
    <t>South Devon Alliance, Volt UK</t>
  </si>
  <si>
    <t>https://www.hart.gov.uk/sites/default/files/2024-06/Statement%20of%20Persons%20Nominated%2C%20Notice%20of%20Poll%20and%20Situation%20of%20Polling%20Stations.pdf</t>
  </si>
  <si>
    <t>Libertarian Party</t>
  </si>
  <si>
    <t>https://swale.gov.uk/__data/assets/pdf_file/0019/472015/Notice-of-poll-and-stations.pdf</t>
  </si>
  <si>
    <t xml:space="preserve">Swale Independents, </t>
  </si>
  <si>
    <t>https://www.newham.gov.uk/downloads/file/7476/west-ham-and-beckton-constituency-statement-of-persons-nominated-notice-of-poll-and-situation-of-polling-stations</t>
  </si>
  <si>
    <t>Newham Independents</t>
  </si>
  <si>
    <t>https://westoxon.gov.uk/media/jvpprbum/banbury-sopn-nop-sops.pdf</t>
  </si>
  <si>
    <t>https://www.lbbd.gov.uk/sites/default/files/2024-06/SOPN%20-%20BK%202024.pdf</t>
  </si>
  <si>
    <t>https://www.barnsley.gov.uk/services/voting-and-elections/uk-parliamentary-general-election-4-july-2024/</t>
  </si>
  <si>
    <t>EngDem/UKIP joint ticket</t>
  </si>
  <si>
    <t>https://www.buckinghamshire.gov.uk/documents/32508/2024.07.04_Beaconsfield_Constituency_Statement_of_Persons_Nominated.pdf</t>
  </si>
  <si>
    <t>https://www.southwark.gov.uk/assets/attach/270708/Notice-of-Poll-and-Statement-of-Persons-Nominated-for-Bermondsey-and-Old-Southwark-4-July-2024.pdf</t>
  </si>
  <si>
    <t>https://www.eastriding.gov.uk/council/elections-and-voting/election-notices/election-notice/?entry=596</t>
  </si>
  <si>
    <t>https://www.birmingham.gov.uk/download/downloads/id/29251/hall_green_and_moseley_constituency_notice_of_poll_and_persons_nominated.pdf</t>
  </si>
  <si>
    <t>https://www.birmingham.gov.uk/download/downloads/id/29248/northfield_constituency_notice_of_poll_and_persons_nominated.pdf</t>
  </si>
  <si>
    <t>Common Good</t>
  </si>
  <si>
    <t>https://www.birmingham.gov.uk/download/downloads/id/29246/perry_barr_constituency_notice_of_poll_and_persons_nominated.pdf</t>
  </si>
  <si>
    <t>https://www.wyre.gov.uk/downloads/file/1924/statement-of-persons-nominated-including-notice-of-poll-situation-of-polling-stations</t>
  </si>
  <si>
    <t>https://www.bolton.gov.uk/downloads/file/6025/general-election-2024-statement-of-persons-nominated-bolton-north-east</t>
  </si>
  <si>
    <t>https://www.eastriding.gov.uk/url-directory/election-notices/?entry=597</t>
  </si>
  <si>
    <t>https://www.brighton-hove.gov.uk/council-and-democracy/voting-and-elections/statement-persons-nominated-and-notice-poll-brighton-pavilion</t>
  </si>
  <si>
    <t>https://www.bristol.gov.uk/files/documents/7827-bristol-north-east-nop/file</t>
  </si>
  <si>
    <t>https://burnley.gov.uk/wp-content/uploads/2024/06/Statement-of-Persons-Nominated-Notice-of-Poll-and-Situation-of-Polling-Stations-Parliamentary-Election.pdf</t>
  </si>
  <si>
    <t>https://www.bury.gov.uk/council-and-democracy/elections-and-voting/statement-of-persons-nominated-notice-of-poll-and-situation-of-polling-stations-for-bury-north</t>
  </si>
  <si>
    <t>https://www.westsuffolk.gov.uk/Council/elections/vacancies-elections-results/elections/upload/SOPN-Bury-St-Edmunds-and-Stowmarket-Constituency.pdf</t>
  </si>
  <si>
    <t>https://www.cumberland.gov.uk/sites/default/files/2024-06/carlisle_-_statement_of_persons_nominated_and_notice_of_poll_0.pdf</t>
  </si>
  <si>
    <t>https://www.sutton.gov.uk/documents/d/guest/notice-statement-of-persons-nominated-and-situation-of-poll-1-</t>
  </si>
  <si>
    <t xml:space="preserve"> https://www.medway.gov.uk/download/downloads/id/8736/notice_of_poll_and_persons_nominated_for_general_election_2024.docx</t>
  </si>
  <si>
    <t>https://www.northumberland.gov.uk/NorthumberlandCountyCouncil/media/Councillors-and-Democracy/2%20may%202024%20elections/Statement-of-Persons-Nominated-and-Notice-of-Poll-Cramlington-and-Killingworth.pdf</t>
  </si>
  <si>
    <t>https://democracy.crawley.gov.uk/documents/s30699/SofPNomNotPollMP.docx.pdf</t>
  </si>
  <si>
    <t>https://www.croydon.gov.uk/council-and-elections/voting-and-elections/general-election-thursday-4-july-2024-0/candidate-information</t>
  </si>
  <si>
    <t>Taking the Initative</t>
  </si>
  <si>
    <t>https://www.dudley.gov.uk/media/liygajss/statement-of-persons-nominated-notice-of-poll-and-situation-of-polling-stations-dudley-borough-constituency.pdf</t>
  </si>
  <si>
    <t>https://www.ealing.gov.uk/download/downloads/id/19830/statement_of_persons_nominated_and_notice_of_poll_-_ealing_central_and_acton_constituency_4_july_2024.pdf</t>
  </si>
  <si>
    <t>https://www.ealing.gov.uk/download/downloads/id/19829/statement_of_persons_nominated_and_notice_of_poll_-_ealing_north_constituency_4_july_2024.pdf</t>
  </si>
  <si>
    <t>https://www.newham.gov.uk/downloads/file/7475/east-ham-constituency-statement-of-persons-nominated-notice-of-poll-and-situation-of-polling-stations</t>
  </si>
  <si>
    <t>https://drive.google.com/file/d/1-6nu9Vq0AqC0ioMIA3Z_nI7tnqmXoYsO/view?pli=1</t>
  </si>
  <si>
    <t xml:space="preserve"> https://www.adur-worthing.gov.uk/media/Media,171608,smxx.pdf</t>
  </si>
  <si>
    <t>https://www.enfield.gov.uk/__data/assets/pdf_file/0031/58693/Statement-of-Persons-Nominated,-Notice-of-Poll-and-Polling-Stations-Edmonton-and-Winchmore-Hill.pdf</t>
  </si>
  <si>
    <t>https://eastdevon.gov.uk/elections-and-registering-to-vote/uk-general-election/exmouth-and-exeter-east-constituency/</t>
  </si>
  <si>
    <t>https://www.barnet.gov.uk/sites/default/files/2024-06/Statement%20of%20Persons%20Nominated%20%E2%80%93%20Finchley%20and%20Golders%20Green%20Constituency_0.pdf</t>
  </si>
  <si>
    <t>https://www.folkestone-hythe.gov.uk/downloads/file/5330/statement-of-persons-nominated-notice-of-poll-and-situation-of-polling-stations-folkestone-and-hythe-constituency</t>
  </si>
  <si>
    <t>Fairer Voting Party, Socialist Party</t>
  </si>
  <si>
    <t>https://www.medway.gov.uk/downloads/file/8736/notice_of_poll_and_persons_nominated_for_general_election_2024</t>
  </si>
  <si>
    <t>https://www.gloucester.gov.uk/media/zbbhecxn/statement-of-persons-nominated-notice-of-poll-and-situation-of-polling-stations.pdf</t>
  </si>
  <si>
    <t>https://docs.great-yarmouth.gov.uk/media/8007/NoticeOfPollAndPersonsNominatedAndPollingLocations-A3/pdf/NoticeOfPollAndPersonsNominatedAndPollingLocations_A3.pdf?m=1717773944757</t>
  </si>
  <si>
    <t>https://www.royalgreenwich.gov.uk/downloads/file/6676/greenwich_and_woolwich_statement_of_persons_nominated</t>
  </si>
  <si>
    <t>https://docs.google.com/document/d/1y88YU7Vh55_Pyy4sZ-fmowTUL2L7uIOrs6PEJDFXkVQ/edit</t>
  </si>
  <si>
    <t>https://www.lbhf.gov.uk/sites/default/files/2024-06/Statement-of-Persons-Nominated-Hammersmith-and-Chiswick-final-web.pdf</t>
  </si>
  <si>
    <t>Workers Revolutionary Party</t>
  </si>
  <si>
    <t>https://www.hartlepool.gov.uk/downloads/file/9375/statement_of_persons_nominated_notice_of_poll_and_situation_of_polling_stations</t>
  </si>
  <si>
    <t>https://www.hastings.gov.uk/content/my_council/questions_voting_elections/pdfs/statement-nominated-ge-2024</t>
  </si>
  <si>
    <t>https://www.barnet.gov.uk/sites/default/files/2024-06/Statement%20of%20Persons%20Nominated%20%E2%80%93%20Hendon%20Constituency.pdf</t>
  </si>
  <si>
    <t>https://www.redbridge.gov.uk/media/12286/sopn-nop-and-situation-of-polling-stations-ilford-south.pdf</t>
  </si>
  <si>
    <t>https://www.northnorthants.gov.uk/elections-and-voting/upcoming-elections/uk-general-election-thursday-4-july-2024/general-election-1</t>
  </si>
  <si>
    <t>https://www.leeds.gov.uk/docs/Leeds%20Central%20and%20Headingley.pdf</t>
  </si>
  <si>
    <t>https://www.leeds.gov.uk/docs/Leeds%20South.pdf</t>
  </si>
  <si>
    <t>https://www.leeds.gov.uk/docs/Leeds%20West%20and%20Pudsey.pdf</t>
  </si>
  <si>
    <t>https://lewisham.gov.uk/-/media/0-mayor-and-council/elections/statement-of-persons-nominated-lewisham-east-for-election-on-4724.pdf</t>
  </si>
  <si>
    <t>Shared Ground</t>
  </si>
  <si>
    <t>https://www.walthamforest.gov.uk/sites/default/files/2024-06/Statement%20of%20Persons%20Nominated%20and%20Notice%20Of%20Poll%20UK%20Parliamentary%20General%20Election%202024%20for%20Leyton%20and%20Wanstead%20%28PDF%29.pdf</t>
  </si>
  <si>
    <t>https://liverpool.gov.uk/media/50fd55x0/statement-of-persons-nominated-liverpool-riverside.docx</t>
  </si>
  <si>
    <t>National Health Action</t>
  </si>
  <si>
    <t>https://liverpool.gov.uk/media/ig0jc2or/statement-of-persons-nominated-liverpool-wavertree.docx</t>
  </si>
  <si>
    <t>https://www.e-lindsey.gov.uk/media/25051/Statement-of-Persons-Nominated-and-Notice-of-Poll/pdf/Statement_of_Persons_Nominated_and_Notice_of_Poll_A3.pdf?m=1717778846433</t>
  </si>
  <si>
    <t>https://www.luton.gov.uk/Council_government_and_democracy/Lists/LutonDocuments/PDF/Voting%20and%20elections/election-july-2024/statement-of-person-nominated-and-notice-of-poll-luton-north.pdf</t>
  </si>
  <si>
    <t>https://www.melton.gov.uk/media/c2ynv2fg/statement-of-persons-nominated-notice-of-poll-and-sit-of-poll-stations-v2.pdf</t>
  </si>
  <si>
    <t>Alliance for Democracy &amp; Freedom</t>
  </si>
  <si>
    <t>https://www.dorsetcouncil.gov.uk/w/uk-parliamentary-general-election</t>
  </si>
  <si>
    <t>https://www.northumberland.gov.uk/NorthumberlandCountyCouncil/media/Councillors-and-Democracy/2%20may%202024%20elections/Statement-of-Persons-Nominated-and-Notice-of-Poll-North-Northumberland.pdf</t>
  </si>
  <si>
    <t>Parliamentary General Election - North West Essex constituency - Thursday 4 July 2024 - Uttlesford District Council</t>
  </si>
  <si>
    <t>https://www.nottinghamcity.gov.uk/media/5tngypzn/statement-of-persons-nominated-and-notice-of-poll-east.pdf</t>
  </si>
  <si>
    <t>https://www.nottinghamcity.gov.uk/media/l1xow5hy/statement-of-persons-nominated-and-notice-of-poll-south.pdf</t>
  </si>
  <si>
    <t>https://www.oldham.gov.uk/downloads/file/8018/notice_of_poll_and_statement_of_persons_nominated_for_oldham_east_and_saddleworth</t>
  </si>
  <si>
    <t>https://www.oldham.gov.uk/downloads/file/8017/notice_of_poll_and_statement_of_persons_nominated_for_oldham_west_chadderton_and_royton</t>
  </si>
  <si>
    <t>https://www.southandvale.gov.uk/wp-content/uploads/2024/06/Statement-of-Perons-Nominated-Oxford-West-and-Abingdon.pdf</t>
  </si>
  <si>
    <t>https://www.cumberland.gov.uk/sites/default/files/2024-06/penrith_and_solway_-_statement_of_persons_nominated_and_notice_of_poll.pdf</t>
  </si>
  <si>
    <t>https://www.peterborough.gov.uk/asset-library/uk-general-election-2024-situation-of-persons-nominated-notice-of-poll-and-situation-of-polling-stations-peterborough.pdf</t>
  </si>
  <si>
    <t>https://www.towerhamlets.gov.uk/Documents/Democracy/Elections/2024/SOPN-Poplar-Limehouse.docx</t>
  </si>
  <si>
    <t>https://www.northyorks.gov.uk/sites/default/files/2024-06/SPN%20Scarborough%20and%20Whitby%2007.06.2024.pdf</t>
  </si>
  <si>
    <t>Social Justice Party</t>
  </si>
  <si>
    <t>https://www.sheffield.gov.uk/sites/default/files/2024-06/statement_of_persons_nominated_and_notice_of_poll_general_election.pdf</t>
  </si>
  <si>
    <t>https://www.northyorks.gov.uk/sites/default/files/2024-06/SPN%20Skipton%20and%20Ripon%2007.06.2024.pdf</t>
  </si>
  <si>
    <t>https://www.thurrock.gov.uk/elections-and-election-results/election-dates</t>
  </si>
  <si>
    <t>https://www.westnorthants.gov.uk/electoral-services/general-election-4-july-2024</t>
  </si>
  <si>
    <t>https://www.plymouth.gov.uk/sites/default/files/2024-06/SWD.pdf</t>
  </si>
  <si>
    <t>https://www.stoke.gov.uk/download/downloads/id/2498/central_sopn_and_nop.pdf</t>
  </si>
  <si>
    <t>https://www.lambeth.gov.uk/sites/default/files/2024-06/Statement%20of%20Persons%20Nominated%2C%20Notice%20of%20Poll%20and%20SOPS%20Streatham%20and%20Croydon%20North.pdf</t>
  </si>
  <si>
    <t>https://www.wandsworth.gov.uk/media/jpcedtpa/statement_of_persons_nominated_notice_of_poll_tooting_2024.pdf</t>
  </si>
  <si>
    <t>https://www.hillingdon.gov.uk/media/14278/Statement-of-persons-nominated---Uxbridge-and-South-Ruislip/pdf/5rStatement-of-Persons-Nominated-Uxbridge-and-South-Ruislip-2024.pdf?m=1717773524820</t>
  </si>
  <si>
    <t>https://www.wakefield.gov.uk/media/a1nabemk/wf-ukpge-sopn-notice-of-poll-wakefield-rothwell.docx</t>
  </si>
  <si>
    <t>https://www.westsuffolk.gov.uk/Council/elections/vacancies-elections-results/elections/upload/SOPN-West-Suffolk-Constituency.pdf</t>
  </si>
  <si>
    <t>https://www.westmorlandandfurness.gov.uk/sites/default/files/2024-06/Westmorland%20and%20Lonsdale%20-%20Statement%20of%20Persons%20Nominated%20and%20Notice%20of%20Poll.pdf</t>
  </si>
  <si>
    <t>https://www.wigan.gov.uk/Docs/PDF/Council/Voting-and-Elections/2024/General-Election/Statement-Of-Persons-Nominated-Wigan.pdf</t>
  </si>
  <si>
    <t>https://www.wolverhampton.gov.uk/sites/default/files/2024-06/Statement%20of%20Persons%20Nominated%20and%20Notice%20of%20Poll%20-%20Wolverhampton%20West.pdf</t>
  </si>
  <si>
    <t>https://www.salford.gov.uk/your-council/elections-and-voting/uk-parliamentary-general-election-thursday-4-july-2024/statement-of-persons-nominated-and-notice-of-poll-worsley-and-eccles-constituency/</t>
  </si>
  <si>
    <t>https://www.scotborders.gov.uk/downloads/file/12809/notice-of-poll-and-situation-of-polling-places</t>
  </si>
  <si>
    <t>https://www.south-ayrshire.gov.uk/media/12247/DOC-20240704-UKPGE-Notice-of-Poll-CA/pdf/DOC_20240704_UKPGE_Notice_of_Poll_CA.pdf?m=1717779296450</t>
  </si>
  <si>
    <t>https://cne-siar.gov.uk/home/your-council/elections-and-voting/uk-parliamentary-election/statutory-notices-uk-general-election/statement-of-persons-nominated-and-notice-of-poll/</t>
  </si>
  <si>
    <t>Scottish Christian Party</t>
  </si>
  <si>
    <t>https://www.north-ayrshire.gov.uk/Documents/Election-Info/notice-of-poll-uk-general-election.pdf</t>
  </si>
  <si>
    <t>https://aberdeenshire.gov.uk/media/pppadss2/notice-of-poll-ukpge-ea22-wak.pdf</t>
  </si>
  <si>
    <t>https://www.aberdeencity.gov.uk/sites/default/files/2024-06/Notice-of-poll%20Aberdeen%20South.pdf</t>
  </si>
  <si>
    <t>https://www.westlothian.gov.uk/media/61687/Notice-of-Poll-Bathgate-Linlithgow/pdf/Notice_of_Poll_Bathgate___Linlithgow.pdf</t>
  </si>
  <si>
    <t>Independence for Scotland</t>
  </si>
  <si>
    <t>https://www.northlanarkshire.gov.uk/sites/default/files/2024-06/Notice%20of%20Poll%20Published%20CB.docx</t>
  </si>
  <si>
    <t>https://www.fife.gov.uk/__data/assets/word_doc/0036/588537/UKPE2024-Notice-Of-Poll-CK-.docx</t>
  </si>
  <si>
    <t>Libertarian</t>
  </si>
  <si>
    <t>https://www.southlanarkshire.gov.uk/info/200237/elections/2221/uk_parliamentary_general_election_thursday_4_july_2024/3</t>
  </si>
  <si>
    <t>https://www.falkirk.gov.uk/services/council-democracy/elections-voting/general-election/docs/nominated-and-notice/Statement%20of%20Persons%20Nominated%20and%20Notice%20of%20Poll%20(2).docx</t>
  </si>
  <si>
    <t>https://www.glasgow.gov.uk/media/12225/Glasgow-South/pdf/SOUTH_-_SOPN_and_NOP.pdf?m=1717783316367</t>
  </si>
  <si>
    <t>https://www.inverclyde.gov.uk/assets/attach/17254/2024-UKPGE-Statement-of-Persons-Nominated-and-Notice-of-Poll.pdf</t>
  </si>
  <si>
    <t>https://www.renfrewshire.gov.uk/media/16576/Statement-of-Persons-Nominated-including-Notice-of-Poll-and-Situation-of-Polling-Stations-for-Paisley-and-Renfrewshire-South-Constituency/pdf/FINAL_Notice_of_Poll___Sit_of_Polling_Places_-_PR_SOUTH.pdf?m=1717777787943</t>
  </si>
  <si>
    <t>Freedom Alliance</t>
  </si>
  <si>
    <t>https://www.west-dunbarton.gov.uk/council/voting-and-elections/uk-general-election-2024/statement-of-persons-nominated-and-notice-of-poll/</t>
  </si>
  <si>
    <t>Sovereignty</t>
  </si>
  <si>
    <t>https://beta.npt.gov.uk/council-democracy-elections/elections-and-voting/uk-parliamentary-election-2024/notices/statement-as-to-persons-nominated-and-notice-of-poll/aberafan-maesteg-constituency/</t>
  </si>
  <si>
    <t>https://www.conwy.gov.uk/en/Council/Voting-and-Elections/About-Elections/UK-Parliamentary-Elections-General-Elections.aspx</t>
  </si>
  <si>
    <t>https://www.blaenau-gwent.gov.uk/media/asvijb4z/statement-of-persons-nominated-notice-of-poll-and-situation-of-polling-stations.pdf</t>
  </si>
  <si>
    <t>https://en.powys.gov.uk/article/5738/Find-out-about-upcoming-elections</t>
  </si>
  <si>
    <t>Abolish the Welsh Assembly</t>
  </si>
  <si>
    <t>https://www.carmarthenshire.gov.wales/home/council-democracy/elections-voting/uk-parliamentary-general-election/</t>
  </si>
  <si>
    <t>Women's Equality</t>
  </si>
  <si>
    <t>https://www.pembrokeshire.gov.uk/objview.asp?object_id=11466&amp;language=</t>
  </si>
  <si>
    <t>https://www.newport.gov.uk/documents/Council-and-Democracy/Elections-and-voting/General-Election-2024/SOPN-v.05.pdf</t>
  </si>
  <si>
    <t>https://www.torfaen.gov.uk/en/Related-Documents/Elections/Parliamentary/Statement-of-Persons-Nominated-and-Notice-of-Poll.pdf</t>
  </si>
  <si>
    <t>https://www.valeofglamorgan.gov.uk/Documents/Our%20Council/Council/Elections/NoP-SoPS-SoPN-07-06-24.pdf</t>
  </si>
  <si>
    <t>https://www.anglesey.gov.wales/documents/Docs-en/Council/Elections/UK-Parliament-election-2024/notice-of-statement-of-persons-nominated.pdf</t>
  </si>
  <si>
    <t>https://www.chesterfield.gov.uk/media/2457825/statement-of-persons-nominated-and-notice-of-poll-chesterfield-uk-parliamentary-constituency.pdf</t>
  </si>
  <si>
    <t>https://www.easthants.gov.uk/elections/uk-parliamentary-general-election-4-july-2024</t>
  </si>
  <si>
    <t>https://www.fareham.gov.uk/pdf/about_the_council/elections/SOPN_and_NoticeOfPoll-Fareham_and_Waterlooville.pdf</t>
  </si>
  <si>
    <t>https://www.leicester.gov.uk/media/kmol1g2t/statement-of-persons-nominated-notice-of-poll-leicester-west.pdf</t>
  </si>
  <si>
    <t>https://www.southend.gov.uk/downloads/file/8337/statement-of-persons-nominated-notice-of-poll-and-situation-of-polling-stations-southend-east-and-rochford</t>
  </si>
  <si>
    <t>Confelicity</t>
  </si>
  <si>
    <t>https://www.tmbc.gov.uk/downloads/file/3601/notice-of-poll-and-persons-nominated</t>
  </si>
  <si>
    <t>Independent Alliance (Kent)</t>
  </si>
  <si>
    <t>https://www.buckinghamshire.gov.uk/documents/32507/2024.07.04_Aylesbury_Constituency_Statement_of_Persons_Nominated.pdf</t>
  </si>
  <si>
    <t>https://www.basildon.gov.uk/media/12071/Basildon-Council-Statement-of-Persons-Nominated-Notice-of-Poll-and-Situation-of-Polling-Stations-Basildon-Billericay-Constituency-July-2024/pdf/SOPN_NOP_SPS_-_B_B_Cons_-_July_2024_atagojl0fce6.pdf?m=1717777219203</t>
  </si>
  <si>
    <t>British Democrats</t>
  </si>
  <si>
    <t>https://www.bedford.gov.uk/your-council/elections-and-voting/uk-parliamentary-election-general-election-4-july-2024</t>
  </si>
  <si>
    <t>https://www.birmingham.gov.uk/download/downloads/id/29250/erdington_constituency_notice_of_poll_and_persons_nominated.pdf</t>
  </si>
  <si>
    <t>https://www.blackpool.gov.uk/Your-Council/Voting-and-elections/Documents/2024/Parliamentary/SOPN-NOP.pdf</t>
  </si>
  <si>
    <t>https://www.bolton.gov.uk/downloads/file/6021/general-election-2024-statement-of-persons-nominated-bolton-south-and-walkden</t>
  </si>
  <si>
    <t>https://www.boston.gov.uk/media/25054/Statement-of-Persons-Nominated-and-Notice-of-Poll/pdf/Statement_of_Persons_Nominated_and_Notice_of_Poll.pdf?m=1717781695020</t>
  </si>
  <si>
    <t>Blue Revolution</t>
  </si>
  <si>
    <t>https://www.bracknell-forest.gov.uk/sites/default/files/2024-06/statement-of-persons-nominated-and-notice-of-poll-general-election-2024.pdf</t>
  </si>
  <si>
    <t>https://www.hounslow.gov.uk/info/20043/elections_and_voting/2459/uk_parliamentary_general_election_2024_-_statement_of_persons_nominated_notice_of_poll_and_situation_of_polling_stations</t>
  </si>
  <si>
    <t>https://somersetcc.sharepoint.com/sites/SCCPublic/Council%20Democracy/Forms/AllItems.aspx?id=%2Fsites%2FSCCPublic%2FCouncil%20Democracy%2FGeneral%20Election%202024%2FStatement%20of%20Persons%20Nominated%20and%20Notice%20of%20Poll%20%2D%20Bridgwater%20Constituency%2Epdf&amp;parent=%2Fsites%2FSCCPublic%2FCouncil%20Democracy%2FGeneral%20Election%202024&amp;p=true&amp;ga=1</t>
  </si>
  <si>
    <t>https://www.bristol.gov.uk/files/documents/7826-bristol-east-nop/file</t>
  </si>
  <si>
    <t>https://www.bromsgrove.gov.uk/media/4evjb0kn/sopn-nop-and-sops-bromsgrove.pdf</t>
  </si>
  <si>
    <t>https://www.broxbourne.gov.uk/downloads/file/4435/statement-of-persons-nominated-parliamentary-2024</t>
  </si>
  <si>
    <t>English Constitution Party</t>
  </si>
  <si>
    <t>https://www.broxtowe.gov.uk/media/ayahuevd/spn-nop-broxtowe-constituency.pdf</t>
  </si>
  <si>
    <t>https://new.calderdale.gov.uk/sites/default/files/2024-06/Statement%20as%20to%20Persons%20Nominated%20Calder%20Valley.pdf</t>
  </si>
  <si>
    <t>https://www.cambridge.gov.uk/media/wabd214r/notice-of-poll-and-persons-nominated-2024-07-04.pdf</t>
  </si>
  <si>
    <t>Rebooting Democracy</t>
  </si>
  <si>
    <t>https://www.midsuffolk.gov.uk/documents/d/asset-library-54706/csni-nop-sopn-sops</t>
  </si>
  <si>
    <t>https://assets.ctfassets.net/ii3xdrqc6nfw/6ZvSv01zg5JMvX8CSO7dfr/d792e7aa105c416ba35109698d9da9ef/Cheadle_Statement_of_Persons_Nominated___Notice_of_Poll.pdf</t>
  </si>
  <si>
    <t>https://www.lbhf.gov.uk/sites/default/files/2024-06/Statement-of-Persons-Nominated-Chelsea-and-Fulham-final-web.pdf</t>
  </si>
  <si>
    <t>https://www.buckinghamshire.gov.uk/documents/32509/2024.07.04_Chesham__Amersham_Constituency_Statement_of_Persons_Nominated.pdf</t>
  </si>
  <si>
    <t>https://www.barnet.gov.uk/sites/default/files/2024-06/Statement%20of%20Persons%20Nominated%20%E2%80%93%20Chipping%20Barnet%20Constituency_0.pdf</t>
  </si>
  <si>
    <t>https://www.lambeth.gov.uk/sites/default/files/2024-06/Statement%20of%20Perons%20Nominated%2C%20Notice%20of%20Poll%20and%20Situation%20of%20Polling%20Stations%20Clapham%20and%20Brixton%20Hill.pdf</t>
  </si>
  <si>
    <t>Socialist Party (GB)</t>
  </si>
  <si>
    <t>https://www.cheshireeast.gov.uk/pdf/elections/parliamentary-election-2024/statement-of-persons-nominated-and-notice-of-poll-congleton-constituency.pdf</t>
  </si>
  <si>
    <t>https://www.coventry.gov.uk/elections-voting/uk-parliamentary-general-election-2024/6</t>
  </si>
  <si>
    <t>https://www.derby.gov.uk/council-and-democracy/councillors-democracy-elections/elections/election-information/#page-5</t>
  </si>
  <si>
    <t>https://democracy.derbyshiredales.gov.uk/documents/s10670/Statement%20of%20Persons%20Nominated%20and%20Notice%20of%20Poll.pdf</t>
  </si>
  <si>
    <t>True &amp; Fair</t>
  </si>
  <si>
    <t>https://www.doncaster.gov.uk/Documents/DocumentView/Stream/Media/Default/Council%20and%20Democracy/Elections/Central%20-%20Statement%20of%20Persons%20Nominated%20Notice%20of%20Poll.pdf</t>
  </si>
  <si>
    <t>https://tandridge.gov.uk/Your-council/Voting-and-elections/General-Election-and-Caterham-on-the-Hill-by-election-4-July-2024</t>
  </si>
  <si>
    <t>https://www.enfield.gov.uk/__data/assets/pdf_file/0032/58694/Statement-of-Persons-Nominated,-Notice-of-Poll-and-Polling-Stations-Enfield-North.pdf</t>
  </si>
  <si>
    <t>https://www.epsom-ewell.gov.uk/sites/default/files/documents/council/elections-and-voting/Statement%20of%20Persons%20Nominated%20&amp;%20Notice%20of%20Poll%20-%204%20July%202024.pdf</t>
  </si>
  <si>
    <t>https://www.royalgreenwich.gov.uk/download/downloads/id/6675/erith_and_thamesmead_statement_of_persons_nominated.pdf</t>
  </si>
  <si>
    <t>https://exeter.gov.uk/media/a54mwlv0/statement-of-persons-nominated-and-notice-of-poll-ukpge-4-july-2024.pdf</t>
  </si>
  <si>
    <t>https://somersetcc.sharepoint.com/sites/SCCPublic/Council%20Democracy/Forms/AllItems.aspx?id=%2Fsites%2FSCCPublic%2FCouncil%20Democracy%2FGeneral%20Election%202024%2FNotice%20of%20Poll%20And%20Persons%20Nominated%20%2D%20Frome%20and%20East%20Somerset%2Epdf&amp;parent=%2Fsites%2FSCCPublic%2FCouncil%20Democracy%2FGeneral%20Election%202024&amp;p=true&amp;ga=1</t>
  </si>
  <si>
    <t>https://new.fylde.gov.uk/wp-content/uploads/2024/06/SOPN-NOP.pdf</t>
  </si>
  <si>
    <t>https://www.gateshead.gov.uk/media/41486/Statement-of-Persons-nominated-Gateshead-Central-and-Whickham/pdf/Gateshead_Central_and_Whickham_Constituency_-_Statement_of_Persons_Nominated_and_Notice_of_Poll.pdf?m=1717780634873</t>
  </si>
  <si>
    <t>Save Us Now</t>
  </si>
  <si>
    <t>https://www.nelincs.gov.uk/assets/uploads/2024/06/Notice-of-Poll-and-Persons-Nominated-UK-Parliamentary-4th-July-2024.pdf</t>
  </si>
  <si>
    <t>https://docs.google.com/document/d/1oWV8bt07UQJh65_dPIvCxU6s9ajHf8hICE6zc9kTCXo/edit</t>
  </si>
  <si>
    <t>https://new.calderdale.gov.uk/sites/default/files/2024-06/Statement%20as%20to%20Persons%20Nominated%20Halifax.pdf</t>
  </si>
  <si>
    <t>https://www.camden.gov.uk/documents/d/guest/notice-of-poll-and-sits-of-ps-hampstead-and-highgate-1</t>
  </si>
  <si>
    <t>https://www.northyorks.gov.uk/sites/default/files/2024-06/SPN%20Harrogate%20and%20Knaresborough%2007.06.2024.pdf</t>
  </si>
  <si>
    <t>https://www.harrow.gov.uk/downloads/file/32287/Statement_of_Persons_Nominated_and_Notice_of_Poll_Harrow_East.pdf</t>
  </si>
  <si>
    <t>https://www.harrow.gov.uk/downloads/file/32288/Statement_of_Persons_Nominated_and_Notice_of_Poll_Harrow_West.pdf</t>
  </si>
  <si>
    <t>https://www.southandvale.gov.uk/wp-content/uploads/2024/06/Statement-of-Persons-Nominated-Henley-and-Thame.pdf</t>
  </si>
  <si>
    <t>https://www.eastherts.gov.uk/elections-and-voting/elections-2024</t>
  </si>
  <si>
    <t>https://eastdevon.gov.uk/elections-and-registering-to-vote/uk-general-election/honiton-and-sidmouth-constituency/</t>
  </si>
  <si>
    <t>https://new.haringey.gov.uk/council-elections/elections-voting/general-election-2024/statement-persons-nominated-notice-poll-hornsey-friern-barnet-constituency</t>
  </si>
  <si>
    <t>https://www.horsham.gov.uk/__data/assets/pdf_file/0007/136393/Statement-of-Persons-Nominated,-Notice-of-Poll-and-Situation-of-Polling-Stations-Horsham.pdf</t>
  </si>
  <si>
    <t>The Peace Party</t>
  </si>
  <si>
    <t>https://www.ipswich.gov.uk/sites/www.ipswich.gov.uk/files/statement_of_persons_nominated_and_notice_of_poll_2.pdf</t>
  </si>
  <si>
    <t>https://www.islington.gov.uk/about-the-council/voting-and-elections/general-election-2024/election-of-a-member-of-parliament-for-islington-north</t>
  </si>
  <si>
    <t>https://www.warwickdc.gov.uk/info/20660/general_elections/1964/general_election_2024/3</t>
  </si>
  <si>
    <t>https://www.knowsley.gov.uk/sites/default/files/2024-06/Knowsley%20Constituency%20-%20Statement%20of%20Persons%20Nominated%20and%20Notice%20of%20Poll.docx</t>
  </si>
  <si>
    <t>https://www.leeds.gov.uk/docs/Leeds%20North%20West.pdf</t>
  </si>
  <si>
    <t>https://www.leeds.gov.uk/docs/Leeds%20South%20West%20and%20Morley.pdf</t>
  </si>
  <si>
    <t>https://lewisham.gov.uk/-/media/0-mayor-and-council/elections/statement-of-persons-nominated-lewisham-west--east-dulwich-for-election-on-4724.pdf</t>
  </si>
  <si>
    <t>https://www.lichfielddc.gov.uk/downloads/file/2535/statement-of-persons-nominated-lichfield</t>
  </si>
  <si>
    <t>https://www.luton.gov.uk/Council_government_and_democracy/Lists/LutonDocuments/PDF/Voting%20and%20elections/election-july-2024/statement-of-person-nominated-and-notice-of-poll-luton-south-and-south-bedfordshire.pdf</t>
  </si>
  <si>
    <t>https://www.cheshireeast.gov.uk/pdf/elections/parliamentary-election-2024/statement-of-persons-nominated-and-notice-of-poll-macclesfield-constituency.pdf</t>
  </si>
  <si>
    <t>https://www.rbwm.gov.uk/media/3432/download/</t>
  </si>
  <si>
    <t>https://docs.maidstone.gov.uk/elections-2024/general-election-2024/SPN-and-NP-Maidstone-and-Malling.pdf</t>
  </si>
  <si>
    <t>https://www.manchester.gov.uk/directory_record/466432/manchester_rusholme</t>
  </si>
  <si>
    <t>https://www.manchester.gov.uk/directory_record/466428/manchester_withington</t>
  </si>
  <si>
    <t>https://centralbedfordshirecouncil.sharepoint.com/:b:/s/Communications/EbmO1soPcsVDl9VvMaBV3EYBq2fFgYabtjjYhO2BLdUUPw?e=Djp0kf</t>
  </si>
  <si>
    <t>https://www.buckinghamshire.gov.uk/documents/32510/2024.07.04_Mid_Buckinghamshire_Constituency_Statement_of_Persons_Nominated_4_July_2024.pdf</t>
  </si>
  <si>
    <t>https://www.cheshirewestandchester.gov.uk/asset-library/your-council/elections/general-election-2024/SOPN-NoP-SoP-MC-UKPGE.pdf</t>
  </si>
  <si>
    <t>https://www.ambervalley.gov.uk/media/1296/statement-of-persons-nominated-including-notice-of-poll-and-situation-of-polling-stations-md.pdf</t>
  </si>
  <si>
    <t>https://middlesbrough.gov.uk/media/nvqofxg1/statement-of-persons-nominated-mte.pdf</t>
  </si>
  <si>
    <t>https://www.merton.gov.uk/system/files/statement_of_persons_nominated_and_notice_of_poll_-_mitcham_and_morden_constituency.pdf</t>
  </si>
  <si>
    <t>https://www.newforest.gov.uk/article/3611/Election-notices</t>
  </si>
  <si>
    <t>https://www.newforest.gov.uk/media/3993/Statement-of-Persons-Nominated-New-Forest-West/pdf/Statement_of_Persons_Nominated__New_Forest_West.pdf?m=1717775907993</t>
  </si>
  <si>
    <t>https://www.westberks.gov.uk/media/59141/Statement-of-Persons-Nominated-Notice-of-Poll-Newbury/pdf/Statement_of_Persons_Nominated_Notice_of_Poll_-_Newbury.pdf?m=1717781804947</t>
  </si>
  <si>
    <t>https://new.newcastle.gov.uk/sites/default/files/2024-06/20240607_Elections_General_July-24_Newcastle-Central-West_Statement-of-persons-nominated.pdf</t>
  </si>
  <si>
    <t>https://new.newcastle.gov.uk/sites/default/files/2024-06/20240607_Elections_General_July-24_Newcastle-North_Statement-of-persons-nominated.pdf</t>
  </si>
  <si>
    <t>https://durham.gov.uk/media/44798/Statement-of-Persons-Nominated-with-Notice-of-Poll-and-Situation-of-Polling-Stations-Newton-Aycliffe-and-Spennymoor/pdf/StatementOfPersonsNominatedWithNoticeOfPollAndSituationOfPollingStations-NewtonAycliffeAndSpennymoor.pdf?m=1717777468707</t>
  </si>
  <si>
    <t>Transform Party</t>
  </si>
  <si>
    <t>https://durham.gov.uk/media/44799/Statement-of-Persons-Nominated-with-Notice-of-Poll-and-Situation-of-Polling-Stations-North-Durham/pdf/StatementOfPersonsNominatedWithNoticeOfPollAndSituationOfPollingStations-NorthDurham.pdf?m=1717777547763</t>
  </si>
  <si>
    <t>https://www.fenland.gov.uk/media/21161/Statement-of-Persons-Nominated-and-Notice-of-Poll-North-East-Cambridgeshire-Parliamentary-Constituency/pdf/Statement_of_Person_Nominated___Notice_of_Poll_-_North_East_Cambridgeshire_Parliamentary_Constituenc.pdf?m=1717779188043</t>
  </si>
  <si>
    <t>https://beta.bathnes.gov.uk/statement-persons-nominated-and-notice-poll-election-member-parliament-north-east-somerset-and-hanham-constituency</t>
  </si>
  <si>
    <t>https://www.nwleics.gov.uk/pages/uk_parliamentary_general_election_thursday_4_july_2024</t>
  </si>
  <si>
    <t>https://cms.westnorthants.gov.uk/media/15764/download</t>
  </si>
  <si>
    <t>https://cms.westnorthants.gov.uk/media/15767/download</t>
  </si>
  <si>
    <t>https://www.norwich.gov.uk/download/downloads/id/10263/statement_of_persons_nominated_and_notice_of_poll.pdf</t>
  </si>
  <si>
    <t>https://www.bexley.gov.uk/sites/default/files/2024-06/notice-of-election-of-a-member-of-parliament-for-old-bexley-and-sidcup.pdf</t>
  </si>
  <si>
    <t>https://www.bcpcouncil.gov.uk/Assets/Elections-and-voting/2024-General/SoPN-and-NoP-Poole.pdf</t>
  </si>
  <si>
    <t>https://www.wandsworth.gov.uk/media/rptgcbac/statement_of_persons_nominated_notice_of_poll_putney_2024.pdf</t>
  </si>
  <si>
    <t>https://images.reading.gov.uk/2024/06/Statement-of-Persons-Nominated-and-Notice-of-Poll.docx</t>
  </si>
  <si>
    <t>https://www.westberks.gov.uk/media/59138/Statement-of-Persons-Nominated-Notice-of-Poll-Reading-West-and-Mid-Berkshire/pdf/Statement_of_Persons_Nominated_Notice_of_Poll_-_Reading_West_and_Mid_Berkshire.pdf?m=1717781540243</t>
  </si>
  <si>
    <t>https://www.richmond.gov.uk/media/a4fpfcp5/statement_of_persons_nominated_notice_of_poll_richmond_park_2024.pdf</t>
  </si>
  <si>
    <t>The Mitre TW9</t>
  </si>
  <si>
    <t>https://www.havering.gov.uk/downloads/file/6638/romford_statement_of_persons_nominated_notice_of_poll_and_situation_of_polling_stations_-_4_july_2024_general_election</t>
  </si>
  <si>
    <t>www.rotherham.gov.uk/downloads/file/3885/statement-of-person-nominated-and-notice-of-poll-for-rotherham</t>
  </si>
  <si>
    <t>https://www.rugby.gov.uk/w/general-election-2024-1</t>
  </si>
  <si>
    <t>https://www3.halton.gov.uk/Documents/council%20and%20democracy/elections/GE2024/RuncornandHelsbySPNandNOP.pdf</t>
  </si>
  <si>
    <t>https://www.runnymede.gov.uk/elections-2/general-election-2024</t>
  </si>
  <si>
    <t>https://www.rushcliffe.gov.uk/media/wtnjjoqc/statement-of-persons-nominated-notice-of-poll-and-situation-of-polling-stations.pdf</t>
  </si>
  <si>
    <t>https://www.salford.gov.uk/your-council/elections-and-voting/uk-parliamentary-general-election-thursday-4-july-2024/statement-of-persons-nominated-and-notice-of-poll-salford-constituency/</t>
  </si>
  <si>
    <t>https://www.wiltshire.gov.uk/media/13497/Statement-of-Persons-Nominated-Notice-of-Poll-and-Situation-of-Polling-Stations-Salisbury-Constituency/pdf/SoPN__NoP__SoPS_-_Salisbury_Constituency.pdf?m=1717776990240</t>
  </si>
  <si>
    <t>https://www.northlincs.gov.uk/wp-content/uploads/2024/06/Scunthorpe-Statement-of-Persons-Nominated-and-Notice-of-Poll-a.pdf</t>
  </si>
  <si>
    <t>https://www.sevenoaks.gov.uk/info/20053/elections_and_voting/787/parliamentary_general_election_-_4_july_2024</t>
  </si>
  <si>
    <t>https://www.shropshire.gov.uk/media/28058/sopn-shrewsbury.pdf</t>
  </si>
  <si>
    <t>https://www.southderbyshire.gov.uk/our-services/voting-and-elections/uk-parliamentary-general-election-4-july-2024</t>
  </si>
  <si>
    <t>https://www.southnorfolkandbroadland.gov.uk/downloads/file/7046/statement-of-persons-nominated-notice-of-poll-and-situation-of-polling-stations-south-norfolk</t>
  </si>
  <si>
    <t>https://www.wiltshire.gov.uk/media/13498/Statement-of-Persons-Nominated-Notice-of-Poll-and-Situation-of-Polling-Stations-South-West-Wiltshire-Constituency/pdf/SoPN__NoP__SoPS_-_South_West_Wiltshire_Constituency.pdf?m=1717777096653</t>
  </si>
  <si>
    <t>https://www.southampton.gov.uk/media/lqhfikvd/ukpge-2024_test_sopn_nop_sops.pdf</t>
  </si>
  <si>
    <t>https://www.enfield.gov.uk/__data/assets/pdf_file/0033/58695/Statement-of-Persons-Nominated,-Notice-of-Poll-and-Polling-Stations-Southgate-Wood-Green.pdf</t>
  </si>
  <si>
    <t>https://www.stalbans.gov.uk/uk-parliamentary-election-4-july-2024</t>
  </si>
  <si>
    <t>https://www.scambs.gov.uk/media/o5laquk3/statement-of-persons-nominated-st-neots-mid-cambs.pdf</t>
  </si>
  <si>
    <t>https://www.staffordbc.gov.uk/sites/default/files/cme/DocMan1/Elections-2024/General-Election/Notice-Of-Poll-And-Persons-Nominated-And-Polling-Stations.pdf</t>
  </si>
  <si>
    <t>https://tameside.moderngov.co.uk/documents/s170224/Stalybridge%20and%20Hyde%20Statement%20of%20Persons%20Nominated%20and%20Notice%20of%20Poll.pdf</t>
  </si>
  <si>
    <t>https://assets.ctfassets.net/ii3xdrqc6nfw/60IXRfBInUIhj8jAEkwX7A/0bccb252bc2a07fc5a5725816c8103da/Stockport_Statement_of_Persons_Nominated___Notice_of_Poll.pdf</t>
  </si>
  <si>
    <t>Stockport Fights Austerity No
To Cuts</t>
  </si>
  <si>
    <t>https://www.stoke.gov.uk/download/downloads/id/2504/south_sopn_and_nop.pdf</t>
  </si>
  <si>
    <t>https://www.stratford.gov.uk/doc/212829/name/Statement%20of%20Persons%20Nominated%20Notice%20of%20Poll%20and%20Situation%20of%20Polling%20Stations.pdf</t>
  </si>
  <si>
    <t>NONPOL</t>
  </si>
  <si>
    <t>https://www.trafford.gov.uk/about-your-council/elections/docs/2024/Notices/Statement-of-Persons-Nominated-and-Notice-of-Poll-Stretford-and-Urmston.pdf</t>
  </si>
  <si>
    <t>https://www.stroud.gov.uk/media/h2zdu35b/statment-of-persons-nominated-and-notice-of-poll-final-2docx.pdf</t>
  </si>
  <si>
    <t>Volt UK</t>
  </si>
  <si>
    <t>https://www.swindon.gov.uk/downloads/file/10923/candidate_and_polling_station_details_for_swindon_north_constituency</t>
  </si>
  <si>
    <t>https://www.tamworth.gov.uk/sites/default/files/councillors_docs/03-Statement-of-Person-Nominated-Notice-of-Poll-and-Situation-of-Polling-Stations-UKPGE2024.pdf</t>
  </si>
  <si>
    <t>https://www.wirral.gov.uk/files/statement-persons-nominated-and-notice-poll-general-election.pdf</t>
  </si>
  <si>
    <t>https://www.warrington.gov.uk/sites/default/files/2024-06/Statement%20of%20Persons%20Nominated%20-%20Warrington%20South%20Constituency%20-%20June%202024.pdf</t>
  </si>
  <si>
    <t>https://www.watford.gov.uk/downloads/file/2269/uk-parliament-general-election-2024-statement-of-persons-nominated-and-notice-of-poll</t>
  </si>
  <si>
    <t>https://somersetcc.sharepoint.com/sites/SCCPublic/Council%20Democracy/Forms/AllItems.aspx?id=%2Fsites%2FSCCPublic%2FCouncil%20Democracy%2FGeneral%20Election%202024%2FNotice%20of%20Poll%20And%20Persons%20Nominated%20%2D%20Wells%20and%20Mendip%20Hills%2Epdf&amp;parent=%2Fsites%2FSCCPublic%2FCouncil%20Democracy%2FGeneral%20Election%202024&amp;p=true&amp;ga=1</t>
  </si>
  <si>
    <t>https://www.rbwm.gov.uk/media/3435/download/</t>
  </si>
  <si>
    <t>https://westoxon.gov.uk/media/0vvnyyxw/spn-nop-witney.pdf</t>
  </si>
  <si>
    <t>https://www.worcester.gov.uk/component/fileman/file/PDF%20Documents/Councillors%20and%20Democracy/Elections/2024/GE/Statement%20of%20Persons%20Nominated%20Worcester%20-%20UK%20General%20Election.pdf?routed=1&amp;container=fileman-files</t>
  </si>
  <si>
    <t>https://www.wyreforestdc.gov.uk/media/k20dw1st/20240607-sopn-nop-sops.pdf</t>
  </si>
  <si>
    <t>https://www.manchester.gov.uk/directory_record/466427/wythenshawe_and_sale_east</t>
  </si>
  <si>
    <t>People Before Profit</t>
  </si>
  <si>
    <t>https://www.south-ayrshire.gov.uk/media/12246/DOC-20240704-UKPGE-Notice-of-Poll-ACC/pdf/DOC_20240704_UKPGE_Notice_of_Poll_ACC.pdf?m=1717779296167</t>
  </si>
  <si>
    <t>https://www.east-ayrshire.gov.uk/Resources/PDF/E/elections2024/notice-of-poll-ukpge.pdf</t>
  </si>
  <si>
    <t>https://www.northlanarkshire.gov.uk/sites/default/files/2024-06/Notice%20of%20Poll%20Published%20AS.docx</t>
  </si>
  <si>
    <t>British Unionists</t>
  </si>
  <si>
    <t>https://www.angus.gov.uk/sites/default/files/2024-06/UKPE%202024%20Statement%20of%20Persons%20Nominated%2C%20Notice%20of%20Poll%20%26%20Situation%20of%20Polling%20Stations%20%E2%80%93%20Arbroath%20%26%20Broughty%20Ferry.pdf</t>
  </si>
  <si>
    <t>https://www.highland.gov.uk/downloads/file/28766/caithness_and_sutherland_and_easter_ross_notice_of_poll_ukpge</t>
  </si>
  <si>
    <t>https://dumgal.gov.uk/media/29498/Notice-of-poll-Dumfries-and-Galloway-County-Constituency/pdf/DGC-Notice_of_Poll_UK_Parliamentary_Election.pdf?m=1717779781213</t>
  </si>
  <si>
    <t>https://dumgal.gov.uk/media/29495/Notice-of-Poll-General-Election-2024-DCT/pdf/DCTNotice-of-Poll-UK-Parliamentary-Election-1.pdf?m=1717779252127</t>
  </si>
  <si>
    <t>https://www.glasgow.gov.uk/media/12221/Glasgow-East/pdf/EAST_-_SOPN_and_NOP.pdf?m=1717783262583</t>
  </si>
  <si>
    <t>https://www.glasgow.gov.uk/media/12222/Glasgow-North/pdf/NORTH_-_SOPN_and_NOP.pdf?m=1717783288533</t>
  </si>
  <si>
    <t>https://www.glasgow.gov.uk/media/12224/Glasgow-South-West/pdf/SOUTH_WEST_-_SOPN_and_NOP.pdf?m=1717783331807</t>
  </si>
  <si>
    <t>https://www.glasgow.gov.uk/media/12226/Glasgow-West/pdf/WEST_-_SOPN_and_NOP.pdf?m=1717783346610</t>
  </si>
  <si>
    <t>https://www.highland.gov.uk/downloads/file/28769/inverness_skye_and_west_ross_shire_notice_of_poll_ukpge</t>
  </si>
  <si>
    <t>https://www.westlothian.gov.uk/media/61688/Notice-of-Poll-Livingston/pdf/Notice_of_Poll_Livingston.pdf</t>
  </si>
  <si>
    <t>https://www.eastlothian.gov.uk/info/210600/elections_and_voting/12029/uk_parliamentary_election/4</t>
  </si>
  <si>
    <t>https://www.eastdunbarton.gov.uk/residents/council-democracy/elections-and-voting/uk-parliamentary-general-election-2024/notice-poll</t>
  </si>
  <si>
    <t>http://www.moray.gov.uk/downloads/file155741.pdf</t>
  </si>
  <si>
    <t>https://www.flintshire.gov.uk/en/PDFFiles/Council-Democracy/Elections-24/Statement-of-Persons-Nominated-and-Notice-of-Poll-Alyn-and-Deeside.pdf</t>
  </si>
  <si>
    <t>https://www.bridgend.gov.uk/media/5fbbwhc3/statement-of-persons-nominated-and-notice-of-poll.pdf</t>
  </si>
  <si>
    <t>https://www.cardiff.gov.uk/ENG/Your-Council/Voting-and-elections/Elections-Information/Upcoming-elections-and-polls/cardiff-east-constituency-notices/Pages/default.aspx</t>
  </si>
  <si>
    <t>https://www.ceredigion.gov.uk/your-council/voting-elections/election-for-a-member-of-parliament-for-the-ceredigion-preseli-constituency/</t>
  </si>
  <si>
    <t>https://www.flintshire.gov.uk/en/PDFFiles/Council-Democracy/Elections-24/Statement-of-Persons-Nominated-and-Notice-of-Poll-Clwyd-East.pdf</t>
  </si>
  <si>
    <t>https://www.gwynedd.llyw.cymru/en/Council/Voting-and-elections/Parliamentary-Elections.aspx</t>
  </si>
  <si>
    <t>https://www.swansea.gov.uk/noticesgeneralelection2024</t>
  </si>
  <si>
    <t>https://www.caerphilly.gov.uk/my-council/voting-and-elections/forthcoming-elections-2024/general-election-2024</t>
  </si>
  <si>
    <t>https://www.wrexham.gov.uk/service/current-elections-and-vacancies</t>
  </si>
  <si>
    <t>https://www.rushmoor.gov.uk/media/5xqgtahv/statement-of-persons-notice-of-poll-combined-updated.pdf</t>
  </si>
  <si>
    <t>Hampshire INDs</t>
  </si>
  <si>
    <t>https://www.ashfield.gov.uk/your-council/elections/election-notices/</t>
  </si>
  <si>
    <t>Ashfield Independents</t>
  </si>
  <si>
    <t>https://www.basingstoke.gov.uk/content/page/84022/Statement%20of%20Persons%20Nominated%20Notice%20of%20Poll%20and%20Situation%20of%20Polling%20Stations%20-%20Basingstoke%20Constituency.pdf</t>
  </si>
  <si>
    <t>https://www.waverley.gov.uk/Services/Council-information/Registering-to-vote-and-elections/Elections-2024/Farnham-and-Bordon-Parliamentary-General-Election-Thursday-4-July-2024</t>
  </si>
  <si>
    <t>https://www.fareham.gov.uk/pdf/about_the_council/elections/SOPN_and_NoticeOfPoll-Hamble_Valley.pdf</t>
  </si>
  <si>
    <t>https://www.basingstoke.gov.uk/content/page/84023/Statement%20of%20Persons%20Nominated%20Notice%20of%20Poll%20and%20Situation%20of%20Polling%20Stations%20-%20North%20West%20Hampshire%20constituency.pdf</t>
  </si>
  <si>
    <t>Hampshire Indepedents</t>
  </si>
  <si>
    <t>https://www.portsmouth.gov.uk/wp-content/uploads/2024/06/Statement-of-Persons-Nominated-and-Notice-of-Poll-Portsmouth-South.docx</t>
  </si>
  <si>
    <t>Portsmouth Independent Party</t>
  </si>
  <si>
    <t>https://www.n-kesteven.gov.uk/sites/default/files/2024-06/Statement%20of%20Persons%20Nominated%20and%20Notice%20of%20Poll.pdf</t>
  </si>
  <si>
    <t>https://www.trafford.gov.uk/about-your-council/elections/docs/2024/Notices/Statement-of-Persons-Nominated-and-Notice-of-Poll-Altrincham-and-Sale-West.pdf</t>
  </si>
  <si>
    <t>https://www.horsham.gov.uk/__data/assets/pdf_file/0008/136394/Statement-of-Persons-Nominated,-Notice-of-Poll-and-Situation-of-Polling-Stations-Arundel-and-South-Downs.pdf</t>
  </si>
  <si>
    <t>https://www.ashford.gov.uk/your-council/register-to-vote-and-elections/general-election-2024/ashford-parliamentary-constituency/ashford-statement-of-persons-nominated-and-notice-of-poll/</t>
  </si>
  <si>
    <t>Consensus</t>
  </si>
  <si>
    <t>https://tameside.moderngov.co.uk/mggeneric.aspx?MD=Election2024</t>
  </si>
  <si>
    <t>https://www.westmorlandandfurness.gov.uk/voting-and-elections/elections/general-election-july-2024</t>
  </si>
  <si>
    <t>https://westoxon.gov.uk/media/z0vodxkh/bicester-and-woodstock-sopn-nop-sops.pdf</t>
  </si>
  <si>
    <t>https://www.wirral.gov.uk/files/statement-persons-nominated-and-notice-poll-general-election.pdf/</t>
  </si>
  <si>
    <t>https://www.birmingham.gov.uk/download/downloads/id/29249/edgbaston_constituency_notice_of_poll_and_persons_nominated.pdf</t>
  </si>
  <si>
    <t>https://www.birmingham.gov.uk/download/downloads/id/29252/hodge_hill_and_solihull_north_constituency_notice_of_poll_and_persons_nominated.pdf</t>
  </si>
  <si>
    <t>https://www.birmingham.gov.uk/download/downloads/id/29253/ladywood_constituency_notice_of_poll_and_persons_nominated.pdf</t>
  </si>
  <si>
    <t>https://www.birmingham.gov.uk/download/downloads/id/29245/selly_oak_constituency_notice_of_poll_and_persons_nominated.pdf</t>
  </si>
  <si>
    <t>https://www.birmingham.gov.uk/download/downloads/id/29247/yardley_constituency_notice_of_poll_and_persons_nominated.pdf</t>
  </si>
  <si>
    <t>https://durham.gov.uk/media/44794/Statement-of-Persons-Nominated-with-Notice-of-Poll-and-Situation-of-Polling-Stations-Bishop-Auckland/pdf/StatementOfPersonsNominatedWithNoticeOfPollAndSituationOfPollingStations-BishopAuckland.pdf?m=1717777069690</t>
  </si>
  <si>
    <t>https://durham.gov.uk/media/44795/Statement-of-Persons-Nominated-with-Notice-of-Poll-and-Situation-of-Polling-Stations-Blaydon-and-Consett/pdf/StatementOfPersonsNominatedWithNoticeOfPollAndSituationOfPollingStations-BlaydonAndConsett.pdf?m=1717777184857</t>
  </si>
  <si>
    <t>https://www.arun.gov.uk/download.cfm?doc=docm93jijm4n20853.pdf&amp;ver=26660</t>
  </si>
  <si>
    <t>https://www.bolton.gov.uk/downloads/file/6020/general-election-2024-statement-of-persons-nominated-bolton-west</t>
  </si>
  <si>
    <t>https://sefton.gov.uk/media/8666/bootle_statement-of-persons-nominated.pdf</t>
  </si>
  <si>
    <t>https://www.braintree.gov.uk/downloads/file/3952/statement-of-persons-nominated-braintree</t>
  </si>
  <si>
    <t>https://legacy.brent.gov.uk/media/16421186/statement-of-persons-nominated-ukge24-brent-west.pdf?_ga=2.98603998.1319045725.1717779265-1551197769.1717779265</t>
  </si>
  <si>
    <t>https://www.brentwood.gov.uk/media/699</t>
  </si>
  <si>
    <t>https://www.brighton-hove.gov.uk/council-and-democracy/voting-and-elections/statement-persons-nominated-and-notice-poll-brighton-kemptown-and-peacehaven</t>
  </si>
  <si>
    <t>https://www.bristol.gov.uk/files/documents/7825-bristol-central-nop/file</t>
  </si>
  <si>
    <t>https://www.bristol.gov.uk/files/documents/7822-bristol-north-west-nop/file</t>
  </si>
  <si>
    <t>https://www.bristol.gov.uk/files/documents/7823-bristol-south-nop/file</t>
  </si>
  <si>
    <t>https://www.bromley.gov.uk/downloads/file/2471/statement-of-persons-nominated-bromley-and-biggin-hill-constituency</t>
  </si>
  <si>
    <t>https://www.milton-keynes.gov.uk/sites/default/files/2024-06/Statement%20of%20Persons%20Nominated%202024.zip</t>
  </si>
  <si>
    <t>https://www.eaststaffsbc.gov.uk/sites/default/files/docs/elections/Statement_of_Persons_Nominated_PGE_2024.pdf</t>
  </si>
  <si>
    <t>https://www.canterbury.gov.uk/sites/default/files/2024-06/Statement%20of%20persons%20nominated%20-%20Canterbury.pdf</t>
  </si>
  <si>
    <t>https://www.middevon.gov.uk/your-council/voting-elections/2024-elections/uk-parliament-general-election/statement-of-persons-nominated-notice-of-poll-situation-of-polling-stations-uk-parliamentary-election/</t>
  </si>
  <si>
    <t>https://www.cheshirewestandchester.gov.uk/asset-library/your-council/elections/general-election-2024/SOPN-NoP-SoP-CSE-UKPGE.pdf</t>
  </si>
  <si>
    <t>https://www.chichester.gov.uk/media/39764/Statement-of-Persons-Nominated-and-Notice-of-Poll/doc/Statement_of_Persons_Nominated_and_Notice_of_Poll.docx?m=1717776226233</t>
  </si>
  <si>
    <t>https://www.walthamforest.gov.uk/sites/default/files/2024-06/Statement%20of%20Persons%20Nominated%20and%20Notice%20of%20Poll%20%20UK%20Parliamentary%20General%20Election%202024%20for%20Chingford%20and%20Woodford%20Green.pdf</t>
  </si>
  <si>
    <t>https://www.wiltshire.gov.uk/media/13494/Statement-of-Persons-Nominated-Notice-of-Poll-and-Situation-of-Polling-Stations-Chippenham-Constituency/pdf/SoPN_-_NoP_-_SoPS_-_Chippenham_Constituency.pdf?m=1717776672323</t>
  </si>
  <si>
    <t>https://durham.gov.uk/media/44796/Statement-of-Persons-Nominated-with-Notice-of-Poll-and-Situation-of-Polling-Stations-City-of-Durham/pdf/StatementOfPersonsNominatedWithNoticeOfPollAndSituationOfPollingStations-CityOfDurham.pdf?m=1717777313833</t>
  </si>
  <si>
    <t>https://cbccrmdata.blob.core.windows.net/noteattachment/CBC-null-Notice-of-Poll-Statement-of-Persons-Nominated-and-Situations-of-Polling-Station-Notice%20of%20Poll%20Statement%20of%20Persons%20Nominated%20&amp;%20Situations%20of%20Polling%20Station.pdf</t>
  </si>
  <si>
    <t>https://www.kirklees.gov.uk/beta/voting-and-elections/statement-of-persons-nominated.aspx</t>
  </si>
  <si>
    <t>https://www.northnorthants.gov.uk/elections-and-voting/upcoming-elections/uk-general-election-thursday-4-july-2024/general-election-0</t>
  </si>
  <si>
    <t>https://www.coventry.gov.uk/elections-voting/uk-parliamentary-general-election-2024/7</t>
  </si>
  <si>
    <t>https://www.lbbd.gov.uk/sites/default/files/2024-06/SOPN%20-%20DR%202024.pdf</t>
  </si>
  <si>
    <t>https://www.southandvale.gov.uk/wp-content/uploads/2024/06/Statement-of-Persons-Nominated-Didcot-and-Wantage.pdf</t>
  </si>
  <si>
    <t>https://www.doncaster.gov.uk/Documents/DocumentView/Stream/Media/Default/Council%20and%20Democracy/Elections/Doncaster%20East%20and%20the%20Isle%20of%20Axholme%20-%20Statement%20of%20Persons%20Nominated%20Notice%20of%20Poll.pdf</t>
  </si>
  <si>
    <t>https://www.wychavon.gov.uk/component/fileman/file/Documents/Elections/elections/2024/Statement%20of%20Persons%20Nominated%2C%20Notice%20of%20Poll%20and%20Situation%20of%20Polling%20Stations.pdf?routed=1&amp;container=fileman-files</t>
  </si>
  <si>
    <t>https://www.lambeth.gov.uk/sites/default/files/2024-06/Statement%20of%20Persons%20Nominated%2C%20Notice%20of%20Poll%20and%20SOPS%20Dulwich%20and%20West%20Norwood.pdf</t>
  </si>
  <si>
    <t>https://centralbedfordshirecouncil.sharepoint.com/:b:/s/Communications/ET7p3Ui3UbdHkjdiBRTBLIkBE52ZboyIei6ZsG97JbFKvw?e=ZwyicP</t>
  </si>
  <si>
    <t>https://durham.gov.uk/media/44797/Statement-of-Persons-Nominated-with-Notice-of-Poll-and-Situation-of-Polling-Stations-Easington/pdf/StatementOfPersonsNominatedWithNoticeOfPollAndSituationOfPollingStations-Easington.pdf?m=1717777390120</t>
  </si>
  <si>
    <t>The North East Party</t>
  </si>
  <si>
    <t>https://www.midsussex.gov.uk/media/uxintccw/east-grinstead-and-uckfield-sopn-nop.pdf</t>
  </si>
  <si>
    <t>https://www.wiltshire.gov.uk/media/13495/Statement-of-Persons-Nominated-Notice-of-Poll-and-Situation-of-Polling-Stations-East-Wiltshire-Constituency/pdf/SoPN__NoP__SoPS_-_East_Wiltshire_Constituency.pdf?m=1717776803247</t>
  </si>
  <si>
    <t>https://www.lewes-eastbourne.gov.uk/media/3894/Notice-of-Poll-Statement-of-Persons-Nominated-and-Situation-of-Polling-Stations-Eastbourne-Constituency-4th-July-2024/pdf/Notice_of_Poll__Statement_of_Persons_Nominated_and_Situation_of_Polling_stations_-_Eastbourne_Consti.pdf?m=1717777807740</t>
  </si>
  <si>
    <t>https://www.eastleigh.gov.uk/media/14503/statement-of-persons-nominated-and-notice-of-poll.pdf</t>
  </si>
  <si>
    <t>https://www.cheshirewestandchester.gov.uk/asset-library/your-council/elections/general-election-2024/SOPN-NoP-SoP-EPB-UKPGE.pdf</t>
  </si>
  <si>
    <t>https://www.eppingforestdc.gov.uk/wp-content/uploads/2024/06/EC-SOPN-NOP-M-SOPS.pdf</t>
  </si>
  <si>
    <t>https://www.erewash.gov.uk/elections-section/2024-general-election.html</t>
  </si>
  <si>
    <t>https://www.elmbridge.gov.uk/sites/default/files/2024-06/Statement%20of%20Persons%20Nominated%20and%20Notice%20of%20Poll%20Esher%20and%20Walton.pdf</t>
  </si>
  <si>
    <t>https://docs.maidstone.gov.uk/elections-2024/general-election-2024/SPN-and-NP-Faversham-and-Mid-Kent.pdf</t>
  </si>
  <si>
    <t>https://www.fdean.gov.uk/media/us5i5w3h/statement-of-persons-nominated-notice-of-poll.pdf</t>
  </si>
  <si>
    <t>https://www.west-lindsey.gov.uk/sites/default/files/2024-06/Statement%20of%20Persons%20Nominated%2C%20Notice%20of%20Poll%20and%20Situation%20of%20Polling%20Stations.pdf</t>
  </si>
  <si>
    <t>https://www.gedling.gov.uk/elections/ukparliamentarygeneralelection-4july2024/statementofpersonsnominated/</t>
  </si>
  <si>
    <t>https://www.waverley.gov.uk/Portals/0/Documents/services/council-information/voting-and-elections/Statement%20of%20Persons%20Nominated.pdf?ver=kpIxPWMzYh1PJV-f6k_swQ%3d%3d</t>
  </si>
  <si>
    <t>https://www.eastriding.gov.uk/url-directory/election-notices/?entry=595</t>
  </si>
  <si>
    <t>https://www.manchester.gov.uk/directory_record/466430/gorton_and_denton</t>
  </si>
  <si>
    <t>https://www.guildford.gov.uk/media/36126/Statement-of-Persons-Nominated-Notice-of-Poll-Situation-of-Polling-Stations-Guildford-Constituency/pdf/NOP__SOPN___SOPS_070624.pdf?m=1717775860983</t>
  </si>
  <si>
    <t>https://www.harborough.gov.uk/download/downloads/id/8517/statement_of_persons_nominated_and_notice_of_poll_-_harborough_oadby_and_wigston.pdf</t>
  </si>
  <si>
    <t>https://www.harlow.gov.uk/sites/default/files/documents/Statement%20of%20persons%20nominated%2C%20notice%20of%20poll%20and%20situation%20of%20polling%20stations%20-%20general%20election.pdf</t>
  </si>
  <si>
    <t>https://www.havant.gov.uk/sites/default/files/2024-06/Statement%20of%20Person%27s%20Nominated%20%26%20Notice%20of%20Poll%20UKPGE.pdf</t>
  </si>
  <si>
    <t>https://www.hillingdon.gov.uk/media/14280/Statement-of-persons-nominated---Hayes-and-Harlington/pdf/5jStatement-of-Persons-Nominated-Hayes-and-Harlington-2024.pdf?m=1717773488060</t>
  </si>
  <si>
    <t>https://assets.ctfassets.net/ii3xdrqc6nfw/3KxhFF5hSF8WsV7GjWNiHr/d3989e0e4be2ed4cb41028c8b3bbf13e/Hazel_Grove_Statement_of_Persons_Nominated___Notice_of_Poll.pdf</t>
  </si>
  <si>
    <t>https://www.herefordshire.gov.uk/downloads/file/26575/statement-of-persons-nominated-and-notice-of-poll-hereford-and-south-herefordshire</t>
  </si>
  <si>
    <t>https://www.hertsmere.gov.uk/Documents/11-Your-Council/Democracy-Elections/2024-UKPGE/NoticeOfPollAndPersonsNominatedAndPollingLocations-2024-06-06-17-04.pdf</t>
  </si>
  <si>
    <t>https://www.northumberland.gov.uk/NorthumberlandCountyCouncil/media/Councillors-and-Democracy/2%20may%202024%20elections/Statement-of-Persons-Nominated-and-Notice-of-Poll-Hexham.pdf</t>
  </si>
  <si>
    <t>https://www.hinckley-bosworth.gov.uk/download/downloads/id/8262/notice_of_election_for_hinckley_and_bosworth.docx</t>
  </si>
  <si>
    <t>https://www.north-herts.gov.uk/sites/default/files/2024-06/SOPN%20%26%20NoP%20-%20Hitchin%20-%2007.06.2024.pdf</t>
  </si>
  <si>
    <t>https://www.havering.gov.uk/downloads/file/6635/hornchurch_and_upminster_statement_of_persons_nominated_notice_of_poll_and_situation_of_polling_stations_-_4_july_2024_general_election</t>
  </si>
  <si>
    <t>https://www.brighton-hove.gov.uk/council-and-democracy/voting-and-elections/statement-persons-nominated-and-notice-poll-hove-and-portslade</t>
  </si>
  <si>
    <t>https://www.huntingdonshire.gov.uk/media/osgnhftp/statement-of-persons-nominated-and-notice-of-poll-huntingdon-constituency-4-july-2024.pdf</t>
  </si>
  <si>
    <t>https://www.redbridge.gov.uk/media/12279/sopn-nop-and-situation-of-polling-stations-ilford-north.pdf</t>
  </si>
  <si>
    <t>https://iwc.iow.gov.uk/documentlibrary/download/statement-of-persons-nominated-and-notice-of-poll-isle-of-wight-east</t>
  </si>
  <si>
    <t>https://iwc.iow.gov.uk/documentlibrary/download/statement-of-persons-nominated-and-notice-of-poll-isle-of-wight-west</t>
  </si>
  <si>
    <t>https://www.southtyneside.gov.uk/media/8076/Statement-of-persons-nominated-and-notice-of-poll-Jarrow-and-Gateshead-East-Constituency/pdf/Statement_of_Persons_Nominated_and_Notice_of_Poll_-_Jarrow_and_Gateshead_East.pdf?m=1717781203250</t>
  </si>
  <si>
    <t>https://www.hull.gov.uk/downloads/file/3393/Statement_of_Persons_Nominated_and_Notice_of_Poll___Kingston_upon_Hull_West_and_Haltemprice.pdf</t>
  </si>
  <si>
    <t>https://www.sstaffs.gov.uk/sites/default/files/2024-06/SOPN_NOP_Kingswinford%20and%20South%20Staffordshire.pdf</t>
  </si>
  <si>
    <t>https://www.wigan.gov.uk/Docs/PDF/Council/Voting-and-Elections/2024/General-Election/Statement-Of-Persons-Nominated-Leigh-and-Atherton.pdf</t>
  </si>
  <si>
    <t>https://www.lewes-eastbourne.gov.uk/media/3892/Notice-of-Poll-Statement-of-Persons-Nominated-and-Situation-of-Polling-Stations-UK-Parliamentary-Election-4-July-2024/pdf/Notice_of_Poll__Statement_of_Persons_Nominated_and_Situation_of_Polling_Stations_-_UK_Parliamentary_.pdf?m=1717777713720</t>
  </si>
  <si>
    <t>https://liverpool.gov.uk/media/edioj3tt/statement-of-person-nominated-liverpool-walton.docx</t>
  </si>
  <si>
    <t>https://liverpool.gov.uk/media/eoyjixh4/statement-of-persons-nominated-liverpool-west-derby.docx</t>
  </si>
  <si>
    <t>https://www.wigan.gov.uk/Docs/PDF/Council/Voting-and-Elections/2024/General-Election/Statement-Of-Persons-Nominated-Makerfield.pdf</t>
  </si>
  <si>
    <t>https://www.midsussex.gov.uk/media/ji1bj0rd/mid-sussex-sopn-nop.pdf</t>
  </si>
  <si>
    <t>https://www.cotswold.gov.uk/media/bo3iq5v1/statement-of-persons-nominated-and-notice-of-poll-north-cotswolds.pdf</t>
  </si>
  <si>
    <t>https://www.northdevon.gov.uk/council/voting-and-elections/current-election-information</t>
  </si>
  <si>
    <t>https://www.ne-derbyshire.gov.uk/documents/statement-of-persons-nominated-and-notice-of-poll-300kb-pdf/download</t>
  </si>
  <si>
    <t>https://www.herefordshire.gov.uk/downloads/file/26576/statement-of-persons-nominated-and-notice-of-poll-north-herefordshire</t>
  </si>
  <si>
    <t>https://www.shropshire.gov.uk/media/28057/sopn-north-shropshire.pdf</t>
  </si>
  <si>
    <t>https://n-somerset.gov.uk/sites/default/files/2024-06/7%20Jun%20-%20statement%20of%20persons%20nominated%2C%20notice%20of%20poll%20and%20location%20of%20polling%20stations%20-%20North%20Somerset%20constituency.pdf</t>
  </si>
  <si>
    <t>https://www.southnorfolkandbroadland.gov.uk/downloads/file/7045/statement-of-persons-nominated-notice-of-poll-and-situation-of-polling-stations-norwich-north</t>
  </si>
  <si>
    <t>https://www.northwarks.gov.uk/downloads/file/1383/statement-of-persons-nominated-and-notice-of-poll-nuneaton</t>
  </si>
  <si>
    <t>https://www.bromley.gov.uk/downloads/file/2473/statement-of-persons-nominated-orpington-constituency</t>
  </si>
  <si>
    <t>WF UKPGE SOPN Notice Of Poll - Ossett and Denby Dale (wakefield.gov.uk)</t>
  </si>
  <si>
    <t>https://www.wakefield.gov.uk/media/ptwis0dz/wf-ukpge-sopn-notice-of-poll-pontefract-castleford-knottingley.docx</t>
  </si>
  <si>
    <t>https://www.rotherham.gov.uk/elections-voting/parliamentary-general-election-4-july-2024/3</t>
  </si>
  <si>
    <t>https://www.redcar-cleveland.gov.uk/sites/default/files/2024-06/Statement%20of%20Persons%20Nominated%20including%20Notice%20of%20Poll%20and%20Situation%20of%20Polling%20Stations%20-%20Redcar.pdf</t>
  </si>
  <si>
    <t>https://www.redditchbc.gov.uk/media/edul1033/sopn-nop-and-sops-redditch.pdf</t>
  </si>
  <si>
    <t>https://www.ribblevalley.gov.uk/downloads/file/4146/statement-of-persons-nominated-and-notice-of-poll-ribble-valley-parliamentary-04-july-2024</t>
  </si>
  <si>
    <t>https://www.rochdale.gov.uk/downloads/download/1027/statement-of-persons-nominated---rochdale</t>
  </si>
  <si>
    <t>https://www.testvalley.gov.uk/aboutyourcouncil/localdemocracy/elections/general-election?chapter=5</t>
  </si>
  <si>
    <t>https://www.rossendale.gov.uk/downloads/file/18480/spn-and-nop-parliamentary-election-4-july-2024</t>
  </si>
  <si>
    <t>https://www.rutland.gov.uk/sites/default/files/2024-06/StatementOfPersonsNominated_2024-06-07%2016-14.pdf</t>
  </si>
  <si>
    <t>https://sefton.gov.uk/media/8668/sefton-central_statement-of-persons-nominated.pdf</t>
  </si>
  <si>
    <t>https://www.solihull.gov.uk/councillors-and-democracy/general-election-2024</t>
  </si>
  <si>
    <t>https://www.scambs.gov.uk/media/sb3jcr3a/statement-of-persons-nominated-south-cambs.pdf</t>
  </si>
  <si>
    <t>https://www.southhams.gov.uk/south-devon</t>
  </si>
  <si>
    <t>https://www.sholland.gov.uk/media/25048/Statement-of-Persons-Nominated-and-Notice-of-Poll/pdf/Statement_of_Persons_Nominated_and_Notice_of_Poll.pdf?m=1717775838137</t>
  </si>
  <si>
    <t>https://www.southtyneside.gov.uk/media/8077/Statement-of-persons-nominated-and-notice-of-poll-South-Shields-Constituency/pdf/Statement_of_Persons_Nominated_and_Notice_of_Poll_-_South_Shields.pdf?m=1717781268493</t>
  </si>
  <si>
    <t>https://www.southampton.gov.uk/media/m55dzuke/ukpge-2024_itchen_sopn_nop_sops.pdf</t>
  </si>
  <si>
    <t>https://sefton.gov.uk/media/8664/southport_statement-of-persons-nominated.pdf</t>
  </si>
  <si>
    <t>https://www.spelthorne.gov.uk/media/26863/Statement-of-Persons-Nominated-for-the-UK-Parliamentary-General-Election-to-be-held-on-Thursday-4-July-2024/pdf/Statement_of_Persons_Nominated_-_UKPGE.pdf?m=1717781107160</t>
  </si>
  <si>
    <t>https://www.sthelens.gov.uk/media/8478/Statement-of-Persons-Nominated-and-Notice-of-Poll-St-Helens-North/pdf/St_Helens_North_-_Statment_of_Persons_Nominated_and_Notice_of_Poll.pdf?m=1717777136100</t>
  </si>
  <si>
    <t>https://www.sthelens.gov.uk/media/8437/Notice-of-Election-St-Helens-South-Whiston-2024/pdf/S___W_Notice_of_election_UKPGE_EA22_1.pdf?m=1717409562397</t>
  </si>
  <si>
    <t>https://www.stevenage.gov.uk/documents/general-election-2024/ukpge-combined-statement-of-persons-nominated-notice-of-poll-situation-of-polling-stations.pdf</t>
  </si>
  <si>
    <t>https://www.stoke.gov.uk/download/downloads/id/2505/north_sopn_and_nop.pdf</t>
  </si>
  <si>
    <t>https://www.sstaffs.gov.uk/sites/default/files/2024-06/SOPN__NOP_Stone%2C%20Great%20Wyrley%20and%20Penkridge.pdf</t>
  </si>
  <si>
    <t>https://www.dudley.gov.uk/media/2juhyitu/statement-of-persons-nominated-notice-of-poll-and-situation-of-polling-stations-stourbridge-borough-constituency.pdf</t>
  </si>
  <si>
    <t>https://www.surreyheath.gov.uk/sites/default/files/2024-06/Statement%20of%20Persons%20Nominated%2C%20Notice%20of%20Poll%20and%20Situation%20of%20Polling%20Stations.pdf</t>
  </si>
  <si>
    <t>https://www.sutton.gov.uk/documents/d/guest/notice-statement-of-persons-nominated-and-situation-of-poll</t>
  </si>
  <si>
    <t>https://www.birmingham.gov.uk/download/downloads/id/29254/sutton_coldfield_constituency_notice_of_poll_and_persons_nominated.pdf</t>
  </si>
  <si>
    <t>https://www.swindon.gov.uk/downloads/file/10925/candidate_and_polling_station_details_for_swindon_south_constituency</t>
  </si>
  <si>
    <t>https://somersetcc.sharepoint.com/sites/SCCPublic/Council%20Democracy/Forms/AllItems.aspx?id=%2Fsites%2FSCCPublic%2FCouncil%20Democracy%2FGeneral%20Election%202024%2FSOPN%20Taunton%20%26%20Wellington%2Epdf&amp;parent=%2Fsites%2FSCCPublic%2FCouncil%20Democracy%2FGeneral%20Election%202024&amp;p=true&amp;ga=1</t>
  </si>
  <si>
    <t>https://tewkesbury.gov.uk/wp-content/uploads/2024/06/Statement-of-Persons-Nominated-and-Notice-of-Poll.pdf</t>
  </si>
  <si>
    <t>https://www.telford.gov.uk/download/downloads/id/27533/statement_of_persons_nominated_and_notice_of_poll_wrekin.pdf</t>
  </si>
  <si>
    <t>https://www.northyorks.gov.uk/sites/default/files/2024-06/SPN%20Thirsk%20and%20Malton%2007.06.2024.pdf</t>
  </si>
  <si>
    <t>https://www.torbay.gov.uk/council/voting-and-elections/elections/parliamentary/statement-of-persons-nominated-and-notice-of-poll/</t>
  </si>
  <si>
    <t>https://www.torridge.gov.uk/media/27394/Statement-of-Persons-Nominated-and-Notice-of-Poll-and-Situation-of-Polling-Station/pdf/Statement_of_Persons_Nominated_and_Notice_of_Poll_and_Situation_of_Polling_Station.pdf?m=1717774883100</t>
  </si>
  <si>
    <t>https://tunbridgewells.gov.uk/council/voting-and-elections/elections/general-election/sopn</t>
  </si>
  <si>
    <t>https://www.richmond.gov.uk/media/xtdnpcva/statement_of_persons_nominated_notice_of_poll_twickenham_2024.pdf</t>
  </si>
  <si>
    <t>https://www.lambeth.gov.uk/sites/default/files/2024-06/Statement%20of%20Persons%20Nominated%2C%20Notice%20of%20Poll%20and%20SOPS%20-Vauxhall%20and%20Camberwell%20Green.pdf</t>
  </si>
  <si>
    <t>https://go.walsall.gov.uk/sites/default/files/2024-06/Statment%20of%20Persons%20Nominated%20WB.pdf</t>
  </si>
  <si>
    <t>https://www.warrington.gov.uk/sites/default/files/2024-06/Statement%20of%20Persons%20Nominated%20-%20Warrington%20North%20Constituency%20-%20June%202024.pdf</t>
  </si>
  <si>
    <t>https://www.warwickdc.gov.uk/info/20660/general_elections/1964/general_election_2024/2</t>
  </si>
  <si>
    <t>https://www.sunderland.gov.uk/media/32741/Statement-of-Persons-Nominated-Notice-of-Poll-and-Situation-of-Polling-Stations-UK-PGE-WGS-4-July-2024/pdf/Statement_of_Persons_Nominated__Notice_of_Poll_and_Situation_of_Polling_Stations_-_WGS_2024_06_07_rs.pdf?m=1717769120743</t>
  </si>
  <si>
    <t>https://www.midsuffolk.gov.uk/documents/d/asset-library-54706/waveney-valley-nop-sopn-sops</t>
  </si>
  <si>
    <t>https://www.northnorthants.gov.uk/elections-and-voting/upcoming-elections/uk-general-election-thursday-4-july-2024/general-election-3</t>
  </si>
  <si>
    <t>https://www.malvernhills.gov.uk/component/fileman/file/Documents/Elections/2024/SoPN%2C%20Notice%20of%20Poll%20and%20Situation%20of%20Polling%20Stations.pdf?routed=1&amp;container=fileman-files</t>
  </si>
  <si>
    <t>https://www.northyorks.gov.uk/sites/default/files/2024-06/SPN%20Wetherby%20and%20Easingwold%2007.06.2024.pdf</t>
  </si>
  <si>
    <t>https://www3.halton.gov.uk/Documents/council%20and%20democracy/elections/GE2024/WidnesandHalewoodSOPNandNOP.pdf</t>
  </si>
  <si>
    <t>https://www.braintree.gov.uk/downloads/file/3953/statement-of-persons-nominated-witham</t>
  </si>
  <si>
    <t>Representing The People Not A Party</t>
  </si>
  <si>
    <t>https://www.woking.gov.uk/sites/default/files/documents/council-and-democracy/elections/Statement%20of%20Persons%20Nominated%20and%20Notice%20of%20Poll.pdf</t>
  </si>
  <si>
    <t>https://www.wolverhampton.gov.uk/sites/default/files/2024-06/Statement%20of%20Persons%20Nominated%20and%20Notice%20of%20Poll%20-%20Wolverhampton%20South%20East.pdf</t>
  </si>
  <si>
    <t>https://www.adur-worthing.gov.uk/media/Media,171611,smxx.pdf</t>
  </si>
  <si>
    <t>https://somersetcc.sharepoint.com/sites/SCCPublic/Council%20Democracy/Forms/AllItems.aspx?id=%2Fsites%2FSCCPublic%2FCouncil%20Democracy%2FGeneral%20Election%202024%2FStatement%20of%20Persons%20Nominated%20%28UKPGE2024%29%20%2D%20YEOVIL%2Epdf&amp;parent=%2Fsites%2FSCCPublic%2FCouncil%20Democracy%2FGeneral%20Election%202024&amp;p=true&amp;ga=1</t>
  </si>
  <si>
    <t>Cross Community Labour Alternative, Aontú</t>
  </si>
  <si>
    <t>https://www.midlothian.gov.uk/info/799/elections_and_voting/813/general_election_2024/2</t>
  </si>
  <si>
    <t>Scottish Libertarian</t>
  </si>
  <si>
    <t>https://www.orkney.gov.uk/Files/Council/Elections/General%20Election%202024/Notice%20of%20Poll%20for%20Orkney%20and%20Shetland%20Constituency%202024.pdf</t>
  </si>
  <si>
    <t>https://www.angus.gov.uk/sites/default/files/2024-06/UKPE%202024%20Statement%20of%20Persons%20Nominated%2C%20Notice%20of%20Poll%20and%20Situation%20of%20Polling%20Stations%20%E2%80%93%20Angus%20%26%20Perthshire%20Glens_0.pdf</t>
  </si>
  <si>
    <t>https://www.argyll-bute.gov.uk/sites/default/files/2024-06/Statement%20of%20Persons%20and%20Notice-of-poll-UKPGE.pdf</t>
  </si>
  <si>
    <t>https://www.northlanarkshire.gov.uk/sites/default/files/2024-06/Notice%20of%20Poll%20Published%20CKKE.docx</t>
  </si>
  <si>
    <t>https://www.southlanarkshire.gov.uk/info/200237/elections/2221/uk_parliamentary_general_election_thursday_4_july_2024/4</t>
  </si>
  <si>
    <t>https://www.fife.gov.uk/__data/assets/word_doc/0035/588536/UKPE2024-Notice-Of-Poll-NEF.docx</t>
  </si>
  <si>
    <t>https://www.renfrewshire.gov.uk/media/16575/Statement-of-Persons-Nominated-including-Notice-of-Poll-and-Situation-of-Polling-Stations-for-Paisley-and-Renfrewshire-North-Constituency/pdf/FINAL_Notice_of_Poll___Sit_of_Polling_Places_-_PR_NORTH.pdf?m=1717777758577</t>
  </si>
  <si>
    <t>https://www.pkc.gov.uk/media/52796/Statement-of-Persons-Nominated-and-Notice-of-Poll/pdf/Statement_of_Person_Nominated_and_Notice_of_Poll.pdf?m=1717778731237</t>
  </si>
  <si>
    <t>https://www.stirling.gov.uk/media/kdip5qr1/notice-of-poll-ukpge.pdf</t>
  </si>
  <si>
    <t>https://www.cardiff.gov.uk/ENG/Your-Council/Voting-and-elections/Elections-Information/Upcoming-elections-and-polls/cardiff-north-constituency-notices/Pages/default.aspx</t>
  </si>
  <si>
    <t>https://www.cardiff.gov.uk/ENG/Your-Council/Voting-and-elections/Elections-Information/Upcoming-elections-and-polls/cardiff-south-penarth-constituency-notices/Pages/default.aspx</t>
  </si>
  <si>
    <t>https://www.denbighshire.gov.uk/en/your-council/voting-and-elections/parliamentary-elections-general-elections.aspx</t>
  </si>
  <si>
    <t>https://beta.npt.gov.uk/council-democracy-elections/elections-and-voting/uk-parliamentary-election-2024/notices/statement-as-to-persons-nominated-and-notice-of-poll/neath-and-swansea-east-constituency/</t>
  </si>
  <si>
    <t>https://go.walsall.gov.uk/sites/default/files/2024-06/Statment%20of%20persons%20nominated%20and%20notice%20of%20poll%20AB.pdf</t>
  </si>
  <si>
    <t>https://www.ambervalley.gov.uk/media/1292/20240607-sopn-notice-of-poll-sops-amber-valley-constituency.pdf</t>
  </si>
  <si>
    <t>https://www.bassetlaw.gov.uk/council-and-democracy/elections-in-bassetlaw/uk-parliamentary-general-election/statement-of-persons-nominated-notice-of-poll-and-situation-of-polling-stations-bassetlaw-parliamentary-constituency/</t>
  </si>
  <si>
    <t>https://www.bromley.gov.uk/downloads/file/2472/statement-of-persons-nominated-beckenham-and-penge-constituency</t>
  </si>
  <si>
    <t>https://www.bexley.gov.uk/sites/default/files/2024-06/notice-of-election-of-a-member-of-parliament-for-bexleyheath-and-crayford.pdf</t>
  </si>
  <si>
    <t>https://www.manchester.gov.uk/directory_record/466429/blackley_and_middleton_south</t>
  </si>
  <si>
    <t>https://www.northumberland.gov.uk/NorthumberlandCountyCouncil/media/Councillors-and-Democracy/2%20may%202024%20elections/Statement-of-Persons-Nominated-and-Notice-of-Poll-Blyth-and-Ashington.pdf</t>
  </si>
  <si>
    <t>https://www.bolsover.gov.uk/index.php?option=com_content&amp;view=article&amp;id=1248</t>
  </si>
  <si>
    <t>https://www.southnorfolkandbroadland.gov.uk/downloads/file/7044/statement-of-persons-nominated-notice-of-poll-and-situation-of-polling-stations-broadland-and-fakenham</t>
  </si>
  <si>
    <t>https://www.cannockchasedc.gov.uk/sites/default/files/document-library/SOPN%20%20NOP%20final%20A3%20portrait%20%28002%29.pdf</t>
  </si>
  <si>
    <t>https://www.castlepoint.gov.uk/download.cfm?doc=docm93jijm4n8183.pdf&amp;ver=13924</t>
  </si>
  <si>
    <t>https://www.cheltenham.gov.uk/info/17/elections_and_voting/1834/statement_of_persons_nominated_and_notice_of_poll_for_the_uk_parliamentary_election_july_2024</t>
  </si>
  <si>
    <t>https://www.cheshirewestandchester.gov.uk/asset-library/your-council/elections/general-election-2024/SOPN-NoP-SoP-CNN-UKPGE.pdf</t>
  </si>
  <si>
    <t>https://chorley.gov.uk/media/3390/Persons-Nominated-and-Notice-of-Poll-and-Polling-Locations-2024/pdf/Persons_Nominated_and_Notice_of_Poll_and_Polling_Locations_2024.pdf?m=1717778284623</t>
  </si>
  <si>
    <t>SPEAKER, Democracy for Chorley &amp; English Constitution Party, Independence for England</t>
  </si>
  <si>
    <t>https://www.darlington.gov.uk/media/21186/darlington-constituency-statement-of-persons-nominated-notice-of-poll-and-situation-of-polling-stations.pdf</t>
  </si>
  <si>
    <t>https://www.dartford.gov.uk/downloads/file/2314/notice-of-poll-persons-nominated-and-polling-locations</t>
  </si>
  <si>
    <t>https://molevalleydc.sharepoint.com/sites/MVDCDocumentLibrary/Shared%20Documents/Forms/AllItems.aspx?ga=1&amp;id=%2Fsites%2FMVDCDocumentLibrary%2FShared%20Documents%2FMVDC%20Document%20Library%2FCouncillors%20%26%20Decision%20Making%2FElections%2FUKPGE%202024%2FStatement%20of%20Persons%20Nominated%20and%20Notice%20of%20Poll&amp;viewid=bde92b27%2D8cd8%2D42af%2D9705%2Dd3e0059ee82f</t>
  </si>
  <si>
    <t>https://www.wokingham.gov.uk/sites/wokingham/files/2024-06/Statement%20of%20Persons%20Nominated%20-%20Notice%20of%20Poll%20%20Situation%20of%20Polling%20Stations%20for%20Earley%20and%20Woodley%20constituency.pdf</t>
  </si>
  <si>
    <t>https://beta.southglos.gov.uk/static/001ab7b6905c7e1be9fb3c022fb4e79e/Statement_of_Persons_Nominated_FABS_7_June_2024.pdf</t>
  </si>
  <si>
    <t>https://somersetcc.sharepoint.com/sites/SCCPublic/Council%20Democracy/Forms/AllItems.aspx?id=%2Fsites%2FSCCPublic%2FCouncil%20Democracy%2FGeneral%20Election%202024%2FStatement%20of%20Persons%20Nominated%20%28UKPGE2024%29%20%2D%20GLASTONBURY%20AND%20SOMERTON%2Epdf&amp;parent=%2Fsites%2FSCCPublic%2FCouncil%20Democracy%2FGeneral%20Election%202024&amp;p=true&amp;ga=1</t>
  </si>
  <si>
    <t>https://www.gravesham.gov.uk/downloads/file/704/statement-of-persons-nominated-and-situation-of-polling-stations-gravesham-constituency-</t>
  </si>
  <si>
    <t>https://www.dudley.gov.uk/media/0jwbrsx1/statement-of-persons-nominated-notice-of-poll-and-situation-of-polling-stations-halesowen-borough-constituency.pdf</t>
  </si>
  <si>
    <t>https://legacy.tendringdc.gov.uk/sites/default/files/documents/council/elections%20%26%20voting/2024/UKPGE%20-%20NOP%20SOP%20SOPN%202024%20HNE.pdf</t>
  </si>
  <si>
    <t>https://www.dacorum.gov.uk/docs/default-source/council-democracy/elections-and-voting/statement-of-persons-nominated-and-notice-of-poll---hemel-hempstead-(pdf-22kb).pdf?sfvrsn=7e251e9e_5</t>
  </si>
  <si>
    <t>https://www.canterbury.gov.uk/sites/default/files/2024-06/Statement%20of%20persons%20nominated%20-%20Herne%20Bay%20and%20Sandwich.pdf</t>
  </si>
  <si>
    <t>https://www.rochdale.gov.uk/downloads/file/2388/statement-of-persons-nominated-heywood-and-middleton-north</t>
  </si>
  <si>
    <t>https://www.highpeak.gov.uk/media/9290/Statement-of-Persons-Nominated-Notice-of-Poll-and-Situation-of-Polling-Stations/pdf/Statement_of_Persons_Nominated_Notice_of_Poll_and_Situation_of_Polling_Stations.pdf?m=1717774865887</t>
  </si>
  <si>
    <t>https://www.sunderland.gov.uk/media/32739/Statement-of-Persons-Nominated-Notice-of-Poll-and-Situation-of-Polling-Stations-UK-PGE-HSS-4-July-2024/pdf/Statement_of_Persons_Nominated__Notice_of_Poll_and_Situation_of_Polling_Stations_-_HSS_2024_06_07_9n.pdf?m=1717769143820</t>
  </si>
  <si>
    <t>https://www.hyndburnbc.gov.uk/wp-content/uploads/2024/06/Statement-of-Persons-Nominated-and-Notice-of-Poll-2024.pdf</t>
  </si>
  <si>
    <t>https://www.hull.gov.uk/downloads/file/3387/Statement_of_Persons_Nominated_and_Notice_of_Poll___Kingston_upon_Hull_East.pdf</t>
  </si>
  <si>
    <t>https://www.lancaster.gov.uk/the-council-and-democracy/voting-and-elections/vacancies</t>
  </si>
  <si>
    <t>https://www.charnwood.gov.uk/files/documents/statement_of_persons_nominated_and_notice_of_poll_loughborough_constituency/Statement%20of%20Persons%20Nominated%20and%20Notice%20of%20Poll%20-%20Loughborough%20Constituency.pdf</t>
  </si>
  <si>
    <t>https://www.eastsuffolk.gov.uk/assets/Elections/2024/General-Election-Thursday-4-July-2024/Statement-of-Persons-Nominated-Situation-of-Polling-Stations-and-Notice-of-Poll-Lowestoft.pdf</t>
  </si>
  <si>
    <t>https://www.maldon.gov.uk/info/20067/elections_and_voting/10081/statutory_election_notices</t>
  </si>
  <si>
    <t>https://www.wiltshire.gov.uk/media/13496/Statement-of-Persons-Nominated-Notice-of-Poll-and-Situation-of-Polling-Stations-Melksham-and-Devizes-Constituency/pdf/SoPN__NoP__SoPS_-_Melksham_and_Devizes_Constituency.pdf?m=1717776903797</t>
  </si>
  <si>
    <t>https://www.charnwood.gov.uk/files/documents/statement_of_persons_nominated_and_notice_of_poll_mid_leicestershire_constituency/Statement%20of%20Persons%20Nominated%20and%20Notice%20of%20Poll%20-%20Mid%20Leicestershire%20Constituency.pdf</t>
  </si>
  <si>
    <t>https://www.breckland.gov.uk/media/21681/Statement-of-Persons-Nominated-and-Notice-of-Poll/pdf/Statement_of_Persons_Nominated___Notice_of_Poll.pdf?m=1717775117280</t>
  </si>
  <si>
    <t>https://middlesbrough.gov.uk/media/3ayffnv5/statement-of-persons-nominated-msec.pdf</t>
  </si>
  <si>
    <t>https://www.newcastle-staffs.gov.uk/downloads/file/2300/statement-of-persons-nominated-notice-of-poll-and-situations-of-polling-stations-newcastle-under-lyme-constituency</t>
  </si>
  <si>
    <t>https://www.wakefield.gov.uk/media/2hpjpobz/wf-ukpge-sopn-notice-of-poll-normanton-and-hemsworth.docx</t>
  </si>
  <si>
    <t>UK Parliamentary Election (General Election) 4 July 2024 | Bedford Borough Council</t>
  </si>
  <si>
    <t>https://www.north-herts.gov.uk/sites/default/files/2024-06/SOPN%20%26%20NoP%20-%20North%20East%20Hertfordshire%20-%2007.06.2024_1.pdf</t>
  </si>
  <si>
    <t>https://www.north-norfolk.gov.uk/media/10392/statement-of-persons-nominated-and-notice-of-poll-north-norfolk-constituency.pdf</t>
  </si>
  <si>
    <t>https://www.northwarks.gov.uk/downloads/file/1382/statement-of-persons-nominated-and-notice-of-poll-north-warwickshire-and-bedworth</t>
  </si>
  <si>
    <t>https://www.peterborough.gov.uk/asset-library/uk-general-election-2024-situation-of-persons-nominated-notice-of-poll-and-situation-of-polling-stations-north-west-cambridgeshire.pdf</t>
  </si>
  <si>
    <t>https://www.west-norfolk.gov.uk/info/20090/elections_and_voting/1133/general_election_2024</t>
  </si>
  <si>
    <t>https://www.nottinghamcity.gov.uk/media/v0ci405v/statement-of-persons-nominated-and-notice-of-poll-north-and-kimberley.pdf</t>
  </si>
  <si>
    <t>https://www.plymouth.gov.uk/sites/default/files/2024-06/PMV.pdf</t>
  </si>
  <si>
    <t>https://www.portsmouth.gov.uk/wp-content/uploads/2024/06/Statement-of-Persons-Nominated-and-Notice-of-Poll-Portsmouth-North.docx</t>
  </si>
  <si>
    <t>https://www.basildon.gov.uk/media/12075/Rochford-Council-Statement-of-Persons-Nominated-and-Notice-of-Poll-Rayleigh-Wickford-Constituency-July-2024/pdf/Rochford_Council_-_SOPN_NOP_-_Rayleigh___Wickford_Constituency_-_July_2024.pdf?m=1717779209887</t>
  </si>
  <si>
    <t>https://www.reigate-banstead.gov.uk/download/downloads/id/7325/notice_of_poll_and_statement_of_persons_nominated_-_reigate.pdf</t>
  </si>
  <si>
    <t>https://www.hillingdon.gov.uk/media/14279/Statement-of-persons-nominated---Ruislip-Northwood-and-Pinner/pdf/53Statement-of-Persons-Nominated-Ruislip-Northwood-and-Pinner-2024.pdf?m=1717773504507</t>
  </si>
  <si>
    <t>https://www.northyorks.gov.uk/sites/default/files/2024-06/SPN%20Selby%2007.06.2024.pdf</t>
  </si>
  <si>
    <t>https://www.harborough.gov.uk/download/downloads/id/8516/south_leicestershire_statement_of_persons_nominated_notice_of_poll_situation_of_polling_stations.pdf</t>
  </si>
  <si>
    <t>https://www.southribble.gov.uk/media/2918/Statement-of-Persons-Nominated-Notice-of-Poll-South-Ribble-constituency/pdf/Statement_of_Persons_Nominated___Notice_of_Poll_-_South_Ribble_constituency.pdf?m=1717777861267</t>
  </si>
  <si>
    <t>https://www.shropshire.gov.uk/media/28059/sopn-south-shropshire.pdf</t>
  </si>
  <si>
    <t>https://www.midsuffolk.gov.uk/documents/d/asset-library-54706/south-suffolk-nop-sopn-sops</t>
  </si>
  <si>
    <t>https://www.staffsmoorlands.gov.uk/media/9288/Staffordshire-Moorlands-Statement-of-Persons-Nominated-Notice-of-Poll-and-Situation-of-Polling-Stations/pdf/Statement_of_Persons_Nominated_Notice_of_Poll_and_Situatio_of_Polling_Stations_jgv0cl0d5im6.pdf?m=1717775777937</t>
  </si>
  <si>
    <t>https://www.stockton.gov.uk/media/6431/Statement-of-Persons-nominated-notice-of-poll-and-situation-of-polling-stations-Stockton-North/pdf/Statement_of_Persons_nominated_-_notice_of_poll_and_situation_of_polling_stations_Stockton_North.pdf?m=1717778329503</t>
  </si>
  <si>
    <t>https://www.eastsuffolk.gov.uk/assets/Elections/2024/General-Election-Thursday-4-July-2024/Statement-of-Persons-Nominated-Situation-of-Polling-Stations-and-Notice-of-Poll-Suffolk-Coastal.pdf</t>
  </si>
  <si>
    <t>https://www.sunderland.gov.uk/media/32740/Statement-of-Persons-Nominated-Notice-of-Poll-and-Situation-of-Polling-Stations-UK-PGE-SCE-4-July-2024/pdf/Statement_of_Persons_Nominated__Notice_of_Poll_and_Situation_of_Polling_Stations_-_SCE_2024_06_07_1a.pdf?m=1717769097113</t>
  </si>
  <si>
    <t>https://www.cheshireeast.gov.uk/pdf/elections/parliamentary-election-2024/statement-of-persons-nominated-and-notice-of-poll-tatton-constituency.pdf</t>
  </si>
  <si>
    <t>https://www.telford.gov.uk/download/downloads/id/27534/statement_of_persons_nominated_and_notice_of_poll_telford.pdf</t>
  </si>
  <si>
    <t>https://beta.southglos.gov.uk/static/b9d1e04cfca41360c79e815fbf5e951a/TANDY-Statement-of-Persons-Nominated-Notice-of-Poll-and-Situation-of-Polling-Stations-Thornby-and-Yate-7-June-2024.pdf</t>
  </si>
  <si>
    <t>https://somersetcc.sharepoint.com/sites/SCCPublic/Council%20Democracy/Forms/AllItems.aspx?id=%2Fsites%2FSCCPublic%2FCouncil%20Democracy%2FGeneral%20Election%202024%2FSOPN%20Tiverton%20%26%20Minehead%2Epdf&amp;parent=%2Fsites%2FSCCPublic%2FCouncil%20Democracy%2FGeneral%20Election%202024&amp;p=true&amp;ga=1</t>
  </si>
  <si>
    <t>https://docs.maidstone.gov.uk/elections-2024/general-election-2024/Weald-of-Kent-Statement-of-Persons-Nominated-and-Notice-of-Poll.pdf</t>
  </si>
  <si>
    <t>https://www.welhat.gov.uk/downloads/file/1135/statement-of-persons-nominated-and-notice-of-poll</t>
  </si>
  <si>
    <t>https://www.westlancs.gov.uk/media/547768/statement-of-persons-nominated-general-election-2024-west-lancashire.pdf</t>
  </si>
  <si>
    <t>https://n-somerset.gov.uk/sites/default/files/2024-06/7%20Jun%20-%20statement%20of%20persons%20nominated%2C%20notice%20of%20poll%20and%20location%20of%20polling%20stations%20-%20Weston-super-Mare%20constituency.pdf</t>
  </si>
  <si>
    <t>https://www.cumberland.gov.uk/sites/default/files/2024-06/whitehaven_and_workington_-_statement_of_persons_nominated_and_notice_of_poll.pdf</t>
  </si>
  <si>
    <t>https://www.wirral.gov.uk/files/statement-persons-nominated-and-notice-poll-general-election.pdf/download?inline</t>
  </si>
  <si>
    <t>https://www.wokingham.gov.uk/sites/wokingham/files/2024-06/Statement%20of%20Persons%20Nominated%20-%20Notice%20of%20Poll%20%20Situation%20of%20Polling%20Stations%20for%20Wokingham%20constituency.pdf</t>
  </si>
  <si>
    <t>https://www.wolverhampton.gov.uk/sites/default/files/2024-06/Statement%20of%20Persons%20Nominated%20and%20Notice%20of%20Poll%20-%20Wolverhampton%20North%20East.pdf</t>
  </si>
  <si>
    <t>https://aberdeenshire.gov.uk/media/vrdfilwm/notice-of-poll-ukpge-ea22-anme.pdf</t>
  </si>
  <si>
    <t>https://www.fife.gov.uk/__data/assets/word_doc/0033/588534/UKPE2024-Notice-Of-Poll-GMF.docx</t>
  </si>
  <si>
    <t>https://aberdeenshire.gov.uk/media/mjifaawb/notice-of-poll-ukpge-ea22-gb.pdf</t>
  </si>
  <si>
    <t>Nation</t>
  </si>
  <si>
    <t>Statement of Persons Nominated Link - Essential</t>
  </si>
  <si>
    <t>Parties</t>
  </si>
  <si>
    <r>
      <rPr>
        <b/>
        <sz val="7"/>
        <color rgb="FFFFFFFF"/>
        <rFont val="Fira Sans"/>
      </rPr>
      <t>Ind/</t>
    </r>
    <r>
      <rPr>
        <b/>
        <sz val="7"/>
        <color rgb="FFFFFFFF"/>
        <rFont val="Fira Sans"/>
      </rPr>
      <t>NoDsc</t>
    </r>
  </si>
  <si>
    <t>Wal</t>
  </si>
  <si>
    <t>Sco</t>
  </si>
  <si>
    <t>Eng</t>
  </si>
  <si>
    <t>S14000108</t>
  </si>
  <si>
    <t>S14000107</t>
  </si>
  <si>
    <t>S14000111</t>
  </si>
  <si>
    <t>S14000110</t>
  </si>
  <si>
    <t>S14000109</t>
  </si>
  <si>
    <t>GAIN</t>
  </si>
  <si>
    <t>RFM GAIN</t>
  </si>
  <si>
    <t>LDM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</si>
</sst>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%"/>
    <numFmt numFmtId="165" formatCode="\+0.0%;\-0.0%;0.0%"/>
  </numFmts>
  <fonts count="68">
    <font>
      <sz val="10"/>
      <color rgb="FF000000"/>
      <name val="Arial"/>
      <scheme val="minor"/>
    </font>
    <font>
      <b/>
      <sz val="10"/>
      <color rgb="FFFFFFFF"/>
      <name val="Fira Sans"/>
    </font>
    <font>
      <b/>
      <sz val="10"/>
      <color rgb="FFFFFFFF"/>
      <name val="Rubik"/>
    </font>
    <font>
      <sz val="10"/>
      <color theme="1"/>
      <name val="Arial"/>
    </font>
    <font>
      <b/>
      <sz val="8"/>
      <color rgb="FFFFFFFF"/>
      <name val="Fira Sans"/>
    </font>
    <font>
      <b/>
      <i/>
      <sz val="8"/>
      <color rgb="FF000000"/>
      <name val="Fira Sans"/>
    </font>
    <font>
      <sz val="10"/>
      <name val="Arial"/>
    </font>
    <font>
      <sz val="10"/>
      <color theme="1"/>
      <name val="Fira Sans"/>
    </font>
    <font>
      <sz val="10"/>
      <color rgb="FFF1C232"/>
      <name val="Fira Sans"/>
    </font>
    <font>
      <b/>
      <sz val="10"/>
      <color theme="1"/>
      <name val="Fira Sans"/>
    </font>
    <font>
      <sz val="6"/>
      <color theme="1"/>
      <name val="Fira Sans"/>
    </font>
    <font>
      <b/>
      <sz val="8"/>
      <color theme="1"/>
      <name val="Fira Sans"/>
    </font>
    <font>
      <sz val="1"/>
      <color rgb="FF0087DC"/>
      <name val="Rubik"/>
    </font>
    <font>
      <sz val="10"/>
      <color theme="1"/>
      <name val="Rubik"/>
    </font>
    <font>
      <sz val="8"/>
      <color theme="1"/>
      <name val="Rubik"/>
    </font>
    <font>
      <sz val="8"/>
      <color theme="1"/>
      <name val="Fira Sans"/>
    </font>
    <font>
      <sz val="8"/>
      <color rgb="FFEFEFEF"/>
      <name val="Fira Sans"/>
    </font>
    <font>
      <strike/>
      <sz val="10"/>
      <color theme="1"/>
      <name val="Fira Sans"/>
    </font>
    <font>
      <sz val="10"/>
      <color rgb="FFEFEFEF"/>
      <name val="Fira Sans"/>
    </font>
    <font>
      <b/>
      <sz val="8"/>
      <color rgb="FFEFEFEF"/>
      <name val="Fira Sans"/>
    </font>
    <font>
      <sz val="10"/>
      <color rgb="FFEFEFEF"/>
      <name val="Fira Sans"/>
    </font>
    <font>
      <i/>
      <sz val="6"/>
      <color rgb="FFEFEFEF"/>
      <name val="Fira Sans"/>
    </font>
    <font>
      <sz val="1"/>
      <color rgb="FFE4003B"/>
      <name val="Rubik"/>
    </font>
    <font>
      <sz val="1"/>
      <color rgb="FFFAA61A"/>
      <name val="Rubik"/>
    </font>
    <font>
      <sz val="6"/>
      <color rgb="FFEFEFEF"/>
      <name val="Fira Sans"/>
    </font>
    <font>
      <sz val="1"/>
      <color rgb="FF6AB023"/>
      <name val="Rubik"/>
    </font>
    <font>
      <sz val="1"/>
      <color theme="1"/>
      <name val="Rubik"/>
    </font>
    <font>
      <sz val="8"/>
      <color rgb="FF000000"/>
      <name val="&quot;docs-Fira Sans&quot;"/>
    </font>
    <font>
      <sz val="1"/>
      <color rgb="FFDD7E6B"/>
      <name val="Rubik"/>
    </font>
    <font>
      <sz val="1"/>
      <color rgb="FF134F5C"/>
      <name val="Rubik"/>
    </font>
    <font>
      <sz val="1"/>
      <color rgb="FF38761D"/>
      <name val="Rubik"/>
    </font>
    <font>
      <sz val="1"/>
      <color rgb="FFF1C232"/>
      <name val="Rubik"/>
    </font>
    <font>
      <sz val="1"/>
      <color rgb="FFFFFF00"/>
      <name val="Rubik"/>
    </font>
    <font>
      <sz val="1"/>
      <color rgb="FF274E13"/>
      <name val="Rubik"/>
    </font>
    <font>
      <b/>
      <sz val="12"/>
      <color rgb="FFFFFFFF"/>
      <name val="Fira Sans"/>
    </font>
    <font>
      <b/>
      <sz val="10"/>
      <color rgb="FFFFFFFF"/>
      <name val="Fira Sans"/>
    </font>
    <font>
      <b/>
      <sz val="9"/>
      <color rgb="FFFFFFFF"/>
      <name val="Fira Sans"/>
    </font>
    <font>
      <b/>
      <sz val="9"/>
      <color rgb="FF000000"/>
      <name val="Fira Sans"/>
    </font>
    <font>
      <b/>
      <sz val="6"/>
      <color rgb="FFFFFFFF"/>
      <name val="Fira Sans"/>
    </font>
    <font>
      <b/>
      <sz val="7"/>
      <color rgb="FFFFFFFF"/>
      <name val="Fira Sans"/>
    </font>
    <font>
      <b/>
      <sz val="14"/>
      <color theme="1"/>
      <name val="Fira Sans"/>
    </font>
    <font>
      <b/>
      <sz val="10"/>
      <color theme="1"/>
      <name val="Fira Sans"/>
    </font>
    <font>
      <b/>
      <i/>
      <sz val="6"/>
      <color rgb="FFFFFFFF"/>
      <name val="Fira Sans"/>
    </font>
    <font>
      <b/>
      <i/>
      <sz val="10"/>
      <color theme="1"/>
      <name val="Fira Sans"/>
    </font>
    <font>
      <sz val="10"/>
      <color rgb="FF999999"/>
      <name val="Fira Sans"/>
    </font>
    <font>
      <u/>
      <sz val="10"/>
      <color rgb="FF0000FF"/>
      <name val="Fira Sans"/>
    </font>
    <font>
      <u/>
      <sz val="10"/>
      <color rgb="FF0000FF"/>
      <name val="Fira Sans"/>
    </font>
    <font>
      <sz val="10"/>
      <color rgb="FF000000"/>
      <name val="&quot;docs-Fira Sans&quot;"/>
    </font>
    <font>
      <b/>
      <sz val="10"/>
      <color rgb="FF000000"/>
      <name val="Fira Sans"/>
    </font>
    <font>
      <sz val="10"/>
      <color rgb="FF000000"/>
      <name val="Fira Sans"/>
    </font>
    <font>
      <u/>
      <sz val="10"/>
      <color rgb="FF0000FF"/>
      <name val="Fira Sans"/>
    </font>
    <font>
      <u/>
      <sz val="10"/>
      <color rgb="FF0000FF"/>
      <name val="Fira Sans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1155CC"/>
      <name val="Fira Sans"/>
    </font>
    <font>
      <sz val="10"/>
      <name val="Fira Sans"/>
    </font>
    <font>
      <sz val="1"/>
      <color rgb="FF00AEEF"/>
      <name val="Rubik"/>
    </font>
    <font>
      <sz val="1"/>
      <color rgb="FFFDF38E"/>
      <name val="Rubik"/>
    </font>
    <font>
      <sz val="10"/>
      <color rgb="FF000000"/>
      <name val="Fira Sans"/>
      <family val="2"/>
    </font>
    <font>
      <sz val="10"/>
      <color rgb="FF000000"/>
      <name val="Rubik"/>
    </font>
    <font>
      <sz val="10"/>
      <color rgb="FF000000"/>
      <name val="Arial"/>
      <family val="2"/>
      <scheme val="minor"/>
    </font>
    <font>
      <sz val="8"/>
      <color rgb="FF000000"/>
      <name val="Fira Sans"/>
      <family val="2"/>
    </font>
    <font>
      <strike/>
      <sz val="10"/>
      <color rgb="FF000000"/>
      <name val="Fira Sans"/>
      <family val="2"/>
    </font>
    <font>
      <b/>
      <sz val="8"/>
      <color rgb="FF000000"/>
      <name val="Fira Sans"/>
      <family val="2"/>
    </font>
    <font>
      <b/>
      <sz val="10"/>
      <color rgb="FFFFFFFF"/>
      <name val="Fira Sans"/>
      <family val="2"/>
    </font>
    <font>
      <b/>
      <sz val="8"/>
      <color rgb="FF666666"/>
      <name val="Fira Sans"/>
      <family val="2"/>
    </font>
    <font>
      <sz val="6"/>
      <color rgb="FF000000"/>
      <name val="Fira Sans"/>
      <family val="2"/>
    </font>
    <font>
      <sz val="8"/>
      <color rgb="FFD9D9D9"/>
      <name val="Fira Sans"/>
      <family val="2"/>
    </font>
  </fonts>
  <fills count="5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D9D9D9"/>
        <bgColor rgb="FFD9D9D9"/>
      </patternFill>
    </fill>
    <fill>
      <patternFill patternType="solid">
        <fgColor rgb="FFE4003B"/>
        <bgColor rgb="FFE4003B"/>
      </patternFill>
    </fill>
    <fill>
      <patternFill patternType="solid">
        <fgColor rgb="FF00AEEF"/>
        <bgColor rgb="FF00AEEF"/>
      </patternFill>
    </fill>
    <fill>
      <patternFill patternType="solid">
        <fgColor rgb="FF14D2EA"/>
        <bgColor rgb="FF14D2EA"/>
      </patternFill>
    </fill>
    <fill>
      <patternFill patternType="solid">
        <fgColor rgb="FFFAA61A"/>
        <bgColor rgb="FFFAA61A"/>
      </patternFill>
    </fill>
    <fill>
      <patternFill patternType="solid">
        <fgColor rgb="FF6AB023"/>
        <bgColor rgb="FF6AB023"/>
      </patternFill>
    </fill>
    <fill>
      <patternFill patternType="solid">
        <fgColor rgb="FFFDF38E"/>
        <bgColor rgb="FFFDF38E"/>
      </patternFill>
    </fill>
    <fill>
      <patternFill patternType="solid">
        <fgColor rgb="FF38761D"/>
        <bgColor rgb="FF38761D"/>
      </patternFill>
    </fill>
    <fill>
      <patternFill patternType="solid">
        <fgColor rgb="FFB7B7B7"/>
        <bgColor rgb="FFB7B7B7"/>
      </patternFill>
    </fill>
    <fill>
      <patternFill patternType="solid">
        <fgColor rgb="FF174A92"/>
        <bgColor rgb="FF174A92"/>
      </patternFill>
    </fill>
    <fill>
      <patternFill patternType="solid">
        <fgColor rgb="FFD25469"/>
        <bgColor rgb="FFD25469"/>
      </patternFill>
    </fill>
    <fill>
      <patternFill patternType="solid">
        <fgColor rgb="FFD5A6BD"/>
        <bgColor rgb="FFD5A6BD"/>
      </patternFill>
    </fill>
    <fill>
      <patternFill patternType="solid">
        <fgColor rgb="FFCC4125"/>
        <bgColor rgb="FFCC4125"/>
      </patternFill>
    </fill>
    <fill>
      <patternFill patternType="solid">
        <fgColor rgb="FF004D4D"/>
        <bgColor rgb="FF004D4D"/>
      </patternFill>
    </fill>
    <fill>
      <patternFill patternType="solid">
        <fgColor rgb="FFF1C232"/>
        <bgColor rgb="FFF1C232"/>
      </patternFill>
    </fill>
    <fill>
      <patternFill patternType="solid">
        <fgColor rgb="FF6AA84F"/>
        <bgColor rgb="FF6AA84F"/>
      </patternFill>
    </fill>
    <fill>
      <patternFill patternType="solid">
        <fgColor rgb="FF3C78D8"/>
        <bgColor rgb="FF3C78D8"/>
      </patternFill>
    </fill>
    <fill>
      <patternFill patternType="solid">
        <fgColor rgb="FF073763"/>
        <bgColor rgb="FF073763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10B7CE"/>
        <bgColor rgb="FF10B7CE"/>
      </patternFill>
    </fill>
    <fill>
      <patternFill patternType="solid">
        <fgColor rgb="FF999999"/>
        <bgColor rgb="FF999999"/>
      </patternFill>
    </fill>
    <fill>
      <patternFill patternType="solid">
        <fgColor rgb="FF0B5394"/>
        <bgColor rgb="FF0B5394"/>
      </patternFill>
    </fill>
    <fill>
      <patternFill patternType="solid">
        <fgColor rgb="FFFFE599"/>
        <bgColor rgb="FFFFE599"/>
      </patternFill>
    </fill>
    <fill>
      <patternFill patternType="solid">
        <fgColor rgb="FF0B00A6"/>
        <bgColor rgb="FF0B00A6"/>
      </patternFill>
    </fill>
    <fill>
      <patternFill patternType="solid">
        <fgColor rgb="FF97141A"/>
        <bgColor rgb="FF97141A"/>
      </patternFill>
    </fill>
    <fill>
      <patternFill patternType="solid">
        <fgColor rgb="FF16ACE2"/>
        <bgColor rgb="FF16ACE2"/>
      </patternFill>
    </fill>
    <fill>
      <patternFill patternType="solid">
        <fgColor rgb="FFC27BA0"/>
        <bgColor rgb="FFC27BA0"/>
      </patternFill>
    </fill>
    <fill>
      <patternFill patternType="solid">
        <fgColor rgb="FF0000FF"/>
        <bgColor rgb="FF0000FF"/>
      </patternFill>
    </fill>
    <fill>
      <patternFill patternType="solid">
        <fgColor rgb="FF6E3176"/>
        <bgColor rgb="FF6E3176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  <fill>
      <patternFill patternType="solid">
        <fgColor theme="9"/>
        <bgColor theme="9"/>
      </patternFill>
    </fill>
    <fill>
      <patternFill patternType="solid">
        <fgColor rgb="FF134F5C"/>
        <bgColor rgb="FF134F5C"/>
      </patternFill>
    </fill>
    <fill>
      <patternFill patternType="solid">
        <fgColor rgb="FFEF472A"/>
        <bgColor rgb="FFEF472A"/>
      </patternFill>
    </fill>
    <fill>
      <patternFill patternType="solid">
        <fgColor rgb="FF37B8AE"/>
        <bgColor rgb="FF37B8AE"/>
      </patternFill>
    </fill>
    <fill>
      <patternFill patternType="solid">
        <fgColor rgb="FFE40513"/>
        <bgColor rgb="FFE40513"/>
      </patternFill>
    </fill>
    <fill>
      <patternFill patternType="solid">
        <fgColor rgb="FFE87639"/>
        <bgColor rgb="FFE87639"/>
      </patternFill>
    </fill>
    <fill>
      <patternFill patternType="solid">
        <fgColor rgb="FF666666"/>
        <bgColor rgb="FF666666"/>
      </patternFill>
    </fill>
    <fill>
      <patternFill patternType="solid">
        <fgColor rgb="FF007F7F"/>
        <bgColor rgb="FF007F7F"/>
      </patternFill>
    </fill>
    <fill>
      <patternFill patternType="solid">
        <fgColor rgb="FF00AEE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43434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14D2EA"/>
        <bgColor indexed="64"/>
      </patternFill>
    </fill>
    <fill>
      <patternFill patternType="solid">
        <fgColor rgb="FFFDF38E"/>
        <bgColor indexed="64"/>
      </patternFill>
    </fill>
    <fill>
      <patternFill patternType="solid">
        <fgColor rgb="FFFAA61A"/>
        <bgColor indexed="64"/>
      </patternFill>
    </fill>
  </fills>
  <borders count="18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textRotation="90"/>
    </xf>
    <xf numFmtId="0" fontId="4" fillId="3" borderId="0" xfId="0" applyFont="1" applyFill="1" applyAlignment="1">
      <alignment horizontal="center" vertical="center" textRotation="90"/>
    </xf>
    <xf numFmtId="0" fontId="1" fillId="2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center" vertical="center"/>
    </xf>
    <xf numFmtId="0" fontId="7" fillId="11" borderId="3" xfId="0" applyFont="1" applyFill="1" applyBorder="1" applyAlignment="1">
      <alignment horizontal="center" vertical="center"/>
    </xf>
    <xf numFmtId="0" fontId="7" fillId="12" borderId="3" xfId="0" applyFont="1" applyFill="1" applyBorder="1" applyAlignment="1">
      <alignment horizontal="center" vertical="center"/>
    </xf>
    <xf numFmtId="0" fontId="7" fillId="13" borderId="3" xfId="0" applyFont="1" applyFill="1" applyBorder="1" applyAlignment="1">
      <alignment horizontal="center" vertical="center"/>
    </xf>
    <xf numFmtId="0" fontId="7" fillId="14" borderId="3" xfId="0" applyFont="1" applyFill="1" applyBorder="1" applyAlignment="1">
      <alignment horizontal="center" vertical="center"/>
    </xf>
    <xf numFmtId="0" fontId="7" fillId="15" borderId="3" xfId="0" applyFont="1" applyFill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0" fontId="7" fillId="17" borderId="3" xfId="0" applyFont="1" applyFill="1" applyBorder="1" applyAlignment="1">
      <alignment horizontal="center" vertical="center"/>
    </xf>
    <xf numFmtId="0" fontId="8" fillId="18" borderId="3" xfId="0" applyFont="1" applyFill="1" applyBorder="1" applyAlignment="1">
      <alignment horizontal="center" vertical="center"/>
    </xf>
    <xf numFmtId="0" fontId="7" fillId="19" borderId="3" xfId="0" applyFont="1" applyFill="1" applyBorder="1" applyAlignment="1">
      <alignment horizontal="center" vertical="center"/>
    </xf>
    <xf numFmtId="0" fontId="7" fillId="20" borderId="3" xfId="0" applyFont="1" applyFill="1" applyBorder="1" applyAlignment="1">
      <alignment horizontal="center" vertical="center"/>
    </xf>
    <xf numFmtId="0" fontId="7" fillId="21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/>
    </xf>
    <xf numFmtId="0" fontId="7" fillId="14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center" vertical="center"/>
    </xf>
    <xf numFmtId="0" fontId="7" fillId="17" borderId="2" xfId="0" applyFont="1" applyFill="1" applyBorder="1" applyAlignment="1">
      <alignment horizontal="center" vertical="center"/>
    </xf>
    <xf numFmtId="0" fontId="8" fillId="18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center" vertical="center"/>
    </xf>
    <xf numFmtId="0" fontId="7" fillId="20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164" fontId="9" fillId="22" borderId="3" xfId="0" applyNumberFormat="1" applyFont="1" applyFill="1" applyBorder="1" applyAlignment="1">
      <alignment horizontal="center" vertical="center"/>
    </xf>
    <xf numFmtId="3" fontId="9" fillId="22" borderId="3" xfId="0" applyNumberFormat="1" applyFont="1" applyFill="1" applyBorder="1" applyAlignment="1">
      <alignment horizontal="center" vertical="center"/>
    </xf>
    <xf numFmtId="3" fontId="9" fillId="22" borderId="6" xfId="0" applyNumberFormat="1" applyFont="1" applyFill="1" applyBorder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/>
    </xf>
    <xf numFmtId="3" fontId="9" fillId="22" borderId="7" xfId="0" applyNumberFormat="1" applyFont="1" applyFill="1" applyBorder="1" applyAlignment="1">
      <alignment horizontal="center" vertical="center"/>
    </xf>
    <xf numFmtId="3" fontId="9" fillId="22" borderId="8" xfId="0" applyNumberFormat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0" fillId="22" borderId="3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3" fontId="10" fillId="22" borderId="3" xfId="0" applyNumberFormat="1" applyFont="1" applyFill="1" applyBorder="1" applyAlignment="1">
      <alignment horizontal="center" vertical="center"/>
    </xf>
    <xf numFmtId="164" fontId="11" fillId="22" borderId="2" xfId="0" applyNumberFormat="1" applyFont="1" applyFill="1" applyBorder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/>
    </xf>
    <xf numFmtId="165" fontId="11" fillId="22" borderId="2" xfId="0" applyNumberFormat="1" applyFont="1" applyFill="1" applyBorder="1" applyAlignment="1">
      <alignment horizontal="center" vertical="center"/>
    </xf>
    <xf numFmtId="0" fontId="12" fillId="23" borderId="11" xfId="0" applyFont="1" applyFill="1" applyBorder="1" applyAlignment="1">
      <alignment horizontal="center"/>
    </xf>
    <xf numFmtId="0" fontId="7" fillId="23" borderId="11" xfId="0" applyFont="1" applyFill="1" applyBorder="1" applyAlignment="1">
      <alignment horizontal="center" vertical="center"/>
    </xf>
    <xf numFmtId="0" fontId="13" fillId="23" borderId="11" xfId="0" applyFont="1" applyFill="1" applyBorder="1" applyAlignment="1">
      <alignment horizontal="center"/>
    </xf>
    <xf numFmtId="0" fontId="14" fillId="23" borderId="11" xfId="0" applyFont="1" applyFill="1" applyBorder="1" applyAlignment="1">
      <alignment horizontal="center"/>
    </xf>
    <xf numFmtId="164" fontId="14" fillId="23" borderId="12" xfId="0" applyNumberFormat="1" applyFont="1" applyFill="1" applyBorder="1" applyAlignment="1">
      <alignment horizontal="center"/>
    </xf>
    <xf numFmtId="164" fontId="3" fillId="3" borderId="13" xfId="0" applyNumberFormat="1" applyFont="1" applyFill="1" applyBorder="1"/>
    <xf numFmtId="0" fontId="15" fillId="23" borderId="11" xfId="0" applyFont="1" applyFill="1" applyBorder="1" applyAlignment="1">
      <alignment horizontal="center" vertical="center"/>
    </xf>
    <xf numFmtId="164" fontId="16" fillId="3" borderId="0" xfId="0" applyNumberFormat="1" applyFont="1" applyFill="1" applyAlignment="1">
      <alignment horizontal="center" vertical="center"/>
    </xf>
    <xf numFmtId="0" fontId="17" fillId="22" borderId="12" xfId="0" applyFont="1" applyFill="1" applyBorder="1" applyAlignment="1">
      <alignment horizontal="center" vertical="center"/>
    </xf>
    <xf numFmtId="0" fontId="11" fillId="23" borderId="12" xfId="0" applyFont="1" applyFill="1" applyBorder="1" applyAlignment="1">
      <alignment horizontal="center" vertical="center"/>
    </xf>
    <xf numFmtId="0" fontId="18" fillId="23" borderId="12" xfId="0" applyFont="1" applyFill="1" applyBorder="1" applyAlignment="1">
      <alignment horizontal="center" vertical="center"/>
    </xf>
    <xf numFmtId="0" fontId="19" fillId="23" borderId="12" xfId="0" applyFont="1" applyFill="1" applyBorder="1" applyAlignment="1">
      <alignment horizontal="center" vertical="center"/>
    </xf>
    <xf numFmtId="0" fontId="20" fillId="23" borderId="12" xfId="0" applyFont="1" applyFill="1" applyBorder="1" applyAlignment="1">
      <alignment horizontal="center" vertical="center"/>
    </xf>
    <xf numFmtId="0" fontId="16" fillId="23" borderId="12" xfId="0" applyFont="1" applyFill="1" applyBorder="1" applyAlignment="1">
      <alignment horizontal="center" vertical="center"/>
    </xf>
    <xf numFmtId="164" fontId="16" fillId="23" borderId="12" xfId="0" applyNumberFormat="1" applyFont="1" applyFill="1" applyBorder="1" applyAlignment="1">
      <alignment horizontal="center" vertical="center"/>
    </xf>
    <xf numFmtId="164" fontId="16" fillId="23" borderId="11" xfId="0" applyNumberFormat="1" applyFont="1" applyFill="1" applyBorder="1" applyAlignment="1">
      <alignment horizontal="center" vertical="center"/>
    </xf>
    <xf numFmtId="164" fontId="21" fillId="23" borderId="11" xfId="0" applyNumberFormat="1" applyFont="1" applyFill="1" applyBorder="1" applyAlignment="1">
      <alignment horizontal="center" vertical="center"/>
    </xf>
    <xf numFmtId="165" fontId="16" fillId="23" borderId="12" xfId="0" applyNumberFormat="1" applyFont="1" applyFill="1" applyBorder="1" applyAlignment="1">
      <alignment horizontal="center" vertical="center"/>
    </xf>
    <xf numFmtId="0" fontId="12" fillId="23" borderId="12" xfId="0" applyFont="1" applyFill="1" applyBorder="1" applyAlignment="1">
      <alignment horizontal="center"/>
    </xf>
    <xf numFmtId="0" fontId="7" fillId="23" borderId="12" xfId="0" applyFont="1" applyFill="1" applyBorder="1" applyAlignment="1">
      <alignment horizontal="center" vertical="center"/>
    </xf>
    <xf numFmtId="0" fontId="13" fillId="23" borderId="12" xfId="0" applyFont="1" applyFill="1" applyBorder="1" applyAlignment="1">
      <alignment horizontal="center"/>
    </xf>
    <xf numFmtId="0" fontId="14" fillId="23" borderId="12" xfId="0" applyFont="1" applyFill="1" applyBorder="1" applyAlignment="1">
      <alignment horizontal="center"/>
    </xf>
    <xf numFmtId="0" fontId="15" fillId="23" borderId="12" xfId="0" applyFont="1" applyFill="1" applyBorder="1" applyAlignment="1">
      <alignment horizontal="center" vertical="center"/>
    </xf>
    <xf numFmtId="0" fontId="22" fillId="23" borderId="12" xfId="0" applyFont="1" applyFill="1" applyBorder="1" applyAlignment="1">
      <alignment horizontal="center"/>
    </xf>
    <xf numFmtId="0" fontId="23" fillId="23" borderId="12" xfId="0" applyFont="1" applyFill="1" applyBorder="1" applyAlignment="1">
      <alignment horizontal="center"/>
    </xf>
    <xf numFmtId="0" fontId="16" fillId="3" borderId="0" xfId="0" applyFont="1" applyFill="1" applyAlignment="1">
      <alignment horizontal="center" vertical="center"/>
    </xf>
    <xf numFmtId="164" fontId="24" fillId="23" borderId="11" xfId="0" applyNumberFormat="1" applyFont="1" applyFill="1" applyBorder="1" applyAlignment="1">
      <alignment horizontal="center" vertical="center"/>
    </xf>
    <xf numFmtId="0" fontId="25" fillId="23" borderId="12" xfId="0" applyFont="1" applyFill="1" applyBorder="1" applyAlignment="1">
      <alignment horizontal="center"/>
    </xf>
    <xf numFmtId="0" fontId="26" fillId="23" borderId="12" xfId="0" applyFont="1" applyFill="1" applyBorder="1" applyAlignment="1">
      <alignment horizontal="center"/>
    </xf>
    <xf numFmtId="0" fontId="15" fillId="23" borderId="12" xfId="0" applyFont="1" applyFill="1" applyBorder="1" applyAlignment="1">
      <alignment horizontal="center"/>
    </xf>
    <xf numFmtId="0" fontId="15" fillId="23" borderId="14" xfId="0" applyFont="1" applyFill="1" applyBorder="1" applyAlignment="1">
      <alignment horizontal="center"/>
    </xf>
    <xf numFmtId="0" fontId="3" fillId="23" borderId="14" xfId="0" applyFont="1" applyFill="1" applyBorder="1"/>
    <xf numFmtId="3" fontId="14" fillId="23" borderId="12" xfId="0" applyNumberFormat="1" applyFont="1" applyFill="1" applyBorder="1" applyAlignment="1">
      <alignment horizontal="center"/>
    </xf>
    <xf numFmtId="10" fontId="14" fillId="23" borderId="12" xfId="0" applyNumberFormat="1" applyFont="1" applyFill="1" applyBorder="1" applyAlignment="1">
      <alignment horizontal="center"/>
    </xf>
    <xf numFmtId="0" fontId="27" fillId="23" borderId="0" xfId="0" applyFont="1" applyFill="1" applyAlignment="1">
      <alignment horizontal="center"/>
    </xf>
    <xf numFmtId="0" fontId="28" fillId="23" borderId="12" xfId="0" applyFont="1" applyFill="1" applyBorder="1" applyAlignment="1">
      <alignment horizontal="center"/>
    </xf>
    <xf numFmtId="0" fontId="29" fillId="23" borderId="12" xfId="0" applyFont="1" applyFill="1" applyBorder="1" applyAlignment="1">
      <alignment horizontal="center"/>
    </xf>
    <xf numFmtId="0" fontId="30" fillId="23" borderId="12" xfId="0" applyFont="1" applyFill="1" applyBorder="1" applyAlignment="1">
      <alignment horizontal="center"/>
    </xf>
    <xf numFmtId="0" fontId="31" fillId="23" borderId="12" xfId="0" applyFont="1" applyFill="1" applyBorder="1" applyAlignment="1">
      <alignment horizontal="center"/>
    </xf>
    <xf numFmtId="0" fontId="32" fillId="23" borderId="12" xfId="0" applyFont="1" applyFill="1" applyBorder="1" applyAlignment="1">
      <alignment horizontal="center"/>
    </xf>
    <xf numFmtId="0" fontId="33" fillId="23" borderId="12" xfId="0" applyFont="1" applyFill="1" applyBorder="1" applyAlignment="1">
      <alignment horizontal="center"/>
    </xf>
    <xf numFmtId="164" fontId="36" fillId="6" borderId="3" xfId="0" applyNumberFormat="1" applyFont="1" applyFill="1" applyBorder="1" applyAlignment="1">
      <alignment horizontal="center" vertical="center" wrapText="1"/>
    </xf>
    <xf numFmtId="164" fontId="36" fillId="5" borderId="3" xfId="0" applyNumberFormat="1" applyFont="1" applyFill="1" applyBorder="1" applyAlignment="1">
      <alignment horizontal="center" vertical="center" wrapText="1"/>
    </xf>
    <xf numFmtId="164" fontId="36" fillId="8" borderId="3" xfId="0" applyNumberFormat="1" applyFont="1" applyFill="1" applyBorder="1" applyAlignment="1">
      <alignment horizontal="center" vertical="center" wrapText="1"/>
    </xf>
    <xf numFmtId="164" fontId="36" fillId="9" borderId="3" xfId="0" applyNumberFormat="1" applyFont="1" applyFill="1" applyBorder="1" applyAlignment="1">
      <alignment horizontal="center" vertical="center" wrapText="1"/>
    </xf>
    <xf numFmtId="164" fontId="36" fillId="24" borderId="3" xfId="0" applyNumberFormat="1" applyFont="1" applyFill="1" applyBorder="1" applyAlignment="1">
      <alignment horizontal="center" vertical="center" wrapText="1"/>
    </xf>
    <xf numFmtId="164" fontId="36" fillId="25" borderId="3" xfId="0" applyNumberFormat="1" applyFont="1" applyFill="1" applyBorder="1" applyAlignment="1">
      <alignment horizontal="center" vertical="center" wrapText="1"/>
    </xf>
    <xf numFmtId="164" fontId="36" fillId="26" borderId="3" xfId="0" applyNumberFormat="1" applyFont="1" applyFill="1" applyBorder="1" applyAlignment="1">
      <alignment horizontal="center" vertical="center" wrapText="1"/>
    </xf>
    <xf numFmtId="164" fontId="36" fillId="14" borderId="3" xfId="0" applyNumberFormat="1" applyFont="1" applyFill="1" applyBorder="1" applyAlignment="1">
      <alignment horizontal="center" vertical="center" wrapText="1"/>
    </xf>
    <xf numFmtId="164" fontId="37" fillId="27" borderId="3" xfId="0" applyNumberFormat="1" applyFont="1" applyFill="1" applyBorder="1" applyAlignment="1">
      <alignment horizontal="center" vertical="center" wrapText="1"/>
    </xf>
    <xf numFmtId="164" fontId="36" fillId="28" borderId="3" xfId="0" applyNumberFormat="1" applyFont="1" applyFill="1" applyBorder="1" applyAlignment="1">
      <alignment horizontal="center" vertical="center" wrapText="1"/>
    </xf>
    <xf numFmtId="164" fontId="36" fillId="29" borderId="3" xfId="0" applyNumberFormat="1" applyFont="1" applyFill="1" applyBorder="1" applyAlignment="1">
      <alignment horizontal="center" vertical="center" wrapText="1"/>
    </xf>
    <xf numFmtId="164" fontId="36" fillId="11" borderId="3" xfId="0" applyNumberFormat="1" applyFont="1" applyFill="1" applyBorder="1" applyAlignment="1">
      <alignment horizontal="center" vertical="center" wrapText="1"/>
    </xf>
    <xf numFmtId="164" fontId="36" fillId="30" borderId="3" xfId="0" applyNumberFormat="1" applyFont="1" applyFill="1" applyBorder="1" applyAlignment="1">
      <alignment horizontal="center" vertical="center" wrapText="1"/>
    </xf>
    <xf numFmtId="164" fontId="36" fillId="31" borderId="3" xfId="0" applyNumberFormat="1" applyFont="1" applyFill="1" applyBorder="1" applyAlignment="1">
      <alignment horizontal="center" vertical="center" wrapText="1"/>
    </xf>
    <xf numFmtId="164" fontId="36" fillId="32" borderId="3" xfId="0" applyNumberFormat="1" applyFont="1" applyFill="1" applyBorder="1" applyAlignment="1">
      <alignment horizontal="center" vertical="center" wrapText="1"/>
    </xf>
    <xf numFmtId="164" fontId="36" fillId="33" borderId="3" xfId="0" applyNumberFormat="1" applyFont="1" applyFill="1" applyBorder="1" applyAlignment="1">
      <alignment horizontal="center" vertical="center" wrapText="1"/>
    </xf>
    <xf numFmtId="164" fontId="36" fillId="34" borderId="3" xfId="0" applyNumberFormat="1" applyFont="1" applyFill="1" applyBorder="1" applyAlignment="1">
      <alignment horizontal="center" vertical="center" wrapText="1"/>
    </xf>
    <xf numFmtId="164" fontId="37" fillId="35" borderId="3" xfId="0" applyNumberFormat="1" applyFont="1" applyFill="1" applyBorder="1" applyAlignment="1">
      <alignment horizontal="center" vertical="center" wrapText="1"/>
    </xf>
    <xf numFmtId="164" fontId="36" fillId="36" borderId="3" xfId="0" applyNumberFormat="1" applyFont="1" applyFill="1" applyBorder="1" applyAlignment="1">
      <alignment horizontal="center" vertical="center" wrapText="1"/>
    </xf>
    <xf numFmtId="164" fontId="36" fillId="19" borderId="3" xfId="0" applyNumberFormat="1" applyFont="1" applyFill="1" applyBorder="1" applyAlignment="1">
      <alignment horizontal="center" vertical="center" wrapText="1"/>
    </xf>
    <xf numFmtId="164" fontId="36" fillId="18" borderId="3" xfId="0" applyNumberFormat="1" applyFont="1" applyFill="1" applyBorder="1" applyAlignment="1">
      <alignment horizontal="center" vertical="center" wrapText="1"/>
    </xf>
    <xf numFmtId="164" fontId="36" fillId="20" borderId="3" xfId="0" applyNumberFormat="1" applyFont="1" applyFill="1" applyBorder="1" applyAlignment="1">
      <alignment horizontal="center" vertical="center" wrapText="1"/>
    </xf>
    <xf numFmtId="164" fontId="36" fillId="16" borderId="3" xfId="0" applyNumberFormat="1" applyFont="1" applyFill="1" applyBorder="1" applyAlignment="1">
      <alignment horizontal="center" vertical="center" wrapText="1"/>
    </xf>
    <xf numFmtId="164" fontId="36" fillId="13" borderId="3" xfId="0" applyNumberFormat="1" applyFont="1" applyFill="1" applyBorder="1" applyAlignment="1">
      <alignment horizontal="center" vertical="center" wrapText="1"/>
    </xf>
    <xf numFmtId="164" fontId="36" fillId="37" borderId="3" xfId="0" applyNumberFormat="1" applyFont="1" applyFill="1" applyBorder="1" applyAlignment="1">
      <alignment horizontal="center" vertical="center" wrapText="1"/>
    </xf>
    <xf numFmtId="164" fontId="36" fillId="38" borderId="3" xfId="0" applyNumberFormat="1" applyFont="1" applyFill="1" applyBorder="1" applyAlignment="1">
      <alignment horizontal="center" vertical="center" wrapText="1"/>
    </xf>
    <xf numFmtId="164" fontId="36" fillId="21" borderId="3" xfId="0" applyNumberFormat="1" applyFont="1" applyFill="1" applyBorder="1" applyAlignment="1">
      <alignment horizontal="center" vertical="center" wrapText="1"/>
    </xf>
    <xf numFmtId="164" fontId="36" fillId="39" borderId="3" xfId="0" applyNumberFormat="1" applyFont="1" applyFill="1" applyBorder="1" applyAlignment="1">
      <alignment horizontal="center" vertical="center" wrapText="1"/>
    </xf>
    <xf numFmtId="164" fontId="36" fillId="40" borderId="3" xfId="0" applyNumberFormat="1" applyFont="1" applyFill="1" applyBorder="1" applyAlignment="1">
      <alignment horizontal="center" vertical="center" wrapText="1"/>
    </xf>
    <xf numFmtId="164" fontId="36" fillId="41" borderId="3" xfId="0" applyNumberFormat="1" applyFont="1" applyFill="1" applyBorder="1" applyAlignment="1">
      <alignment horizontal="center" vertical="center" wrapText="1"/>
    </xf>
    <xf numFmtId="164" fontId="36" fillId="42" borderId="3" xfId="0" applyNumberFormat="1" applyFont="1" applyFill="1" applyBorder="1" applyAlignment="1">
      <alignment horizontal="center" vertical="center" wrapText="1"/>
    </xf>
    <xf numFmtId="164" fontId="36" fillId="43" borderId="3" xfId="0" applyNumberFormat="1" applyFont="1" applyFill="1" applyBorder="1" applyAlignment="1">
      <alignment horizontal="center" vertical="center" wrapText="1"/>
    </xf>
    <xf numFmtId="0" fontId="36" fillId="6" borderId="8" xfId="0" applyFont="1" applyFill="1" applyBorder="1" applyAlignment="1">
      <alignment horizontal="center" vertical="center" wrapText="1"/>
    </xf>
    <xf numFmtId="0" fontId="36" fillId="5" borderId="8" xfId="0" applyFont="1" applyFill="1" applyBorder="1" applyAlignment="1">
      <alignment horizontal="center" vertical="center" wrapText="1"/>
    </xf>
    <xf numFmtId="0" fontId="36" fillId="8" borderId="8" xfId="0" applyFont="1" applyFill="1" applyBorder="1" applyAlignment="1">
      <alignment horizontal="center" vertical="center" wrapText="1"/>
    </xf>
    <xf numFmtId="0" fontId="36" fillId="9" borderId="8" xfId="0" applyFont="1" applyFill="1" applyBorder="1" applyAlignment="1">
      <alignment horizontal="center" vertical="center" wrapText="1"/>
    </xf>
    <xf numFmtId="0" fontId="36" fillId="24" borderId="8" xfId="0" applyFont="1" applyFill="1" applyBorder="1" applyAlignment="1">
      <alignment horizontal="center" vertical="center" wrapText="1"/>
    </xf>
    <xf numFmtId="0" fontId="39" fillId="25" borderId="8" xfId="0" applyFont="1" applyFill="1" applyBorder="1" applyAlignment="1">
      <alignment horizontal="center" vertical="center" wrapText="1"/>
    </xf>
    <xf numFmtId="0" fontId="36" fillId="26" borderId="8" xfId="0" applyFont="1" applyFill="1" applyBorder="1" applyAlignment="1">
      <alignment horizontal="center" vertical="center" wrapText="1"/>
    </xf>
    <xf numFmtId="0" fontId="36" fillId="14" borderId="8" xfId="0" applyFont="1" applyFill="1" applyBorder="1" applyAlignment="1">
      <alignment horizontal="center" vertical="center" wrapText="1"/>
    </xf>
    <xf numFmtId="0" fontId="37" fillId="27" borderId="8" xfId="0" applyFont="1" applyFill="1" applyBorder="1" applyAlignment="1">
      <alignment horizontal="center" vertical="center" wrapText="1"/>
    </xf>
    <xf numFmtId="0" fontId="36" fillId="28" borderId="8" xfId="0" applyFont="1" applyFill="1" applyBorder="1" applyAlignment="1">
      <alignment horizontal="center" vertical="center" wrapText="1"/>
    </xf>
    <xf numFmtId="0" fontId="36" fillId="29" borderId="8" xfId="0" applyFont="1" applyFill="1" applyBorder="1" applyAlignment="1">
      <alignment horizontal="center" vertical="center" wrapText="1"/>
    </xf>
    <xf numFmtId="0" fontId="36" fillId="11" borderId="8" xfId="0" applyFont="1" applyFill="1" applyBorder="1" applyAlignment="1">
      <alignment horizontal="center" vertical="center" wrapText="1"/>
    </xf>
    <xf numFmtId="0" fontId="36" fillId="30" borderId="8" xfId="0" applyFont="1" applyFill="1" applyBorder="1" applyAlignment="1">
      <alignment horizontal="center" vertical="center" wrapText="1"/>
    </xf>
    <xf numFmtId="0" fontId="36" fillId="31" borderId="8" xfId="0" applyFont="1" applyFill="1" applyBorder="1" applyAlignment="1">
      <alignment horizontal="center" vertical="center" wrapText="1"/>
    </xf>
    <xf numFmtId="0" fontId="36" fillId="32" borderId="8" xfId="0" applyFont="1" applyFill="1" applyBorder="1" applyAlignment="1">
      <alignment horizontal="center" vertical="center" wrapText="1"/>
    </xf>
    <xf numFmtId="0" fontId="36" fillId="33" borderId="8" xfId="0" applyFont="1" applyFill="1" applyBorder="1" applyAlignment="1">
      <alignment horizontal="center" vertical="center" wrapText="1"/>
    </xf>
    <xf numFmtId="0" fontId="36" fillId="34" borderId="8" xfId="0" applyFont="1" applyFill="1" applyBorder="1" applyAlignment="1">
      <alignment horizontal="center" vertical="center" wrapText="1"/>
    </xf>
    <xf numFmtId="0" fontId="37" fillId="35" borderId="8" xfId="0" applyFont="1" applyFill="1" applyBorder="1" applyAlignment="1">
      <alignment horizontal="center" vertical="center" wrapText="1"/>
    </xf>
    <xf numFmtId="0" fontId="36" fillId="36" borderId="8" xfId="0" applyFont="1" applyFill="1" applyBorder="1" applyAlignment="1">
      <alignment horizontal="center" vertical="center" wrapText="1"/>
    </xf>
    <xf numFmtId="0" fontId="36" fillId="19" borderId="8" xfId="0" applyFont="1" applyFill="1" applyBorder="1" applyAlignment="1">
      <alignment horizontal="center" vertical="center" wrapText="1"/>
    </xf>
    <xf numFmtId="0" fontId="36" fillId="18" borderId="8" xfId="0" applyFont="1" applyFill="1" applyBorder="1" applyAlignment="1">
      <alignment horizontal="center" vertical="center" wrapText="1"/>
    </xf>
    <xf numFmtId="0" fontId="36" fillId="20" borderId="8" xfId="0" applyFont="1" applyFill="1" applyBorder="1" applyAlignment="1">
      <alignment horizontal="center" vertical="center" wrapText="1"/>
    </xf>
    <xf numFmtId="0" fontId="36" fillId="16" borderId="8" xfId="0" applyFont="1" applyFill="1" applyBorder="1" applyAlignment="1">
      <alignment horizontal="center" vertical="center" wrapText="1"/>
    </xf>
    <xf numFmtId="0" fontId="36" fillId="13" borderId="8" xfId="0" applyFont="1" applyFill="1" applyBorder="1" applyAlignment="1">
      <alignment horizontal="center" vertical="center" wrapText="1"/>
    </xf>
    <xf numFmtId="0" fontId="36" fillId="37" borderId="8" xfId="0" applyFont="1" applyFill="1" applyBorder="1" applyAlignment="1">
      <alignment horizontal="center" vertical="center" wrapText="1"/>
    </xf>
    <xf numFmtId="0" fontId="36" fillId="38" borderId="8" xfId="0" applyFont="1" applyFill="1" applyBorder="1" applyAlignment="1">
      <alignment horizontal="center" vertical="center" wrapText="1"/>
    </xf>
    <xf numFmtId="0" fontId="36" fillId="21" borderId="8" xfId="0" applyFont="1" applyFill="1" applyBorder="1" applyAlignment="1">
      <alignment horizontal="center" vertical="center" wrapText="1"/>
    </xf>
    <xf numFmtId="0" fontId="36" fillId="39" borderId="8" xfId="0" applyFont="1" applyFill="1" applyBorder="1" applyAlignment="1">
      <alignment horizontal="center" vertical="center" wrapText="1"/>
    </xf>
    <xf numFmtId="0" fontId="36" fillId="40" borderId="8" xfId="0" applyFont="1" applyFill="1" applyBorder="1" applyAlignment="1">
      <alignment horizontal="center" vertical="center" wrapText="1"/>
    </xf>
    <xf numFmtId="0" fontId="36" fillId="41" borderId="8" xfId="0" applyFont="1" applyFill="1" applyBorder="1" applyAlignment="1">
      <alignment horizontal="center" vertical="center" wrapText="1"/>
    </xf>
    <xf numFmtId="0" fontId="36" fillId="42" borderId="8" xfId="0" applyFont="1" applyFill="1" applyBorder="1" applyAlignment="1">
      <alignment horizontal="center" vertical="center" wrapText="1"/>
    </xf>
    <xf numFmtId="0" fontId="36" fillId="43" borderId="8" xfId="0" applyFont="1" applyFill="1" applyBorder="1" applyAlignment="1">
      <alignment horizontal="center" vertical="center" wrapText="1"/>
    </xf>
    <xf numFmtId="0" fontId="41" fillId="22" borderId="17" xfId="0" applyFont="1" applyFill="1" applyBorder="1" applyAlignment="1">
      <alignment horizontal="center" vertical="center" wrapText="1"/>
    </xf>
    <xf numFmtId="0" fontId="42" fillId="17" borderId="17" xfId="0" applyFont="1" applyFill="1" applyBorder="1" applyAlignment="1">
      <alignment horizontal="center" vertical="center" wrapText="1"/>
    </xf>
    <xf numFmtId="0" fontId="1" fillId="44" borderId="3" xfId="0" applyFont="1" applyFill="1" applyBorder="1" applyAlignment="1">
      <alignment horizontal="center" vertical="center"/>
    </xf>
    <xf numFmtId="10" fontId="1" fillId="44" borderId="8" xfId="0" applyNumberFormat="1" applyFont="1" applyFill="1" applyBorder="1" applyAlignment="1">
      <alignment horizontal="center" vertical="center"/>
    </xf>
    <xf numFmtId="0" fontId="43" fillId="22" borderId="17" xfId="0" applyFont="1" applyFill="1" applyBorder="1" applyAlignment="1">
      <alignment horizontal="center" vertical="center" wrapText="1"/>
    </xf>
    <xf numFmtId="0" fontId="38" fillId="17" borderId="17" xfId="0" applyFont="1" applyFill="1" applyBorder="1" applyAlignment="1">
      <alignment horizontal="center" vertical="center" wrapText="1"/>
    </xf>
    <xf numFmtId="0" fontId="1" fillId="44" borderId="16" xfId="0" applyFont="1" applyFill="1" applyBorder="1" applyAlignment="1">
      <alignment horizontal="center" vertical="center" wrapText="1"/>
    </xf>
    <xf numFmtId="0" fontId="44" fillId="4" borderId="3" xfId="0" applyFont="1" applyFill="1" applyBorder="1" applyAlignment="1">
      <alignment horizontal="center" vertical="center"/>
    </xf>
    <xf numFmtId="0" fontId="7" fillId="22" borderId="9" xfId="0" applyFont="1" applyFill="1" applyBorder="1" applyAlignment="1">
      <alignment horizontal="center" vertical="center"/>
    </xf>
    <xf numFmtId="0" fontId="17" fillId="22" borderId="17" xfId="0" applyFont="1" applyFill="1" applyBorder="1" applyAlignment="1">
      <alignment horizontal="center" vertical="center"/>
    </xf>
    <xf numFmtId="0" fontId="45" fillId="22" borderId="3" xfId="0" applyFont="1" applyFill="1" applyBorder="1" applyAlignment="1">
      <alignment horizontal="center" vertical="center"/>
    </xf>
    <xf numFmtId="0" fontId="7" fillId="22" borderId="3" xfId="0" applyFont="1" applyFill="1" applyBorder="1" applyAlignment="1">
      <alignment horizontal="center" vertical="center"/>
    </xf>
    <xf numFmtId="0" fontId="7" fillId="22" borderId="8" xfId="0" applyFont="1" applyFill="1" applyBorder="1" applyAlignment="1">
      <alignment horizontal="center" vertical="center"/>
    </xf>
    <xf numFmtId="0" fontId="7" fillId="22" borderId="17" xfId="0" applyFont="1" applyFill="1" applyBorder="1" applyAlignment="1">
      <alignment horizontal="center" vertical="center"/>
    </xf>
    <xf numFmtId="0" fontId="46" fillId="22" borderId="3" xfId="0" applyFont="1" applyFill="1" applyBorder="1" applyAlignment="1">
      <alignment horizontal="center" vertical="center"/>
    </xf>
    <xf numFmtId="0" fontId="47" fillId="22" borderId="3" xfId="0" applyFont="1" applyFill="1" applyBorder="1" applyAlignment="1">
      <alignment horizontal="center"/>
    </xf>
    <xf numFmtId="0" fontId="7" fillId="22" borderId="0" xfId="0" applyFont="1" applyFill="1" applyAlignment="1">
      <alignment horizontal="center" vertical="center"/>
    </xf>
    <xf numFmtId="0" fontId="48" fillId="22" borderId="3" xfId="0" applyFont="1" applyFill="1" applyBorder="1" applyAlignment="1">
      <alignment horizontal="center" vertical="center"/>
    </xf>
    <xf numFmtId="0" fontId="49" fillId="22" borderId="3" xfId="0" applyFont="1" applyFill="1" applyBorder="1" applyAlignment="1">
      <alignment horizontal="center" vertical="center"/>
    </xf>
    <xf numFmtId="0" fontId="1" fillId="22" borderId="3" xfId="0" applyFont="1" applyFill="1" applyBorder="1" applyAlignment="1">
      <alignment horizontal="center" vertical="center"/>
    </xf>
    <xf numFmtId="0" fontId="50" fillId="22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51" fillId="22" borderId="0" xfId="0" applyFont="1" applyFill="1" applyAlignment="1">
      <alignment horizontal="center" vertical="center"/>
    </xf>
    <xf numFmtId="0" fontId="52" fillId="0" borderId="3" xfId="0" applyFont="1" applyBorder="1"/>
    <xf numFmtId="0" fontId="49" fillId="4" borderId="3" xfId="0" applyFont="1" applyFill="1" applyBorder="1" applyAlignment="1">
      <alignment horizontal="center" vertical="center"/>
    </xf>
    <xf numFmtId="0" fontId="53" fillId="0" borderId="3" xfId="0" applyFont="1" applyBorder="1"/>
    <xf numFmtId="164" fontId="9" fillId="22" borderId="6" xfId="0" applyNumberFormat="1" applyFont="1" applyFill="1" applyBorder="1" applyAlignment="1">
      <alignment horizontal="center" vertical="center"/>
    </xf>
    <xf numFmtId="0" fontId="6" fillId="0" borderId="7" xfId="0" applyFont="1" applyBorder="1"/>
    <xf numFmtId="0" fontId="6" fillId="0" borderId="8" xfId="0" applyFont="1" applyBorder="1"/>
    <xf numFmtId="3" fontId="9" fillId="22" borderId="6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textRotation="90"/>
    </xf>
    <xf numFmtId="0" fontId="6" fillId="0" borderId="5" xfId="0" applyFont="1" applyBorder="1"/>
    <xf numFmtId="0" fontId="6" fillId="0" borderId="9" xfId="0" applyFont="1" applyBorder="1"/>
    <xf numFmtId="0" fontId="4" fillId="3" borderId="2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4" fillId="2" borderId="2" xfId="0" applyFont="1" applyFill="1" applyBorder="1" applyAlignment="1">
      <alignment horizontal="center" vertical="center" textRotation="90" wrapText="1"/>
    </xf>
    <xf numFmtId="0" fontId="2" fillId="2" borderId="2" xfId="0" applyFont="1" applyFill="1" applyBorder="1" applyAlignment="1">
      <alignment horizontal="center" vertical="center"/>
    </xf>
    <xf numFmtId="0" fontId="10" fillId="22" borderId="6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textRotation="90"/>
    </xf>
    <xf numFmtId="0" fontId="3" fillId="3" borderId="2" xfId="0" applyFont="1" applyFill="1" applyBorder="1"/>
    <xf numFmtId="0" fontId="1" fillId="2" borderId="2" xfId="0" applyFont="1" applyFill="1" applyBorder="1" applyAlignment="1">
      <alignment horizontal="center" vertical="center"/>
    </xf>
    <xf numFmtId="0" fontId="40" fillId="22" borderId="16" xfId="0" applyFont="1" applyFill="1" applyBorder="1" applyAlignment="1">
      <alignment horizontal="center" vertical="center" wrapText="1"/>
    </xf>
    <xf numFmtId="0" fontId="6" fillId="0" borderId="17" xfId="0" applyFont="1" applyBorder="1"/>
    <xf numFmtId="0" fontId="1" fillId="17" borderId="15" xfId="0" applyFont="1" applyFill="1" applyBorder="1" applyAlignment="1">
      <alignment horizontal="center" vertical="center" wrapText="1"/>
    </xf>
    <xf numFmtId="0" fontId="6" fillId="0" borderId="16" xfId="0" applyFont="1" applyBorder="1"/>
    <xf numFmtId="0" fontId="34" fillId="17" borderId="2" xfId="0" applyFont="1" applyFill="1" applyBorder="1" applyAlignment="1">
      <alignment horizontal="center" vertical="center" textRotation="90" wrapText="1"/>
    </xf>
    <xf numFmtId="0" fontId="34" fillId="17" borderId="1" xfId="0" applyFont="1" applyFill="1" applyBorder="1" applyAlignment="1">
      <alignment horizontal="center" vertical="center" wrapText="1"/>
    </xf>
    <xf numFmtId="0" fontId="6" fillId="0" borderId="4" xfId="0" applyFont="1" applyBorder="1"/>
    <xf numFmtId="0" fontId="6" fillId="0" borderId="10" xfId="0" applyFont="1" applyBorder="1"/>
    <xf numFmtId="0" fontId="1" fillId="17" borderId="2" xfId="0" applyFont="1" applyFill="1" applyBorder="1" applyAlignment="1">
      <alignment horizontal="center" vertical="center" textRotation="90" wrapText="1"/>
    </xf>
    <xf numFmtId="0" fontId="35" fillId="17" borderId="15" xfId="0" applyFont="1" applyFill="1" applyBorder="1" applyAlignment="1">
      <alignment horizontal="center" vertical="center"/>
    </xf>
    <xf numFmtId="0" fontId="38" fillId="17" borderId="16" xfId="0" applyFont="1" applyFill="1" applyBorder="1" applyAlignment="1">
      <alignment horizontal="center" vertical="center" wrapText="1"/>
    </xf>
    <xf numFmtId="0" fontId="1" fillId="17" borderId="16" xfId="0" applyFont="1" applyFill="1" applyBorder="1" applyAlignment="1">
      <alignment horizontal="center" vertical="center" wrapText="1"/>
    </xf>
    <xf numFmtId="0" fontId="56" fillId="45" borderId="0" xfId="0" applyFont="1" applyFill="1" applyAlignment="1">
      <alignment horizontal="center" wrapText="1"/>
    </xf>
    <xf numFmtId="0" fontId="58" fillId="46" borderId="0" xfId="0" applyFont="1" applyFill="1" applyAlignment="1">
      <alignment horizontal="center" vertical="center" wrapText="1"/>
    </xf>
    <xf numFmtId="0" fontId="59" fillId="46" borderId="0" xfId="0" applyFont="1" applyFill="1" applyAlignment="1">
      <alignment horizontal="center" wrapText="1"/>
    </xf>
    <xf numFmtId="0" fontId="60" fillId="46" borderId="0" xfId="0" applyFont="1" applyFill="1" applyAlignment="1">
      <alignment wrapText="1"/>
    </xf>
    <xf numFmtId="0" fontId="60" fillId="47" borderId="0" xfId="0" applyFont="1" applyFill="1" applyAlignment="1">
      <alignment wrapText="1"/>
    </xf>
    <xf numFmtId="0" fontId="61" fillId="46" borderId="0" xfId="0" applyFont="1" applyFill="1" applyAlignment="1">
      <alignment horizontal="center" vertical="center" wrapText="1"/>
    </xf>
    <xf numFmtId="0" fontId="60" fillId="46" borderId="0" xfId="0" applyFont="1" applyFill="1" applyAlignment="1">
      <alignment vertical="center" wrapText="1"/>
    </xf>
    <xf numFmtId="0" fontId="60" fillId="47" borderId="0" xfId="0" applyFont="1" applyFill="1" applyAlignment="1">
      <alignment vertical="center" wrapText="1"/>
    </xf>
    <xf numFmtId="0" fontId="62" fillId="48" borderId="0" xfId="0" applyFont="1" applyFill="1" applyAlignment="1">
      <alignment horizontal="center" vertical="center" wrapText="1"/>
    </xf>
    <xf numFmtId="0" fontId="63" fillId="46" borderId="0" xfId="0" applyFont="1" applyFill="1" applyAlignment="1">
      <alignment horizontal="center" vertical="center" wrapText="1"/>
    </xf>
    <xf numFmtId="0" fontId="64" fillId="49" borderId="0" xfId="0" applyFont="1" applyFill="1" applyAlignment="1">
      <alignment horizontal="center" vertical="center" wrapText="1"/>
    </xf>
    <xf numFmtId="0" fontId="65" fillId="46" borderId="0" xfId="0" applyFont="1" applyFill="1" applyAlignment="1">
      <alignment horizontal="center" vertical="center" wrapText="1"/>
    </xf>
    <xf numFmtId="10" fontId="61" fillId="46" borderId="0" xfId="0" applyNumberFormat="1" applyFont="1" applyFill="1" applyAlignment="1">
      <alignment horizontal="center" vertical="center" wrapText="1"/>
    </xf>
    <xf numFmtId="10" fontId="66" fillId="46" borderId="0" xfId="0" applyNumberFormat="1" applyFont="1" applyFill="1" applyAlignment="1">
      <alignment horizontal="center" vertical="center" wrapText="1"/>
    </xf>
    <xf numFmtId="10" fontId="67" fillId="46" borderId="0" xfId="0" applyNumberFormat="1" applyFont="1" applyFill="1" applyAlignment="1">
      <alignment horizontal="center" vertical="center" wrapText="1"/>
    </xf>
    <xf numFmtId="0" fontId="57" fillId="50" borderId="0" xfId="0" applyFont="1" applyFill="1" applyAlignment="1">
      <alignment horizontal="center" wrapText="1"/>
    </xf>
    <xf numFmtId="0" fontId="64" fillId="51" borderId="0" xfId="0" applyFont="1" applyFill="1" applyAlignment="1">
      <alignment horizontal="center" vertical="center" wrapText="1"/>
    </xf>
  </cellXfs>
  <cellStyles count="1">
    <cellStyle name="Normal" xfId="0" builtinId="0"/>
  </cellStyles>
  <dxfs count="125">
    <dxf>
      <font>
        <b/>
        <color rgb="FFFFFFFF"/>
      </font>
      <fill>
        <patternFill patternType="solid">
          <fgColor rgb="FF666666"/>
          <bgColor rgb="FF666666"/>
        </patternFill>
      </fill>
    </dxf>
    <dxf>
      <font>
        <b/>
        <color rgb="FFFFFFFF"/>
      </font>
      <fill>
        <patternFill patternType="solid">
          <fgColor rgb="FFE87639"/>
          <bgColor rgb="FFE87639"/>
        </patternFill>
      </fill>
    </dxf>
    <dxf>
      <font>
        <b/>
        <color rgb="FFFFFFFF"/>
      </font>
      <fill>
        <patternFill patternType="solid">
          <fgColor rgb="FFE40513"/>
          <bgColor rgb="FFE40513"/>
        </patternFill>
      </fill>
    </dxf>
    <dxf>
      <font>
        <b/>
        <color rgb="FFFFFFFF"/>
      </font>
      <fill>
        <patternFill patternType="solid">
          <fgColor rgb="FF37B8AE"/>
          <bgColor rgb="FF37B8AE"/>
        </patternFill>
      </fill>
    </dxf>
    <dxf>
      <font>
        <b/>
        <color rgb="FFFFFFFF"/>
      </font>
      <fill>
        <patternFill patternType="solid">
          <fgColor rgb="FFEF472A"/>
          <bgColor rgb="FFEF472A"/>
        </patternFill>
      </fill>
    </dxf>
    <dxf>
      <font>
        <b/>
        <color rgb="FFFFFFFF"/>
      </font>
      <fill>
        <patternFill patternType="solid">
          <fgColor rgb="FFCC4125"/>
          <bgColor rgb="FFCC4125"/>
        </patternFill>
      </fill>
    </dxf>
    <dxf>
      <font>
        <b/>
        <color rgb="FFFFFFFF"/>
      </font>
      <fill>
        <patternFill patternType="solid">
          <fgColor theme="9"/>
          <bgColor theme="9"/>
        </patternFill>
      </fill>
    </dxf>
    <dxf>
      <font>
        <b/>
        <color rgb="FFFFFFFF"/>
      </font>
      <fill>
        <patternFill patternType="solid">
          <fgColor rgb="FF174A92"/>
          <bgColor rgb="FF174A92"/>
        </patternFill>
      </fill>
    </dxf>
    <dxf>
      <font>
        <b/>
        <color rgb="FFFFFFFF"/>
      </font>
      <fill>
        <patternFill patternType="solid">
          <fgColor rgb="FF1155CC"/>
          <bgColor rgb="FF1155CC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6E3176"/>
          <bgColor rgb="FF6E3176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C27BA0"/>
          <bgColor rgb="FFC27BA0"/>
        </patternFill>
      </fill>
    </dxf>
    <dxf>
      <font>
        <b/>
        <color rgb="FFFFFFFF"/>
      </font>
      <fill>
        <patternFill patternType="solid">
          <fgColor rgb="FF16ACE2"/>
          <bgColor rgb="FF16ACE2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7141A"/>
          <bgColor rgb="FF97141A"/>
        </patternFill>
      </fill>
    </dxf>
    <dxf>
      <font>
        <b/>
        <color rgb="FFFFFFFF"/>
      </font>
      <fill>
        <patternFill patternType="solid">
          <fgColor rgb="FF0B00A6"/>
          <bgColor rgb="FF0B00A6"/>
        </patternFill>
      </fill>
    </dxf>
    <dxf>
      <font>
        <b/>
        <color rgb="FF000000"/>
      </font>
      <fill>
        <patternFill patternType="solid">
          <fgColor rgb="FFFFE599"/>
          <bgColor rgb="FFFFE599"/>
        </patternFill>
      </fill>
    </dxf>
    <dxf>
      <font>
        <b/>
        <color rgb="FFFFFFFF"/>
      </font>
      <fill>
        <patternFill patternType="solid">
          <fgColor rgb="FFD25469"/>
          <bgColor rgb="FFD25469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10B7CE"/>
          <bgColor rgb="FF10B7CE"/>
        </patternFill>
      </fill>
    </dxf>
    <dxf>
      <font>
        <b/>
        <color rgb="FFFFFFFF"/>
      </font>
      <fill>
        <patternFill patternType="solid">
          <fgColor rgb="FF0B5394"/>
          <bgColor rgb="FF0B5394"/>
        </patternFill>
      </fill>
    </dxf>
    <dxf>
      <font>
        <b/>
        <color rgb="FFFFFFFF"/>
      </font>
      <fill>
        <patternFill patternType="solid">
          <fgColor rgb="FF6AB023"/>
          <bgColor rgb="FF6AB023"/>
        </patternFill>
      </fill>
    </dxf>
    <dxf>
      <font>
        <b/>
        <color rgb="FFFFFFFF"/>
      </font>
      <fill>
        <patternFill patternType="solid">
          <fgColor rgb="FFFAA61A"/>
          <bgColor rgb="FFFAA61A"/>
        </patternFill>
      </fill>
    </dxf>
    <dxf>
      <font>
        <b/>
        <color rgb="FFFFFFFF"/>
      </font>
      <fill>
        <patternFill patternType="solid">
          <fgColor rgb="FFE4003B"/>
          <bgColor rgb="FFE4003B"/>
        </patternFill>
      </fill>
    </dxf>
    <dxf>
      <font>
        <b/>
        <color rgb="FFFFFFFF"/>
      </font>
      <fill>
        <patternFill patternType="solid">
          <fgColor rgb="FF00AEEF"/>
          <bgColor rgb="FF00AEEF"/>
        </patternFill>
      </fill>
    </dxf>
    <dxf>
      <font>
        <b/>
        <color rgb="FFFFFFFF"/>
      </font>
      <fill>
        <patternFill patternType="solid">
          <fgColor rgb="FF666666"/>
          <bgColor rgb="FF666666"/>
        </patternFill>
      </fill>
    </dxf>
    <dxf>
      <font>
        <b/>
        <color rgb="FFFFFFFF"/>
      </font>
      <fill>
        <patternFill patternType="solid">
          <fgColor rgb="FFE87639"/>
          <bgColor rgb="FFE87639"/>
        </patternFill>
      </fill>
    </dxf>
    <dxf>
      <font>
        <b/>
        <color rgb="FFFFFFFF"/>
      </font>
      <fill>
        <patternFill patternType="solid">
          <fgColor rgb="FFE40513"/>
          <bgColor rgb="FFE40513"/>
        </patternFill>
      </fill>
    </dxf>
    <dxf>
      <font>
        <b/>
        <color rgb="FFFFFFFF"/>
      </font>
      <fill>
        <patternFill patternType="solid">
          <fgColor rgb="FF37B8AE"/>
          <bgColor rgb="FF37B8AE"/>
        </patternFill>
      </fill>
    </dxf>
    <dxf>
      <font>
        <b/>
        <color rgb="FFFFFFFF"/>
      </font>
      <fill>
        <patternFill patternType="solid">
          <fgColor rgb="FFEF472A"/>
          <bgColor rgb="FFEF472A"/>
        </patternFill>
      </fill>
    </dxf>
    <dxf>
      <font>
        <b/>
        <color rgb="FFFFFFFF"/>
      </font>
      <fill>
        <patternFill patternType="solid">
          <fgColor rgb="FFCC4125"/>
          <bgColor rgb="FFCC4125"/>
        </patternFill>
      </fill>
    </dxf>
    <dxf>
      <font>
        <b/>
        <color rgb="FFFFFFFF"/>
      </font>
      <fill>
        <patternFill patternType="solid">
          <fgColor rgb="FF073763"/>
          <bgColor rgb="FF073763"/>
        </patternFill>
      </fill>
    </dxf>
    <dxf>
      <font>
        <b/>
        <color rgb="FFFFFFFF"/>
      </font>
      <fill>
        <patternFill patternType="solid">
          <fgColor rgb="FF134F5C"/>
          <bgColor rgb="FF134F5C"/>
        </patternFill>
      </fill>
    </dxf>
    <dxf>
      <font>
        <b/>
        <color rgb="FFFFFFFF"/>
      </font>
      <fill>
        <patternFill patternType="solid">
          <fgColor theme="9"/>
          <bgColor theme="9"/>
        </patternFill>
      </fill>
    </dxf>
    <dxf>
      <font>
        <b/>
        <color rgb="FFFFFFFF"/>
      </font>
      <fill>
        <patternFill patternType="solid">
          <fgColor rgb="FF174A92"/>
          <bgColor rgb="FF174A92"/>
        </patternFill>
      </fill>
    </dxf>
    <dxf>
      <font>
        <b/>
        <color rgb="FFFFFFFF"/>
      </font>
      <fill>
        <patternFill patternType="solid">
          <fgColor rgb="FFCC4125"/>
          <bgColor rgb="FFCC4125"/>
        </patternFill>
      </fill>
    </dxf>
    <dxf>
      <font>
        <b/>
        <color rgb="FFFFFFFF"/>
      </font>
      <fill>
        <patternFill patternType="solid">
          <fgColor rgb="FF3C78D8"/>
          <bgColor rgb="FF3C78D8"/>
        </patternFill>
      </fill>
    </dxf>
    <dxf>
      <font>
        <b/>
        <color rgb="FFFFFFFF"/>
      </font>
      <fill>
        <patternFill patternType="solid">
          <fgColor rgb="FFF1C232"/>
          <bgColor rgb="FFF1C232"/>
        </patternFill>
      </fill>
    </dxf>
    <dxf>
      <font>
        <b/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1155CC"/>
          <bgColor rgb="FF1155CC"/>
        </patternFill>
      </fill>
    </dxf>
    <dxf>
      <font>
        <b/>
        <color rgb="FF000000"/>
      </font>
      <fill>
        <patternFill patternType="solid">
          <fgColor rgb="FFFFFF00"/>
          <bgColor rgb="FFFFFF00"/>
        </patternFill>
      </fill>
    </dxf>
    <dxf>
      <font>
        <b/>
        <color rgb="FFFFFFFF"/>
      </font>
      <fill>
        <patternFill patternType="solid">
          <fgColor rgb="FF9900FF"/>
          <bgColor rgb="FF9900FF"/>
        </patternFill>
      </fill>
    </dxf>
    <dxf>
      <font>
        <b/>
        <color rgb="FFFFFFFF"/>
      </font>
      <fill>
        <patternFill patternType="solid">
          <fgColor rgb="FF6E3176"/>
          <bgColor rgb="FF6E3176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C27BA0"/>
          <bgColor rgb="FFC27BA0"/>
        </patternFill>
      </fill>
    </dxf>
    <dxf>
      <font>
        <b/>
        <color rgb="FFFFFFFF"/>
      </font>
      <fill>
        <patternFill patternType="solid">
          <fgColor rgb="FF16ACE2"/>
          <bgColor rgb="FF16ACE2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97141A"/>
          <bgColor rgb="FF97141A"/>
        </patternFill>
      </fill>
    </dxf>
    <dxf>
      <font>
        <b/>
        <color rgb="FFFFFFFF"/>
      </font>
      <fill>
        <patternFill patternType="solid">
          <fgColor rgb="FF0B00A6"/>
          <bgColor rgb="FF0B00A6"/>
        </patternFill>
      </fill>
    </dxf>
    <dxf>
      <font>
        <b/>
        <color rgb="FF000000"/>
      </font>
      <fill>
        <patternFill patternType="solid">
          <fgColor rgb="FFFFE599"/>
          <bgColor rgb="FFFFE599"/>
        </patternFill>
      </fill>
    </dxf>
    <dxf>
      <font>
        <b/>
        <color rgb="FFFFFFFF"/>
      </font>
      <fill>
        <patternFill patternType="solid">
          <fgColor rgb="FFD25469"/>
          <bgColor rgb="FFD25469"/>
        </patternFill>
      </fill>
    </dxf>
    <dxf>
      <font>
        <b/>
        <color rgb="FFFFFFFF"/>
      </font>
      <fill>
        <patternFill patternType="solid">
          <fgColor rgb="FF999999"/>
          <bgColor rgb="FF999999"/>
        </patternFill>
      </fill>
    </dxf>
    <dxf>
      <font>
        <b/>
        <color rgb="FFFFFFFF"/>
      </font>
      <fill>
        <patternFill patternType="solid">
          <fgColor rgb="FF10B7CE"/>
          <bgColor rgb="FF10B7CE"/>
        </patternFill>
      </fill>
    </dxf>
    <dxf>
      <font>
        <b/>
        <color rgb="FFFFFFFF"/>
      </font>
      <fill>
        <patternFill patternType="solid">
          <fgColor rgb="FF0B5394"/>
          <bgColor rgb="FF0B5394"/>
        </patternFill>
      </fill>
    </dxf>
    <dxf>
      <font>
        <b/>
        <color rgb="FFFFFFFF"/>
      </font>
      <fill>
        <patternFill patternType="solid">
          <fgColor rgb="FF6AB023"/>
          <bgColor rgb="FF6AB023"/>
        </patternFill>
      </fill>
    </dxf>
    <dxf>
      <font>
        <b/>
        <color rgb="FFFFFFFF"/>
      </font>
      <fill>
        <patternFill patternType="solid">
          <fgColor rgb="FFFAA61A"/>
          <bgColor rgb="FFFAA61A"/>
        </patternFill>
      </fill>
    </dxf>
    <dxf>
      <font>
        <b/>
        <color rgb="FFFFFFFF"/>
      </font>
      <fill>
        <patternFill patternType="solid">
          <fgColor rgb="FFE4003B"/>
          <bgColor rgb="FFE4003B"/>
        </patternFill>
      </fill>
    </dxf>
    <dxf>
      <font>
        <b/>
        <color rgb="FFFFFFFF"/>
      </font>
      <fill>
        <patternFill patternType="solid">
          <fgColor rgb="FF00AEEF"/>
          <bgColor rgb="FF00AEEF"/>
        </patternFill>
      </fill>
    </dxf>
    <dxf>
      <font>
        <b/>
        <color rgb="FFFFFFFF"/>
      </font>
      <fill>
        <patternFill patternType="solid">
          <fgColor rgb="FFC27BA0"/>
          <bgColor rgb="FFC27BA0"/>
        </patternFill>
      </fill>
    </dxf>
    <dxf>
      <font>
        <b/>
        <color rgb="FFFFFFFF"/>
      </font>
      <fill>
        <patternFill patternType="solid">
          <fgColor rgb="FFD25469"/>
          <bgColor rgb="FFD25469"/>
        </patternFill>
      </fill>
    </dxf>
    <dxf>
      <font>
        <b/>
        <color rgb="FFFFFFFF"/>
      </font>
      <fill>
        <patternFill patternType="solid">
          <fgColor rgb="FF073763"/>
          <bgColor rgb="FF073763"/>
        </patternFill>
      </fill>
    </dxf>
    <dxf>
      <font>
        <color rgb="FFFFFFFF"/>
      </font>
      <fill>
        <patternFill patternType="solid">
          <fgColor rgb="FFB7B7B7"/>
          <bgColor rgb="FFB7B7B7"/>
        </patternFill>
      </fill>
    </dxf>
    <dxf>
      <font>
        <color rgb="FFFFFFFF"/>
      </font>
      <fill>
        <patternFill patternType="solid">
          <fgColor rgb="FFD9EAD3"/>
          <bgColor rgb="FFD9EAD3"/>
        </patternFill>
      </fill>
    </dxf>
    <dxf>
      <font>
        <color rgb="FFFFFFFF"/>
      </font>
      <fill>
        <patternFill patternType="solid">
          <fgColor rgb="FFFFF2CC"/>
          <bgColor rgb="FFFFF2CC"/>
        </patternFill>
      </fill>
    </dxf>
    <dxf>
      <font>
        <color rgb="FFFFFFFF"/>
      </font>
      <fill>
        <patternFill patternType="solid">
          <fgColor rgb="FFD0E0E3"/>
          <bgColor rgb="FFD0E0E3"/>
        </patternFill>
      </fill>
    </dxf>
    <dxf>
      <font>
        <color rgb="FFFFFFFF"/>
      </font>
      <fill>
        <patternFill patternType="solid">
          <fgColor rgb="FFE6B8AF"/>
          <bgColor rgb="FFE6B8AF"/>
        </patternFill>
      </fill>
    </dxf>
    <dxf>
      <font>
        <color rgb="FF666666"/>
      </font>
      <fill>
        <patternFill patternType="solid">
          <fgColor rgb="FFFFFBEE"/>
          <bgColor rgb="FFFFFBEE"/>
        </patternFill>
      </fill>
    </dxf>
    <dxf>
      <font>
        <color rgb="FFFFFFFF"/>
      </font>
      <fill>
        <patternFill patternType="solid">
          <fgColor rgb="FFB6D7A8"/>
          <bgColor rgb="FFB6D7A8"/>
        </patternFill>
      </fill>
    </dxf>
    <dxf>
      <font>
        <color rgb="FFFFFFFF"/>
      </font>
      <fill>
        <patternFill patternType="solid">
          <fgColor rgb="FFD9EAD3"/>
          <bgColor rgb="FFD9EAD3"/>
        </patternFill>
      </fill>
    </dxf>
    <dxf>
      <font>
        <color rgb="FFFFFFFF"/>
      </font>
      <fill>
        <patternFill patternType="solid">
          <fgColor rgb="FFFCE5CD"/>
          <bgColor rgb="FFFCE5CD"/>
        </patternFill>
      </fill>
    </dxf>
    <dxf>
      <font>
        <color rgb="FFFFFFFF"/>
      </font>
      <fill>
        <patternFill patternType="solid">
          <fgColor rgb="FFF4CCCC"/>
          <bgColor rgb="FFF4CCCC"/>
        </patternFill>
      </fill>
    </dxf>
    <dxf>
      <font>
        <color rgb="FFFFFFFF"/>
      </font>
      <fill>
        <patternFill patternType="solid">
          <fgColor rgb="FFC9DAF8"/>
          <bgColor rgb="FFC9DAF8"/>
        </patternFill>
      </fill>
    </dxf>
    <dxf>
      <font>
        <b/>
        <color rgb="FFFFFFFF"/>
      </font>
      <fill>
        <patternFill patternType="solid">
          <fgColor rgb="FF3C78D8"/>
          <bgColor rgb="FF3C78D8"/>
        </patternFill>
      </fill>
    </dxf>
    <dxf>
      <font>
        <b/>
        <color rgb="FFFFFFFF"/>
      </font>
      <fill>
        <patternFill patternType="solid">
          <fgColor rgb="FF174A92"/>
          <bgColor rgb="FF174A92"/>
        </patternFill>
      </fill>
    </dxf>
    <dxf>
      <font>
        <b/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F1C232"/>
          <bgColor rgb="FFF1C232"/>
        </patternFill>
      </fill>
    </dxf>
    <dxf>
      <font>
        <b/>
        <color rgb="FFFFFFFF"/>
      </font>
      <fill>
        <patternFill patternType="solid">
          <fgColor rgb="FF004D4D"/>
          <bgColor rgb="FF004D4D"/>
        </patternFill>
      </fill>
    </dxf>
    <dxf>
      <font>
        <b/>
        <color rgb="FFFFFFFF"/>
      </font>
      <fill>
        <patternFill patternType="solid">
          <fgColor rgb="FFCC4125"/>
          <bgColor rgb="FFCC4125"/>
        </patternFill>
      </fill>
    </dxf>
    <dxf>
      <font>
        <b/>
        <color rgb="FFFFFFFF"/>
      </font>
      <fill>
        <patternFill patternType="solid">
          <fgColor rgb="FFB7B7B7"/>
          <bgColor rgb="FFB7B7B7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6AB023"/>
          <bgColor rgb="FF6AB023"/>
        </patternFill>
      </fill>
    </dxf>
    <dxf>
      <font>
        <b/>
        <color rgb="FF000000"/>
      </font>
      <fill>
        <patternFill patternType="solid">
          <fgColor rgb="FFFDF38E"/>
          <bgColor rgb="FFFDF38E"/>
        </patternFill>
      </fill>
    </dxf>
    <dxf>
      <font>
        <b/>
        <color rgb="FFFFFFFF"/>
      </font>
      <fill>
        <patternFill patternType="solid">
          <fgColor rgb="FFFAA61A"/>
          <bgColor rgb="FFFAA61A"/>
        </patternFill>
      </fill>
    </dxf>
    <dxf>
      <font>
        <b/>
        <color rgb="FFFFFFFF"/>
      </font>
      <fill>
        <patternFill patternType="solid">
          <fgColor rgb="FF14D2EA"/>
          <bgColor rgb="FF14D2EA"/>
        </patternFill>
      </fill>
    </dxf>
    <dxf>
      <font>
        <b/>
        <color rgb="FFFFFFFF"/>
      </font>
      <fill>
        <patternFill patternType="solid">
          <fgColor rgb="FF00AEEF"/>
          <bgColor rgb="FF00AEEF"/>
        </patternFill>
      </fill>
    </dxf>
    <dxf>
      <font>
        <b/>
        <color rgb="FFFFFFFF"/>
      </font>
      <fill>
        <patternFill patternType="solid">
          <fgColor rgb="FFE4003B"/>
          <bgColor rgb="FFE4003B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color rgb="FF666666"/>
      </font>
      <fill>
        <patternFill patternType="solid">
          <fgColor rgb="FFEFEFEF"/>
          <bgColor rgb="FFEFEFEF"/>
        </patternFill>
      </fill>
    </dxf>
    <dxf>
      <font>
        <color rgb="FFCCCCCC"/>
      </font>
      <fill>
        <patternFill patternType="solid">
          <fgColor rgb="FFEFEFEF"/>
          <bgColor rgb="FFEFEFEF"/>
        </patternFill>
      </fill>
    </dxf>
    <dxf>
      <font>
        <b/>
        <color rgb="FFFFFFFF"/>
      </font>
      <fill>
        <patternFill patternType="solid">
          <fgColor rgb="FF00AEEF"/>
          <bgColor rgb="FF00AEEF"/>
        </patternFill>
      </fill>
    </dxf>
    <dxf>
      <font>
        <color rgb="FFD9D9D9"/>
      </font>
      <fill>
        <patternFill patternType="solid">
          <fgColor rgb="FFEFEFEF"/>
          <bgColor rgb="FFEFEFEF"/>
        </patternFill>
      </fill>
    </dxf>
    <dxf>
      <font>
        <color rgb="FF000000"/>
      </font>
      <fill>
        <patternFill patternType="solid">
          <fgColor rgb="FFEFEFEF"/>
          <bgColor rgb="FFEFEFEF"/>
        </patternFill>
      </fill>
    </dxf>
    <dxf>
      <font>
        <b/>
        <color rgb="FFFFFFFF"/>
      </font>
      <fill>
        <patternFill patternType="solid">
          <fgColor rgb="FF6AA84F"/>
          <bgColor rgb="FF6AA84F"/>
        </patternFill>
      </fill>
    </dxf>
    <dxf>
      <font>
        <b/>
        <color rgb="FFFFFFFF"/>
      </font>
      <fill>
        <patternFill patternType="solid">
          <fgColor rgb="FFF1C232"/>
          <bgColor rgb="FFF1C232"/>
        </patternFill>
      </fill>
    </dxf>
    <dxf>
      <font>
        <b/>
        <color rgb="FFFFFFFF"/>
      </font>
      <fill>
        <patternFill patternType="solid">
          <fgColor rgb="FF004D4D"/>
          <bgColor rgb="FF004D4D"/>
        </patternFill>
      </fill>
    </dxf>
    <dxf>
      <font>
        <b/>
        <color rgb="FFFFFFFF"/>
      </font>
      <fill>
        <patternFill patternType="solid">
          <fgColor rgb="FFCC4125"/>
          <bgColor rgb="FFCC4125"/>
        </patternFill>
      </fill>
    </dxf>
    <dxf>
      <font>
        <b/>
        <color rgb="FFFFFFFF"/>
      </font>
      <fill>
        <patternFill patternType="solid">
          <fgColor rgb="FFC27BA0"/>
          <bgColor rgb="FFC27BA0"/>
        </patternFill>
      </fill>
    </dxf>
    <dxf>
      <font>
        <b/>
        <color rgb="FFFFFFFF"/>
      </font>
      <fill>
        <patternFill patternType="solid">
          <fgColor rgb="FFB7B7B7"/>
          <bgColor rgb="FFB7B7B7"/>
        </patternFill>
      </fill>
    </dxf>
    <dxf>
      <font>
        <b/>
        <color rgb="FFFFFFFF"/>
      </font>
      <fill>
        <patternFill patternType="solid">
          <fgColor rgb="FFD25469"/>
          <bgColor rgb="FFD25469"/>
        </patternFill>
      </fill>
    </dxf>
    <dxf>
      <font>
        <b/>
        <color rgb="FFFFFFFF"/>
      </font>
      <fill>
        <patternFill patternType="solid">
          <fgColor rgb="FF174A92"/>
          <bgColor rgb="FF174A92"/>
        </patternFill>
      </fill>
    </dxf>
    <dxf>
      <font>
        <b/>
        <color rgb="FF000000"/>
      </font>
      <fill>
        <patternFill patternType="solid">
          <fgColor rgb="FFFDF38E"/>
          <bgColor rgb="FFFDF38E"/>
        </patternFill>
      </fill>
    </dxf>
    <dxf>
      <font>
        <b/>
        <color rgb="FFFFFFFF"/>
      </font>
      <fill>
        <patternFill patternType="solid">
          <fgColor rgb="FF38761D"/>
          <bgColor rgb="FF38761D"/>
        </patternFill>
      </fill>
    </dxf>
    <dxf>
      <font>
        <b/>
        <color rgb="FFFFFFFF"/>
      </font>
      <fill>
        <patternFill patternType="solid">
          <fgColor rgb="FF6AB023"/>
          <bgColor rgb="FF6AB023"/>
        </patternFill>
      </fill>
    </dxf>
    <dxf>
      <font>
        <b/>
        <color rgb="FFFFFFFF"/>
      </font>
      <fill>
        <patternFill patternType="solid">
          <fgColor rgb="FF14D2EA"/>
          <bgColor rgb="FF14D2EA"/>
        </patternFill>
      </fill>
    </dxf>
    <dxf>
      <font>
        <b/>
        <color rgb="FFFFFFFF"/>
      </font>
      <fill>
        <patternFill patternType="solid">
          <fgColor rgb="FFFAA61A"/>
          <bgColor rgb="FFFAA61A"/>
        </patternFill>
      </fill>
    </dxf>
    <dxf>
      <font>
        <b/>
        <color rgb="FFFFFFFF"/>
      </font>
      <fill>
        <patternFill patternType="solid">
          <fgColor rgb="FFE4003B"/>
          <bgColor rgb="FFE4003B"/>
        </patternFill>
      </fill>
    </dxf>
    <dxf>
      <font>
        <b/>
        <color rgb="FFFFFFFF"/>
      </font>
      <fill>
        <patternFill patternType="solid">
          <fgColor rgb="FF073763"/>
          <bgColor rgb="FF073763"/>
        </patternFill>
      </fill>
    </dxf>
    <dxf>
      <font>
        <b/>
        <color rgb="FFFFFFFF"/>
      </font>
      <fill>
        <patternFill patternType="solid">
          <fgColor rgb="FF3C78D8"/>
          <bgColor rgb="FF3C78D8"/>
        </patternFill>
      </fill>
    </dxf>
    <dxf>
      <font>
        <color rgb="FF000000"/>
      </font>
      <fill>
        <patternFill patternType="solid">
          <fgColor rgb="FF000000"/>
          <bgColor rgb="FF000000"/>
        </patternFill>
      </fill>
    </dxf>
    <dxf>
      <font>
        <color rgb="FF6AB023"/>
      </font>
      <fill>
        <patternFill patternType="solid">
          <fgColor rgb="FF6AB023"/>
          <bgColor rgb="FF6AB023"/>
        </patternFill>
      </fill>
    </dxf>
    <dxf>
      <font>
        <color rgb="FFF1C232"/>
      </font>
      <fill>
        <patternFill patternType="solid">
          <fgColor rgb="FFF1C232"/>
          <bgColor rgb="FFF1C232"/>
        </patternFill>
      </fill>
    </dxf>
    <dxf>
      <font>
        <color rgb="FF6AA84F"/>
      </font>
      <fill>
        <patternFill patternType="solid">
          <fgColor rgb="FF6AA84F"/>
          <bgColor rgb="FF6AA84F"/>
        </patternFill>
      </fill>
    </dxf>
    <dxf>
      <font>
        <color rgb="FFCC4125"/>
      </font>
      <fill>
        <patternFill patternType="solid">
          <fgColor rgb="FFCC4125"/>
          <bgColor rgb="FFCC4125"/>
        </patternFill>
      </fill>
    </dxf>
    <dxf>
      <font>
        <color rgb="FF004D4D"/>
      </font>
      <fill>
        <patternFill patternType="solid">
          <fgColor rgb="FF004D4D"/>
          <bgColor rgb="FF004D4D"/>
        </patternFill>
      </fill>
    </dxf>
    <dxf>
      <font>
        <color rgb="FF38761D"/>
      </font>
      <fill>
        <patternFill patternType="solid">
          <fgColor rgb="FF38761D"/>
          <bgColor rgb="FF38761D"/>
        </patternFill>
      </fill>
    </dxf>
    <dxf>
      <font>
        <color rgb="FFFDF38E"/>
      </font>
      <fill>
        <patternFill patternType="solid">
          <fgColor rgb="FFFDF38E"/>
          <bgColor rgb="FFFDF38E"/>
        </patternFill>
      </fill>
    </dxf>
    <dxf>
      <font>
        <color rgb="FFFAA61A"/>
      </font>
      <fill>
        <patternFill patternType="solid">
          <fgColor rgb="FFFAA61A"/>
          <bgColor rgb="FFFAA61A"/>
        </patternFill>
      </fill>
    </dxf>
    <dxf>
      <font>
        <color rgb="FFE4003B"/>
      </font>
      <fill>
        <patternFill patternType="solid">
          <fgColor rgb="FFE4003B"/>
          <bgColor rgb="FFE4003B"/>
        </patternFill>
      </fill>
    </dxf>
    <dxf>
      <font>
        <color rgb="FF00AEEF"/>
      </font>
      <fill>
        <patternFill patternType="solid">
          <fgColor rgb="FF00AEEF"/>
          <bgColor rgb="FF00AEE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FFFFFF"/>
          <bgColor rgb="FFFFFFFF"/>
        </patternFill>
      </fill>
    </dxf>
  </dxfs>
  <tableStyles count="2">
    <tableStyle name="SoPN (UK)-style" pivot="0" count="2" xr9:uid="{00000000-0011-0000-FFFF-FFFF00000000}">
      <tableStyleElement type="firstRowStripe" dxfId="124"/>
      <tableStyleElement type="secondRowStripe" dxfId="123"/>
    </tableStyle>
    <tableStyle name="SoPN (GB)-style" pivot="0" count="2" xr9:uid="{00000000-0011-0000-FFFF-FFFF01000000}">
      <tableStyleElement type="firstRowStripe" dxfId="122"/>
      <tableStyleElement type="secondRowStripe" dxfId="1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5:AL654" headerRowCount="0">
  <tableColumns count="36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</tableColumns>
  <tableStyleInfo name="SoPN (UK)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D5:AG636" headerRowCount="0">
  <tableColumns count="30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</tableColumns>
  <tableStyleInfo name="SoPN (GB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-6nu9Vq0AqC0ioMIA3Z_nI7tnqmXoYsO/view?pli=1" TargetMode="External"/><Relationship Id="rId21" Type="http://schemas.openxmlformats.org/officeDocument/2006/relationships/hyperlink" Target="https://new.haringey.gov.uk/council-elections/elections-voting/general-election-2024/statement-persons-nominated-notice-poll-tottenham-constituency" TargetMode="External"/><Relationship Id="rId324" Type="http://schemas.openxmlformats.org/officeDocument/2006/relationships/hyperlink" Target="https://www.stalbans.gov.uk/uk-parliamentary-election-4-july-2024" TargetMode="External"/><Relationship Id="rId531" Type="http://schemas.openxmlformats.org/officeDocument/2006/relationships/hyperlink" Target="https://www.midsuffolk.gov.uk/documents/d/asset-library-54706/waveney-valley-nop-sopn-sops" TargetMode="External"/><Relationship Id="rId629" Type="http://schemas.openxmlformats.org/officeDocument/2006/relationships/hyperlink" Target="https://www.shropshire.gov.uk/media/28059/sopn-south-shropshire.pdf" TargetMode="External"/><Relationship Id="rId170" Type="http://schemas.openxmlformats.org/officeDocument/2006/relationships/hyperlink" Target="https://www.wigan.gov.uk/Docs/PDF/Council/Voting-and-Elections/2024/General-Election/Statement-Of-Persons-Nominated-Wigan.pdf" TargetMode="External"/><Relationship Id="rId268" Type="http://schemas.openxmlformats.org/officeDocument/2006/relationships/hyperlink" Target="https://www.leeds.gov.uk/docs/Leeds%20South%20West%20and%20Morley.pdf" TargetMode="External"/><Relationship Id="rId475" Type="http://schemas.openxmlformats.org/officeDocument/2006/relationships/hyperlink" Target="https://www.midsussex.gov.uk/media/ji1bj0rd/mid-sussex-sopn-nop.pdf" TargetMode="External"/><Relationship Id="rId32" Type="http://schemas.openxmlformats.org/officeDocument/2006/relationships/hyperlink" Target="https://blackburn-darwen.org.uk/wp-content/uploads/Statement-of-Persons-Nominated-Notice-of-Poll-and-Situation-of-Polling-Stations-UKGPE.pdf" TargetMode="External"/><Relationship Id="rId128" Type="http://schemas.openxmlformats.org/officeDocument/2006/relationships/hyperlink" Target="https://www.lbhf.gov.uk/sites/default/files/2024-06/Statement-of-Persons-Nominated-Hammersmith-and-Chiswick-final-web.pdf" TargetMode="External"/><Relationship Id="rId335" Type="http://schemas.openxmlformats.org/officeDocument/2006/relationships/hyperlink" Target="https://www.tamworth.gov.uk/sites/default/files/councillors_docs/03-Statement-of-Person-Nominated-Notice-of-Poll-and-Situation-of-Polling-Stations-UKPGE2024.pdf" TargetMode="External"/><Relationship Id="rId542" Type="http://schemas.openxmlformats.org/officeDocument/2006/relationships/hyperlink" Target="https://www.eoni.org.uk/getmedia/ede0bab2-9da9-428d-9cac-fe44bf120b6d/Statement-of-Persons-Nominated-combined-with-Notice-of-Poll_1" TargetMode="External"/><Relationship Id="rId181" Type="http://schemas.openxmlformats.org/officeDocument/2006/relationships/hyperlink" Target="https://cne-siar.gov.uk/home/your-council/elections-and-voting/uk-parliamentary-election/statutory-notices-uk-general-election/statement-of-persons-nominated-and-notice-of-poll/" TargetMode="External"/><Relationship Id="rId402" Type="http://schemas.openxmlformats.org/officeDocument/2006/relationships/hyperlink" Target="https://www.arun.gov.uk/download.cfm?doc=docm93jijm4n20853.pdf&amp;ver=26660" TargetMode="External"/><Relationship Id="rId279" Type="http://schemas.openxmlformats.org/officeDocument/2006/relationships/hyperlink" Target="https://www.cheshirewestandchester.gov.uk/asset-library/your-council/elections/general-election-2024/SOPN-NoP-SoP-MC-UKPGE.pdf" TargetMode="External"/><Relationship Id="rId486" Type="http://schemas.openxmlformats.org/officeDocument/2006/relationships/hyperlink" Target="https://www.bromley.gov.uk/downloads/file/2473/statement-of-persons-nominated-orpington-constituency" TargetMode="External"/><Relationship Id="rId43" Type="http://schemas.openxmlformats.org/officeDocument/2006/relationships/hyperlink" Target="https://www.islington.gov.uk/about-the-council/voting-and-elections/general-election-2024/election-of-a-member-of-parliament-for-islington-south-and-finsbury" TargetMode="External"/><Relationship Id="rId139" Type="http://schemas.openxmlformats.org/officeDocument/2006/relationships/hyperlink" Target="https://liverpool.gov.uk/media/50fd55x0/statement-of-persons-nominated-liverpool-riverside.docx" TargetMode="External"/><Relationship Id="rId346" Type="http://schemas.openxmlformats.org/officeDocument/2006/relationships/hyperlink" Target="https://www.worcester.gov.uk/component/fileman/file/PDF%20Documents/Councillors%20and%20Democracy/Elections/2024/GE/Statement%20of%20Persons%20Nominated%20Worcester%20-%20UK%20General%20Election.pdf?routed=1&amp;container=fileman-files" TargetMode="External"/><Relationship Id="rId553" Type="http://schemas.openxmlformats.org/officeDocument/2006/relationships/hyperlink" Target="https://www.renfrewshire.gov.uk/media/16575/Statement-of-Persons-Nominated-including-Notice-of-Poll-and-Situation-of-Polling-Stations-for-Paisley-and-Renfrewshire-North-Constituency/pdf/FINAL_Notice_of_Poll___Sit_of_Polling_Places_-_PR_NORTH.pdf?m=1717777758577" TargetMode="External"/><Relationship Id="rId192" Type="http://schemas.openxmlformats.org/officeDocument/2006/relationships/hyperlink" Target="https://www.inverclyde.gov.uk/assets/attach/17254/2024-UKPGE-Statement-of-Persons-Nominated-and-Notice-of-Poll.pdf" TargetMode="External"/><Relationship Id="rId206" Type="http://schemas.openxmlformats.org/officeDocument/2006/relationships/hyperlink" Target="https://www.easthants.gov.uk/elections/uk-parliamentary-general-election-4-july-2024" TargetMode="External"/><Relationship Id="rId413" Type="http://schemas.openxmlformats.org/officeDocument/2006/relationships/hyperlink" Target="https://www.milton-keynes.gov.uk/sites/default/files/2024-06/Statement%20of%20Persons%20Nominated%202024.zip" TargetMode="External"/><Relationship Id="rId497" Type="http://schemas.openxmlformats.org/officeDocument/2006/relationships/hyperlink" Target="https://sefton.gov.uk/media/8668/sefton-central_statement-of-persons-nominated.pdf" TargetMode="External"/><Relationship Id="rId620" Type="http://schemas.openxmlformats.org/officeDocument/2006/relationships/hyperlink" Target="https://www.plymouth.gov.uk/sites/default/files/2024-06/PMV.pdf" TargetMode="External"/><Relationship Id="rId357" Type="http://schemas.openxmlformats.org/officeDocument/2006/relationships/hyperlink" Target="https://dumgal.gov.uk/media/29498/Notice-of-poll-Dumfries-and-Galloway-County-Constituency/pdf/DGC-Notice_of_Poll_UK_Parliamentary_Election.pdf?m=1717779781213" TargetMode="External"/><Relationship Id="rId54" Type="http://schemas.openxmlformats.org/officeDocument/2006/relationships/hyperlink" Target="https://www.sandwell.gov.uk/candidates" TargetMode="External"/><Relationship Id="rId217" Type="http://schemas.openxmlformats.org/officeDocument/2006/relationships/hyperlink" Target="https://www.boston.gov.uk/media/25054/Statement-of-Persons-Nominated-and-Notice-of-Poll/pdf/Statement_of_Persons_Nominated_and_Notice_of_Poll.pdf?m=1717781695020" TargetMode="External"/><Relationship Id="rId564" Type="http://schemas.openxmlformats.org/officeDocument/2006/relationships/hyperlink" Target="https://www.ambervalley.gov.uk/media/1292/20240607-sopn-notice-of-poll-sops-amber-valley-constituency.pdf" TargetMode="External"/><Relationship Id="rId424" Type="http://schemas.openxmlformats.org/officeDocument/2006/relationships/hyperlink" Target="https://www.northnorthants.gov.uk/elections-and-voting/upcoming-elections/uk-general-election-thursday-4-july-2024/general-election-0" TargetMode="External"/><Relationship Id="rId631" Type="http://schemas.openxmlformats.org/officeDocument/2006/relationships/hyperlink" Target="https://www.staffsmoorlands.gov.uk/media/9288/Staffordshire-Moorlands-Statement-of-Persons-Nominated-Notice-of-Poll-and-Situation-of-Polling-Stations/pdf/Statement_of_Persons_Nominated_Notice_of_Poll_and_Situatio_of_Polling_Stations_jgv0cl0d5im6.pdf?m=1717775777937" TargetMode="External"/><Relationship Id="rId270" Type="http://schemas.openxmlformats.org/officeDocument/2006/relationships/hyperlink" Target="https://www.lichfielddc.gov.uk/downloads/file/2535/statement-of-persons-nominated-lichfield" TargetMode="External"/><Relationship Id="rId65" Type="http://schemas.openxmlformats.org/officeDocument/2006/relationships/hyperlink" Target="https://www.york.gov.uk/downloads/file/9639/york-outer-constituency-statement-of-persons-nominated-and-notice-of-poll" TargetMode="External"/><Relationship Id="rId130" Type="http://schemas.openxmlformats.org/officeDocument/2006/relationships/hyperlink" Target="https://www.hastings.gov.uk/content/my_council/questions_voting_elections/pdfs/statement-nominated-ge-2024" TargetMode="External"/><Relationship Id="rId368" Type="http://schemas.openxmlformats.org/officeDocument/2006/relationships/hyperlink" Target="http://www.moray.gov.uk/downloads/file155741.pdf" TargetMode="External"/><Relationship Id="rId575" Type="http://schemas.openxmlformats.org/officeDocument/2006/relationships/hyperlink" Target="https://www.cheltenham.gov.uk/info/17/elections_and_voting/1834/statement_of_persons_nominated_and_notice_of_poll_for_the_uk_parliamentary_election_july_2024" TargetMode="External"/><Relationship Id="rId228" Type="http://schemas.openxmlformats.org/officeDocument/2006/relationships/hyperlink" Target="https://www.cornwall.gov.uk/the-council-and-democracy/elections/elections-and-referendums/2024-parliamentary-election/" TargetMode="External"/><Relationship Id="rId435" Type="http://schemas.openxmlformats.org/officeDocument/2006/relationships/hyperlink" Target="https://www.wiltshire.gov.uk/media/13495/Statement-of-Persons-Nominated-Notice-of-Poll-and-Situation-of-Polling-Stations-East-Wiltshire-Constituency/pdf/SoPN__NoP__SoPS_-_East_Wiltshire_Constituency.pdf?m=1717776803247" TargetMode="External"/><Relationship Id="rId642" Type="http://schemas.openxmlformats.org/officeDocument/2006/relationships/hyperlink" Target="https://n-somerset.gov.uk/sites/default/files/2024-06/7%20Jun%20-%20statement%20of%20persons%20nominated%2C%20notice%20of%20poll%20and%20location%20of%20polling%20stations%20-%20Weston-super-Mare%20constituency.pdf" TargetMode="External"/><Relationship Id="rId281" Type="http://schemas.openxmlformats.org/officeDocument/2006/relationships/hyperlink" Target="https://middlesbrough.gov.uk/media/nvqofxg1/statement-of-persons-nominated-mte.pdf" TargetMode="External"/><Relationship Id="rId502" Type="http://schemas.openxmlformats.org/officeDocument/2006/relationships/hyperlink" Target="https://www.sholland.gov.uk/media/25048/Statement-of-Persons-Nominated-and-Notice-of-Poll/pdf/Statement_of_Persons_Nominated_and_Notice_of_Poll.pdf?m=1717775838137" TargetMode="External"/><Relationship Id="rId76" Type="http://schemas.openxmlformats.org/officeDocument/2006/relationships/hyperlink" Target="https://www.cardiff.gov.uk/ENG/Your-Council/Voting-and-elections/Elections-Information/Upcoming-elections-and-polls/cardiff-west-constituency-notices/Pages/default.aspx" TargetMode="External"/><Relationship Id="rId141" Type="http://schemas.openxmlformats.org/officeDocument/2006/relationships/hyperlink" Target="https://www.e-lindsey.gov.uk/media/25051/Statement-of-Persons-Nominated-and-Notice-of-Poll/pdf/Statement_of_Persons_Nominated_and_Notice_of_Poll_A3.pdf?m=1717778846433" TargetMode="External"/><Relationship Id="rId379" Type="http://schemas.openxmlformats.org/officeDocument/2006/relationships/hyperlink" Target="https://www.wrexham.gov.uk/service/current-elections-and-vacancies" TargetMode="External"/><Relationship Id="rId586" Type="http://schemas.openxmlformats.org/officeDocument/2006/relationships/hyperlink" Target="https://somersetcc.sharepoint.com/sites/SCCPublic/Council%20Democracy/Forms/AllItems.aspx?id=%2Fsites%2FSCCPublic%2FCouncil%20Democracy%2FGeneral%20Election%202024%2FStatement%20of%20Persons%20Nominated%20%28UKPGE2024%29%20%2D%20GLASTONBURY%20AND%20SOMERTON%2Epdf&amp;parent=%2Fsites%2FSCCPublic%2FCouncil%20Democracy%2FGeneral%20Election%202024&amp;p=true&amp;ga=1" TargetMode="External"/><Relationship Id="rId7" Type="http://schemas.openxmlformats.org/officeDocument/2006/relationships/hyperlink" Target="https://www.dover.gov.uk/Council--Democracy/Elections/4-July-2024-UKPGE-Statement-of-Persons-Nominated-Notice-of-Poll-and-Situation-of-Polling-Stations.pdf" TargetMode="External"/><Relationship Id="rId239" Type="http://schemas.openxmlformats.org/officeDocument/2006/relationships/hyperlink" Target="https://www.derby.gov.uk/council-and-democracy/councillors-democracy-elections/elections/election-information/" TargetMode="External"/><Relationship Id="rId446" Type="http://schemas.openxmlformats.org/officeDocument/2006/relationships/hyperlink" Target="https://www.waverley.gov.uk/Portals/0/Documents/services/council-information/voting-and-elections/Statement%20of%20Persons%20Nominated.pdf?ver=kpIxPWMzYh1PJV-f6k_swQ%3d%3d" TargetMode="External"/><Relationship Id="rId292" Type="http://schemas.openxmlformats.org/officeDocument/2006/relationships/hyperlink" Target="https://www.nwleics.gov.uk/pages/uk_parliamentary_general_election_thursday_4_july_2024" TargetMode="External"/><Relationship Id="rId306" Type="http://schemas.openxmlformats.org/officeDocument/2006/relationships/hyperlink" Target="https://www.rugby.gov.uk/w/general-election-2024-1" TargetMode="External"/><Relationship Id="rId87" Type="http://schemas.openxmlformats.org/officeDocument/2006/relationships/hyperlink" Target="https://www.newham.gov.uk/downloads/file/7476/west-ham-and-beckton-constituency-statement-of-persons-nominated-notice-of-poll-and-situation-of-polling-stations" TargetMode="External"/><Relationship Id="rId513" Type="http://schemas.openxmlformats.org/officeDocument/2006/relationships/hyperlink" Target="https://www.dudley.gov.uk/media/2juhyitu/statement-of-persons-nominated-notice-of-poll-and-situation-of-polling-stations-stourbridge-borough-constituency.pdf" TargetMode="External"/><Relationship Id="rId597" Type="http://schemas.openxmlformats.org/officeDocument/2006/relationships/hyperlink" Target="https://www.hull.gov.uk/downloads/file/3387/Statement_of_Persons_Nominated_and_Notice_of_Poll___Kingston_upon_Hull_East.pdf" TargetMode="External"/><Relationship Id="rId152" Type="http://schemas.openxmlformats.org/officeDocument/2006/relationships/hyperlink" Target="https://www.cumberland.gov.uk/sites/default/files/2024-06/penrith_and_solway_-_statement_of_persons_nominated_and_notice_of_poll.pdf" TargetMode="External"/><Relationship Id="rId457" Type="http://schemas.openxmlformats.org/officeDocument/2006/relationships/hyperlink" Target="https://www.hertsmere.gov.uk/Documents/11-Your-Council/Democracy-Elections/2024-UKPGE/NoticeOfPollAndPersonsNominatedAndPollingLocations-2024-06-06-17-04.pdf" TargetMode="External"/><Relationship Id="rId14" Type="http://schemas.openxmlformats.org/officeDocument/2006/relationships/hyperlink" Target="https://www.rbkc.gov.uk/council-councillors-and-democracy/local-democracy-and-elections/notice-election-parliamentary-election-kensington-and-bayswater-constituency" TargetMode="External"/><Relationship Id="rId317" Type="http://schemas.openxmlformats.org/officeDocument/2006/relationships/hyperlink" Target="https://www.newark-sherwooddc.gov.uk/your-council/your-council/elections/4-july-2024-parliamentary-election/" TargetMode="External"/><Relationship Id="rId524" Type="http://schemas.openxmlformats.org/officeDocument/2006/relationships/hyperlink" Target="https://tunbridgewells.gov.uk/council/voting-and-elections/elections/general-election/sopn" TargetMode="External"/><Relationship Id="rId98" Type="http://schemas.openxmlformats.org/officeDocument/2006/relationships/hyperlink" Target="https://www.wyre.gov.uk/downloads/file/1924/statement-of-persons-nominated-including-notice-of-poll-situation-of-polling-stations" TargetMode="External"/><Relationship Id="rId163" Type="http://schemas.openxmlformats.org/officeDocument/2006/relationships/hyperlink" Target="https://www.stoke.gov.uk/download/downloads/id/2498/central_sopn_and_nop.pdf" TargetMode="External"/><Relationship Id="rId370" Type="http://schemas.openxmlformats.org/officeDocument/2006/relationships/hyperlink" Target="https://www.bridgend.gov.uk/media/5fbbwhc3/statement-of-persons-nominated-and-notice-of-poll.pdf" TargetMode="External"/><Relationship Id="rId230" Type="http://schemas.openxmlformats.org/officeDocument/2006/relationships/hyperlink" Target="https://www.midsuffolk.gov.uk/documents/d/asset-library-54706/csni-nop-sopn-sops" TargetMode="External"/><Relationship Id="rId468" Type="http://schemas.openxmlformats.org/officeDocument/2006/relationships/hyperlink" Target="https://www.hull.gov.uk/downloads/file/3393/Statement_of_Persons_Nominated_and_Notice_of_Poll___Kingston_upon_Hull_West_and_Haltemprice.pdf" TargetMode="External"/><Relationship Id="rId25" Type="http://schemas.openxmlformats.org/officeDocument/2006/relationships/hyperlink" Target="https://www.dundeecity.gov.uk/sites/default/files/publications/notice_of_poll_and_persons_nominated.pdf" TargetMode="External"/><Relationship Id="rId328" Type="http://schemas.openxmlformats.org/officeDocument/2006/relationships/hyperlink" Target="https://tameside.moderngov.co.uk/documents/s170224/Stalybridge%20and%20Hyde%20Statement%20of%20Persons%20Nominated%20and%20Notice%20of%20Poll.pdf" TargetMode="External"/><Relationship Id="rId535" Type="http://schemas.openxmlformats.org/officeDocument/2006/relationships/hyperlink" Target="https://www.northyorks.gov.uk/sites/default/files/2024-06/SPN%20Wetherby%20and%20Easingwold%2007.06.2024.pdf" TargetMode="External"/><Relationship Id="rId174" Type="http://schemas.openxmlformats.org/officeDocument/2006/relationships/hyperlink" Target="https://www.eoni.org.uk/getmedia/ede0bab2-9da9-428d-9cac-fe44bf120b6d/Statement-of-Persons-Nominated-combined-with-Notice-of-Poll_1" TargetMode="External"/><Relationship Id="rId381" Type="http://schemas.openxmlformats.org/officeDocument/2006/relationships/hyperlink" Target="https://www.ashfield.gov.uk/your-council/elections/election-notices/" TargetMode="External"/><Relationship Id="rId602" Type="http://schemas.openxmlformats.org/officeDocument/2006/relationships/hyperlink" Target="https://www.wiltshire.gov.uk/media/13496/Statement-of-Persons-Nominated-Notice-of-Poll-and-Situation-of-Polling-Stations-Melksham-and-Devizes-Constituency/pdf/SoPN__NoP__SoPS_-_Melksham_and_Devizes_Constituency.pdf?m=1717776903797" TargetMode="External"/><Relationship Id="rId241" Type="http://schemas.openxmlformats.org/officeDocument/2006/relationships/hyperlink" Target="https://www.doncaster.gov.uk/Documents/DocumentView/Stream/Media/Default/Council%20and%20Democracy/Elections/Central%20-%20Statement%20of%20Persons%20Nominated%20Notice%20of%20Poll.pdf" TargetMode="External"/><Relationship Id="rId479" Type="http://schemas.openxmlformats.org/officeDocument/2006/relationships/hyperlink" Target="https://www.northdevon.gov.uk/council/voting-and-elections/current-election-information" TargetMode="External"/><Relationship Id="rId36" Type="http://schemas.openxmlformats.org/officeDocument/2006/relationships/hyperlink" Target="https://www.chelmsford.gov.uk/media/kf5fxe3k/sopn-and-notice-of-poll.pdf" TargetMode="External"/><Relationship Id="rId339" Type="http://schemas.openxmlformats.org/officeDocument/2006/relationships/hyperlink" Target="https://www.wirral.gov.uk/files/statement-persons-nominated-and-notice-poll-general-election.pdf/download?inline" TargetMode="External"/><Relationship Id="rId546" Type="http://schemas.openxmlformats.org/officeDocument/2006/relationships/hyperlink" Target="https://www.midlothian.gov.uk/info/799/elections_and_voting/813/general_election_2024/2" TargetMode="External"/><Relationship Id="rId101" Type="http://schemas.openxmlformats.org/officeDocument/2006/relationships/hyperlink" Target="https://www.eastriding.gov.uk/url-directory/election-notices/?entry=597" TargetMode="External"/><Relationship Id="rId185" Type="http://schemas.openxmlformats.org/officeDocument/2006/relationships/hyperlink" Target="https://www.westlothian.gov.uk/media/61687/Notice-of-Poll-Bathgate-Linlithgow/pdf/Notice_of_Poll_Bathgate___Linlithgow.pdf" TargetMode="External"/><Relationship Id="rId406" Type="http://schemas.openxmlformats.org/officeDocument/2006/relationships/hyperlink" Target="https://legacy.brent.gov.uk/media/16421186/statement-of-persons-nominated-ukge24-brent-west.pdf?_ga=2.98603998.1319045725.1717779265-1551197769.1717779265" TargetMode="External"/><Relationship Id="rId392" Type="http://schemas.openxmlformats.org/officeDocument/2006/relationships/hyperlink" Target="https://www.westmorlandandfurness.gov.uk/voting-and-elections/elections/general-election-july-2024" TargetMode="External"/><Relationship Id="rId613" Type="http://schemas.openxmlformats.org/officeDocument/2006/relationships/hyperlink" Target="https://www.north-herts.gov.uk/sites/default/files/2024-06/SOPN%20%26%20NoP%20-%20North%20East%20Hertfordshire%20-%2007.06.2024_1.pdf" TargetMode="External"/><Relationship Id="rId252" Type="http://schemas.openxmlformats.org/officeDocument/2006/relationships/hyperlink" Target="https://new.calderdale.gov.uk/sites/default/files/2024-06/Statement%20as%20to%20Persons%20Nominated%20Halifax.pdf" TargetMode="External"/><Relationship Id="rId47" Type="http://schemas.openxmlformats.org/officeDocument/2006/relationships/hyperlink" Target="https://lewisham.gov.uk/-/media/0-mayor-and-council/elections/statement-of-persons-nominated-lewisham-north-for-election-on-4724.pdf" TargetMode="External"/><Relationship Id="rId112" Type="http://schemas.openxmlformats.org/officeDocument/2006/relationships/hyperlink" Target="https://www.croydon.gov.uk/council-and-elections/voting-and-elections/general-election-thursday-4-july-2024-0/candidate-information" TargetMode="External"/><Relationship Id="rId557" Type="http://schemas.openxmlformats.org/officeDocument/2006/relationships/hyperlink" Target="https://www.cardiff.gov.uk/ENG/Your-Council/Voting-and-elections/Elections-Information/Upcoming-elections-and-polls/cardiff-north-constituency-notices/Pages/default.aspx" TargetMode="External"/><Relationship Id="rId196" Type="http://schemas.openxmlformats.org/officeDocument/2006/relationships/hyperlink" Target="https://www.conwy.gov.uk/en/Council/Voting-and-Elections/About-Elections/UK-Parliamentary-Elections-General-Elections.aspx" TargetMode="External"/><Relationship Id="rId417" Type="http://schemas.openxmlformats.org/officeDocument/2006/relationships/hyperlink" Target="https://www.cheshirewestandchester.gov.uk/asset-library/your-council/elections/general-election-2024/SOPN-NoP-SoP-CSE-UKPGE.pdf" TargetMode="External"/><Relationship Id="rId624" Type="http://schemas.openxmlformats.org/officeDocument/2006/relationships/hyperlink" Target="https://www.rotherham.gov.uk/elections-voting/parliamentary-general-election-4-july-2024/3" TargetMode="External"/><Relationship Id="rId16" Type="http://schemas.openxmlformats.org/officeDocument/2006/relationships/hyperlink" Target="https://www.southwark.gov.uk/assets/attach/270709/Notice-of-Poll-and-Statement-of-Persons-Nominated-for-Peckham-4-July-2024.pdf" TargetMode="External"/><Relationship Id="rId221" Type="http://schemas.openxmlformats.org/officeDocument/2006/relationships/hyperlink" Target="https://www.hounslow.gov.uk/info/20043/elections_and_voting/2459/uk_parliamentary_general_election_2024_-_statement_of_persons_nominated_notice_of_poll_and_situation_of_polling_stations" TargetMode="External"/><Relationship Id="rId263" Type="http://schemas.openxmlformats.org/officeDocument/2006/relationships/hyperlink" Target="https://www.islington.gov.uk/about-the-council/voting-and-elections/general-election-2024/election-of-a-member-of-parliament-for-islington-north" TargetMode="External"/><Relationship Id="rId319" Type="http://schemas.openxmlformats.org/officeDocument/2006/relationships/hyperlink" Target="https://www.southderbyshire.gov.uk/our-services/voting-and-elections/uk-parliamentary-general-election-4-july-2024" TargetMode="External"/><Relationship Id="rId470" Type="http://schemas.openxmlformats.org/officeDocument/2006/relationships/hyperlink" Target="https://www.wigan.gov.uk/Docs/PDF/Council/Voting-and-Elections/2024/General-Election/Statement-Of-Persons-Nominated-Leigh-and-Atherton.pdf" TargetMode="External"/><Relationship Id="rId526" Type="http://schemas.openxmlformats.org/officeDocument/2006/relationships/hyperlink" Target="https://www.lambeth.gov.uk/sites/default/files/2024-06/Statement%20of%20Persons%20Nominated%2C%20Notice%20of%20Poll%20and%20SOPS%20-Vauxhall%20and%20Camberwell%20Green.pdf" TargetMode="External"/><Relationship Id="rId58" Type="http://schemas.openxmlformats.org/officeDocument/2006/relationships/hyperlink" Target="https://www.cornwall.gov.uk/the-council-and-democracy/elections/elections-and-referendums/2024-parliamentary-election/" TargetMode="External"/><Relationship Id="rId123" Type="http://schemas.openxmlformats.org/officeDocument/2006/relationships/hyperlink" Target="https://www.medway.gov.uk/downloads/file/8736/notice_of_poll_and_persons_nominated_for_general_election_2024" TargetMode="External"/><Relationship Id="rId330" Type="http://schemas.openxmlformats.org/officeDocument/2006/relationships/hyperlink" Target="https://www.stoke.gov.uk/download/downloads/id/2504/south_sopn_and_nop.pdf" TargetMode="External"/><Relationship Id="rId568" Type="http://schemas.openxmlformats.org/officeDocument/2006/relationships/hyperlink" Target="https://www.manchester.gov.uk/directory_record/466429/blackley_and_middleton_south" TargetMode="External"/><Relationship Id="rId165" Type="http://schemas.openxmlformats.org/officeDocument/2006/relationships/hyperlink" Target="https://www.wandsworth.gov.uk/media/jpcedtpa/statement_of_persons_nominated_notice_of_poll_tooting_2024.pdf" TargetMode="External"/><Relationship Id="rId372" Type="http://schemas.openxmlformats.org/officeDocument/2006/relationships/hyperlink" Target="https://www.ceredigion.gov.uk/your-council/voting-elections/election-for-a-member-of-parliament-for-the-ceredigion-preseli-constituency/" TargetMode="External"/><Relationship Id="rId428" Type="http://schemas.openxmlformats.org/officeDocument/2006/relationships/hyperlink" Target="https://www.southandvale.gov.uk/wp-content/uploads/2024/06/Statement-of-Persons-Nominated-Didcot-and-Wantage.pdf" TargetMode="External"/><Relationship Id="rId635" Type="http://schemas.openxmlformats.org/officeDocument/2006/relationships/hyperlink" Target="https://www.cheshireeast.gov.uk/pdf/elections/parliamentary-election-2024/statement-of-persons-nominated-and-notice-of-poll-tatton-constituency.pdf" TargetMode="External"/><Relationship Id="rId232" Type="http://schemas.openxmlformats.org/officeDocument/2006/relationships/hyperlink" Target="https://www.lbhf.gov.uk/sites/default/files/2024-06/Statement-of-Persons-Nominated-Chelsea-and-Fulham-final-web.pdf" TargetMode="External"/><Relationship Id="rId274" Type="http://schemas.openxmlformats.org/officeDocument/2006/relationships/hyperlink" Target="https://docs.maidstone.gov.uk/elections-2024/general-election-2024/SPN-and-NP-Maidstone-and-Malling.pdf" TargetMode="External"/><Relationship Id="rId481" Type="http://schemas.openxmlformats.org/officeDocument/2006/relationships/hyperlink" Target="https://www.herefordshire.gov.uk/downloads/file/26576/statement-of-persons-nominated-and-notice-of-poll-north-herefordshire" TargetMode="External"/><Relationship Id="rId27" Type="http://schemas.openxmlformats.org/officeDocument/2006/relationships/hyperlink" Target="https://www.edinburgh.gov.uk/elections-voting/ways-vote/6" TargetMode="External"/><Relationship Id="rId69" Type="http://schemas.openxmlformats.org/officeDocument/2006/relationships/hyperlink" Target="https://www.aberdeencity.gov.uk/sites/default/files/2024-06/Notice-of-poll-Aberdeen%20North.pdf" TargetMode="External"/><Relationship Id="rId134" Type="http://schemas.openxmlformats.org/officeDocument/2006/relationships/hyperlink" Target="https://www.leeds.gov.uk/docs/Leeds%20Central%20and%20Headingley.pdf" TargetMode="External"/><Relationship Id="rId537" Type="http://schemas.openxmlformats.org/officeDocument/2006/relationships/hyperlink" Target="https://www.braintree.gov.uk/downloads/file/3953/statement-of-persons-nominated-witham" TargetMode="External"/><Relationship Id="rId579" Type="http://schemas.openxmlformats.org/officeDocument/2006/relationships/hyperlink" Target="https://www.darlington.gov.uk/media/21186/darlington-constituency-statement-of-persons-nominated-notice-of-poll-and-situation-of-polling-stations.pdf" TargetMode="External"/><Relationship Id="rId80" Type="http://schemas.openxmlformats.org/officeDocument/2006/relationships/hyperlink" Target="https://www.cheshireeast.gov.uk/pdf/elections/parliamentary-election-2024/statement-of-persons-nominated-and-notice-of-poll-crewe-and-nantwich-constituency.pdf" TargetMode="External"/><Relationship Id="rId176" Type="http://schemas.openxmlformats.org/officeDocument/2006/relationships/hyperlink" Target="https://www.eoni.org.uk/getmedia/ede0bab2-9da9-428d-9cac-fe44bf120b6d/Statement-of-Persons-Nominated-combined-with-Notice-of-Poll_1" TargetMode="External"/><Relationship Id="rId341" Type="http://schemas.openxmlformats.org/officeDocument/2006/relationships/hyperlink" Target="https://www.watford.gov.uk/downloads/file/2269/uk-parliament-general-election-2024-statement-of-persons-nominated-and-notice-of-poll" TargetMode="External"/><Relationship Id="rId383" Type="http://schemas.openxmlformats.org/officeDocument/2006/relationships/hyperlink" Target="https://www.waverley.gov.uk/Services/Council-information/Registering-to-vote-and-elections/Elections-2024/Farnham-and-Bordon-Parliamentary-General-Election-Thursday-4-July-2024" TargetMode="External"/><Relationship Id="rId439" Type="http://schemas.openxmlformats.org/officeDocument/2006/relationships/hyperlink" Target="https://www.eppingforestdc.gov.uk/wp-content/uploads/2024/06/EC-SOPN-NOP-M-SOPS.pdf" TargetMode="External"/><Relationship Id="rId590" Type="http://schemas.openxmlformats.org/officeDocument/2006/relationships/hyperlink" Target="https://www.dacorum.gov.uk/docs/default-source/council-democracy/elections-and-voting/statement-of-persons-nominated-and-notice-of-poll---hemel-hempstead-(pdf-22kb).pdf?sfvrsn=7e251e9e_5" TargetMode="External"/><Relationship Id="rId604" Type="http://schemas.openxmlformats.org/officeDocument/2006/relationships/hyperlink" Target="https://www.dorsetcouncil.gov.uk/w/uk-parliamentary-general-election" TargetMode="External"/><Relationship Id="rId646" Type="http://schemas.openxmlformats.org/officeDocument/2006/relationships/hyperlink" Target="https://www.wolverhampton.gov.uk/sites/default/files/2024-06/Statement%20of%20Persons%20Nominated%20and%20Notice%20of%20Poll%20-%20Wolverhampton%20North%20East.pdf" TargetMode="External"/><Relationship Id="rId201" Type="http://schemas.openxmlformats.org/officeDocument/2006/relationships/hyperlink" Target="https://www.newport.gov.uk/documents/Council-and-Democracy/Elections-and-voting/General-Election-2024/SOPN-v.05.pdf" TargetMode="External"/><Relationship Id="rId243" Type="http://schemas.openxmlformats.org/officeDocument/2006/relationships/hyperlink" Target="https://www.enfield.gov.uk/__data/assets/pdf_file/0032/58694/Statement-of-Persons-Nominated,-Notice-of-Poll-and-Polling-Stations-Enfield-North.pdf" TargetMode="External"/><Relationship Id="rId285" Type="http://schemas.openxmlformats.org/officeDocument/2006/relationships/hyperlink" Target="https://www.westberks.gov.uk/media/59141/Statement-of-Persons-Nominated-Notice-of-Poll-Newbury/pdf/Statement_of_Persons_Nominated_Notice_of_Poll_-_Newbury.pdf?m=1717781804947" TargetMode="External"/><Relationship Id="rId450" Type="http://schemas.openxmlformats.org/officeDocument/2006/relationships/hyperlink" Target="https://www.harborough.gov.uk/download/downloads/id/8517/statement_of_persons_nominated_and_notice_of_poll_-_harborough_oadby_and_wigston.pdf" TargetMode="External"/><Relationship Id="rId506" Type="http://schemas.openxmlformats.org/officeDocument/2006/relationships/hyperlink" Target="https://www.spelthorne.gov.uk/media/26863/Statement-of-Persons-Nominated-for-the-UK-Parliamentary-General-Election-to-be-held-on-Thursday-4-July-2024/pdf/Statement_of_Persons_Nominated_-_UKPGE.pdf?m=1717781107160" TargetMode="External"/><Relationship Id="rId38" Type="http://schemas.openxmlformats.org/officeDocument/2006/relationships/hyperlink" Target="https://legacy.tendringdc.gov.uk/sites/default/files/documents/council/elections%20%26%20voting/2024/UKPGE%20-%20NOP%20SOP%20SOPN%202024%20Clacton.pdf" TargetMode="External"/><Relationship Id="rId103" Type="http://schemas.openxmlformats.org/officeDocument/2006/relationships/hyperlink" Target="https://www.bristol.gov.uk/files/documents/7827-bristol-north-east-nop/file" TargetMode="External"/><Relationship Id="rId310" Type="http://schemas.openxmlformats.org/officeDocument/2006/relationships/hyperlink" Target="https://www.salford.gov.uk/your-council/elections-and-voting/uk-parliamentary-general-election-thursday-4-july-2024/statement-of-persons-nominated-and-notice-of-poll-salford-constituency/" TargetMode="External"/><Relationship Id="rId492" Type="http://schemas.openxmlformats.org/officeDocument/2006/relationships/hyperlink" Target="https://www.ribblevalley.gov.uk/downloads/file/4146/statement-of-persons-nominated-and-notice-of-poll-ribble-valley-parliamentary-04-july-2024" TargetMode="External"/><Relationship Id="rId548" Type="http://schemas.openxmlformats.org/officeDocument/2006/relationships/hyperlink" Target="https://www.angus.gov.uk/sites/default/files/2024-06/UKPE%202024%20Statement%20of%20Persons%20Nominated%2C%20Notice%20of%20Poll%20and%20Situation%20of%20Polling%20Stations%20%E2%80%93%20Angus%20%26%20Perthshire%20Glens_0.pdf" TargetMode="External"/><Relationship Id="rId91" Type="http://schemas.openxmlformats.org/officeDocument/2006/relationships/hyperlink" Target="https://www.barnsley.gov.uk/services/voting-and-elections/uk-parliamentary-general-election-4-july-2024/" TargetMode="External"/><Relationship Id="rId145" Type="http://schemas.openxmlformats.org/officeDocument/2006/relationships/hyperlink" Target="https://www.northumberland.gov.uk/NorthumberlandCountyCouncil/media/Councillors-and-Democracy/2%20may%202024%20elections/Statement-of-Persons-Nominated-and-Notice-of-Poll-North-Northumberland.pdf" TargetMode="External"/><Relationship Id="rId187" Type="http://schemas.openxmlformats.org/officeDocument/2006/relationships/hyperlink" Target="https://www.fife.gov.uk/__data/assets/word_doc/0036/588537/UKPE2024-Notice-Of-Poll-CK-.docx" TargetMode="External"/><Relationship Id="rId352" Type="http://schemas.openxmlformats.org/officeDocument/2006/relationships/hyperlink" Target="https://www.south-ayrshire.gov.uk/media/12246/DOC-20240704-UKPGE-Notice-of-Poll-ACC/pdf/DOC_20240704_UKPGE_Notice_of_Poll_ACC.pdf?m=1717779296167" TargetMode="External"/><Relationship Id="rId394" Type="http://schemas.openxmlformats.org/officeDocument/2006/relationships/hyperlink" Target="https://www.wirral.gov.uk/files/statement-persons-nominated-and-notice-poll-general-election.pdf/" TargetMode="External"/><Relationship Id="rId408" Type="http://schemas.openxmlformats.org/officeDocument/2006/relationships/hyperlink" Target="https://www.brighton-hove.gov.uk/council-and-democracy/voting-and-elections/statement-persons-nominated-and-notice-poll-brighton-kemptown-and-peacehaven" TargetMode="External"/><Relationship Id="rId615" Type="http://schemas.openxmlformats.org/officeDocument/2006/relationships/hyperlink" Target="https://www.northwarks.gov.uk/downloads/file/1382/statement-of-persons-nominated-and-notice-of-poll-north-warwickshire-and-bedworth" TargetMode="External"/><Relationship Id="rId212" Type="http://schemas.openxmlformats.org/officeDocument/2006/relationships/hyperlink" Target="https://www.basildon.gov.uk/media/12071/Basildon-Council-Statement-of-Persons-Nominated-Notice-of-Poll-and-Situation-of-Polling-Stations-Basildon-Billericay-Constituency-July-2024/pdf/SOPN_NOP_SPS_-_B_B_Cons_-_July_2024_atagojl0fce6.pdf?m=1717777219203" TargetMode="External"/><Relationship Id="rId254" Type="http://schemas.openxmlformats.org/officeDocument/2006/relationships/hyperlink" Target="https://www.northyorks.gov.uk/sites/default/files/2024-06/SPN%20Harrogate%20and%20Knaresborough%2007.06.2024.pdf" TargetMode="External"/><Relationship Id="rId49" Type="http://schemas.openxmlformats.org/officeDocument/2006/relationships/hyperlink" Target="https://www.mansfield.gov.uk/downloads/file/6549/notice-of-poll-situation-of-polling-stations-and-statement-of-persons-nominated" TargetMode="External"/><Relationship Id="rId114" Type="http://schemas.openxmlformats.org/officeDocument/2006/relationships/hyperlink" Target="https://www.ealing.gov.uk/download/downloads/id/19830/statement_of_persons_nominated_and_notice_of_poll_-_ealing_central_and_acton_constituency_4_july_2024.pdf" TargetMode="External"/><Relationship Id="rId296" Type="http://schemas.openxmlformats.org/officeDocument/2006/relationships/hyperlink" Target="https://www.bexley.gov.uk/sites/default/files/2024-06/notice-of-election-of-a-member-of-parliament-for-old-bexley-and-sidcup.pdf" TargetMode="External"/><Relationship Id="rId461" Type="http://schemas.openxmlformats.org/officeDocument/2006/relationships/hyperlink" Target="https://www.havering.gov.uk/downloads/file/6635/hornchurch_and_upminster_statement_of_persons_nominated_notice_of_poll_and_situation_of_polling_stations_-_4_july_2024_general_election" TargetMode="External"/><Relationship Id="rId517" Type="http://schemas.openxmlformats.org/officeDocument/2006/relationships/hyperlink" Target="https://www.swindon.gov.uk/downloads/file/10925/candidate_and_polling_station_details_for_swindon_south_constituency" TargetMode="External"/><Relationship Id="rId559" Type="http://schemas.openxmlformats.org/officeDocument/2006/relationships/hyperlink" Target="https://www.denbighshire.gov.uk/en/your-council/voting-and-elections/parliamentary-elections-general-elections.aspx" TargetMode="External"/><Relationship Id="rId60" Type="http://schemas.openxmlformats.org/officeDocument/2006/relationships/hyperlink" Target="https://www.wealden.gov.uk/voting-and-elections/forthcoming-elections/" TargetMode="External"/><Relationship Id="rId156" Type="http://schemas.openxmlformats.org/officeDocument/2006/relationships/hyperlink" Target="https://www.sheffield.gov.uk/sites/default/files/2024-06/statement_of_persons_nominated_and_notice_of_poll_general_election.pdf" TargetMode="External"/><Relationship Id="rId198" Type="http://schemas.openxmlformats.org/officeDocument/2006/relationships/hyperlink" Target="https://en.powys.gov.uk/article/5738/Find-out-about-upcoming-elections" TargetMode="External"/><Relationship Id="rId321" Type="http://schemas.openxmlformats.org/officeDocument/2006/relationships/hyperlink" Target="https://www.wiltshire.gov.uk/media/13498/Statement-of-Persons-Nominated-Notice-of-Poll-and-Situation-of-Polling-Stations-South-West-Wiltshire-Constituency/pdf/SoPN__NoP__SoPS_-_South_West_Wiltshire_Constituency.pdf?m=1717777096653" TargetMode="External"/><Relationship Id="rId363" Type="http://schemas.openxmlformats.org/officeDocument/2006/relationships/hyperlink" Target="https://www.glasgow.gov.uk/media/12226/Glasgow-West/pdf/WEST_-_SOPN_and_NOP.pdf?m=1717783346610" TargetMode="External"/><Relationship Id="rId419" Type="http://schemas.openxmlformats.org/officeDocument/2006/relationships/hyperlink" Target="https://www.walthamforest.gov.uk/sites/default/files/2024-06/Statement%20of%20Persons%20Nominated%20and%20Notice%20of%20Poll%20%20UK%20Parliamentary%20General%20Election%202024%20for%20Chingford%20and%20Woodford%20Green.pdf" TargetMode="External"/><Relationship Id="rId570" Type="http://schemas.openxmlformats.org/officeDocument/2006/relationships/hyperlink" Target="https://www.bolsover.gov.uk/index.php?option=com_content&amp;view=article&amp;id=1248" TargetMode="External"/><Relationship Id="rId626" Type="http://schemas.openxmlformats.org/officeDocument/2006/relationships/hyperlink" Target="https://www.northyorks.gov.uk/sites/default/files/2024-06/SPN%20Selby%2007.06.2024.pdf" TargetMode="External"/><Relationship Id="rId223" Type="http://schemas.openxmlformats.org/officeDocument/2006/relationships/hyperlink" Target="https://www.bristol.gov.uk/files/documents/7826-bristol-east-nop/file" TargetMode="External"/><Relationship Id="rId430" Type="http://schemas.openxmlformats.org/officeDocument/2006/relationships/hyperlink" Target="https://www.wychavon.gov.uk/component/fileman/file/Documents/Elections/elections/2024/Statement%20of%20Persons%20Nominated%2C%20Notice%20of%20Poll%20and%20Situation%20of%20Polling%20Stations.pdf?routed=1&amp;container=fileman-files" TargetMode="External"/><Relationship Id="rId18" Type="http://schemas.openxmlformats.org/officeDocument/2006/relationships/hyperlink" Target="https://www.bradford.gov.uk/media/yewch0ci/statement-of-persons-nominated-and-notice-of-poll-general-election-2024.pdf" TargetMode="External"/><Relationship Id="rId265" Type="http://schemas.openxmlformats.org/officeDocument/2006/relationships/hyperlink" Target="https://www.warwickdc.gov.uk/info/20660/general_elections/1964/general_election_2024/3" TargetMode="External"/><Relationship Id="rId472" Type="http://schemas.openxmlformats.org/officeDocument/2006/relationships/hyperlink" Target="https://liverpool.gov.uk/media/edioj3tt/statement-of-person-nominated-liverpool-walton.docx" TargetMode="External"/><Relationship Id="rId528" Type="http://schemas.openxmlformats.org/officeDocument/2006/relationships/hyperlink" Target="https://www.warrington.gov.uk/sites/default/files/2024-06/Statement%20of%20Persons%20Nominated%20-%20Warrington%20North%20Constituency%20-%20June%202024.pdf" TargetMode="External"/><Relationship Id="rId125" Type="http://schemas.openxmlformats.org/officeDocument/2006/relationships/hyperlink" Target="https://docs.great-yarmouth.gov.uk/media/8007/NoticeOfPollAndPersonsNominatedAndPollingLocations-A3/pdf/NoticeOfPollAndPersonsNominatedAndPollingLocations_A3.pdf?m=1717773944757" TargetMode="External"/><Relationship Id="rId167" Type="http://schemas.openxmlformats.org/officeDocument/2006/relationships/hyperlink" Target="https://www.wakefield.gov.uk/media/a1nabemk/wf-ukpge-sopn-notice-of-poll-wakefield-rothwell.docx" TargetMode="External"/><Relationship Id="rId332" Type="http://schemas.openxmlformats.org/officeDocument/2006/relationships/hyperlink" Target="https://www.trafford.gov.uk/about-your-council/elections/docs/2024/Notices/Statement-of-Persons-Nominated-and-Notice-of-Poll-Stretford-and-Urmston.pdf" TargetMode="External"/><Relationship Id="rId374" Type="http://schemas.openxmlformats.org/officeDocument/2006/relationships/hyperlink" Target="https://www.gwynedd.llyw.cymru/en/Council/Voting-and-elections/Parliamentary-Elections.aspx" TargetMode="External"/><Relationship Id="rId581" Type="http://schemas.openxmlformats.org/officeDocument/2006/relationships/hyperlink" Target="https://www.westnorthants.gov.uk/electoral-services/general-election-4-july-2024" TargetMode="External"/><Relationship Id="rId71" Type="http://schemas.openxmlformats.org/officeDocument/2006/relationships/hyperlink" Target="https://www.fife.gov.uk/__data/assets/word_doc/0034/588535/UKPE2024-Notice-Of-Poll-DD.docx" TargetMode="External"/><Relationship Id="rId234" Type="http://schemas.openxmlformats.org/officeDocument/2006/relationships/hyperlink" Target="https://www.barnet.gov.uk/sites/default/files/2024-06/Statement%20of%20Persons%20Nominated%20%E2%80%93%20Chipping%20Barnet%20Constituency_0.pdf" TargetMode="External"/><Relationship Id="rId637" Type="http://schemas.openxmlformats.org/officeDocument/2006/relationships/hyperlink" Target="https://beta.southglos.gov.uk/static/b9d1e04cfca41360c79e815fbf5e951a/TANDY-Statement-of-Persons-Nominated-Notice-of-Poll-and-Situation-of-Polling-Stations-Thornby-and-Yate-7-June-2024.pdf" TargetMode="External"/><Relationship Id="rId2" Type="http://schemas.openxmlformats.org/officeDocument/2006/relationships/hyperlink" Target="https://www.oxford.gov.uk/downloads/file/3404/statement-of-person-s-nominated" TargetMode="External"/><Relationship Id="rId29" Type="http://schemas.openxmlformats.org/officeDocument/2006/relationships/hyperlink" Target="https://www.winchester.gov.uk/assets/attach/40793/Statement-of-Persons-Nominated-Notice-of-Poll-and-Situation-of-Polling-Stations.pdf" TargetMode="External"/><Relationship Id="rId276" Type="http://schemas.openxmlformats.org/officeDocument/2006/relationships/hyperlink" Target="https://www.manchester.gov.uk/directory_record/466428/manchester_withington" TargetMode="External"/><Relationship Id="rId441" Type="http://schemas.openxmlformats.org/officeDocument/2006/relationships/hyperlink" Target="https://www.elmbridge.gov.uk/sites/default/files/2024-06/Statement%20of%20Persons%20Nominated%20and%20Notice%20of%20Poll%20Esher%20and%20Walton.pdf" TargetMode="External"/><Relationship Id="rId483" Type="http://schemas.openxmlformats.org/officeDocument/2006/relationships/hyperlink" Target="https://n-somerset.gov.uk/sites/default/files/2024-06/7%20Jun%20-%20statement%20of%20persons%20nominated%2C%20notice%20of%20poll%20and%20location%20of%20polling%20stations%20-%20North%20Somerset%20constituency.pdf" TargetMode="External"/><Relationship Id="rId539" Type="http://schemas.openxmlformats.org/officeDocument/2006/relationships/hyperlink" Target="https://www.wolverhampton.gov.uk/sites/default/files/2024-06/Statement%20of%20Persons%20Nominated%20and%20Notice%20of%20Poll%20-%20Wolverhampton%20South%20East.pdf" TargetMode="External"/><Relationship Id="rId40" Type="http://schemas.openxmlformats.org/officeDocument/2006/relationships/hyperlink" Target="https://www.doncaster.gov.uk/Documents/DocumentView/Stream/Media/Default/Council%20and%20Democracy/Elections/Doncaster%20North%20-%20Statement%20of%20Persons%20Nominated%20Notice%20of%20Poll.pdf" TargetMode="External"/><Relationship Id="rId136" Type="http://schemas.openxmlformats.org/officeDocument/2006/relationships/hyperlink" Target="https://www.leeds.gov.uk/docs/Leeds%20West%20and%20Pudsey.pdf" TargetMode="External"/><Relationship Id="rId178" Type="http://schemas.openxmlformats.org/officeDocument/2006/relationships/hyperlink" Target="https://www.eoni.org.uk/getmedia/ede0bab2-9da9-428d-9cac-fe44bf120b6d/Statement-of-Persons-Nominated-combined-with-Notice-of-Poll_1" TargetMode="External"/><Relationship Id="rId301" Type="http://schemas.openxmlformats.org/officeDocument/2006/relationships/hyperlink" Target="https://www.westberks.gov.uk/media/59138/Statement-of-Persons-Nominated-Notice-of-Poll-Reading-West-and-Mid-Berkshire/pdf/Statement_of_Persons_Nominated_Notice_of_Poll_-_Reading_West_and_Mid_Berkshire.pdf?m=1717781540243" TargetMode="External"/><Relationship Id="rId343" Type="http://schemas.openxmlformats.org/officeDocument/2006/relationships/hyperlink" Target="https://www.sandwell.gov.uk/candidates" TargetMode="External"/><Relationship Id="rId550" Type="http://schemas.openxmlformats.org/officeDocument/2006/relationships/hyperlink" Target="https://www.northlanarkshire.gov.uk/sites/default/files/2024-06/Notice%20of%20Poll%20Published%20CKKE.docx" TargetMode="External"/><Relationship Id="rId82" Type="http://schemas.openxmlformats.org/officeDocument/2006/relationships/hyperlink" Target="https://www.southkesteven.gov.uk/sites/default/files/2024-06/Statement%20of%20Persons%20Nominated%20and%20Notice%20of%20Poll_Grantham%20and%20Bourne%20constituency.pdf" TargetMode="External"/><Relationship Id="rId203" Type="http://schemas.openxmlformats.org/officeDocument/2006/relationships/hyperlink" Target="https://www.valeofglamorgan.gov.uk/Documents/Our%20Council/Council/Elections/NoP-SoPS-SoPN-07-06-24.pdf" TargetMode="External"/><Relationship Id="rId385" Type="http://schemas.openxmlformats.org/officeDocument/2006/relationships/hyperlink" Target="https://www.basingstoke.gov.uk/content/page/84023/Statement%20of%20Persons%20Nominated%20Notice%20of%20Poll%20and%20Situation%20of%20Polling%20Stations%20-%20North%20West%20Hampshire%20constituency.pdf" TargetMode="External"/><Relationship Id="rId592" Type="http://schemas.openxmlformats.org/officeDocument/2006/relationships/hyperlink" Target="https://www.rochdale.gov.uk/downloads/file/2388/statement-of-persons-nominated-heywood-and-middleton-north" TargetMode="External"/><Relationship Id="rId606" Type="http://schemas.openxmlformats.org/officeDocument/2006/relationships/hyperlink" Target="https://www.breckland.gov.uk/media/21681/Statement-of-Persons-Nominated-and-Notice-of-Poll/pdf/Statement_of_Persons_Nominated___Notice_of_Poll.pdf?m=1717775117280" TargetMode="External"/><Relationship Id="rId648" Type="http://schemas.openxmlformats.org/officeDocument/2006/relationships/hyperlink" Target="https://aberdeenshire.gov.uk/media/vrdfilwm/notice-of-poll-ukpge-ea22-anme.pdf" TargetMode="External"/><Relationship Id="rId245" Type="http://schemas.openxmlformats.org/officeDocument/2006/relationships/hyperlink" Target="https://www.royalgreenwich.gov.uk/download/downloads/id/6675/erith_and_thamesmead_statement_of_persons_nominated.pdf" TargetMode="External"/><Relationship Id="rId287" Type="http://schemas.openxmlformats.org/officeDocument/2006/relationships/hyperlink" Target="https://new.newcastle.gov.uk/sites/default/files/2024-06/20240607_Elections_General_July-24_Newcastle-North_Statement-of-persons-nominated.pdf" TargetMode="External"/><Relationship Id="rId410" Type="http://schemas.openxmlformats.org/officeDocument/2006/relationships/hyperlink" Target="https://www.bristol.gov.uk/files/documents/7822-bristol-north-west-nop/file" TargetMode="External"/><Relationship Id="rId452" Type="http://schemas.openxmlformats.org/officeDocument/2006/relationships/hyperlink" Target="https://www.stalbans.gov.uk/uk-parliamentary-election-4-july-2024" TargetMode="External"/><Relationship Id="rId494" Type="http://schemas.openxmlformats.org/officeDocument/2006/relationships/hyperlink" Target="https://www.testvalley.gov.uk/aboutyourcouncil/localdemocracy/elections/general-election?chapter=5" TargetMode="External"/><Relationship Id="rId508" Type="http://schemas.openxmlformats.org/officeDocument/2006/relationships/hyperlink" Target="https://www.sthelens.gov.uk/media/8478/Statement-of-Persons-Nominated-and-Notice-of-Poll-St-Helens-North/pdf/St_Helens_North_-_Statment_of_Persons_Nominated_and_Notice_of_Poll.pdf?m=1717777136100" TargetMode="External"/><Relationship Id="rId105" Type="http://schemas.openxmlformats.org/officeDocument/2006/relationships/hyperlink" Target="https://www.bury.gov.uk/council-and-democracy/elections-and-voting/statement-of-persons-nominated-notice-of-poll-and-situation-of-polling-stations-for-bury-north" TargetMode="External"/><Relationship Id="rId147" Type="http://schemas.openxmlformats.org/officeDocument/2006/relationships/hyperlink" Target="https://www.nottinghamcity.gov.uk/media/5tngypzn/statement-of-persons-nominated-and-notice-of-poll-east.pdf" TargetMode="External"/><Relationship Id="rId312" Type="http://schemas.openxmlformats.org/officeDocument/2006/relationships/hyperlink" Target="https://www.northlincs.gov.uk/wp-content/uploads/2024/06/Scunthorpe-Statement-of-Persons-Nominated-and-Notice-of-Poll-a.pdf" TargetMode="External"/><Relationship Id="rId354" Type="http://schemas.openxmlformats.org/officeDocument/2006/relationships/hyperlink" Target="https://www.northlanarkshire.gov.uk/sites/default/files/2024-06/Notice%20of%20Poll%20Published%20AS.docx" TargetMode="External"/><Relationship Id="rId51" Type="http://schemas.openxmlformats.org/officeDocument/2006/relationships/hyperlink" Target="https://new.newcastle.gov.uk/sites/default/files/2024-06/20240607_Elections_General_July-24_Newcastle-East-Wallsend_Statement-of-persons-nominated.pdf" TargetMode="External"/><Relationship Id="rId93" Type="http://schemas.openxmlformats.org/officeDocument/2006/relationships/hyperlink" Target="https://www.southwark.gov.uk/assets/attach/270708/Notice-of-Poll-and-Statement-of-Persons-Nominated-for-Bermondsey-and-Old-Southwark-4-July-2024.pdf" TargetMode="External"/><Relationship Id="rId189" Type="http://schemas.openxmlformats.org/officeDocument/2006/relationships/hyperlink" Target="https://www.edinburgh.gov.uk/elections-voting/ways-vote/6" TargetMode="External"/><Relationship Id="rId396" Type="http://schemas.openxmlformats.org/officeDocument/2006/relationships/hyperlink" Target="https://www.birmingham.gov.uk/download/downloads/id/29252/hodge_hill_and_solihull_north_constituency_notice_of_poll_and_persons_nominated.pdf" TargetMode="External"/><Relationship Id="rId561" Type="http://schemas.openxmlformats.org/officeDocument/2006/relationships/hyperlink" Target="https://beta.npt.gov.uk/council-democracy-elections/elections-and-voting/uk-parliamentary-election-2024/notices/statement-as-to-persons-nominated-and-notice-of-poll/neath-and-swansea-east-constituency/" TargetMode="External"/><Relationship Id="rId617" Type="http://schemas.openxmlformats.org/officeDocument/2006/relationships/hyperlink" Target="https://www.west-norfolk.gov.uk/info/20090/elections_and_voting/1133/general_election_2024" TargetMode="External"/><Relationship Id="rId214" Type="http://schemas.openxmlformats.org/officeDocument/2006/relationships/hyperlink" Target="https://www.birmingham.gov.uk/download/downloads/id/29250/erdington_constituency_notice_of_poll_and_persons_nominated.pdf" TargetMode="External"/><Relationship Id="rId256" Type="http://schemas.openxmlformats.org/officeDocument/2006/relationships/hyperlink" Target="https://www.harrow.gov.uk/downloads/file/32288/Statement_of_Persons_Nominated_and_Notice_of_Poll_Harrow_West.pdf" TargetMode="External"/><Relationship Id="rId298" Type="http://schemas.openxmlformats.org/officeDocument/2006/relationships/hyperlink" Target="https://www.wandsworth.gov.uk/media/rptgcbac/statement_of_persons_nominated_notice_of_poll_putney_2024.pdf" TargetMode="External"/><Relationship Id="rId421" Type="http://schemas.openxmlformats.org/officeDocument/2006/relationships/hyperlink" Target="https://durham.gov.uk/media/44796/Statement-of-Persons-Nominated-with-Notice-of-Poll-and-Situation-of-Polling-Stations-City-of-Durham/pdf/StatementOfPersonsNominatedWithNoticeOfPollAndSituationOfPollingStations-CityOfDurham.pdf?m=1717777313833" TargetMode="External"/><Relationship Id="rId463" Type="http://schemas.openxmlformats.org/officeDocument/2006/relationships/hyperlink" Target="https://www.huntingdonshire.gov.uk/media/osgnhftp/statement-of-persons-nominated-and-notice-of-poll-huntingdon-constituency-4-july-2024.pdf" TargetMode="External"/><Relationship Id="rId519" Type="http://schemas.openxmlformats.org/officeDocument/2006/relationships/hyperlink" Target="https://tewkesbury.gov.uk/wp-content/uploads/2024/06/Statement-of-Persons-Nominated-and-Notice-of-Poll.pdf" TargetMode="External"/><Relationship Id="rId116" Type="http://schemas.openxmlformats.org/officeDocument/2006/relationships/hyperlink" Target="https://www.newham.gov.uk/downloads/file/7475/east-ham-constituency-statement-of-persons-nominated-notice-of-poll-and-situation-of-polling-stations" TargetMode="External"/><Relationship Id="rId158" Type="http://schemas.openxmlformats.org/officeDocument/2006/relationships/hyperlink" Target="https://www.northyorks.gov.uk/sites/default/files/2024-06/SPN%20Skipton%20and%20Ripon%2007.06.2024.pdf" TargetMode="External"/><Relationship Id="rId323" Type="http://schemas.openxmlformats.org/officeDocument/2006/relationships/hyperlink" Target="https://www.enfield.gov.uk/__data/assets/pdf_file/0033/58695/Statement-of-Persons-Nominated,-Notice-of-Poll-and-Polling-Stations-Southgate-Wood-Green.pdf" TargetMode="External"/><Relationship Id="rId530" Type="http://schemas.openxmlformats.org/officeDocument/2006/relationships/hyperlink" Target="https://www.sunderland.gov.uk/media/32741/Statement-of-Persons-Nominated-Notice-of-Poll-and-Situation-of-Polling-Stations-UK-PGE-WGS-4-July-2024/pdf/Statement_of_Persons_Nominated__Notice_of_Poll_and_Situation_of_Polling_Stations_-_WGS_2024_06_07_rs.pdf?m=1717769120743" TargetMode="External"/><Relationship Id="rId20" Type="http://schemas.openxmlformats.org/officeDocument/2006/relationships/hyperlink" Target="https://www.newham.gov.uk/downloads/file/7477/stratford-and-bow-constituency-statement-of-persons-nominated-notice-of-poll-and-situation-of-polling-stations" TargetMode="External"/><Relationship Id="rId62" Type="http://schemas.openxmlformats.org/officeDocument/2006/relationships/hyperlink" Target="https://www.merton.gov.uk/system/files/statement_of_persons_nominated_and_notice_of_poll_-_wimbledon_constituency.pdf" TargetMode="External"/><Relationship Id="rId365" Type="http://schemas.openxmlformats.org/officeDocument/2006/relationships/hyperlink" Target="https://www.westlothian.gov.uk/media/61688/Notice-of-Poll-Livingston/pdf/Notice_of_Poll_Livingston.pdf" TargetMode="External"/><Relationship Id="rId572" Type="http://schemas.openxmlformats.org/officeDocument/2006/relationships/hyperlink" Target="https://www.southnorfolkandbroadland.gov.uk/downloads/file/7044/statement-of-persons-nominated-notice-of-poll-and-situation-of-polling-stations-broadland-and-fakenham" TargetMode="External"/><Relationship Id="rId628" Type="http://schemas.openxmlformats.org/officeDocument/2006/relationships/hyperlink" Target="https://www.southribble.gov.uk/media/2918/Statement-of-Persons-Nominated-Notice-of-Poll-South-Ribble-constituency/pdf/Statement_of_Persons_Nominated___Notice_of_Poll_-_South_Ribble_constituency.pdf?m=1717777861267" TargetMode="External"/><Relationship Id="rId225" Type="http://schemas.openxmlformats.org/officeDocument/2006/relationships/hyperlink" Target="https://www.broxbourne.gov.uk/downloads/file/4435/statement-of-persons-nominated-parliamentary-2024" TargetMode="External"/><Relationship Id="rId267" Type="http://schemas.openxmlformats.org/officeDocument/2006/relationships/hyperlink" Target="https://www.leeds.gov.uk/docs/Leeds%20North%20West.pdf" TargetMode="External"/><Relationship Id="rId432" Type="http://schemas.openxmlformats.org/officeDocument/2006/relationships/hyperlink" Target="https://centralbedfordshirecouncil.sharepoint.com/:b:/s/Communications/ET7p3Ui3UbdHkjdiBRTBLIkBE52ZboyIei6ZsG97JbFKvw?e=ZwyicP" TargetMode="External"/><Relationship Id="rId474" Type="http://schemas.openxmlformats.org/officeDocument/2006/relationships/hyperlink" Target="https://www.wigan.gov.uk/Docs/PDF/Council/Voting-and-Elections/2024/General-Election/Statement-Of-Persons-Nominated-Makerfield.pdf" TargetMode="External"/><Relationship Id="rId127" Type="http://schemas.openxmlformats.org/officeDocument/2006/relationships/hyperlink" Target="https://docs.google.com/document/d/1y88YU7Vh55_Pyy4sZ-fmowTUL2L7uIOrs6PEJDFXkVQ/edit" TargetMode="External"/><Relationship Id="rId31" Type="http://schemas.openxmlformats.org/officeDocument/2006/relationships/hyperlink" Target="https://www.wandsworth.gov.uk/media/4uxj4kww/statement_of_persons_nominated_notice_of_poll_battersea_2024.pdf" TargetMode="External"/><Relationship Id="rId73" Type="http://schemas.openxmlformats.org/officeDocument/2006/relationships/hyperlink" Target="https://www.glasgow.gov.uk/media/12223/Glasgow-North-East/pdf/NORTH_EAST_-_SOPN_and_NOP.pdf?m=1717783302123" TargetMode="External"/><Relationship Id="rId169" Type="http://schemas.openxmlformats.org/officeDocument/2006/relationships/hyperlink" Target="https://www.westmorlandandfurness.gov.uk/sites/default/files/2024-06/Westmorland%20and%20Lonsdale%20-%20Statement%20of%20Persons%20Nominated%20and%20Notice%20of%20Poll.pdf" TargetMode="External"/><Relationship Id="rId334" Type="http://schemas.openxmlformats.org/officeDocument/2006/relationships/hyperlink" Target="https://www.swindon.gov.uk/downloads/file/10923/candidate_and_polling_station_details_for_swindon_north_constituency" TargetMode="External"/><Relationship Id="rId376" Type="http://schemas.openxmlformats.org/officeDocument/2006/relationships/hyperlink" Target="https://www.carmarthenshire.gov.wales/home/council-democracy/elections-voting/uk-parliamentary-general-election/" TargetMode="External"/><Relationship Id="rId541" Type="http://schemas.openxmlformats.org/officeDocument/2006/relationships/hyperlink" Target="https://somersetcc.sharepoint.com/sites/SCCPublic/Council%20Democracy/Forms/AllItems.aspx?id=%2Fsites%2FSCCPublic%2FCouncil%20Democracy%2FGeneral%20Election%202024%2FStatement%20of%20Persons%20Nominated%20%28UKPGE2024%29%20%2D%20YEOVIL%2Epdf&amp;parent=%2Fsites%2FSCCPublic%2FCouncil%20Democracy%2FGeneral%20Election%202024&amp;p=true&amp;ga=1" TargetMode="External"/><Relationship Id="rId583" Type="http://schemas.openxmlformats.org/officeDocument/2006/relationships/hyperlink" Target="https://molevalleydc.sharepoint.com/sites/MVDCDocumentLibrary/Shared%20Documents/Forms/AllItems.aspx?ga=1&amp;id=%2Fsites%2FMVDCDocumentLibrary%2FShared%20Documents%2FMVDC%20Document%20Library%2FCouncillors%20%26%20Decision%20Making%2FElections%2FUKPGE%202024%2FStatement%20of%20Persons%20Nominated%20and%20Notice%20of%20Poll&amp;viewid=bde92b27%2D8cd8%2D42af%2D9705%2Dd3e0059ee82f" TargetMode="External"/><Relationship Id="rId639" Type="http://schemas.openxmlformats.org/officeDocument/2006/relationships/hyperlink" Target="https://docs.maidstone.gov.uk/elections-2024/general-election-2024/Weald-of-Kent-Statement-of-Persons-Nominated-and-Notice-of-Poll.pdf" TargetMode="External"/><Relationship Id="rId4" Type="http://schemas.openxmlformats.org/officeDocument/2006/relationships/hyperlink" Target="https://www.camden.gov.uk/documents/d/guest/notice-of-poll-and-sits-of-ps-holborn-and-st-pancras-1" TargetMode="External"/><Relationship Id="rId180" Type="http://schemas.openxmlformats.org/officeDocument/2006/relationships/hyperlink" Target="https://www.south-ayrshire.gov.uk/media/12247/DOC-20240704-UKPGE-Notice-of-Poll-CA/pdf/DOC_20240704_UKPGE_Notice_of_Poll_CA.pdf?m=1717779296450" TargetMode="External"/><Relationship Id="rId236" Type="http://schemas.openxmlformats.org/officeDocument/2006/relationships/hyperlink" Target="https://www.cheshireeast.gov.uk/pdf/elections/parliamentary-election-2024/statement-of-persons-nominated-and-notice-of-poll-congleton-constituency.pdf" TargetMode="External"/><Relationship Id="rId278" Type="http://schemas.openxmlformats.org/officeDocument/2006/relationships/hyperlink" Target="https://www.buckinghamshire.gov.uk/documents/32510/2024.07.04_Mid_Buckinghamshire_Constituency_Statement_of_Persons_Nominated_4_July_2024.pdf" TargetMode="External"/><Relationship Id="rId401" Type="http://schemas.openxmlformats.org/officeDocument/2006/relationships/hyperlink" Target="https://durham.gov.uk/media/44795/Statement-of-Persons-Nominated-with-Notice-of-Poll-and-Situation-of-Polling-Stations-Blaydon-and-Consett/pdf/StatementOfPersonsNominatedWithNoticeOfPollAndSituationOfPollingStations-BlaydonAndConsett.pdf?m=1717777184857" TargetMode="External"/><Relationship Id="rId443" Type="http://schemas.openxmlformats.org/officeDocument/2006/relationships/hyperlink" Target="https://www.fdean.gov.uk/media/us5i5w3h/statement-of-persons-nominated-notice-of-poll.pdf" TargetMode="External"/><Relationship Id="rId650" Type="http://schemas.openxmlformats.org/officeDocument/2006/relationships/hyperlink" Target="https://aberdeenshire.gov.uk/media/mjifaawb/notice-of-poll-ukpge-ea22-gb.pdf" TargetMode="External"/><Relationship Id="rId303" Type="http://schemas.openxmlformats.org/officeDocument/2006/relationships/hyperlink" Target="https://www.medway.gov.uk/downloads/file/8736/notice_of_poll_and_persons_nominated_for_general_election_2024" TargetMode="External"/><Relationship Id="rId485" Type="http://schemas.openxmlformats.org/officeDocument/2006/relationships/hyperlink" Target="https://www.northwarks.gov.uk/downloads/file/1383/statement-of-persons-nominated-and-notice-of-poll-nuneaton" TargetMode="External"/><Relationship Id="rId42" Type="http://schemas.openxmlformats.org/officeDocument/2006/relationships/hyperlink" Target="https://www.eastcambs.gov.uk/sites/default/files/Statement%20of%20Persons%20Nominated.pdf" TargetMode="External"/><Relationship Id="rId84" Type="http://schemas.openxmlformats.org/officeDocument/2006/relationships/hyperlink" Target="https://www.teignbridge.gov.uk/voting-and-elections/next-elections/general-election-2024/statement-of-persons-nominated-notice-of-poll-and-situation-of-polling-stations/" TargetMode="External"/><Relationship Id="rId138" Type="http://schemas.openxmlformats.org/officeDocument/2006/relationships/hyperlink" Target="https://www.walthamforest.gov.uk/sites/default/files/2024-06/Statement%20of%20Persons%20Nominated%20and%20Notice%20Of%20Poll%20UK%20Parliamentary%20General%20Election%202024%20for%20Leyton%20and%20Wanstead%20%28PDF%29.pdf" TargetMode="External"/><Relationship Id="rId345" Type="http://schemas.openxmlformats.org/officeDocument/2006/relationships/hyperlink" Target="https://westoxon.gov.uk/media/0vvnyyxw/spn-nop-witney.pdf" TargetMode="External"/><Relationship Id="rId387" Type="http://schemas.openxmlformats.org/officeDocument/2006/relationships/hyperlink" Target="https://www.n-kesteven.gov.uk/sites/default/files/2024-06/Statement%20of%20Persons%20Nominated%20and%20Notice%20of%20Poll.pdf" TargetMode="External"/><Relationship Id="rId510" Type="http://schemas.openxmlformats.org/officeDocument/2006/relationships/hyperlink" Target="https://www.stevenage.gov.uk/documents/general-election-2024/ukpge-combined-statement-of-persons-nominated-notice-of-poll-situation-of-polling-stations.pdf" TargetMode="External"/><Relationship Id="rId552" Type="http://schemas.openxmlformats.org/officeDocument/2006/relationships/hyperlink" Target="https://www.fife.gov.uk/__data/assets/word_doc/0035/588536/UKPE2024-Notice-Of-Poll-NEF.docx" TargetMode="External"/><Relationship Id="rId594" Type="http://schemas.openxmlformats.org/officeDocument/2006/relationships/hyperlink" Target="https://www.sunderland.gov.uk/media/32739/Statement-of-Persons-Nominated-Notice-of-Poll-and-Situation-of-Polling-Stations-UK-PGE-HSS-4-July-2024/pdf/Statement_of_Persons_Nominated__Notice_of_Poll_and_Situation_of_Polling_Stations_-_HSS_2024_06_07_9n.pdf?m=1717769143820" TargetMode="External"/><Relationship Id="rId608" Type="http://schemas.openxmlformats.org/officeDocument/2006/relationships/hyperlink" Target="https://www.milton-keynes.gov.uk/sites/default/files/2024-06/Statement%20of%20Persons%20Nominated%202024.zip" TargetMode="External"/><Relationship Id="rId191" Type="http://schemas.openxmlformats.org/officeDocument/2006/relationships/hyperlink" Target="https://www.glasgow.gov.uk/media/12225/Glasgow-South/pdf/SOUTH_-_SOPN_and_NOP.pdf?m=1717783316367" TargetMode="External"/><Relationship Id="rId205" Type="http://schemas.openxmlformats.org/officeDocument/2006/relationships/hyperlink" Target="https://www.chesterfield.gov.uk/media/2457825/statement-of-persons-nominated-and-notice-of-poll-chesterfield-uk-parliamentary-constituency.pdf" TargetMode="External"/><Relationship Id="rId247" Type="http://schemas.openxmlformats.org/officeDocument/2006/relationships/hyperlink" Target="https://somersetcc.sharepoint.com/sites/SCCPublic/Council%20Democracy/Forms/AllItems.aspx?id=%2Fsites%2FSCCPublic%2FCouncil%20Democracy%2FGeneral%20Election%202024%2FNotice%20of%20Poll%20And%20Persons%20Nominated%20%2D%20Frome%20and%20East%20Somerset%2Epdf&amp;parent=%2Fsites%2FSCCPublic%2FCouncil%20Democracy%2FGeneral%20Election%202024&amp;p=true&amp;ga=1" TargetMode="External"/><Relationship Id="rId412" Type="http://schemas.openxmlformats.org/officeDocument/2006/relationships/hyperlink" Target="https://www.bromley.gov.uk/downloads/file/2471/statement-of-persons-nominated-bromley-and-biggin-hill-constituency" TargetMode="External"/><Relationship Id="rId107" Type="http://schemas.openxmlformats.org/officeDocument/2006/relationships/hyperlink" Target="https://www.cumberland.gov.uk/sites/default/files/2024-06/carlisle_-_statement_of_persons_nominated_and_notice_of_poll_0.pdf" TargetMode="External"/><Relationship Id="rId289" Type="http://schemas.openxmlformats.org/officeDocument/2006/relationships/hyperlink" Target="https://durham.gov.uk/media/44799/Statement-of-Persons-Nominated-with-Notice-of-Poll-and-Situation-of-Polling-Stations-North-Durham/pdf/StatementOfPersonsNominatedWithNoticeOfPollAndSituationOfPollingStations-NorthDurham.pdf?m=1717777547763" TargetMode="External"/><Relationship Id="rId454" Type="http://schemas.openxmlformats.org/officeDocument/2006/relationships/hyperlink" Target="https://www.hillingdon.gov.uk/media/14280/Statement-of-persons-nominated---Hayes-and-Harlington/pdf/5jStatement-of-Persons-Nominated-Hayes-and-Harlington-2024.pdf?m=1717773488060" TargetMode="External"/><Relationship Id="rId496" Type="http://schemas.openxmlformats.org/officeDocument/2006/relationships/hyperlink" Target="https://www.rutland.gov.uk/sites/default/files/2024-06/StatementOfPersonsNominated_2024-06-07%2016-14.pdf" TargetMode="External"/><Relationship Id="rId11" Type="http://schemas.openxmlformats.org/officeDocument/2006/relationships/hyperlink" Target="https://rdcpublic.blob.core.windows.net/website-uploads/2024/06/Statement-of-Persons-Nominated-Notice-of-Poll-and-Situation-of-Polling-Stations-UKPGE-2024.pdf" TargetMode="External"/><Relationship Id="rId53" Type="http://schemas.openxmlformats.org/officeDocument/2006/relationships/hyperlink" Target="https://www.plymouth.gov.uk/sites/default/files/2024-06/PSD.pdf" TargetMode="External"/><Relationship Id="rId149" Type="http://schemas.openxmlformats.org/officeDocument/2006/relationships/hyperlink" Target="https://www.oldham.gov.uk/downloads/file/8018/notice_of_poll_and_statement_of_persons_nominated_for_oldham_east_and_saddleworth" TargetMode="External"/><Relationship Id="rId314" Type="http://schemas.openxmlformats.org/officeDocument/2006/relationships/hyperlink" Target="https://www.sheffield.gov.uk/sites/default/files/2024-06/statement_of_persons_nominated_and_notice_of_poll_general_election.pdf" TargetMode="External"/><Relationship Id="rId356" Type="http://schemas.openxmlformats.org/officeDocument/2006/relationships/hyperlink" Target="https://www.highland.gov.uk/downloads/file/28766/caithness_and_sutherland_and_easter_ross_notice_of_poll_ukpge" TargetMode="External"/><Relationship Id="rId398" Type="http://schemas.openxmlformats.org/officeDocument/2006/relationships/hyperlink" Target="https://www.birmingham.gov.uk/download/downloads/id/29245/selly_oak_constituency_notice_of_poll_and_persons_nominated.pdf" TargetMode="External"/><Relationship Id="rId521" Type="http://schemas.openxmlformats.org/officeDocument/2006/relationships/hyperlink" Target="https://www.northyorks.gov.uk/sites/default/files/2024-06/SPN%20Thirsk%20and%20Malton%2007.06.2024.pdf" TargetMode="External"/><Relationship Id="rId563" Type="http://schemas.openxmlformats.org/officeDocument/2006/relationships/hyperlink" Target="https://go.walsall.gov.uk/sites/default/files/2024-06/Statment%20of%20persons%20nominated%20and%20notice%20of%20poll%20AB.pdf" TargetMode="External"/><Relationship Id="rId619" Type="http://schemas.openxmlformats.org/officeDocument/2006/relationships/hyperlink" Target="https://www.sheffield.gov.uk/sites/default/files/2024-06/statement_of_persons_nominated_and_notice_of_poll_general_election.pdf" TargetMode="External"/><Relationship Id="rId95" Type="http://schemas.openxmlformats.org/officeDocument/2006/relationships/hyperlink" Target="https://www.birmingham.gov.uk/download/downloads/id/29251/hall_green_and_moseley_constituency_notice_of_poll_and_persons_nominated.pdf" TargetMode="External"/><Relationship Id="rId160" Type="http://schemas.openxmlformats.org/officeDocument/2006/relationships/hyperlink" Target="https://www.dorsetcouncil.gov.uk/w/uk-parliamentary-general-election" TargetMode="External"/><Relationship Id="rId216" Type="http://schemas.openxmlformats.org/officeDocument/2006/relationships/hyperlink" Target="https://www.bolton.gov.uk/downloads/file/6021/general-election-2024-statement-of-persons-nominated-bolton-south-and-walkden" TargetMode="External"/><Relationship Id="rId423" Type="http://schemas.openxmlformats.org/officeDocument/2006/relationships/hyperlink" Target="https://www.kirklees.gov.uk/beta/voting-and-elections/statement-of-persons-nominated.aspx" TargetMode="External"/><Relationship Id="rId258" Type="http://schemas.openxmlformats.org/officeDocument/2006/relationships/hyperlink" Target="https://www.eastherts.gov.uk/elections-and-voting/elections-2024" TargetMode="External"/><Relationship Id="rId465" Type="http://schemas.openxmlformats.org/officeDocument/2006/relationships/hyperlink" Target="https://iwc.iow.gov.uk/documentlibrary/download/statement-of-persons-nominated-and-notice-of-poll-isle-of-wight-east" TargetMode="External"/><Relationship Id="rId630" Type="http://schemas.openxmlformats.org/officeDocument/2006/relationships/hyperlink" Target="https://www.midsuffolk.gov.uk/documents/d/asset-library-54706/south-suffolk-nop-sopn-sops" TargetMode="External"/><Relationship Id="rId22" Type="http://schemas.openxmlformats.org/officeDocument/2006/relationships/hyperlink" Target="https://www.walthamforest.gov.uk/sites/default/files/2024-06/Statement%20of%20Persons%20Nominated%20and%20Notice%20Of%20Poll%20%20UK%20Parliamentary%20General%20Election%202024%20for%20Walthamstow%20%28PDF%29.pdf" TargetMode="External"/><Relationship Id="rId64" Type="http://schemas.openxmlformats.org/officeDocument/2006/relationships/hyperlink" Target="https://www.york.gov.uk/downloads/file/9638/york-central-constituency-statement-of-persons-nominated-and-notice-of-poll" TargetMode="External"/><Relationship Id="rId118" Type="http://schemas.openxmlformats.org/officeDocument/2006/relationships/hyperlink" Target="https://www.adur-worthing.gov.uk/media/Media,171608,smxx.pdf" TargetMode="External"/><Relationship Id="rId325" Type="http://schemas.openxmlformats.org/officeDocument/2006/relationships/hyperlink" Target="https://www.cornwall.gov.uk/the-council-and-democracy/elections/elections-and-referendums/2024-parliamentary-election/" TargetMode="External"/><Relationship Id="rId367" Type="http://schemas.openxmlformats.org/officeDocument/2006/relationships/hyperlink" Target="https://www.eastdunbarton.gov.uk/residents/council-democracy/elections-and-voting/uk-parliamentary-general-election-2024/notice-poll" TargetMode="External"/><Relationship Id="rId532" Type="http://schemas.openxmlformats.org/officeDocument/2006/relationships/hyperlink" Target="https://www.northnorthants.gov.uk/elections-and-voting/upcoming-elections/uk-general-election-thursday-4-july-2024/general-election-3" TargetMode="External"/><Relationship Id="rId574" Type="http://schemas.openxmlformats.org/officeDocument/2006/relationships/hyperlink" Target="https://www.castlepoint.gov.uk/download.cfm?doc=docm93jijm4n8183.pdf&amp;ver=13924" TargetMode="External"/><Relationship Id="rId171" Type="http://schemas.openxmlformats.org/officeDocument/2006/relationships/hyperlink" Target="https://www.wolverhampton.gov.uk/sites/default/files/2024-06/Statement%20of%20Persons%20Nominated%20and%20Notice%20of%20Poll%20-%20Wolverhampton%20West.pdf" TargetMode="External"/><Relationship Id="rId227" Type="http://schemas.openxmlformats.org/officeDocument/2006/relationships/hyperlink" Target="https://new.calderdale.gov.uk/sites/default/files/2024-06/Statement%20as%20to%20Persons%20Nominated%20Calder%20Valley.pdf" TargetMode="External"/><Relationship Id="rId269" Type="http://schemas.openxmlformats.org/officeDocument/2006/relationships/hyperlink" Target="https://lewisham.gov.uk/-/media/0-mayor-and-council/elections/statement-of-persons-nominated-lewisham-west--east-dulwich-for-election-on-4724.pdf" TargetMode="External"/><Relationship Id="rId434" Type="http://schemas.openxmlformats.org/officeDocument/2006/relationships/hyperlink" Target="https://www.midsussex.gov.uk/media/uxintccw/east-grinstead-and-uckfield-sopn-nop.pdf" TargetMode="External"/><Relationship Id="rId476" Type="http://schemas.openxmlformats.org/officeDocument/2006/relationships/hyperlink" Target="https://www.milton-keynes.gov.uk/sites/default/files/2024-06/Statement%20of%20Persons%20Nominated%202024.zip" TargetMode="External"/><Relationship Id="rId641" Type="http://schemas.openxmlformats.org/officeDocument/2006/relationships/hyperlink" Target="https://www.westlancs.gov.uk/media/547768/statement-of-persons-nominated-general-election-2024-west-lancashire.pdf" TargetMode="External"/><Relationship Id="rId33" Type="http://schemas.openxmlformats.org/officeDocument/2006/relationships/hyperlink" Target="https://www.bradford.gov.uk/your-council/elections-and-voting/statement-of-persons-nominated-and-notice-of-poll/" TargetMode="External"/><Relationship Id="rId129" Type="http://schemas.openxmlformats.org/officeDocument/2006/relationships/hyperlink" Target="https://www.hartlepool.gov.uk/downloads/file/9375/statement_of_persons_nominated_notice_of_poll_and_situation_of_polling_stations" TargetMode="External"/><Relationship Id="rId280" Type="http://schemas.openxmlformats.org/officeDocument/2006/relationships/hyperlink" Target="https://www.ambervalley.gov.uk/media/1296/statement-of-persons-nominated-including-notice-of-poll-and-situation-of-polling-stations-md.pdf" TargetMode="External"/><Relationship Id="rId336" Type="http://schemas.openxmlformats.org/officeDocument/2006/relationships/hyperlink" Target="https://www.thurrock.gov.uk/elections-and-election-results/election-dates" TargetMode="External"/><Relationship Id="rId501" Type="http://schemas.openxmlformats.org/officeDocument/2006/relationships/hyperlink" Target="https://www.cornwall.gov.uk/the-council-and-democracy/elections/elections-and-referendums/2024-parliamentary-election/" TargetMode="External"/><Relationship Id="rId543" Type="http://schemas.openxmlformats.org/officeDocument/2006/relationships/hyperlink" Target="https://www.eoni.org.uk/getmedia/ede0bab2-9da9-428d-9cac-fe44bf120b6d/Statement-of-Persons-Nominated-combined-with-Notice-of-Poll_1" TargetMode="External"/><Relationship Id="rId75" Type="http://schemas.openxmlformats.org/officeDocument/2006/relationships/hyperlink" Target="https://www.southlanarkshire.gov.uk/info/200237/elections/2221/uk_parliamentary_general_election_thursday_4_july_2024" TargetMode="External"/><Relationship Id="rId140" Type="http://schemas.openxmlformats.org/officeDocument/2006/relationships/hyperlink" Target="https://liverpool.gov.uk/media/ig0jc2or/statement-of-persons-nominated-liverpool-wavertree.docx" TargetMode="External"/><Relationship Id="rId182" Type="http://schemas.openxmlformats.org/officeDocument/2006/relationships/hyperlink" Target="https://www.north-ayrshire.gov.uk/Documents/Election-Info/notice-of-poll-uk-general-election.pdf" TargetMode="External"/><Relationship Id="rId378" Type="http://schemas.openxmlformats.org/officeDocument/2006/relationships/hyperlink" Target="https://www.swansea.gov.uk/noticesgeneralelection2024" TargetMode="External"/><Relationship Id="rId403" Type="http://schemas.openxmlformats.org/officeDocument/2006/relationships/hyperlink" Target="https://www.bolton.gov.uk/downloads/file/6020/general-election-2024-statement-of-persons-nominated-bolton-west" TargetMode="External"/><Relationship Id="rId585" Type="http://schemas.openxmlformats.org/officeDocument/2006/relationships/hyperlink" Target="https://beta.southglos.gov.uk/static/001ab7b6905c7e1be9fb3c022fb4e79e/Statement_of_Persons_Nominated_FABS_7_June_2024.pdf" TargetMode="External"/><Relationship Id="rId6" Type="http://schemas.openxmlformats.org/officeDocument/2006/relationships/hyperlink" Target="https://www.westminster.gov.uk/about-council/democracy/elections-referendums-and-how-vote/general-election-4-july-2024" TargetMode="External"/><Relationship Id="rId238" Type="http://schemas.openxmlformats.org/officeDocument/2006/relationships/hyperlink" Target="https://www.croydon.gov.uk/council-and-elections/voting-and-elections/general-election-thursday-4-july-2024-0/candidate-information" TargetMode="External"/><Relationship Id="rId445" Type="http://schemas.openxmlformats.org/officeDocument/2006/relationships/hyperlink" Target="https://www.gedling.gov.uk/elections/ukparliamentarygeneralelection-4july2024/statementofpersonsnominated/" TargetMode="External"/><Relationship Id="rId487" Type="http://schemas.openxmlformats.org/officeDocument/2006/relationships/hyperlink" Target="https://www.wakefield.gov.uk/media/bexndgas/wf-ukpge-sopn-notice-of-poll-ossett-and-denby-dale.docx" TargetMode="External"/><Relationship Id="rId610" Type="http://schemas.openxmlformats.org/officeDocument/2006/relationships/hyperlink" Target="https://www.newcastle-staffs.gov.uk/downloads/file/2300/statement-of-persons-nominated-notice-of-poll-and-situations-of-polling-stations-newcastle-under-lyme-constituency" TargetMode="External"/><Relationship Id="rId291" Type="http://schemas.openxmlformats.org/officeDocument/2006/relationships/hyperlink" Target="https://beta.bathnes.gov.uk/statement-persons-nominated-and-notice-poll-election-member-parliament-north-east-somerset-and-hanham-constituency" TargetMode="External"/><Relationship Id="rId305" Type="http://schemas.openxmlformats.org/officeDocument/2006/relationships/hyperlink" Target="http://www.rotherham.gov.uk/downloads/file/3885/statement-of-person-nominated-and-notice-of-poll-for-rotherham" TargetMode="External"/><Relationship Id="rId347" Type="http://schemas.openxmlformats.org/officeDocument/2006/relationships/hyperlink" Target="https://www.wyreforestdc.gov.uk/media/k20dw1st/20240607-sopn-nop-sops.pdf" TargetMode="External"/><Relationship Id="rId512" Type="http://schemas.openxmlformats.org/officeDocument/2006/relationships/hyperlink" Target="https://www.sstaffs.gov.uk/sites/default/files/2024-06/SOPN__NOP_Stone%2C%20Great%20Wyrley%20and%20Penkridge.pdf" TargetMode="External"/><Relationship Id="rId44" Type="http://schemas.openxmlformats.org/officeDocument/2006/relationships/hyperlink" Target="https://www.hull.gov.uk/downloads/file/3391/Statement_of_Persons_Nominated_and_Notice_of_Poll___Kingston_upon_Hull_North_and_Cottingham_Constituency.pdf" TargetMode="External"/><Relationship Id="rId86" Type="http://schemas.openxmlformats.org/officeDocument/2006/relationships/hyperlink" Target="https://swale.gov.uk/__data/assets/pdf_file/0019/472015/Notice-of-poll-and-stations.pdf" TargetMode="External"/><Relationship Id="rId151" Type="http://schemas.openxmlformats.org/officeDocument/2006/relationships/hyperlink" Target="https://www.southandvale.gov.uk/wp-content/uploads/2024/06/Statement-of-Perons-Nominated-Oxford-West-and-Abingdon.pdf" TargetMode="External"/><Relationship Id="rId389" Type="http://schemas.openxmlformats.org/officeDocument/2006/relationships/hyperlink" Target="https://www.horsham.gov.uk/__data/assets/pdf_file/0008/136394/Statement-of-Persons-Nominated,-Notice-of-Poll-and-Situation-of-Polling-Stations-Arundel-and-South-Downs.pdf" TargetMode="External"/><Relationship Id="rId554" Type="http://schemas.openxmlformats.org/officeDocument/2006/relationships/hyperlink" Target="https://www.pkc.gov.uk/media/52796/Statement-of-Persons-Nominated-and-Notice-of-Poll/pdf/Statement_of_Person_Nominated_and_Notice_of_Poll.pdf?m=1717778731237" TargetMode="External"/><Relationship Id="rId596" Type="http://schemas.openxmlformats.org/officeDocument/2006/relationships/hyperlink" Target="https://www.hyndburnbc.gov.uk/wp-content/uploads/2024/06/Statement-of-Persons-Nominated-and-Notice-of-Poll-2024.pdf" TargetMode="External"/><Relationship Id="rId193" Type="http://schemas.openxmlformats.org/officeDocument/2006/relationships/hyperlink" Target="https://www.renfrewshire.gov.uk/media/16576/Statement-of-Persons-Nominated-including-Notice-of-Poll-and-Situation-of-Polling-Stations-for-Paisley-and-Renfrewshire-South-Constituency/pdf/FINAL_Notice_of_Poll___Sit_of_Polling_Places_-_PR_SOUTH.pdf?m=1717777787943" TargetMode="External"/><Relationship Id="rId207" Type="http://schemas.openxmlformats.org/officeDocument/2006/relationships/hyperlink" Target="https://www.fareham.gov.uk/pdf/about_the_council/elections/SOPN_and_NoticeOfPoll-Fareham_and_Waterlooville.pdf" TargetMode="External"/><Relationship Id="rId249" Type="http://schemas.openxmlformats.org/officeDocument/2006/relationships/hyperlink" Target="https://www.gateshead.gov.uk/media/41486/Statement-of-Persons-nominated-Gateshead-Central-and-Whickham/pdf/Gateshead_Central_and_Whickham_Constituency_-_Statement_of_Persons_Nominated_and_Notice_of_Poll.pdf?m=1717780634873" TargetMode="External"/><Relationship Id="rId414" Type="http://schemas.openxmlformats.org/officeDocument/2006/relationships/hyperlink" Target="https://www.eaststaffsbc.gov.uk/sites/default/files/docs/elections/Statement_of_Persons_Nominated_PGE_2024.pdf" TargetMode="External"/><Relationship Id="rId456" Type="http://schemas.openxmlformats.org/officeDocument/2006/relationships/hyperlink" Target="https://www.herefordshire.gov.uk/downloads/file/26575/statement-of-persons-nominated-and-notice-of-poll-hereford-and-south-herefordshire" TargetMode="External"/><Relationship Id="rId498" Type="http://schemas.openxmlformats.org/officeDocument/2006/relationships/hyperlink" Target="https://www.solihull.gov.uk/councillors-and-democracy/general-election-2024" TargetMode="External"/><Relationship Id="rId621" Type="http://schemas.openxmlformats.org/officeDocument/2006/relationships/hyperlink" Target="https://www.portsmouth.gov.uk/wp-content/uploads/2024/06/Statement-of-Persons-Nominated-and-Notice-of-Poll-Portsmouth-North.docx" TargetMode="External"/><Relationship Id="rId13" Type="http://schemas.openxmlformats.org/officeDocument/2006/relationships/hyperlink" Target="https://www.hounslow.gov.uk/info/20043/elections_and_voting/2459/uk_parliamentary_general_election_2024_-_statement_of_persons_nominated_notice_of_poll_and_situation_of_polling_stations/2" TargetMode="External"/><Relationship Id="rId109" Type="http://schemas.openxmlformats.org/officeDocument/2006/relationships/hyperlink" Target="https://www.medway.gov.uk/download/downloads/id/8736/notice_of_poll_and_persons_nominated_for_general_election_2024.docx" TargetMode="External"/><Relationship Id="rId260" Type="http://schemas.openxmlformats.org/officeDocument/2006/relationships/hyperlink" Target="https://new.haringey.gov.uk/council-elections/elections-voting/general-election-2024/statement-persons-nominated-notice-poll-hornsey-friern-barnet-constituency" TargetMode="External"/><Relationship Id="rId316" Type="http://schemas.openxmlformats.org/officeDocument/2006/relationships/hyperlink" Target="https://www.sheffield.gov.uk/sites/default/files/2024-06/statement_of_persons_nominated_and_notice_of_poll_general_election.pdf" TargetMode="External"/><Relationship Id="rId523" Type="http://schemas.openxmlformats.org/officeDocument/2006/relationships/hyperlink" Target="https://www.torridge.gov.uk/media/27394/Statement-of-Persons-Nominated-and-Notice-of-Poll-and-Situation-of-Polling-Station/pdf/Statement_of_Persons_Nominated_and_Notice_of_Poll_and_Situation_of_Polling_Station.pdf?m=1717774883100" TargetMode="External"/><Relationship Id="rId55" Type="http://schemas.openxmlformats.org/officeDocument/2006/relationships/hyperlink" Target="https://www.cotswold.gov.uk/media/4wym05ua/statement-of-persons-nominated-and-notice-of-poll-south-cotswolds.pdf" TargetMode="External"/><Relationship Id="rId97" Type="http://schemas.openxmlformats.org/officeDocument/2006/relationships/hyperlink" Target="https://www.birmingham.gov.uk/download/downloads/id/29246/perry_barr_constituency_notice_of_poll_and_persons_nominated.pdf" TargetMode="External"/><Relationship Id="rId120" Type="http://schemas.openxmlformats.org/officeDocument/2006/relationships/hyperlink" Target="https://eastdevon.gov.uk/elections-and-registering-to-vote/uk-general-election/exmouth-and-exeter-east-constituency/" TargetMode="External"/><Relationship Id="rId358" Type="http://schemas.openxmlformats.org/officeDocument/2006/relationships/hyperlink" Target="https://dumgal.gov.uk/media/29495/Notice-of-Poll-General-Election-2024-DCT/pdf/DCTNotice-of-Poll-UK-Parliamentary-Election-1.pdf?m=1717779252127" TargetMode="External"/><Relationship Id="rId565" Type="http://schemas.openxmlformats.org/officeDocument/2006/relationships/hyperlink" Target="https://www.bassetlaw.gov.uk/council-and-democracy/elections-in-bassetlaw/uk-parliamentary-general-election/statement-of-persons-nominated-notice-of-poll-and-situation-of-polling-stations-bassetlaw-parliamentary-constituency/" TargetMode="External"/><Relationship Id="rId162" Type="http://schemas.openxmlformats.org/officeDocument/2006/relationships/hyperlink" Target="https://www.plymouth.gov.uk/sites/default/files/2024-06/SWD.pdf" TargetMode="External"/><Relationship Id="rId218" Type="http://schemas.openxmlformats.org/officeDocument/2006/relationships/hyperlink" Target="https://www.bcpcouncil.gov.uk/councillors-committees-and-elections/elections-and-voting/candidates-standing-for-the-2024-uk-parliamentary-general-election" TargetMode="External"/><Relationship Id="rId425" Type="http://schemas.openxmlformats.org/officeDocument/2006/relationships/hyperlink" Target="https://www.coventry.gov.uk/elections-voting/uk-parliamentary-general-election-2024/7" TargetMode="External"/><Relationship Id="rId467" Type="http://schemas.openxmlformats.org/officeDocument/2006/relationships/hyperlink" Target="https://www.southtyneside.gov.uk/media/8076/Statement-of-persons-nominated-and-notice-of-poll-Jarrow-and-Gateshead-East-Constituency/pdf/Statement_of_Persons_Nominated_and_Notice_of_Poll_-_Jarrow_and_Gateshead_East.pdf?m=1717781203250" TargetMode="External"/><Relationship Id="rId632" Type="http://schemas.openxmlformats.org/officeDocument/2006/relationships/hyperlink" Target="https://www.stockton.gov.uk/media/6431/Statement-of-Persons-nominated-notice-of-poll-and-situation-of-polling-stations-Stockton-North/pdf/Statement_of_Persons_nominated_-_notice_of_poll_and_situation_of_polling_stations_Stockton_North.pdf?m=1717778329503" TargetMode="External"/><Relationship Id="rId271" Type="http://schemas.openxmlformats.org/officeDocument/2006/relationships/hyperlink" Target="https://www.luton.gov.uk/Council_government_and_democracy/Lists/LutonDocuments/PDF/Voting%20and%20elections/election-july-2024/statement-of-person-nominated-and-notice-of-poll-luton-south-and-south-bedfordshire.pdf" TargetMode="External"/><Relationship Id="rId24" Type="http://schemas.openxmlformats.org/officeDocument/2006/relationships/hyperlink" Target="https://www.eoni.org.uk/getmedia/ede0bab2-9da9-428d-9cac-fe44bf120b6d/Statement-of-Persons-Nominated-combined-with-Notice-of-Poll_1" TargetMode="External"/><Relationship Id="rId66" Type="http://schemas.openxmlformats.org/officeDocument/2006/relationships/hyperlink" Target="https://www.eoni.org.uk/getmedia/ede0bab2-9da9-428d-9cac-fe44bf120b6d/Statement-of-Persons-Nominated-combined-with-Notice-of-Poll_1" TargetMode="External"/><Relationship Id="rId131" Type="http://schemas.openxmlformats.org/officeDocument/2006/relationships/hyperlink" Target="https://www.barnet.gov.uk/sites/default/files/2024-06/Statement%20of%20Persons%20Nominated%20%E2%80%93%20Hendon%20Constituency.pdf" TargetMode="External"/><Relationship Id="rId327" Type="http://schemas.openxmlformats.org/officeDocument/2006/relationships/hyperlink" Target="https://www.staffordbc.gov.uk/sites/default/files/cme/DocMan1/Elections-2024/General-Election/Notice-Of-Poll-And-Persons-Nominated-And-Polling-Stations.pdf" TargetMode="External"/><Relationship Id="rId369" Type="http://schemas.openxmlformats.org/officeDocument/2006/relationships/hyperlink" Target="https://www.flintshire.gov.uk/en/PDFFiles/Council-Democracy/Elections-24/Statement-of-Persons-Nominated-and-Notice-of-Poll-Alyn-and-Deeside.pdf" TargetMode="External"/><Relationship Id="rId534" Type="http://schemas.openxmlformats.org/officeDocument/2006/relationships/hyperlink" Target="https://www.malvernhills.gov.uk/component/fileman/file/Documents/Elections/2024/SoPN%2C%20Notice%20of%20Poll%20and%20Situation%20of%20Polling%20Stations.pdf?routed=1&amp;container=fileman-files" TargetMode="External"/><Relationship Id="rId576" Type="http://schemas.openxmlformats.org/officeDocument/2006/relationships/hyperlink" Target="https://www.cheshirewestandchester.gov.uk/asset-library/your-council/elections/general-election-2024/SOPN-NoP-SoP-CNN-UKPGE.pdf" TargetMode="External"/><Relationship Id="rId173" Type="http://schemas.openxmlformats.org/officeDocument/2006/relationships/hyperlink" Target="https://www.eoni.org.uk/getmedia/ede0bab2-9da9-428d-9cac-fe44bf120b6d/Statement-of-Persons-Nominated-combined-with-Notice-of-Poll_1" TargetMode="External"/><Relationship Id="rId229" Type="http://schemas.openxmlformats.org/officeDocument/2006/relationships/hyperlink" Target="https://www.cambridge.gov.uk/media/wabd214r/notice-of-poll-and-persons-nominated-2024-07-04.pdf" TargetMode="External"/><Relationship Id="rId380" Type="http://schemas.openxmlformats.org/officeDocument/2006/relationships/hyperlink" Target="https://www.rushmoor.gov.uk/media/5xqgtahv/statement-of-persons-notice-of-poll-combined-updated.pdf" TargetMode="External"/><Relationship Id="rId436" Type="http://schemas.openxmlformats.org/officeDocument/2006/relationships/hyperlink" Target="https://www.lewes-eastbourne.gov.uk/media/3894/Notice-of-Poll-Statement-of-Persons-Nominated-and-Situation-of-Polling-Stations-Eastbourne-Constituency-4th-July-2024/pdf/Notice_of_Poll__Statement_of_Persons_Nominated_and_Situation_of_Polling_stations_-_Eastbourne_Consti.pdf?m=1717777807740" TargetMode="External"/><Relationship Id="rId601" Type="http://schemas.openxmlformats.org/officeDocument/2006/relationships/hyperlink" Target="https://www.maldon.gov.uk/info/20067/elections_and_voting/10081/statutory_election_notices" TargetMode="External"/><Relationship Id="rId643" Type="http://schemas.openxmlformats.org/officeDocument/2006/relationships/hyperlink" Target="https://www.cumberland.gov.uk/sites/default/files/2024-06/whitehaven_and_workington_-_statement_of_persons_nominated_and_notice_of_poll.pdf" TargetMode="External"/><Relationship Id="rId240" Type="http://schemas.openxmlformats.org/officeDocument/2006/relationships/hyperlink" Target="https://democracy.derbyshiredales.gov.uk/documents/s10670/Statement%20of%20Persons%20Nominated%20and%20Notice%20of%20Poll.pdf" TargetMode="External"/><Relationship Id="rId478" Type="http://schemas.openxmlformats.org/officeDocument/2006/relationships/hyperlink" Target="https://www.cotswold.gov.uk/media/bo3iq5v1/statement-of-persons-nominated-and-notice-of-poll-north-cotswolds.pdf" TargetMode="External"/><Relationship Id="rId35" Type="http://schemas.openxmlformats.org/officeDocument/2006/relationships/hyperlink" Target="https://www.bury.gov.uk/council-and-democracy/elections-and-voting/statement-of-persons-nominated-notice-of-poll-and-situation-of-polling-stations-for-bury-south" TargetMode="External"/><Relationship Id="rId77" Type="http://schemas.openxmlformats.org/officeDocument/2006/relationships/hyperlink" Target="https://www.merthyr.gov.uk/council/voting-and-elections/uk-parliamentary-general-election/" TargetMode="External"/><Relationship Id="rId100" Type="http://schemas.openxmlformats.org/officeDocument/2006/relationships/hyperlink" Target="https://www.bradford.gov.uk/your-council/elections-and-voting/statement-of-persons-nominated-and-notice-of-poll/" TargetMode="External"/><Relationship Id="rId282" Type="http://schemas.openxmlformats.org/officeDocument/2006/relationships/hyperlink" Target="https://www.merton.gov.uk/system/files/statement_of_persons_nominated_and_notice_of_poll_-_mitcham_and_morden_constituency.pdf" TargetMode="External"/><Relationship Id="rId338" Type="http://schemas.openxmlformats.org/officeDocument/2006/relationships/hyperlink" Target="https://www.cornwall.gov.uk/the-council-and-democracy/elections/elections-and-referendums/2024-parliamentary-election/" TargetMode="External"/><Relationship Id="rId503" Type="http://schemas.openxmlformats.org/officeDocument/2006/relationships/hyperlink" Target="https://www.southtyneside.gov.uk/media/8077/Statement-of-persons-nominated-and-notice-of-poll-South-Shields-Constituency/pdf/Statement_of_Persons_Nominated_and_Notice_of_Poll_-_South_Shields.pdf?m=1717781268493" TargetMode="External"/><Relationship Id="rId545" Type="http://schemas.openxmlformats.org/officeDocument/2006/relationships/hyperlink" Target="https://www.eoni.org.uk/getmedia/ede0bab2-9da9-428d-9cac-fe44bf120b6d/Statement-of-Persons-Nominated-combined-with-Notice-of-Poll_1" TargetMode="External"/><Relationship Id="rId587" Type="http://schemas.openxmlformats.org/officeDocument/2006/relationships/hyperlink" Target="https://www.gravesham.gov.uk/downloads/file/704/statement-of-persons-nominated-and-situation-of-polling-stations-gravesham-constituency-" TargetMode="External"/><Relationship Id="rId8" Type="http://schemas.openxmlformats.org/officeDocument/2006/relationships/hyperlink" Target="https://www.leeds.gov.uk/docs/Leeds%20North%20East.pdf" TargetMode="External"/><Relationship Id="rId142" Type="http://schemas.openxmlformats.org/officeDocument/2006/relationships/hyperlink" Target="https://www.luton.gov.uk/Council_government_and_democracy/Lists/LutonDocuments/PDF/Voting%20and%20elections/election-july-2024/statement-of-person-nominated-and-notice-of-poll-luton-north.pdf" TargetMode="External"/><Relationship Id="rId184" Type="http://schemas.openxmlformats.org/officeDocument/2006/relationships/hyperlink" Target="https://www.aberdeencity.gov.uk/sites/default/files/2024-06/Notice-of-poll%20Aberdeen%20South.pdf" TargetMode="External"/><Relationship Id="rId391" Type="http://schemas.openxmlformats.org/officeDocument/2006/relationships/hyperlink" Target="https://tameside.moderngov.co.uk/mggeneric.aspx?MD=Election2024" TargetMode="External"/><Relationship Id="rId405" Type="http://schemas.openxmlformats.org/officeDocument/2006/relationships/hyperlink" Target="https://www.braintree.gov.uk/downloads/file/3952/statement-of-persons-nominated-braintree" TargetMode="External"/><Relationship Id="rId447" Type="http://schemas.openxmlformats.org/officeDocument/2006/relationships/hyperlink" Target="https://www.eastriding.gov.uk/url-directory/election-notices/?entry=595" TargetMode="External"/><Relationship Id="rId612" Type="http://schemas.openxmlformats.org/officeDocument/2006/relationships/hyperlink" Target="https://www.bedford.gov.uk/your-council/elections-and-voting/uk-parliamentary-election-general-election-4-july-2024" TargetMode="External"/><Relationship Id="rId251" Type="http://schemas.openxmlformats.org/officeDocument/2006/relationships/hyperlink" Target="https://docs.google.com/document/d/1oWV8bt07UQJh65_dPIvCxU6s9ajHf8hICE6zc9kTCXo/edit" TargetMode="External"/><Relationship Id="rId489" Type="http://schemas.openxmlformats.org/officeDocument/2006/relationships/hyperlink" Target="https://www.rotherham.gov.uk/elections-voting/parliamentary-general-election-4-july-2024/3" TargetMode="External"/><Relationship Id="rId46" Type="http://schemas.openxmlformats.org/officeDocument/2006/relationships/hyperlink" Target="https://www.leicester.gov.uk/media/vpdf1pxg/statement-of-persons-nominated-notice-of-poll-leicester-south.pdf" TargetMode="External"/><Relationship Id="rId293" Type="http://schemas.openxmlformats.org/officeDocument/2006/relationships/hyperlink" Target="https://cms.westnorthants.gov.uk/media/15764/download" TargetMode="External"/><Relationship Id="rId307" Type="http://schemas.openxmlformats.org/officeDocument/2006/relationships/hyperlink" Target="https://www3.halton.gov.uk/Documents/council%20and%20democracy/elections/GE2024/RuncornandHelsbySPNandNOP.pdf" TargetMode="External"/><Relationship Id="rId349" Type="http://schemas.openxmlformats.org/officeDocument/2006/relationships/hyperlink" Target="https://www.eoni.org.uk/getmedia/ede0bab2-9da9-428d-9cac-fe44bf120b6d/Statement-of-Persons-Nominated-combined-with-Notice-of-Poll_1" TargetMode="External"/><Relationship Id="rId514" Type="http://schemas.openxmlformats.org/officeDocument/2006/relationships/hyperlink" Target="https://www.surreyheath.gov.uk/sites/default/files/2024-06/Statement%20of%20Persons%20Nominated%2C%20Notice%20of%20Poll%20and%20Situation%20of%20Polling%20Stations.pdf" TargetMode="External"/><Relationship Id="rId556" Type="http://schemas.openxmlformats.org/officeDocument/2006/relationships/hyperlink" Target="https://www.caerphilly.gov.uk/my-council/voting-and-elections/forthcoming-elections-2024/general-election-2024" TargetMode="External"/><Relationship Id="rId88" Type="http://schemas.openxmlformats.org/officeDocument/2006/relationships/hyperlink" Target="https://westoxon.gov.uk/media/jvpprbum/banbury-sopn-nop-sops.pdf" TargetMode="External"/><Relationship Id="rId111" Type="http://schemas.openxmlformats.org/officeDocument/2006/relationships/hyperlink" Target="https://democracy.crawley.gov.uk/documents/s30699/SofPNomNotPollMP.docx.pdf" TargetMode="External"/><Relationship Id="rId153" Type="http://schemas.openxmlformats.org/officeDocument/2006/relationships/hyperlink" Target="https://www.peterborough.gov.uk/asset-library/uk-general-election-2024-situation-of-persons-nominated-notice-of-poll-and-situation-of-polling-stations-peterborough.pdf" TargetMode="External"/><Relationship Id="rId195" Type="http://schemas.openxmlformats.org/officeDocument/2006/relationships/hyperlink" Target="https://beta.npt.gov.uk/council-democracy-elections/elections-and-voting/uk-parliamentary-election-2024/notices/statement-as-to-persons-nominated-and-notice-of-poll/aberafan-maesteg-constituency/" TargetMode="External"/><Relationship Id="rId209" Type="http://schemas.openxmlformats.org/officeDocument/2006/relationships/hyperlink" Target="https://www.southend.gov.uk/downloads/file/8337/statement-of-persons-nominated-notice-of-poll-and-situation-of-polling-stations-southend-east-and-rochford" TargetMode="External"/><Relationship Id="rId360" Type="http://schemas.openxmlformats.org/officeDocument/2006/relationships/hyperlink" Target="https://www.glasgow.gov.uk/media/12221/Glasgow-East/pdf/EAST_-_SOPN_and_NOP.pdf?m=1717783262583" TargetMode="External"/><Relationship Id="rId416" Type="http://schemas.openxmlformats.org/officeDocument/2006/relationships/hyperlink" Target="https://www.middevon.gov.uk/your-council/voting-elections/2024-elections/uk-parliament-general-election/statement-of-persons-nominated-notice-of-poll-situation-of-polling-stations-uk-parliamentary-election/" TargetMode="External"/><Relationship Id="rId598" Type="http://schemas.openxmlformats.org/officeDocument/2006/relationships/hyperlink" Target="https://www.lancaster.gov.uk/the-council-and-democracy/voting-and-elections/vacancies" TargetMode="External"/><Relationship Id="rId220" Type="http://schemas.openxmlformats.org/officeDocument/2006/relationships/hyperlink" Target="https://www.bracknell-forest.gov.uk/sites/default/files/2024-06/statement-of-persons-nominated-and-notice-of-poll-general-election-2024.pdf" TargetMode="External"/><Relationship Id="rId458" Type="http://schemas.openxmlformats.org/officeDocument/2006/relationships/hyperlink" Target="https://www.northumberland.gov.uk/NorthumberlandCountyCouncil/media/Councillors-and-Democracy/2%20may%202024%20elections/Statement-of-Persons-Nominated-and-Notice-of-Poll-Hexham.pdf" TargetMode="External"/><Relationship Id="rId623" Type="http://schemas.openxmlformats.org/officeDocument/2006/relationships/hyperlink" Target="https://www.reigate-banstead.gov.uk/download/downloads/id/7325/notice_of_poll_and_statement_of_persons_nominated_-_reigate.pdf" TargetMode="External"/><Relationship Id="rId15" Type="http://schemas.openxmlformats.org/officeDocument/2006/relationships/hyperlink" Target="https://www.manchester.gov.uk/directory_record/466431/manchester_central" TargetMode="External"/><Relationship Id="rId57" Type="http://schemas.openxmlformats.org/officeDocument/2006/relationships/hyperlink" Target="https://www.west-norfolk.gov.uk/download/downloads/id/8711/sopn_and_notice_of_poll_-_south_west_norfolk.pdf" TargetMode="External"/><Relationship Id="rId262" Type="http://schemas.openxmlformats.org/officeDocument/2006/relationships/hyperlink" Target="https://www.ipswich.gov.uk/sites/www.ipswich.gov.uk/files/statement_of_persons_nominated_and_notice_of_poll_2.pdf" TargetMode="External"/><Relationship Id="rId318" Type="http://schemas.openxmlformats.org/officeDocument/2006/relationships/hyperlink" Target="https://www.shropshire.gov.uk/media/28058/sopn-shrewsbury.pdf" TargetMode="External"/><Relationship Id="rId525" Type="http://schemas.openxmlformats.org/officeDocument/2006/relationships/hyperlink" Target="https://www.richmond.gov.uk/media/xtdnpcva/statement_of_persons_nominated_notice_of_poll_twickenham_2024.pdf" TargetMode="External"/><Relationship Id="rId567" Type="http://schemas.openxmlformats.org/officeDocument/2006/relationships/hyperlink" Target="https://www.bexley.gov.uk/sites/default/files/2024-06/notice-of-election-of-a-member-of-parliament-for-bexleyheath-and-crayford.pdf" TargetMode="External"/><Relationship Id="rId99" Type="http://schemas.openxmlformats.org/officeDocument/2006/relationships/hyperlink" Target="https://www.bolton.gov.uk/downloads/file/6025/general-election-2024-statement-of-persons-nominated-bolton-north-east" TargetMode="External"/><Relationship Id="rId122" Type="http://schemas.openxmlformats.org/officeDocument/2006/relationships/hyperlink" Target="https://www.folkestone-hythe.gov.uk/downloads/file/5330/statement-of-persons-nominated-notice-of-poll-and-situation-of-polling-stations-folkestone-and-hythe-constituency" TargetMode="External"/><Relationship Id="rId164" Type="http://schemas.openxmlformats.org/officeDocument/2006/relationships/hyperlink" Target="https://www.lambeth.gov.uk/sites/default/files/2024-06/Statement%20of%20Persons%20Nominated%2C%20Notice%20of%20Poll%20and%20SOPS%20Streatham%20and%20Croydon%20North.pdf" TargetMode="External"/><Relationship Id="rId371" Type="http://schemas.openxmlformats.org/officeDocument/2006/relationships/hyperlink" Target="https://www.cardiff.gov.uk/ENG/Your-Council/Voting-and-elections/Elections-Information/Upcoming-elections-and-polls/cardiff-east-constituency-notices/Pages/default.aspx" TargetMode="External"/><Relationship Id="rId427" Type="http://schemas.openxmlformats.org/officeDocument/2006/relationships/hyperlink" Target="https://www.kirklees.gov.uk/beta/voting-and-elections/statement-of-persons-nominated.aspx" TargetMode="External"/><Relationship Id="rId469" Type="http://schemas.openxmlformats.org/officeDocument/2006/relationships/hyperlink" Target="https://www.sstaffs.gov.uk/sites/default/files/2024-06/SOPN_NOP_Kingswinford%20and%20South%20Staffordshire.pdf" TargetMode="External"/><Relationship Id="rId634" Type="http://schemas.openxmlformats.org/officeDocument/2006/relationships/hyperlink" Target="https://www.sunderland.gov.uk/media/32740/Statement-of-Persons-Nominated-Notice-of-Poll-and-Situation-of-Polling-Stations-UK-PGE-SCE-4-July-2024/pdf/Statement_of_Persons_Nominated__Notice_of_Poll_and_Situation_of_Polling_Stations_-_SCE_2024_06_07_1a.pdf?m=1717769097113" TargetMode="External"/><Relationship Id="rId26" Type="http://schemas.openxmlformats.org/officeDocument/2006/relationships/hyperlink" Target="https://www.edinburgh.gov.uk/elections-voting/ways-vote/6" TargetMode="External"/><Relationship Id="rId231" Type="http://schemas.openxmlformats.org/officeDocument/2006/relationships/hyperlink" Target="https://assets.ctfassets.net/ii3xdrqc6nfw/6ZvSv01zg5JMvX8CSO7dfr/d792e7aa105c416ba35109698d9da9ef/Cheadle_Statement_of_Persons_Nominated___Notice_of_Poll.pdf" TargetMode="External"/><Relationship Id="rId273" Type="http://schemas.openxmlformats.org/officeDocument/2006/relationships/hyperlink" Target="https://www.rbwm.gov.uk/media/3432/download/" TargetMode="External"/><Relationship Id="rId329" Type="http://schemas.openxmlformats.org/officeDocument/2006/relationships/hyperlink" Target="https://assets.ctfassets.net/ii3xdrqc6nfw/60IXRfBInUIhj8jAEkwX7A/0bccb252bc2a07fc5a5725816c8103da/Stockport_Statement_of_Persons_Nominated___Notice_of_Poll.pdf" TargetMode="External"/><Relationship Id="rId480" Type="http://schemas.openxmlformats.org/officeDocument/2006/relationships/hyperlink" Target="https://www.ne-derbyshire.gov.uk/documents/statement-of-persons-nominated-and-notice-of-poll-300kb-pdf/download" TargetMode="External"/><Relationship Id="rId536" Type="http://schemas.openxmlformats.org/officeDocument/2006/relationships/hyperlink" Target="https://www3.halton.gov.uk/Documents/council%20and%20democracy/elections/GE2024/WidnesandHalewoodSOPNandNOP.pdf" TargetMode="External"/><Relationship Id="rId68" Type="http://schemas.openxmlformats.org/officeDocument/2006/relationships/hyperlink" Target="https://eastrenfrewshire.gov.uk/media/10411/Statement-of-Person-Nominated-and-Notice-Poll/pdf/Notice_of_Poll_and_Situation_of_Polling_Places.pdf?m=1717779014187" TargetMode="External"/><Relationship Id="rId133" Type="http://schemas.openxmlformats.org/officeDocument/2006/relationships/hyperlink" Target="https://www.northnorthants.gov.uk/elections-and-voting/upcoming-elections/uk-general-election-thursday-4-july-2024/general-election-1" TargetMode="External"/><Relationship Id="rId175" Type="http://schemas.openxmlformats.org/officeDocument/2006/relationships/hyperlink" Target="https://www.eoni.org.uk/getmedia/ede0bab2-9da9-428d-9cac-fe44bf120b6d/Statement-of-Persons-Nominated-combined-with-Notice-of-Poll_1" TargetMode="External"/><Relationship Id="rId340" Type="http://schemas.openxmlformats.org/officeDocument/2006/relationships/hyperlink" Target="https://www.warrington.gov.uk/sites/default/files/2024-06/Statement%20of%20Persons%20Nominated%20-%20Warrington%20South%20Constituency%20-%20June%202024.pdf" TargetMode="External"/><Relationship Id="rId578" Type="http://schemas.openxmlformats.org/officeDocument/2006/relationships/hyperlink" Target="https://www.croydon.gov.uk/council-and-elections/voting-and-elections/general-election-thursday-4-july-2024-0/candidate-information" TargetMode="External"/><Relationship Id="rId200" Type="http://schemas.openxmlformats.org/officeDocument/2006/relationships/hyperlink" Target="https://www.pembrokeshire.gov.uk/objview.asp?object_id=11466&amp;language=" TargetMode="External"/><Relationship Id="rId382" Type="http://schemas.openxmlformats.org/officeDocument/2006/relationships/hyperlink" Target="https://www.basingstoke.gov.uk/content/page/84022/Statement%20of%20Persons%20Nominated%20Notice%20of%20Poll%20and%20Situation%20of%20Polling%20Stations%20-%20Basingstoke%20Constituency.pdf" TargetMode="External"/><Relationship Id="rId438" Type="http://schemas.openxmlformats.org/officeDocument/2006/relationships/hyperlink" Target="https://www.cheshirewestandchester.gov.uk/asset-library/your-council/elections/general-election-2024/SOPN-NoP-SoP-EPB-UKPGE.pdf" TargetMode="External"/><Relationship Id="rId603" Type="http://schemas.openxmlformats.org/officeDocument/2006/relationships/hyperlink" Target="https://www.solihull.gov.uk/councillors-and-democracy/general-election-2024" TargetMode="External"/><Relationship Id="rId645" Type="http://schemas.openxmlformats.org/officeDocument/2006/relationships/hyperlink" Target="https://www.wokingham.gov.uk/sites/wokingham/files/2024-06/Statement%20of%20Persons%20Nominated%20-%20Notice%20of%20Poll%20%20Situation%20of%20Polling%20Stations%20for%20Wokingham%20constituency.pdf" TargetMode="External"/><Relationship Id="rId242" Type="http://schemas.openxmlformats.org/officeDocument/2006/relationships/hyperlink" Target="https://tandridge.gov.uk/Your-council/Voting-and-elections/General-Election-and-Caterham-on-the-Hill-by-election-4-July-2024" TargetMode="External"/><Relationship Id="rId284" Type="http://schemas.openxmlformats.org/officeDocument/2006/relationships/hyperlink" Target="https://www.newforest.gov.uk/media/3993/Statement-of-Persons-Nominated-New-Forest-West/pdf/Statement_of_Persons_Nominated__New_Forest_West.pdf?m=1717775907993" TargetMode="External"/><Relationship Id="rId491" Type="http://schemas.openxmlformats.org/officeDocument/2006/relationships/hyperlink" Target="https://www.redditchbc.gov.uk/media/edul1033/sopn-nop-and-sops-redditch.pdf" TargetMode="External"/><Relationship Id="rId505" Type="http://schemas.openxmlformats.org/officeDocument/2006/relationships/hyperlink" Target="https://sefton.gov.uk/media/8664/southport_statement-of-persons-nominated.pdf" TargetMode="External"/><Relationship Id="rId37" Type="http://schemas.openxmlformats.org/officeDocument/2006/relationships/hyperlink" Target="https://www.bcpcouncil.gov.uk/councillors-committees-and-elections/elections-and-voting/candidates-standing-for-the-2024-uk-parliamentary-general-election" TargetMode="External"/><Relationship Id="rId79" Type="http://schemas.openxmlformats.org/officeDocument/2006/relationships/hyperlink" Target="https://www.rctcbc.gov.uk/EN/Council/Votingandelections/Noticeofelections/StatementsofPersonsNominated.aspx" TargetMode="External"/><Relationship Id="rId102" Type="http://schemas.openxmlformats.org/officeDocument/2006/relationships/hyperlink" Target="https://www.brighton-hove.gov.uk/council-and-democracy/voting-and-elections/statement-persons-nominated-and-notice-poll-brighton-pavilion" TargetMode="External"/><Relationship Id="rId144" Type="http://schemas.openxmlformats.org/officeDocument/2006/relationships/hyperlink" Target="https://www.dorsetcouncil.gov.uk/w/uk-parliamentary-general-election" TargetMode="External"/><Relationship Id="rId547" Type="http://schemas.openxmlformats.org/officeDocument/2006/relationships/hyperlink" Target="https://www.orkney.gov.uk/Files/Council/Elections/General%20Election%202024/Notice%20of%20Poll%20for%20Orkney%20and%20Shetland%20Constituency%202024.pdf" TargetMode="External"/><Relationship Id="rId589" Type="http://schemas.openxmlformats.org/officeDocument/2006/relationships/hyperlink" Target="https://legacy.tendringdc.gov.uk/sites/default/files/documents/council/elections%20%26%20voting/2024/UKPGE%20-%20NOP%20SOP%20SOPN%202024%20HNE.pdf" TargetMode="External"/><Relationship Id="rId90" Type="http://schemas.openxmlformats.org/officeDocument/2006/relationships/hyperlink" Target="https://www.barnsley.gov.uk/services/voting-and-elections/uk-parliamentary-general-election-4-july-2024/" TargetMode="External"/><Relationship Id="rId186" Type="http://schemas.openxmlformats.org/officeDocument/2006/relationships/hyperlink" Target="https://www.northlanarkshire.gov.uk/sites/default/files/2024-06/Notice%20of%20Poll%20Published%20CB.docx" TargetMode="External"/><Relationship Id="rId351" Type="http://schemas.openxmlformats.org/officeDocument/2006/relationships/hyperlink" Target="https://www.eoni.org.uk/getmedia/ede0bab2-9da9-428d-9cac-fe44bf120b6d/Statement-of-Persons-Nominated-combined-with-Notice-of-Poll_1" TargetMode="External"/><Relationship Id="rId393" Type="http://schemas.openxmlformats.org/officeDocument/2006/relationships/hyperlink" Target="https://westoxon.gov.uk/media/z0vodxkh/bicester-and-woodstock-sopn-nop-sops.pdf" TargetMode="External"/><Relationship Id="rId407" Type="http://schemas.openxmlformats.org/officeDocument/2006/relationships/hyperlink" Target="https://www.brentwood.gov.uk/media/699" TargetMode="External"/><Relationship Id="rId449" Type="http://schemas.openxmlformats.org/officeDocument/2006/relationships/hyperlink" Target="https://www.guildford.gov.uk/media/36126/Statement-of-Persons-Nominated-Notice-of-Poll-Situation-of-Polling-Stations-Guildford-Constituency/pdf/NOP__SOPN___SOPS_070624.pdf?m=1717775860983" TargetMode="External"/><Relationship Id="rId614" Type="http://schemas.openxmlformats.org/officeDocument/2006/relationships/hyperlink" Target="https://www.north-norfolk.gov.uk/media/10392/statement-of-persons-nominated-and-notice-of-poll-north-norfolk-constituency.pdf" TargetMode="External"/><Relationship Id="rId211" Type="http://schemas.openxmlformats.org/officeDocument/2006/relationships/hyperlink" Target="https://www.buckinghamshire.gov.uk/documents/32507/2024.07.04_Aylesbury_Constituency_Statement_of_Persons_Nominated.pdf" TargetMode="External"/><Relationship Id="rId253" Type="http://schemas.openxmlformats.org/officeDocument/2006/relationships/hyperlink" Target="https://www.camden.gov.uk/documents/d/guest/notice-of-poll-and-sits-of-ps-hampstead-and-highgate-1" TargetMode="External"/><Relationship Id="rId295" Type="http://schemas.openxmlformats.org/officeDocument/2006/relationships/hyperlink" Target="https://www.norwich.gov.uk/download/downloads/id/10263/statement_of_persons_nominated_and_notice_of_poll.pdf" TargetMode="External"/><Relationship Id="rId309" Type="http://schemas.openxmlformats.org/officeDocument/2006/relationships/hyperlink" Target="https://www.rushcliffe.gov.uk/media/wtnjjoqc/statement-of-persons-nominated-notice-of-poll-and-situation-of-polling-stations.pdf" TargetMode="External"/><Relationship Id="rId460" Type="http://schemas.openxmlformats.org/officeDocument/2006/relationships/hyperlink" Target="https://www.north-herts.gov.uk/sites/default/files/2024-06/SOPN%20%26%20NoP%20-%20Hitchin%20-%2007.06.2024.pdf" TargetMode="External"/><Relationship Id="rId516" Type="http://schemas.openxmlformats.org/officeDocument/2006/relationships/hyperlink" Target="https://www.birmingham.gov.uk/download/downloads/id/29254/sutton_coldfield_constituency_notice_of_poll_and_persons_nominated.pdf" TargetMode="External"/><Relationship Id="rId48" Type="http://schemas.openxmlformats.org/officeDocument/2006/relationships/hyperlink" Target="https://www.lincoln.gov.uk/downloads/file/1676/statement-of-persons-nominated-notice-of-poll-and-situation-of-polling-stations" TargetMode="External"/><Relationship Id="rId113" Type="http://schemas.openxmlformats.org/officeDocument/2006/relationships/hyperlink" Target="https://www.dudley.gov.uk/media/liygajss/statement-of-persons-nominated-notice-of-poll-and-situation-of-polling-stations-dudley-borough-constituency.pdf" TargetMode="External"/><Relationship Id="rId320" Type="http://schemas.openxmlformats.org/officeDocument/2006/relationships/hyperlink" Target="https://www.southnorfolkandbroadland.gov.uk/downloads/file/7046/statement-of-persons-nominated-notice-of-poll-and-situation-of-polling-stations-south-norfolk" TargetMode="External"/><Relationship Id="rId558" Type="http://schemas.openxmlformats.org/officeDocument/2006/relationships/hyperlink" Target="https://www.cardiff.gov.uk/ENG/Your-Council/Voting-and-elections/Elections-Information/Upcoming-elections-and-polls/cardiff-south-penarth-constituency-notices/Pages/default.aspx" TargetMode="External"/><Relationship Id="rId155" Type="http://schemas.openxmlformats.org/officeDocument/2006/relationships/hyperlink" Target="https://www.northyorks.gov.uk/sites/default/files/2024-06/SPN%20Scarborough%20and%20Whitby%2007.06.2024.pdf" TargetMode="External"/><Relationship Id="rId197" Type="http://schemas.openxmlformats.org/officeDocument/2006/relationships/hyperlink" Target="https://www.blaenau-gwent.gov.uk/media/asvijb4z/statement-of-persons-nominated-notice-of-poll-and-situation-of-polling-stations.pdf" TargetMode="External"/><Relationship Id="rId362" Type="http://schemas.openxmlformats.org/officeDocument/2006/relationships/hyperlink" Target="https://www.glasgow.gov.uk/media/12224/Glasgow-South-West/pdf/SOUTH_WEST_-_SOPN_and_NOP.pdf?m=1717783331807" TargetMode="External"/><Relationship Id="rId418" Type="http://schemas.openxmlformats.org/officeDocument/2006/relationships/hyperlink" Target="https://www.chichester.gov.uk/media/39764/Statement-of-Persons-Nominated-and-Notice-of-Poll/doc/Statement_of_Persons_Nominated_and_Notice_of_Poll.docx?m=1717776226233" TargetMode="External"/><Relationship Id="rId625" Type="http://schemas.openxmlformats.org/officeDocument/2006/relationships/hyperlink" Target="https://www.hillingdon.gov.uk/media/14279/Statement-of-persons-nominated---Ruislip-Northwood-and-Pinner/pdf/53Statement-of-Persons-Nominated-Ruislip-Northwood-and-Pinner-2024.pdf?m=1717773504507" TargetMode="External"/><Relationship Id="rId222" Type="http://schemas.openxmlformats.org/officeDocument/2006/relationships/hyperlink" Target="https://somersetcc.sharepoint.com/sites/SCCPublic/Council%20Democracy/Forms/AllItems.aspx?id=%2Fsites%2FSCCPublic%2FCouncil%20Democracy%2FGeneral%20Election%202024%2FStatement%20of%20Persons%20Nominated%20and%20Notice%20of%20Poll%20%2D%20Bridgwater%20Constituency%2Epdf&amp;parent=%2Fsites%2FSCCPublic%2FCouncil%20Democracy%2FGeneral%20Election%202024&amp;p=true&amp;ga=1" TargetMode="External"/><Relationship Id="rId264" Type="http://schemas.openxmlformats.org/officeDocument/2006/relationships/hyperlink" Target="https://www.bradford.gov.uk/media/yewch0ci/statement-of-persons-nominated-and-notice-of-poll-general-election-2024.pdf" TargetMode="External"/><Relationship Id="rId471" Type="http://schemas.openxmlformats.org/officeDocument/2006/relationships/hyperlink" Target="https://www.lewes-eastbourne.gov.uk/media/3892/Notice-of-Poll-Statement-of-Persons-Nominated-and-Situation-of-Polling-Stations-UK-Parliamentary-Election-4-July-2024/pdf/Notice_of_Poll__Statement_of_Persons_Nominated_and_Situation_of_Polling_Stations_-_UK_Parliamentary_.pdf?m=1717777713720" TargetMode="External"/><Relationship Id="rId17" Type="http://schemas.openxmlformats.org/officeDocument/2006/relationships/hyperlink" Target="https://www.preston.gov.uk/media/18011/Statement-of-Persons-Nominated-Parliamentary/pdf/Parliamentary_-_Statement_of_Pers_Nom_Notice_of_Poll_Sit_of_Poll_Stat_3.pdf?m=1717778214250" TargetMode="External"/><Relationship Id="rId59" Type="http://schemas.openxmlformats.org/officeDocument/2006/relationships/hyperlink" Target="https://www.stockton.gov.uk/media/6432/Statement-of-Persons-nominated-notice-of-poll-and-situation-of-polling-stations-Stockton-West/pdf/Statement_of_Persons_nominated_-_notice_of_poll_and_situation_of_polling_stations_Stockton_West.pdf?m=1717778329877" TargetMode="External"/><Relationship Id="rId124" Type="http://schemas.openxmlformats.org/officeDocument/2006/relationships/hyperlink" Target="https://www.gloucester.gov.uk/media/zbbhecxn/statement-of-persons-nominated-notice-of-poll-and-situation-of-polling-stations.pdf" TargetMode="External"/><Relationship Id="rId527" Type="http://schemas.openxmlformats.org/officeDocument/2006/relationships/hyperlink" Target="https://go.walsall.gov.uk/sites/default/files/2024-06/Statment%20of%20Persons%20Nominated%20WB.pdf" TargetMode="External"/><Relationship Id="rId569" Type="http://schemas.openxmlformats.org/officeDocument/2006/relationships/hyperlink" Target="https://www.northumberland.gov.uk/NorthumberlandCountyCouncil/media/Councillors-and-Democracy/2%20may%202024%20elections/Statement-of-Persons-Nominated-and-Notice-of-Poll-Blyth-and-Ashington.pdf" TargetMode="External"/><Relationship Id="rId70" Type="http://schemas.openxmlformats.org/officeDocument/2006/relationships/hyperlink" Target="https://www.clacks.gov.uk/document/7101.pdf" TargetMode="External"/><Relationship Id="rId166" Type="http://schemas.openxmlformats.org/officeDocument/2006/relationships/hyperlink" Target="https://www.hillingdon.gov.uk/media/14278/Statement-of-persons-nominated---Uxbridge-and-South-Ruislip/pdf/5rStatement-of-Persons-Nominated-Uxbridge-and-South-Ruislip-2024.pdf?m=1717773524820" TargetMode="External"/><Relationship Id="rId331" Type="http://schemas.openxmlformats.org/officeDocument/2006/relationships/hyperlink" Target="https://www.stratford.gov.uk/doc/212829/name/Statement%20of%20Persons%20Nominated%20Notice%20of%20Poll%20and%20Situation%20of%20Polling%20Stations.pdf" TargetMode="External"/><Relationship Id="rId373" Type="http://schemas.openxmlformats.org/officeDocument/2006/relationships/hyperlink" Target="https://www.flintshire.gov.uk/en/PDFFiles/Council-Democracy/Elections-24/Statement-of-Persons-Nominated-and-Notice-of-Poll-Clwyd-East.pdf" TargetMode="External"/><Relationship Id="rId429" Type="http://schemas.openxmlformats.org/officeDocument/2006/relationships/hyperlink" Target="https://www.doncaster.gov.uk/Documents/DocumentView/Stream/Media/Default/Council%20and%20Democracy/Elections/Doncaster%20East%20and%20the%20Isle%20of%20Axholme%20-%20Statement%20of%20Persons%20Nominated%20Notice%20of%20Poll.pdf" TargetMode="External"/><Relationship Id="rId580" Type="http://schemas.openxmlformats.org/officeDocument/2006/relationships/hyperlink" Target="https://www.dartford.gov.uk/downloads/file/2314/notice-of-poll-persons-nominated-and-polling-locations" TargetMode="External"/><Relationship Id="rId636" Type="http://schemas.openxmlformats.org/officeDocument/2006/relationships/hyperlink" Target="https://www.telford.gov.uk/download/downloads/id/27534/statement_of_persons_nominated_and_notice_of_poll_telford.pdf" TargetMode="External"/><Relationship Id="rId1" Type="http://schemas.openxmlformats.org/officeDocument/2006/relationships/hyperlink" Target="https://www.northyorks.gov.uk/sites/default/files/2024-06/SPN%20Richmond%20and%20Northallerton%2007.06.2024.pdf" TargetMode="External"/><Relationship Id="rId233" Type="http://schemas.openxmlformats.org/officeDocument/2006/relationships/hyperlink" Target="https://www.buckinghamshire.gov.uk/documents/32509/2024.07.04_Chesham__Amersham_Constituency_Statement_of_Persons_Nominated.pdf" TargetMode="External"/><Relationship Id="rId440" Type="http://schemas.openxmlformats.org/officeDocument/2006/relationships/hyperlink" Target="https://www.erewash.gov.uk/elections-section/2024-general-election.html" TargetMode="External"/><Relationship Id="rId28" Type="http://schemas.openxmlformats.org/officeDocument/2006/relationships/hyperlink" Target="https://liverpool.gov.uk/media/2g2ci1xp/statement-of-persons-noinated-liverpool-garston.docx" TargetMode="External"/><Relationship Id="rId275" Type="http://schemas.openxmlformats.org/officeDocument/2006/relationships/hyperlink" Target="https://www.manchester.gov.uk/directory_record/466432/manchester_rusholme" TargetMode="External"/><Relationship Id="rId300" Type="http://schemas.openxmlformats.org/officeDocument/2006/relationships/hyperlink" Target="https://images.reading.gov.uk/2024/06/Statement-of-Persons-Nominated-and-Notice-of-Poll.docx" TargetMode="External"/><Relationship Id="rId482" Type="http://schemas.openxmlformats.org/officeDocument/2006/relationships/hyperlink" Target="https://www.shropshire.gov.uk/media/28057/sopn-north-shropshire.pdf" TargetMode="External"/><Relationship Id="rId538" Type="http://schemas.openxmlformats.org/officeDocument/2006/relationships/hyperlink" Target="https://www.woking.gov.uk/sites/default/files/documents/council-and-democracy/elections/Statement%20of%20Persons%20Nominated%20and%20Notice%20of%20Poll.pdf" TargetMode="External"/><Relationship Id="rId81" Type="http://schemas.openxmlformats.org/officeDocument/2006/relationships/hyperlink" Target="https://www.gosport.gov.uk/media/4838/2024-PGE-Statement-of-Persons-Nominated-Notice-of-Poll-Situation-of-Polling-Stations/pdf/2024_PGE_-_Statement_of_Persons_Nominated__Notice_of_Poll___Situation_of_Polling_Stations.pdf?m=1717778102373" TargetMode="External"/><Relationship Id="rId135" Type="http://schemas.openxmlformats.org/officeDocument/2006/relationships/hyperlink" Target="https://www.leeds.gov.uk/docs/Leeds%20South.pdf" TargetMode="External"/><Relationship Id="rId177" Type="http://schemas.openxmlformats.org/officeDocument/2006/relationships/hyperlink" Target="https://www.eoni.org.uk/getmedia/ede0bab2-9da9-428d-9cac-fe44bf120b6d/Statement-of-Persons-Nominated-combined-with-Notice-of-Poll_1" TargetMode="External"/><Relationship Id="rId342" Type="http://schemas.openxmlformats.org/officeDocument/2006/relationships/hyperlink" Target="https://somersetcc.sharepoint.com/sites/SCCPublic/Council%20Democracy/Forms/AllItems.aspx?id=%2Fsites%2FSCCPublic%2FCouncil%20Democracy%2FGeneral%20Election%202024%2FNotice%20of%20Poll%20And%20Persons%20Nominated%20%2D%20Wells%20and%20Mendip%20Hills%2Epdf&amp;parent=%2Fsites%2FSCCPublic%2FCouncil%20Democracy%2FGeneral%20Election%202024&amp;p=true&amp;ga=1" TargetMode="External"/><Relationship Id="rId384" Type="http://schemas.openxmlformats.org/officeDocument/2006/relationships/hyperlink" Target="https://www.fareham.gov.uk/pdf/about_the_council/elections/SOPN_and_NoticeOfPoll-Hamble_Valley.pdf" TargetMode="External"/><Relationship Id="rId591" Type="http://schemas.openxmlformats.org/officeDocument/2006/relationships/hyperlink" Target="https://www.canterbury.gov.uk/sites/default/files/2024-06/Statement%20of%20persons%20nominated%20-%20Herne%20Bay%20and%20Sandwich.pdf" TargetMode="External"/><Relationship Id="rId605" Type="http://schemas.openxmlformats.org/officeDocument/2006/relationships/hyperlink" Target="https://www.charnwood.gov.uk/files/documents/statement_of_persons_nominated_and_notice_of_poll_mid_leicestershire_constituency/Statement%20of%20Persons%20Nominated%20and%20Notice%20of%20Poll%20-%20Mid%20Leicestershire%20Constituency.pdf" TargetMode="External"/><Relationship Id="rId202" Type="http://schemas.openxmlformats.org/officeDocument/2006/relationships/hyperlink" Target="https://www.torfaen.gov.uk/en/Related-Documents/Elections/Parliamentary/Statement-of-Persons-Nominated-and-Notice-of-Poll.pdf" TargetMode="External"/><Relationship Id="rId244" Type="http://schemas.openxmlformats.org/officeDocument/2006/relationships/hyperlink" Target="https://www.epsom-ewell.gov.uk/sites/default/files/documents/council/elections-and-voting/Statement%20of%20Persons%20Nominated%20&amp;%20Notice%20of%20Poll%20-%204%20July%202024.pdf" TargetMode="External"/><Relationship Id="rId647" Type="http://schemas.openxmlformats.org/officeDocument/2006/relationships/hyperlink" Target="https://www.eoni.org.uk/getmedia/ede0bab2-9da9-428d-9cac-fe44bf120b6d/Statement-of-Persons-Nominated-combined-with-Notice-of-Poll_1" TargetMode="External"/><Relationship Id="rId39" Type="http://schemas.openxmlformats.org/officeDocument/2006/relationships/hyperlink" Target="https://www.coventry.gov.uk/elections-voting/uk-parliamentary-general-election-2024/8" TargetMode="External"/><Relationship Id="rId286" Type="http://schemas.openxmlformats.org/officeDocument/2006/relationships/hyperlink" Target="https://new.newcastle.gov.uk/sites/default/files/2024-06/20240607_Elections_General_July-24_Newcastle-Central-West_Statement-of-persons-nominated.pdf" TargetMode="External"/><Relationship Id="rId451" Type="http://schemas.openxmlformats.org/officeDocument/2006/relationships/hyperlink" Target="https://www.harlow.gov.uk/sites/default/files/documents/Statement%20of%20persons%20nominated%2C%20notice%20of%20poll%20and%20situation%20of%20polling%20stations%20-%20general%20election.pdf" TargetMode="External"/><Relationship Id="rId493" Type="http://schemas.openxmlformats.org/officeDocument/2006/relationships/hyperlink" Target="https://www.rochdale.gov.uk/downloads/download/1027/statement-of-persons-nominated---rochdale" TargetMode="External"/><Relationship Id="rId507" Type="http://schemas.openxmlformats.org/officeDocument/2006/relationships/hyperlink" Target="https://www.kirklees.gov.uk/beta/voting-and-elections/statement-of-persons-nominated.aspx" TargetMode="External"/><Relationship Id="rId549" Type="http://schemas.openxmlformats.org/officeDocument/2006/relationships/hyperlink" Target="https://www.argyll-bute.gov.uk/sites/default/files/2024-06/Statement%20of%20Persons%20and%20Notice-of-poll-UKPGE.pdf" TargetMode="External"/><Relationship Id="rId50" Type="http://schemas.openxmlformats.org/officeDocument/2006/relationships/hyperlink" Target="https://www.newark-sherwooddc.gov.uk/your-council/your-council/elections/4-july-2024-parliamentary-election/" TargetMode="External"/><Relationship Id="rId104" Type="http://schemas.openxmlformats.org/officeDocument/2006/relationships/hyperlink" Target="https://burnley.gov.uk/wp-content/uploads/2024/06/Statement-of-Persons-Nominated-Notice-of-Poll-and-Situation-of-Polling-Stations-Parliamentary-Election.pdf" TargetMode="External"/><Relationship Id="rId146" Type="http://schemas.openxmlformats.org/officeDocument/2006/relationships/hyperlink" Target="https://www.uttlesford.gov.uk/general-election" TargetMode="External"/><Relationship Id="rId188" Type="http://schemas.openxmlformats.org/officeDocument/2006/relationships/hyperlink" Target="https://www.southlanarkshire.gov.uk/info/200237/elections/2221/uk_parliamentary_general_election_thursday_4_july_2024/3" TargetMode="External"/><Relationship Id="rId311" Type="http://schemas.openxmlformats.org/officeDocument/2006/relationships/hyperlink" Target="https://www.wiltshire.gov.uk/media/13497/Statement-of-Persons-Nominated-Notice-of-Poll-and-Situation-of-Polling-Stations-Salisbury-Constituency/pdf/SoPN__NoP__SoPS_-_Salisbury_Constituency.pdf?m=1717776990240" TargetMode="External"/><Relationship Id="rId353" Type="http://schemas.openxmlformats.org/officeDocument/2006/relationships/hyperlink" Target="https://www.east-ayrshire.gov.uk/Resources/PDF/E/elections2024/notice-of-poll-ukpge.pdf" TargetMode="External"/><Relationship Id="rId395" Type="http://schemas.openxmlformats.org/officeDocument/2006/relationships/hyperlink" Target="https://www.birmingham.gov.uk/download/downloads/id/29249/edgbaston_constituency_notice_of_poll_and_persons_nominated.pdf" TargetMode="External"/><Relationship Id="rId409" Type="http://schemas.openxmlformats.org/officeDocument/2006/relationships/hyperlink" Target="https://www.bristol.gov.uk/files/documents/7825-bristol-central-nop/file" TargetMode="External"/><Relationship Id="rId560" Type="http://schemas.openxmlformats.org/officeDocument/2006/relationships/hyperlink" Target="https://en.powys.gov.uk/article/5738/Find-out-about-upcoming-elections" TargetMode="External"/><Relationship Id="rId92" Type="http://schemas.openxmlformats.org/officeDocument/2006/relationships/hyperlink" Target="https://www.buckinghamshire.gov.uk/documents/32508/2024.07.04_Beaconsfield_Constituency_Statement_of_Persons_Nominated.pdf" TargetMode="External"/><Relationship Id="rId213" Type="http://schemas.openxmlformats.org/officeDocument/2006/relationships/hyperlink" Target="https://www.bedford.gov.uk/your-council/elections-and-voting/uk-parliamentary-election-general-election-4-july-2024" TargetMode="External"/><Relationship Id="rId420" Type="http://schemas.openxmlformats.org/officeDocument/2006/relationships/hyperlink" Target="https://www.wiltshire.gov.uk/media/13494/Statement-of-Persons-Nominated-Notice-of-Poll-and-Situation-of-Polling-Stations-Chippenham-Constituency/pdf/SoPN_-_NoP_-_SoPS_-_Chippenham_Constituency.pdf?m=1717776672323" TargetMode="External"/><Relationship Id="rId616" Type="http://schemas.openxmlformats.org/officeDocument/2006/relationships/hyperlink" Target="https://www.peterborough.gov.uk/asset-library/uk-general-election-2024-situation-of-persons-nominated-notice-of-poll-and-situation-of-polling-stations-north-west-cambridgeshire.pdf" TargetMode="External"/><Relationship Id="rId255" Type="http://schemas.openxmlformats.org/officeDocument/2006/relationships/hyperlink" Target="https://www.harrow.gov.uk/downloads/file/32287/Statement_of_Persons_Nominated_and_Notice_of_Poll_Harrow_East.pdf" TargetMode="External"/><Relationship Id="rId297" Type="http://schemas.openxmlformats.org/officeDocument/2006/relationships/hyperlink" Target="https://www.bcpcouncil.gov.uk/Assets/Elections-and-voting/2024-General/SoPN-and-NoP-Poole.pdf" TargetMode="External"/><Relationship Id="rId462" Type="http://schemas.openxmlformats.org/officeDocument/2006/relationships/hyperlink" Target="https://www.brighton-hove.gov.uk/council-and-democracy/voting-and-elections/statement-persons-nominated-and-notice-poll-hove-and-portslade" TargetMode="External"/><Relationship Id="rId518" Type="http://schemas.openxmlformats.org/officeDocument/2006/relationships/hyperlink" Target="https://somersetcc.sharepoint.com/sites/SCCPublic/Council%20Democracy/Forms/AllItems.aspx?id=%2Fsites%2FSCCPublic%2FCouncil%20Democracy%2FGeneral%20Election%202024%2FSOPN%20Taunton%20%26%20Wellington%2Epdf&amp;parent=%2Fsites%2FSCCPublic%2FCouncil%20Democracy%2FGeneral%20Election%202024&amp;p=true&amp;ga=1" TargetMode="External"/><Relationship Id="rId115" Type="http://schemas.openxmlformats.org/officeDocument/2006/relationships/hyperlink" Target="https://www.ealing.gov.uk/download/downloads/id/19829/statement_of_persons_nominated_and_notice_of_poll_-_ealing_north_constituency_4_july_2024.pdf" TargetMode="External"/><Relationship Id="rId157" Type="http://schemas.openxmlformats.org/officeDocument/2006/relationships/hyperlink" Target="https://www.sheffield.gov.uk/sites/default/files/2024-06/statement_of_persons_nominated_and_notice_of_poll_general_election.pdf" TargetMode="External"/><Relationship Id="rId322" Type="http://schemas.openxmlformats.org/officeDocument/2006/relationships/hyperlink" Target="https://www.southampton.gov.uk/media/lqhfikvd/ukpge-2024_test_sopn_nop_sops.pdf" TargetMode="External"/><Relationship Id="rId364" Type="http://schemas.openxmlformats.org/officeDocument/2006/relationships/hyperlink" Target="https://www.highland.gov.uk/downloads/file/28769/inverness_skye_and_west_ross_shire_notice_of_poll_ukpge" TargetMode="External"/><Relationship Id="rId61" Type="http://schemas.openxmlformats.org/officeDocument/2006/relationships/hyperlink" Target="https://my.northtyneside.gov.uk/sites/default/files/web-page-related-files/Tynemouth%20-%20SoPN%20and%20NoP.pdf" TargetMode="External"/><Relationship Id="rId199" Type="http://schemas.openxmlformats.org/officeDocument/2006/relationships/hyperlink" Target="https://www.carmarthenshire.gov.wales/home/council-democracy/elections-voting/uk-parliamentary-general-election/" TargetMode="External"/><Relationship Id="rId571" Type="http://schemas.openxmlformats.org/officeDocument/2006/relationships/hyperlink" Target="https://www.nelincs.gov.uk/assets/uploads/2024/06/Notice-of-Poll-and-Persons-Nominated-UK-Parliamentary-4th-July-2024.pdf" TargetMode="External"/><Relationship Id="rId627" Type="http://schemas.openxmlformats.org/officeDocument/2006/relationships/hyperlink" Target="https://www.harborough.gov.uk/download/downloads/id/8516/south_leicestershire_statement_of_persons_nominated_notice_of_poll_situation_of_polling_stations.pdf" TargetMode="External"/><Relationship Id="rId19" Type="http://schemas.openxmlformats.org/officeDocument/2006/relationships/hyperlink" Target="https://www.southend.gov.uk/elections-registering-vote/elections-2024/5" TargetMode="External"/><Relationship Id="rId224" Type="http://schemas.openxmlformats.org/officeDocument/2006/relationships/hyperlink" Target="https://www.bromsgrove.gov.uk/media/4evjb0kn/sopn-nop-and-sops-bromsgrove.pdf" TargetMode="External"/><Relationship Id="rId266" Type="http://schemas.openxmlformats.org/officeDocument/2006/relationships/hyperlink" Target="https://www.knowsley.gov.uk/sites/default/files/2024-06/Knowsley%20Constituency%20-%20Statement%20of%20Persons%20Nominated%20and%20Notice%20of%20Poll.docx" TargetMode="External"/><Relationship Id="rId431" Type="http://schemas.openxmlformats.org/officeDocument/2006/relationships/hyperlink" Target="https://www.lambeth.gov.uk/sites/default/files/2024-06/Statement%20of%20Persons%20Nominated%2C%20Notice%20of%20Poll%20and%20SOPS%20Dulwich%20and%20West%20Norwood.pdf" TargetMode="External"/><Relationship Id="rId473" Type="http://schemas.openxmlformats.org/officeDocument/2006/relationships/hyperlink" Target="https://liverpool.gov.uk/media/eoyjixh4/statement-of-persons-nominated-liverpool-west-derby.docx" TargetMode="External"/><Relationship Id="rId529" Type="http://schemas.openxmlformats.org/officeDocument/2006/relationships/hyperlink" Target="https://www.warwickdc.gov.uk/info/20660/general_elections/1964/general_election_2024/2" TargetMode="External"/><Relationship Id="rId30" Type="http://schemas.openxmlformats.org/officeDocument/2006/relationships/hyperlink" Target="https://beta.bathnes.gov.uk/statement-persons-nominated-and-notice-poll-election-member-parliament-bath-constituency" TargetMode="External"/><Relationship Id="rId126" Type="http://schemas.openxmlformats.org/officeDocument/2006/relationships/hyperlink" Target="https://www.royalgreenwich.gov.uk/downloads/file/6676/greenwich_and_woolwich_statement_of_persons_nominated" TargetMode="External"/><Relationship Id="rId168" Type="http://schemas.openxmlformats.org/officeDocument/2006/relationships/hyperlink" Target="https://www.westsuffolk.gov.uk/Council/elections/vacancies-elections-results/elections/upload/SOPN-West-Suffolk-Constituency.pdf" TargetMode="External"/><Relationship Id="rId333" Type="http://schemas.openxmlformats.org/officeDocument/2006/relationships/hyperlink" Target="https://www.stroud.gov.uk/media/h2zdu35b/statment-of-persons-nominated-and-notice-of-poll-final-2docx.pdf" TargetMode="External"/><Relationship Id="rId540" Type="http://schemas.openxmlformats.org/officeDocument/2006/relationships/hyperlink" Target="https://www.adur-worthing.gov.uk/media/Media,171611,smxx.pdf" TargetMode="External"/><Relationship Id="rId72" Type="http://schemas.openxmlformats.org/officeDocument/2006/relationships/hyperlink" Target="https://www.edinburgh.gov.uk/elections-voting/ways-vote/6" TargetMode="External"/><Relationship Id="rId375" Type="http://schemas.openxmlformats.org/officeDocument/2006/relationships/hyperlink" Target="https://www.swansea.gov.uk/noticesgeneralelection2024" TargetMode="External"/><Relationship Id="rId582" Type="http://schemas.openxmlformats.org/officeDocument/2006/relationships/hyperlink" Target="https://www.derby.gov.uk/council-and-democracy/councillors-democracy-elections/elections/election-information/" TargetMode="External"/><Relationship Id="rId638" Type="http://schemas.openxmlformats.org/officeDocument/2006/relationships/hyperlink" Target="https://somersetcc.sharepoint.com/sites/SCCPublic/Council%20Democracy/Forms/AllItems.aspx?id=%2Fsites%2FSCCPublic%2FCouncil%20Democracy%2FGeneral%20Election%202024%2FSOPN%20Tiverton%20%26%20Minehead%2Epdf&amp;parent=%2Fsites%2FSCCPublic%2FCouncil%20Democracy%2FGeneral%20Election%202024&amp;p=true&amp;ga=1" TargetMode="External"/><Relationship Id="rId3" Type="http://schemas.openxmlformats.org/officeDocument/2006/relationships/hyperlink" Target="https://www.ealing.gov.uk/download/downloads/id/19828/statement_of_persons_nominated_and_notice_of_poll_-_ealing_southall_constituency_4_july_2024.pdf" TargetMode="External"/><Relationship Id="rId235" Type="http://schemas.openxmlformats.org/officeDocument/2006/relationships/hyperlink" Target="https://www.lambeth.gov.uk/sites/default/files/2024-06/Statement%20of%20Perons%20Nominated%2C%20Notice%20of%20Poll%20and%20Situation%20of%20Polling%20Stations%20Clapham%20and%20Brixton%20Hill.pdf" TargetMode="External"/><Relationship Id="rId277" Type="http://schemas.openxmlformats.org/officeDocument/2006/relationships/hyperlink" Target="https://centralbedfordshirecouncil.sharepoint.com/:b:/s/Communications/EbmO1soPcsVDl9VvMaBV3EYBq2fFgYabtjjYhO2BLdUUPw?e=Djp0kf" TargetMode="External"/><Relationship Id="rId400" Type="http://schemas.openxmlformats.org/officeDocument/2006/relationships/hyperlink" Target="https://durham.gov.uk/media/44794/Statement-of-Persons-Nominated-with-Notice-of-Poll-and-Situation-of-Polling-Stations-Bishop-Auckland/pdf/StatementOfPersonsNominatedWithNoticeOfPollAndSituationOfPollingStations-BishopAuckland.pdf?m=1717777069690" TargetMode="External"/><Relationship Id="rId442" Type="http://schemas.openxmlformats.org/officeDocument/2006/relationships/hyperlink" Target="https://docs.maidstone.gov.uk/elections-2024/general-election-2024/SPN-and-NP-Faversham-and-Mid-Kent.pdf" TargetMode="External"/><Relationship Id="rId484" Type="http://schemas.openxmlformats.org/officeDocument/2006/relationships/hyperlink" Target="https://www.southnorfolkandbroadland.gov.uk/downloads/file/7045/statement-of-persons-nominated-notice-of-poll-and-situation-of-polling-stations-norwich-north" TargetMode="External"/><Relationship Id="rId137" Type="http://schemas.openxmlformats.org/officeDocument/2006/relationships/hyperlink" Target="https://lewisham.gov.uk/-/media/0-mayor-and-council/elections/statement-of-persons-nominated-lewisham-east-for-election-on-4724.pdf" TargetMode="External"/><Relationship Id="rId302" Type="http://schemas.openxmlformats.org/officeDocument/2006/relationships/hyperlink" Target="https://www.richmond.gov.uk/media/a4fpfcp5/statement_of_persons_nominated_notice_of_poll_richmond_park_2024.pdf" TargetMode="External"/><Relationship Id="rId344" Type="http://schemas.openxmlformats.org/officeDocument/2006/relationships/hyperlink" Target="https://www.rbwm.gov.uk/media/3435/download/" TargetMode="External"/><Relationship Id="rId41" Type="http://schemas.openxmlformats.org/officeDocument/2006/relationships/hyperlink" Target="https://www.royalgreenwich.gov.uk/download/downloads/id/6674/eltham_and_chislehurst_statement_of_persons_nominated.pdf" TargetMode="External"/><Relationship Id="rId83" Type="http://schemas.openxmlformats.org/officeDocument/2006/relationships/hyperlink" Target="https://www.kingston.gov.uk/downloads/file/2832/statement-of-persons-nominated-kingston-and-surbiton-constituency" TargetMode="External"/><Relationship Id="rId179" Type="http://schemas.openxmlformats.org/officeDocument/2006/relationships/hyperlink" Target="https://www.scotborders.gov.uk/downloads/file/12809/notice-of-poll-and-situation-of-polling-places" TargetMode="External"/><Relationship Id="rId386" Type="http://schemas.openxmlformats.org/officeDocument/2006/relationships/hyperlink" Target="https://www.portsmouth.gov.uk/wp-content/uploads/2024/06/Statement-of-Persons-Nominated-and-Notice-of-Poll-Portsmouth-South.docx" TargetMode="External"/><Relationship Id="rId551" Type="http://schemas.openxmlformats.org/officeDocument/2006/relationships/hyperlink" Target="https://www.southlanarkshire.gov.uk/info/200237/elections/2221/uk_parliamentary_general_election_thursday_4_july_2024/4" TargetMode="External"/><Relationship Id="rId593" Type="http://schemas.openxmlformats.org/officeDocument/2006/relationships/hyperlink" Target="https://www.highpeak.gov.uk/media/9290/Statement-of-Persons-Nominated-Notice-of-Poll-and-Situation-of-Polling-Stations/pdf/Statement_of_Persons_Nominated_Notice_of_Poll_and_Situation_of_Polling_Stations.pdf?m=1717774865887" TargetMode="External"/><Relationship Id="rId607" Type="http://schemas.openxmlformats.org/officeDocument/2006/relationships/hyperlink" Target="https://middlesbrough.gov.uk/media/3ayffnv5/statement-of-persons-nominated-msec.pdf" TargetMode="External"/><Relationship Id="rId649" Type="http://schemas.openxmlformats.org/officeDocument/2006/relationships/hyperlink" Target="https://www.fife.gov.uk/__data/assets/word_doc/0033/588534/UKPE2024-Notice-Of-Poll-GMF.docx" TargetMode="External"/><Relationship Id="rId190" Type="http://schemas.openxmlformats.org/officeDocument/2006/relationships/hyperlink" Target="https://www.falkirk.gov.uk/services/council-democracy/elections-voting/general-election/docs/nominated-and-notice/Statement%20of%20Persons%20Nominated%20and%20Notice%20of%20Poll%20(2).docx" TargetMode="External"/><Relationship Id="rId204" Type="http://schemas.openxmlformats.org/officeDocument/2006/relationships/hyperlink" Target="https://www.anglesey.gov.wales/documents/Docs-en/Council/Elections/UK-Parliament-election-2024/notice-of-statement-of-persons-nominated.pdf" TargetMode="External"/><Relationship Id="rId246" Type="http://schemas.openxmlformats.org/officeDocument/2006/relationships/hyperlink" Target="https://exeter.gov.uk/media/a54mwlv0/statement-of-persons-nominated-and-notice-of-poll-ukpge-4-july-2024.pdf" TargetMode="External"/><Relationship Id="rId288" Type="http://schemas.openxmlformats.org/officeDocument/2006/relationships/hyperlink" Target="https://durham.gov.uk/media/44798/Statement-of-Persons-Nominated-with-Notice-of-Poll-and-Situation-of-Polling-Stations-Newton-Aycliffe-and-Spennymoor/pdf/StatementOfPersonsNominatedWithNoticeOfPollAndSituationOfPollingStations-NewtonAycliffeAndSpennymoor.pdf?m=1717777468707" TargetMode="External"/><Relationship Id="rId411" Type="http://schemas.openxmlformats.org/officeDocument/2006/relationships/hyperlink" Target="https://www.bristol.gov.uk/files/documents/7823-bristol-south-nop/file" TargetMode="External"/><Relationship Id="rId453" Type="http://schemas.openxmlformats.org/officeDocument/2006/relationships/hyperlink" Target="https://www.havant.gov.uk/sites/default/files/2024-06/Statement%20of%20Person%27s%20Nominated%20%26%20Notice%20of%20Poll%20UKPGE.pdf" TargetMode="External"/><Relationship Id="rId509" Type="http://schemas.openxmlformats.org/officeDocument/2006/relationships/hyperlink" Target="https://www.sthelens.gov.uk/media/8437/Notice-of-Election-St-Helens-South-Whiston-2024/pdf/S___W_Notice_of_election_UKPGE_EA22_1.pdf?m=1717409562397" TargetMode="External"/><Relationship Id="rId106" Type="http://schemas.openxmlformats.org/officeDocument/2006/relationships/hyperlink" Target="https://www.westsuffolk.gov.uk/Council/elections/vacancies-elections-results/elections/upload/SOPN-Bury-St-Edmunds-and-Stowmarket-Constituency.pdf" TargetMode="External"/><Relationship Id="rId313" Type="http://schemas.openxmlformats.org/officeDocument/2006/relationships/hyperlink" Target="https://www.sevenoaks.gov.uk/info/20053/elections_and_voting/787/parliamentary_general_election_-_4_july_2024" TargetMode="External"/><Relationship Id="rId495" Type="http://schemas.openxmlformats.org/officeDocument/2006/relationships/hyperlink" Target="https://www.rossendale.gov.uk/downloads/file/18480/spn-and-nop-parliamentary-election-4-july-2024" TargetMode="External"/><Relationship Id="rId10" Type="http://schemas.openxmlformats.org/officeDocument/2006/relationships/hyperlink" Target="https://www.leicester.gov.uk/media/twmb2lev/statement-of-persons-nominated-notice-of-poll-leicester-east.pdf" TargetMode="External"/><Relationship Id="rId52" Type="http://schemas.openxmlformats.org/officeDocument/2006/relationships/hyperlink" Target="https://www.pendle.gov.uk/downloads/file/12026/statement_of_persons_nominated_for_pendle_and_clitheroe_constituency" TargetMode="External"/><Relationship Id="rId94" Type="http://schemas.openxmlformats.org/officeDocument/2006/relationships/hyperlink" Target="https://www.eastriding.gov.uk/council/elections-and-voting/election-notices/election-notice/?entry=596" TargetMode="External"/><Relationship Id="rId148" Type="http://schemas.openxmlformats.org/officeDocument/2006/relationships/hyperlink" Target="https://www.nottinghamcity.gov.uk/media/l1xow5hy/statement-of-persons-nominated-and-notice-of-poll-south.pdf" TargetMode="External"/><Relationship Id="rId355" Type="http://schemas.openxmlformats.org/officeDocument/2006/relationships/hyperlink" Target="https://www.angus.gov.uk/sites/default/files/2024-06/UKPE%202024%20Statement%20of%20Persons%20Nominated%2C%20Notice%20of%20Poll%20%26%20Situation%20of%20Polling%20Stations%20%E2%80%93%20Arbroath%20%26%20Broughty%20Ferry.pdf" TargetMode="External"/><Relationship Id="rId397" Type="http://schemas.openxmlformats.org/officeDocument/2006/relationships/hyperlink" Target="https://www.birmingham.gov.uk/download/downloads/id/29253/ladywood_constituency_notice_of_poll_and_persons_nominated.pdf" TargetMode="External"/><Relationship Id="rId520" Type="http://schemas.openxmlformats.org/officeDocument/2006/relationships/hyperlink" Target="https://www.telford.gov.uk/download/downloads/id/27533/statement_of_persons_nominated_and_notice_of_poll_wrekin.pdf" TargetMode="External"/><Relationship Id="rId562" Type="http://schemas.openxmlformats.org/officeDocument/2006/relationships/hyperlink" Target="https://www.rctcbc.gov.uk/EN/Council/Votingandelections/Noticeofelections/StatementsofPersonsNominated.aspx" TargetMode="External"/><Relationship Id="rId618" Type="http://schemas.openxmlformats.org/officeDocument/2006/relationships/hyperlink" Target="https://www.nottinghamcity.gov.uk/media/v0ci405v/statement-of-persons-nominated-and-notice-of-poll-north-and-kimberley.pdf" TargetMode="External"/><Relationship Id="rId215" Type="http://schemas.openxmlformats.org/officeDocument/2006/relationships/hyperlink" Target="https://www.blackpool.gov.uk/Your-Council/Voting-and-elections/Documents/2024/Parliamentary/SOPN-NOP.pdf" TargetMode="External"/><Relationship Id="rId257" Type="http://schemas.openxmlformats.org/officeDocument/2006/relationships/hyperlink" Target="https://www.southandvale.gov.uk/wp-content/uploads/2024/06/Statement-of-Persons-Nominated-Henley-and-Thame.pdf" TargetMode="External"/><Relationship Id="rId422" Type="http://schemas.openxmlformats.org/officeDocument/2006/relationships/hyperlink" Target="https://cbccrmdata.blob.core.windows.net/noteattachment/CBC-null-Notice-of-Poll-Statement-of-Persons-Nominated-and-Situations-of-Polling-Station-Notice%20of%20Poll%20Statement%20of%20Persons%20Nominated%20&amp;%20Situations%20of%20Polling%20Station.pdf" TargetMode="External"/><Relationship Id="rId464" Type="http://schemas.openxmlformats.org/officeDocument/2006/relationships/hyperlink" Target="https://www.redbridge.gov.uk/media/12279/sopn-nop-and-situation-of-polling-stations-ilford-north.pdf" TargetMode="External"/><Relationship Id="rId299" Type="http://schemas.openxmlformats.org/officeDocument/2006/relationships/hyperlink" Target="https://www.westminster.gov.uk/about-council/democracy/elections-referendums-and-how-vote/general-election-4-july-2024" TargetMode="External"/><Relationship Id="rId63" Type="http://schemas.openxmlformats.org/officeDocument/2006/relationships/hyperlink" Target="https://www.buckinghamshire.gov.uk/documents/32511/2024.07.04_Wycombe_Constituency_Statement_of_Persons_Nominated.pdf" TargetMode="External"/><Relationship Id="rId159" Type="http://schemas.openxmlformats.org/officeDocument/2006/relationships/hyperlink" Target="https://www.thurrock.gov.uk/elections-and-election-results/election-dates" TargetMode="External"/><Relationship Id="rId366" Type="http://schemas.openxmlformats.org/officeDocument/2006/relationships/hyperlink" Target="https://www.eastlothian.gov.uk/info/210600/elections_and_voting/12029/uk_parliamentary_election/4" TargetMode="External"/><Relationship Id="rId573" Type="http://schemas.openxmlformats.org/officeDocument/2006/relationships/hyperlink" Target="https://www.cannockchasedc.gov.uk/sites/default/files/document-library/SOPN%20%20NOP%20final%20A3%20portrait%20%28002%29.pdf" TargetMode="External"/><Relationship Id="rId226" Type="http://schemas.openxmlformats.org/officeDocument/2006/relationships/hyperlink" Target="https://www.broxtowe.gov.uk/media/ayahuevd/spn-nop-broxtowe-constituency.pdf" TargetMode="External"/><Relationship Id="rId433" Type="http://schemas.openxmlformats.org/officeDocument/2006/relationships/hyperlink" Target="https://durham.gov.uk/media/44797/Statement-of-Persons-Nominated-with-Notice-of-Poll-and-Situation-of-Polling-Stations-Easington/pdf/StatementOfPersonsNominatedWithNoticeOfPollAndSituationOfPollingStations-Easington.pdf?m=1717777390120" TargetMode="External"/><Relationship Id="rId640" Type="http://schemas.openxmlformats.org/officeDocument/2006/relationships/hyperlink" Target="https://www.welhat.gov.uk/downloads/file/1135/statement-of-persons-nominated-and-notice-of-poll" TargetMode="External"/><Relationship Id="rId74" Type="http://schemas.openxmlformats.org/officeDocument/2006/relationships/hyperlink" Target="https://www.northlanarkshire.gov.uk/sites/default/files/2024-06/Notice%20of%20Poll%20Published%20MW.docx" TargetMode="External"/><Relationship Id="rId377" Type="http://schemas.openxmlformats.org/officeDocument/2006/relationships/hyperlink" Target="https://www.caerphilly.gov.uk/my-council/voting-and-elections/forthcoming-elections-2024/general-election-2024" TargetMode="External"/><Relationship Id="rId500" Type="http://schemas.openxmlformats.org/officeDocument/2006/relationships/hyperlink" Target="https://www.southhams.gov.uk/south-devon" TargetMode="External"/><Relationship Id="rId584" Type="http://schemas.openxmlformats.org/officeDocument/2006/relationships/hyperlink" Target="https://www.wokingham.gov.uk/sites/wokingham/files/2024-06/Statement%20of%20Persons%20Nominated%20-%20Notice%20of%20Poll%20%20Situation%20of%20Polling%20Stations%20for%20Earley%20and%20Woodley%20constituency.pdf" TargetMode="External"/><Relationship Id="rId5" Type="http://schemas.openxmlformats.org/officeDocument/2006/relationships/hyperlink" Target="https://www.towerhamlets.gov.uk/Documents/Democracy/Elections/2024/SOPN-Bethnal-Green-Stepney.docx" TargetMode="External"/><Relationship Id="rId237" Type="http://schemas.openxmlformats.org/officeDocument/2006/relationships/hyperlink" Target="https://www.coventry.gov.uk/elections-voting/uk-parliamentary-general-election-2024/6" TargetMode="External"/><Relationship Id="rId444" Type="http://schemas.openxmlformats.org/officeDocument/2006/relationships/hyperlink" Target="https://www.west-lindsey.gov.uk/sites/default/files/2024-06/Statement%20of%20Persons%20Nominated%2C%20Notice%20of%20Poll%20and%20Situation%20of%20Polling%20Stations.pdf" TargetMode="External"/><Relationship Id="rId651" Type="http://schemas.openxmlformats.org/officeDocument/2006/relationships/table" Target="../tables/table1.xml"/><Relationship Id="rId290" Type="http://schemas.openxmlformats.org/officeDocument/2006/relationships/hyperlink" Target="https://www.fenland.gov.uk/media/21161/Statement-of-Persons-Nominated-and-Notice-of-Poll-North-East-Cambridgeshire-Parliamentary-Constituency/pdf/Statement_of_Person_Nominated___Notice_of_Poll_-_North_East_Cambridgeshire_Parliamentary_Constituenc.pdf?m=1717779188043" TargetMode="External"/><Relationship Id="rId304" Type="http://schemas.openxmlformats.org/officeDocument/2006/relationships/hyperlink" Target="https://www.havering.gov.uk/downloads/file/6638/romford_statement_of_persons_nominated_notice_of_poll_and_situation_of_polling_stations_-_4_july_2024_general_election" TargetMode="External"/><Relationship Id="rId388" Type="http://schemas.openxmlformats.org/officeDocument/2006/relationships/hyperlink" Target="https://www.trafford.gov.uk/about-your-council/elections/docs/2024/Notices/Statement-of-Persons-Nominated-and-Notice-of-Poll-Altrincham-and-Sale-West.pdf" TargetMode="External"/><Relationship Id="rId511" Type="http://schemas.openxmlformats.org/officeDocument/2006/relationships/hyperlink" Target="https://www.stoke.gov.uk/download/downloads/id/2505/north_sopn_and_nop.pdf" TargetMode="External"/><Relationship Id="rId609" Type="http://schemas.openxmlformats.org/officeDocument/2006/relationships/hyperlink" Target="https://www.lancaster.gov.uk/the-council-and-democracy/voting-and-elections/vacancies" TargetMode="External"/><Relationship Id="rId85" Type="http://schemas.openxmlformats.org/officeDocument/2006/relationships/hyperlink" Target="https://www.hart.gov.uk/sites/default/files/2024-06/Statement%20of%20Persons%20Nominated%2C%20Notice%20of%20Poll%20and%20Situation%20of%20Polling%20Stations.pdf" TargetMode="External"/><Relationship Id="rId150" Type="http://schemas.openxmlformats.org/officeDocument/2006/relationships/hyperlink" Target="https://www.oldham.gov.uk/downloads/file/8017/notice_of_poll_and_statement_of_persons_nominated_for_oldham_west_chadderton_and_royton" TargetMode="External"/><Relationship Id="rId595" Type="http://schemas.openxmlformats.org/officeDocument/2006/relationships/hyperlink" Target="https://www.kirklees.gov.uk/beta/voting-and-elections/statement-of-persons-nominated.aspx" TargetMode="External"/><Relationship Id="rId248" Type="http://schemas.openxmlformats.org/officeDocument/2006/relationships/hyperlink" Target="https://new.fylde.gov.uk/wp-content/uploads/2024/06/SOPN-NOP.pdf" TargetMode="External"/><Relationship Id="rId455" Type="http://schemas.openxmlformats.org/officeDocument/2006/relationships/hyperlink" Target="https://assets.ctfassets.net/ii3xdrqc6nfw/3KxhFF5hSF8WsV7GjWNiHr/d3989e0e4be2ed4cb41028c8b3bbf13e/Hazel_Grove_Statement_of_Persons_Nominated___Notice_of_Poll.pdf" TargetMode="External"/><Relationship Id="rId12" Type="http://schemas.openxmlformats.org/officeDocument/2006/relationships/hyperlink" Target="https://www.bradford.gov.uk/your-council/elections-and-voting/statement-of-persons-nominated-and-notice-of-poll/" TargetMode="External"/><Relationship Id="rId108" Type="http://schemas.openxmlformats.org/officeDocument/2006/relationships/hyperlink" Target="https://www.sutton.gov.uk/documents/d/guest/notice-statement-of-persons-nominated-and-situation-of-poll-1-" TargetMode="External"/><Relationship Id="rId315" Type="http://schemas.openxmlformats.org/officeDocument/2006/relationships/hyperlink" Target="https://www.sheffield.gov.uk/sites/default/files/2024-06/statement_of_persons_nominated_and_notice_of_poll_general_election.pdf" TargetMode="External"/><Relationship Id="rId522" Type="http://schemas.openxmlformats.org/officeDocument/2006/relationships/hyperlink" Target="https://www.torbay.gov.uk/council/voting-and-elections/elections/parliamentary/statement-of-persons-nominated-and-notice-of-poll/" TargetMode="External"/><Relationship Id="rId96" Type="http://schemas.openxmlformats.org/officeDocument/2006/relationships/hyperlink" Target="https://www.birmingham.gov.uk/download/downloads/id/29248/northfield_constituency_notice_of_poll_and_persons_nominated.pdf" TargetMode="External"/><Relationship Id="rId161" Type="http://schemas.openxmlformats.org/officeDocument/2006/relationships/hyperlink" Target="https://www.westnorthants.gov.uk/electoral-services/general-election-4-july-2024" TargetMode="External"/><Relationship Id="rId399" Type="http://schemas.openxmlformats.org/officeDocument/2006/relationships/hyperlink" Target="https://www.birmingham.gov.uk/download/downloads/id/29247/yardley_constituency_notice_of_poll_and_persons_nominated.pdf" TargetMode="External"/><Relationship Id="rId259" Type="http://schemas.openxmlformats.org/officeDocument/2006/relationships/hyperlink" Target="https://eastdevon.gov.uk/elections-and-registering-to-vote/uk-general-election/honiton-and-sidmouth-constituency/" TargetMode="External"/><Relationship Id="rId466" Type="http://schemas.openxmlformats.org/officeDocument/2006/relationships/hyperlink" Target="https://iwc.iow.gov.uk/documentlibrary/download/statement-of-persons-nominated-and-notice-of-poll-isle-of-wight-west" TargetMode="External"/><Relationship Id="rId23" Type="http://schemas.openxmlformats.org/officeDocument/2006/relationships/hyperlink" Target="https://www.eoni.org.uk/getmedia/ede0bab2-9da9-428d-9cac-fe44bf120b6d/Statement-of-Persons-Nominated-combined-with-Notice-of-Poll_1" TargetMode="External"/><Relationship Id="rId119" Type="http://schemas.openxmlformats.org/officeDocument/2006/relationships/hyperlink" Target="https://www.enfield.gov.uk/__data/assets/pdf_file/0031/58693/Statement-of-Persons-Nominated,-Notice-of-Poll-and-Polling-Stations-Edmonton-and-Winchmore-Hill.pdf" TargetMode="External"/><Relationship Id="rId326" Type="http://schemas.openxmlformats.org/officeDocument/2006/relationships/hyperlink" Target="https://www.scambs.gov.uk/media/o5laquk3/statement-of-persons-nominated-st-neots-mid-cambs.pdf" TargetMode="External"/><Relationship Id="rId533" Type="http://schemas.openxmlformats.org/officeDocument/2006/relationships/hyperlink" Target="https://www.dorsetcouncil.gov.uk/w/uk-parliamentary-general-election" TargetMode="External"/><Relationship Id="rId172" Type="http://schemas.openxmlformats.org/officeDocument/2006/relationships/hyperlink" Target="https://www.salford.gov.uk/your-council/elections-and-voting/uk-parliamentary-general-election-thursday-4-july-2024/statement-of-persons-nominated-and-notice-of-poll-worsley-and-eccles-constituency/" TargetMode="External"/><Relationship Id="rId477" Type="http://schemas.openxmlformats.org/officeDocument/2006/relationships/hyperlink" Target="https://www.cornwall.gov.uk/the-council-and-democracy/elections/elections-and-referendums/2024-parliamentary-election/" TargetMode="External"/><Relationship Id="rId600" Type="http://schemas.openxmlformats.org/officeDocument/2006/relationships/hyperlink" Target="https://www.eastsuffolk.gov.uk/assets/Elections/2024/General-Election-Thursday-4-July-2024/Statement-of-Persons-Nominated-Situation-of-Polling-Stations-and-Notice-of-Poll-Lowestoft.pdf" TargetMode="External"/><Relationship Id="rId337" Type="http://schemas.openxmlformats.org/officeDocument/2006/relationships/hyperlink" Target="https://www.sandwell.gov.uk/candidates" TargetMode="External"/><Relationship Id="rId34" Type="http://schemas.openxmlformats.org/officeDocument/2006/relationships/hyperlink" Target="https://legacy.brent.gov.uk/media/16421185/statement-of-persons-nominated-ukge24-brent-east.pdf?_ga=2.98603998.1319045725.1717779265-1551197769.1717779265" TargetMode="External"/><Relationship Id="rId544" Type="http://schemas.openxmlformats.org/officeDocument/2006/relationships/hyperlink" Target="https://www.eoni.org.uk/getmedia/ede0bab2-9da9-428d-9cac-fe44bf120b6d/Statement-of-Persons-Nominated-combined-with-Notice-of-Poll_1" TargetMode="External"/><Relationship Id="rId183" Type="http://schemas.openxmlformats.org/officeDocument/2006/relationships/hyperlink" Target="https://aberdeenshire.gov.uk/media/pppadss2/notice-of-poll-ukpge-ea22-wak.pdf" TargetMode="External"/><Relationship Id="rId390" Type="http://schemas.openxmlformats.org/officeDocument/2006/relationships/hyperlink" Target="https://www.ashford.gov.uk/your-council/register-to-vote-and-elections/general-election-2024/ashford-parliamentary-constituency/ashford-statement-of-persons-nominated-and-notice-of-poll/" TargetMode="External"/><Relationship Id="rId404" Type="http://schemas.openxmlformats.org/officeDocument/2006/relationships/hyperlink" Target="https://sefton.gov.uk/media/8666/bootle_statement-of-persons-nominated.pdf" TargetMode="External"/><Relationship Id="rId611" Type="http://schemas.openxmlformats.org/officeDocument/2006/relationships/hyperlink" Target="https://www.wakefield.gov.uk/media/2hpjpobz/wf-ukpge-sopn-notice-of-poll-normanton-and-hemsworth.docx" TargetMode="External"/><Relationship Id="rId250" Type="http://schemas.openxmlformats.org/officeDocument/2006/relationships/hyperlink" Target="https://www.nelincs.gov.uk/assets/uploads/2024/06/Notice-of-Poll-and-Persons-Nominated-UK-Parliamentary-4th-July-2024.pdf" TargetMode="External"/><Relationship Id="rId488" Type="http://schemas.openxmlformats.org/officeDocument/2006/relationships/hyperlink" Target="https://www.wakefield.gov.uk/media/ptwis0dz/wf-ukpge-sopn-notice-of-poll-pontefract-castleford-knottingley.docx" TargetMode="External"/><Relationship Id="rId45" Type="http://schemas.openxmlformats.org/officeDocument/2006/relationships/hyperlink" Target="https://www.leeds.gov.uk/docs/Leeds%20East.pdf" TargetMode="External"/><Relationship Id="rId110" Type="http://schemas.openxmlformats.org/officeDocument/2006/relationships/hyperlink" Target="https://www.northumberland.gov.uk/NorthumberlandCountyCouncil/media/Councillors-and-Democracy/2%20may%202024%20elections/Statement-of-Persons-Nominated-and-Notice-of-Poll-Cramlington-and-Killingworth.pdf" TargetMode="External"/><Relationship Id="rId348" Type="http://schemas.openxmlformats.org/officeDocument/2006/relationships/hyperlink" Target="https://www.manchester.gov.uk/directory_record/466427/wythenshawe_and_sale_east" TargetMode="External"/><Relationship Id="rId555" Type="http://schemas.openxmlformats.org/officeDocument/2006/relationships/hyperlink" Target="https://www.stirling.gov.uk/media/kdip5qr1/notice-of-poll-ukpge.pdf" TargetMode="External"/><Relationship Id="rId194" Type="http://schemas.openxmlformats.org/officeDocument/2006/relationships/hyperlink" Target="https://www.west-dunbarton.gov.uk/council/voting-and-elections/uk-general-election-2024/statement-of-persons-nominated-and-notice-of-poll/" TargetMode="External"/><Relationship Id="rId208" Type="http://schemas.openxmlformats.org/officeDocument/2006/relationships/hyperlink" Target="https://www.leicester.gov.uk/media/kmol1g2t/statement-of-persons-nominated-notice-of-poll-leicester-west.pdf" TargetMode="External"/><Relationship Id="rId415" Type="http://schemas.openxmlformats.org/officeDocument/2006/relationships/hyperlink" Target="https://www.canterbury.gov.uk/sites/default/files/2024-06/Statement%20of%20persons%20nominated%20-%20Canterbury.pdf" TargetMode="External"/><Relationship Id="rId622" Type="http://schemas.openxmlformats.org/officeDocument/2006/relationships/hyperlink" Target="https://www.basildon.gov.uk/media/12075/Rochford-Council-Statement-of-Persons-Nominated-and-Notice-of-Poll-Rayleigh-Wickford-Constituency-July-2024/pdf/Rochford_Council_-_SOPN_NOP_-_Rayleigh___Wickford_Constituency_-_July_2024.pdf?m=1717779209887" TargetMode="External"/><Relationship Id="rId261" Type="http://schemas.openxmlformats.org/officeDocument/2006/relationships/hyperlink" Target="https://www.horsham.gov.uk/__data/assets/pdf_file/0007/136393/Statement-of-Persons-Nominated,-Notice-of-Poll-and-Situation-of-Polling-Stations-Horsham.pdf" TargetMode="External"/><Relationship Id="rId499" Type="http://schemas.openxmlformats.org/officeDocument/2006/relationships/hyperlink" Target="https://www.scambs.gov.uk/media/sb3jcr3a/statement-of-persons-nominated-south-cambs.pdf" TargetMode="External"/><Relationship Id="rId56" Type="http://schemas.openxmlformats.org/officeDocument/2006/relationships/hyperlink" Target="https://www.dacorum.gov.uk/docs/default-source/council-democracy/elections-and-voting/statement-of-persons-nominated-and-notice-of-poll---south-west-herts.pdf?sfvrsn=ec241e9e_5" TargetMode="External"/><Relationship Id="rId359" Type="http://schemas.openxmlformats.org/officeDocument/2006/relationships/hyperlink" Target="https://www.edinburgh.gov.uk/elections-voting/ways-vote/6" TargetMode="External"/><Relationship Id="rId566" Type="http://schemas.openxmlformats.org/officeDocument/2006/relationships/hyperlink" Target="https://www.bromley.gov.uk/downloads/file/2472/statement-of-persons-nominated-beckenham-and-penge-constituency" TargetMode="External"/><Relationship Id="rId121" Type="http://schemas.openxmlformats.org/officeDocument/2006/relationships/hyperlink" Target="https://www.barnet.gov.uk/sites/default/files/2024-06/Statement%20of%20Persons%20Nominated%20%E2%80%93%20Finchley%20and%20Golders%20Green%20Constituency_0.pdf" TargetMode="External"/><Relationship Id="rId219" Type="http://schemas.openxmlformats.org/officeDocument/2006/relationships/hyperlink" Target="https://www.bcpcouncil.gov.uk/councillors-committees-and-elections/elections-and-voting/candidates-standing-for-the-2024-uk-parliamentary-general-election" TargetMode="External"/><Relationship Id="rId426" Type="http://schemas.openxmlformats.org/officeDocument/2006/relationships/hyperlink" Target="https://www.lbbd.gov.uk/sites/default/files/2024-06/SOPN%20-%20DR%202024.pdf" TargetMode="External"/><Relationship Id="rId633" Type="http://schemas.openxmlformats.org/officeDocument/2006/relationships/hyperlink" Target="https://www.eastsuffolk.gov.uk/assets/Elections/2024/General-Election-Thursday-4-July-2024/Statement-of-Persons-Nominated-Situation-of-Polling-Stations-and-Notice-of-Poll-Suffolk-Coastal.pdf" TargetMode="External"/><Relationship Id="rId67" Type="http://schemas.openxmlformats.org/officeDocument/2006/relationships/hyperlink" Target="https://www.eoni.org.uk/getmedia/ede0bab2-9da9-428d-9cac-fe44bf120b6d/Statement-of-Persons-Nominated-combined-with-Notice-of-Poll_1" TargetMode="External"/><Relationship Id="rId272" Type="http://schemas.openxmlformats.org/officeDocument/2006/relationships/hyperlink" Target="https://www.cheshireeast.gov.uk/pdf/elections/parliamentary-election-2024/statement-of-persons-nominated-and-notice-of-poll-macclesfield-constituency.pdf" TargetMode="External"/><Relationship Id="rId577" Type="http://schemas.openxmlformats.org/officeDocument/2006/relationships/hyperlink" Target="https://chorley.gov.uk/media/3390/Persons-Nominated-and-Notice-of-Poll-and-Polling-Locations-2024/pdf/Persons_Nominated_and_Notice_of_Poll_and_Polling_Locations_2024.pdf?m=1717778284623" TargetMode="External"/><Relationship Id="rId132" Type="http://schemas.openxmlformats.org/officeDocument/2006/relationships/hyperlink" Target="https://www.redbridge.gov.uk/media/12286/sopn-nop-and-situation-of-polling-stations-ilford-south.pdf" TargetMode="External"/><Relationship Id="rId437" Type="http://schemas.openxmlformats.org/officeDocument/2006/relationships/hyperlink" Target="https://www.eastleigh.gov.uk/media/14503/statement-of-persons-nominated-and-notice-of-poll.pdf" TargetMode="External"/><Relationship Id="rId644" Type="http://schemas.openxmlformats.org/officeDocument/2006/relationships/hyperlink" Target="https://www.wirral.gov.uk/files/statement-persons-nominated-and-notice-poll-general-election.pdf/download?inline" TargetMode="External"/><Relationship Id="rId283" Type="http://schemas.openxmlformats.org/officeDocument/2006/relationships/hyperlink" Target="https://www.newforest.gov.uk/article/3611/Election-notices" TargetMode="External"/><Relationship Id="rId490" Type="http://schemas.openxmlformats.org/officeDocument/2006/relationships/hyperlink" Target="https://www.redcar-cleveland.gov.uk/sites/default/files/2024-06/Statement%20of%20Persons%20Nominated%20including%20Notice%20of%20Poll%20and%20Situation%20of%20Polling%20Stations%20-%20Redcar.pdf" TargetMode="External"/><Relationship Id="rId504" Type="http://schemas.openxmlformats.org/officeDocument/2006/relationships/hyperlink" Target="https://www.southampton.gov.uk/media/m55dzuke/ukpge-2024_itchen_sopn_nop_sops.pdf" TargetMode="External"/><Relationship Id="rId78" Type="http://schemas.openxmlformats.org/officeDocument/2006/relationships/hyperlink" Target="https://www.monmouthshire.gov.uk/general-election-2024/" TargetMode="External"/><Relationship Id="rId143" Type="http://schemas.openxmlformats.org/officeDocument/2006/relationships/hyperlink" Target="https://www.melton.gov.uk/media/c2ynv2fg/statement-of-persons-nominated-notice-of-poll-and-sit-of-poll-stations-v2.pdf" TargetMode="External"/><Relationship Id="rId350" Type="http://schemas.openxmlformats.org/officeDocument/2006/relationships/hyperlink" Target="https://www.eoni.org.uk/getmedia/ede0bab2-9da9-428d-9cac-fe44bf120b6d/Statement-of-Persons-Nominated-combined-with-Notice-of-Poll_1" TargetMode="External"/><Relationship Id="rId588" Type="http://schemas.openxmlformats.org/officeDocument/2006/relationships/hyperlink" Target="https://www.dudley.gov.uk/media/0jwbrsx1/statement-of-persons-nominated-notice-of-poll-and-situation-of-polling-stations-halesowen-borough-constituency.pdf" TargetMode="External"/><Relationship Id="rId9" Type="http://schemas.openxmlformats.org/officeDocument/2006/relationships/hyperlink" Target="https://www.slough.gov.uk/downloads/file/4285/statement-of-persons-nominated-notice-of-poll-and-situation-of-polling-stations" TargetMode="External"/><Relationship Id="rId210" Type="http://schemas.openxmlformats.org/officeDocument/2006/relationships/hyperlink" Target="https://www.tmbc.gov.uk/downloads/file/3601/notice-of-poll-and-persons-nominated" TargetMode="External"/><Relationship Id="rId448" Type="http://schemas.openxmlformats.org/officeDocument/2006/relationships/hyperlink" Target="https://www.manchester.gov.uk/directory_record/466430/gorton_and_denton" TargetMode="External"/><Relationship Id="rId294" Type="http://schemas.openxmlformats.org/officeDocument/2006/relationships/hyperlink" Target="https://cms.westnorthants.gov.uk/media/15767/download" TargetMode="External"/><Relationship Id="rId308" Type="http://schemas.openxmlformats.org/officeDocument/2006/relationships/hyperlink" Target="https://www.runnymede.gov.uk/elections-2/general-election-2024" TargetMode="External"/><Relationship Id="rId515" Type="http://schemas.openxmlformats.org/officeDocument/2006/relationships/hyperlink" Target="https://www.sutton.gov.uk/documents/d/guest/notice-statement-of-persons-nominated-and-situation-of-poll" TargetMode="External"/><Relationship Id="rId89" Type="http://schemas.openxmlformats.org/officeDocument/2006/relationships/hyperlink" Target="https://www.lbbd.gov.uk/sites/default/files/2024-06/SOPN%20-%20BK%202024.pdf" TargetMode="External"/><Relationship Id="rId154" Type="http://schemas.openxmlformats.org/officeDocument/2006/relationships/hyperlink" Target="https://www.towerhamlets.gov.uk/Documents/Democracy/Elections/2024/SOPN-Poplar-Limehouse.docx" TargetMode="External"/><Relationship Id="rId361" Type="http://schemas.openxmlformats.org/officeDocument/2006/relationships/hyperlink" Target="https://www.glasgow.gov.uk/media/12222/Glasgow-North/pdf/NORTH_-_SOPN_and_NOP.pdf?m=1717783288533" TargetMode="External"/><Relationship Id="rId599" Type="http://schemas.openxmlformats.org/officeDocument/2006/relationships/hyperlink" Target="https://www.charnwood.gov.uk/files/documents/statement_of_persons_nominated_and_notice_of_poll_loughborough_constituency/Statement%20of%20Persons%20Nominated%20and%20Notice%20of%20Poll%20-%20Loughborough%20Constituency.pdf" TargetMode="External"/><Relationship Id="rId459" Type="http://schemas.openxmlformats.org/officeDocument/2006/relationships/hyperlink" Target="https://www.hinckley-bosworth.gov.uk/download/downloads/id/8262/notice_of_election_for_hinckley_and_bosworth.docx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outh-ayrshire.gov.uk/media/12247/DOC-20240704-UKPGE-Notice-of-Poll-CA/pdf/DOC_20240704_UKPGE_Notice_of_Poll_CA.pdf?m=1717779296450" TargetMode="External"/><Relationship Id="rId21" Type="http://schemas.openxmlformats.org/officeDocument/2006/relationships/hyperlink" Target="https://westoxon.gov.uk/media/jvpprbum/banbury-sopn-nop-sops.pdf" TargetMode="External"/><Relationship Id="rId324" Type="http://schemas.openxmlformats.org/officeDocument/2006/relationships/hyperlink" Target="https://www.wigan.gov.uk/Docs/PDF/Council/Voting-and-Elections/2024/General-Election/Statement-Of-Persons-Nominated-Leigh-and-Atherton.pdf" TargetMode="External"/><Relationship Id="rId531" Type="http://schemas.openxmlformats.org/officeDocument/2006/relationships/hyperlink" Target="https://www.scambs.gov.uk/media/o5laquk3/statement-of-persons-nominated-st-neots-mid-cambs.pdf" TargetMode="External"/><Relationship Id="rId629" Type="http://schemas.openxmlformats.org/officeDocument/2006/relationships/hyperlink" Target="https://somersetcc.sharepoint.com/sites/SCCPublic/Council%20Democracy/Forms/AllItems.aspx?id=%2Fsites%2FSCCPublic%2FCouncil%20Democracy%2FGeneral%20Election%202024%2FStatement%20of%20Persons%20Nominated%20%28UKPGE2024%29%20%2D%20YEOVIL%2Epdf&amp;parent=%2Fsites%2FSCCPublic%2FCouncil%20Democracy%2FGeneral%20Election%202024&amp;p=true&amp;ga=1" TargetMode="External"/><Relationship Id="rId170" Type="http://schemas.openxmlformats.org/officeDocument/2006/relationships/hyperlink" Target="https://molevalleydc.sharepoint.com/sites/MVDCDocumentLibrary/Shared%20Documents/Forms/AllItems.aspx?ga=1&amp;id=%2Fsites%2FMVDCDocumentLibrary%2FShared%20Documents%2FMVDC%20Document%20Library%2FCouncillors%20%26%20Decision%20Making%2FElections%2FUKPGE%202024%2FStatement%20of%20Persons%20Nominated%20and%20Notice%20of%20Poll&amp;viewid=bde92b27%2D8cd8%2D42af%2D9705%2Dd3e0059ee82f" TargetMode="External"/><Relationship Id="rId268" Type="http://schemas.openxmlformats.org/officeDocument/2006/relationships/hyperlink" Target="https://www.hillingdon.gov.uk/media/14280/Statement-of-persons-nominated---Hayes-and-Harlington/pdf/5jStatement-of-Persons-Nominated-Hayes-and-Harlington-2024.pdf?m=1717773488060" TargetMode="External"/><Relationship Id="rId475" Type="http://schemas.openxmlformats.org/officeDocument/2006/relationships/hyperlink" Target="https://www.rushcliffe.gov.uk/media/wtnjjoqc/statement-of-persons-nominated-notice-of-poll-and-situation-of-polling-stations.pdf" TargetMode="External"/><Relationship Id="rId32" Type="http://schemas.openxmlformats.org/officeDocument/2006/relationships/hyperlink" Target="https://www.wandsworth.gov.uk/media/4uxj4kww/statement_of_persons_nominated_notice_of_poll_battersea_2024.pdf" TargetMode="External"/><Relationship Id="rId128" Type="http://schemas.openxmlformats.org/officeDocument/2006/relationships/hyperlink" Target="https://www.cheshirewestandchester.gov.uk/asset-library/your-council/elections/general-election-2024/SOPN-NoP-SoP-CSE-UKPGE.pdf" TargetMode="External"/><Relationship Id="rId335" Type="http://schemas.openxmlformats.org/officeDocument/2006/relationships/hyperlink" Target="https://liverpool.gov.uk/media/ig0jc2or/statement-of-persons-nominated-liverpool-wavertree.docx" TargetMode="External"/><Relationship Id="rId542" Type="http://schemas.openxmlformats.org/officeDocument/2006/relationships/hyperlink" Target="https://www.stoke.gov.uk/download/downloads/id/2504/south_sopn_and_nop.pdf" TargetMode="External"/><Relationship Id="rId181" Type="http://schemas.openxmlformats.org/officeDocument/2006/relationships/hyperlink" Target="https://www.ealing.gov.uk/download/downloads/id/19830/statement_of_persons_nominated_and_notice_of_poll_-_ealing_central_and_acton_constituency_4_july_2024.pdf" TargetMode="External"/><Relationship Id="rId402" Type="http://schemas.openxmlformats.org/officeDocument/2006/relationships/hyperlink" Target="https://www.ne-derbyshire.gov.uk/documents/statement-of-persons-nominated-and-notice-of-poll-300kb-pdf/download" TargetMode="External"/><Relationship Id="rId279" Type="http://schemas.openxmlformats.org/officeDocument/2006/relationships/hyperlink" Target="https://www.highpeak.gov.uk/media/9290/Statement-of-Persons-Nominated-Notice-of-Poll-and-Situation-of-Polling-Stations/pdf/Statement_of_Persons_Nominated_Notice_of_Poll_and_Situation_of_Polling_Stations.pdf?m=1717774865887" TargetMode="External"/><Relationship Id="rId486" Type="http://schemas.openxmlformats.org/officeDocument/2006/relationships/hyperlink" Target="https://www.sheffield.gov.uk/sites/default/files/2024-06/statement_of_persons_nominated_and_notice_of_poll_general_election.pdf" TargetMode="External"/><Relationship Id="rId43" Type="http://schemas.openxmlformats.org/officeDocument/2006/relationships/hyperlink" Target="https://www.wirral.gov.uk/files/statement-persons-nominated-and-notice-poll-general-election.pdf/" TargetMode="External"/><Relationship Id="rId139" Type="http://schemas.openxmlformats.org/officeDocument/2006/relationships/hyperlink" Target="https://www.lambeth.gov.uk/sites/default/files/2024-06/Statement%20of%20Perons%20Nominated%2C%20Notice%20of%20Poll%20and%20Situation%20of%20Polling%20Stations%20Clapham%20and%20Brixton%20Hill.pdf" TargetMode="External"/><Relationship Id="rId346" Type="http://schemas.openxmlformats.org/officeDocument/2006/relationships/hyperlink" Target="https://www.rbwm.gov.uk/media/3432/download/" TargetMode="External"/><Relationship Id="rId553" Type="http://schemas.openxmlformats.org/officeDocument/2006/relationships/hyperlink" Target="https://www.wealden.gov.uk/voting-and-elections/forthcoming-elections/" TargetMode="External"/><Relationship Id="rId192" Type="http://schemas.openxmlformats.org/officeDocument/2006/relationships/hyperlink" Target="https://drive.google.com/file/d/1-6nu9Vq0AqC0ioMIA3Z_nI7tnqmXoYsO/view?pli=1" TargetMode="External"/><Relationship Id="rId206" Type="http://schemas.openxmlformats.org/officeDocument/2006/relationships/hyperlink" Target="https://www.enfield.gov.uk/__data/assets/pdf_file/0032/58694/Statement-of-Persons-Nominated,-Notice-of-Poll-and-Polling-Stations-Enfield-North.pdf" TargetMode="External"/><Relationship Id="rId413" Type="http://schemas.openxmlformats.org/officeDocument/2006/relationships/hyperlink" Target="https://www.peterborough.gov.uk/asset-library/uk-general-election-2024-situation-of-persons-nominated-notice-of-poll-and-situation-of-polling-stations-north-west-cambridgeshire.pdf" TargetMode="External"/><Relationship Id="rId497" Type="http://schemas.openxmlformats.org/officeDocument/2006/relationships/hyperlink" Target="https://www.sandwell.gov.uk/candidates" TargetMode="External"/><Relationship Id="rId620" Type="http://schemas.openxmlformats.org/officeDocument/2006/relationships/hyperlink" Target="https://www.wolverhampton.gov.uk/sites/default/files/2024-06/Statement%20of%20Persons%20Nominated%20and%20Notice%20of%20Poll%20-%20Wolverhampton%20South%20East.pdf" TargetMode="External"/><Relationship Id="rId357" Type="http://schemas.openxmlformats.org/officeDocument/2006/relationships/hyperlink" Target="https://www.merthyr.gov.uk/council/voting-and-elections/uk-parliamentary-general-election/" TargetMode="External"/><Relationship Id="rId54" Type="http://schemas.openxmlformats.org/officeDocument/2006/relationships/hyperlink" Target="https://blackburn-darwen.org.uk/wp-content/uploads/Statement-of-Persons-Nominated-Notice-of-Poll-and-Situation-of-Polling-Stations-UKGPE.pdf" TargetMode="External"/><Relationship Id="rId217" Type="http://schemas.openxmlformats.org/officeDocument/2006/relationships/hyperlink" Target="https://docs.maidstone.gov.uk/elections-2024/general-election-2024/SPN-and-NP-Faversham-and-Mid-Kent.pdf" TargetMode="External"/><Relationship Id="rId564" Type="http://schemas.openxmlformats.org/officeDocument/2006/relationships/hyperlink" Target="https://www.telford.gov.uk/download/downloads/id/27533/statement_of_persons_nominated_and_notice_of_poll_wrekin.pdf" TargetMode="External"/><Relationship Id="rId424" Type="http://schemas.openxmlformats.org/officeDocument/2006/relationships/hyperlink" Target="https://www.nottinghamcity.gov.uk/media/l1xow5hy/statement-of-persons-nominated-and-notice-of-poll-south.pdf" TargetMode="External"/><Relationship Id="rId631" Type="http://schemas.openxmlformats.org/officeDocument/2006/relationships/hyperlink" Target="https://www.york.gov.uk/downloads/file/9638/york-central-constituency-statement-of-persons-nominated-and-notice-of-poll" TargetMode="External"/><Relationship Id="rId270" Type="http://schemas.openxmlformats.org/officeDocument/2006/relationships/hyperlink" Target="https://www.dacorum.gov.uk/docs/default-source/council-democracy/elections-and-voting/statement-of-persons-nominated-and-notice-of-poll---hemel-hempstead-(pdf-22kb).pdf?sfvrsn=7e251e9e_5" TargetMode="External"/><Relationship Id="rId65" Type="http://schemas.openxmlformats.org/officeDocument/2006/relationships/hyperlink" Target="https://www.bolton.gov.uk/downloads/file/6020/general-election-2024-statement-of-persons-nominated-bolton-west" TargetMode="External"/><Relationship Id="rId130" Type="http://schemas.openxmlformats.org/officeDocument/2006/relationships/hyperlink" Target="https://www.chichester.gov.uk/media/39764/Statement-of-Persons-Nominated-and-Notice-of-Poll/doc/Statement_of_Persons_Nominated_and_Notice_of_Poll.docx?m=1717776226233" TargetMode="External"/><Relationship Id="rId368" Type="http://schemas.openxmlformats.org/officeDocument/2006/relationships/hyperlink" Target="https://middlesbrough.gov.uk/media/nvqofxg1/statement-of-persons-nominated-mte.pdf" TargetMode="External"/><Relationship Id="rId575" Type="http://schemas.openxmlformats.org/officeDocument/2006/relationships/hyperlink" Target="https://new.haringey.gov.uk/council-elections/elections-voting/general-election-2024/statement-persons-nominated-notice-poll-tottenham-constituency" TargetMode="External"/><Relationship Id="rId228" Type="http://schemas.openxmlformats.org/officeDocument/2006/relationships/hyperlink" Target="https://www.medway.gov.uk/downloads/file/8736/notice_of_poll_and_persons_nominated_for_general_election_2024" TargetMode="External"/><Relationship Id="rId435" Type="http://schemas.openxmlformats.org/officeDocument/2006/relationships/hyperlink" Target="https://www.renfrewshire.gov.uk/media/16576/Statement-of-Persons-Nominated-including-Notice-of-Poll-and-Situation-of-Polling-Stations-for-Paisley-and-Renfrewshire-South-Constituency/pdf/FINAL_Notice_of_Poll___Sit_of_Polling_Places_-_PR_SOUTH.pdf?m=1717777787943" TargetMode="External"/><Relationship Id="rId281" Type="http://schemas.openxmlformats.org/officeDocument/2006/relationships/hyperlink" Target="https://www.north-herts.gov.uk/sites/default/files/2024-06/SOPN%20%26%20NoP%20-%20Hitchin%20-%2007.06.2024.pdf" TargetMode="External"/><Relationship Id="rId502" Type="http://schemas.openxmlformats.org/officeDocument/2006/relationships/hyperlink" Target="https://www.southderbyshire.gov.uk/our-services/voting-and-elections/uk-parliamentary-general-election-4-july-2024" TargetMode="External"/><Relationship Id="rId76" Type="http://schemas.openxmlformats.org/officeDocument/2006/relationships/hyperlink" Target="https://legacy.brent.gov.uk/media/16421185/statement-of-persons-nominated-ukge24-brent-east.pdf?_ga=2.98603998.1319045725.1717779265-1551197769.1717779265" TargetMode="External"/><Relationship Id="rId141" Type="http://schemas.openxmlformats.org/officeDocument/2006/relationships/hyperlink" Target="https://www.denbighshire.gov.uk/en/your-council/voting-and-elections/parliamentary-elections-general-elections.aspx" TargetMode="External"/><Relationship Id="rId379" Type="http://schemas.openxmlformats.org/officeDocument/2006/relationships/hyperlink" Target="https://cne-siar.gov.uk/home/your-council/elections-and-voting/uk-parliamentary-election/statutory-notices-uk-general-election/statement-of-persons-nominated-and-notice-of-poll/" TargetMode="External"/><Relationship Id="rId586" Type="http://schemas.openxmlformats.org/officeDocument/2006/relationships/hyperlink" Target="https://www.walthamforest.gov.uk/sites/default/files/2024-06/Statement%20of%20Persons%20Nominated%20and%20Notice%20Of%20Poll%20%20UK%20Parliamentary%20General%20Election%202024%20for%20Walthamstow%20%28PDF%29.pdf" TargetMode="External"/><Relationship Id="rId7" Type="http://schemas.openxmlformats.org/officeDocument/2006/relationships/hyperlink" Target="https://go.walsall.gov.uk/sites/default/files/2024-06/Statment%20of%20persons%20nominated%20and%20notice%20of%20poll%20AB.pdf" TargetMode="External"/><Relationship Id="rId239" Type="http://schemas.openxmlformats.org/officeDocument/2006/relationships/hyperlink" Target="https://www.eastriding.gov.uk/url-directory/election-notices/?entry=595" TargetMode="External"/><Relationship Id="rId446" Type="http://schemas.openxmlformats.org/officeDocument/2006/relationships/hyperlink" Target="https://www.bcpcouncil.gov.uk/Assets/Elections-and-voting/2024-General/SoPN-and-NoP-Poole.pdf" TargetMode="External"/><Relationship Id="rId292" Type="http://schemas.openxmlformats.org/officeDocument/2006/relationships/hyperlink" Target="https://www.redbridge.gov.uk/media/12279/sopn-nop-and-situation-of-polling-stations-ilford-north.pdf" TargetMode="External"/><Relationship Id="rId306" Type="http://schemas.openxmlformats.org/officeDocument/2006/relationships/hyperlink" Target="https://www.east-ayrshire.gov.uk/Resources/PDF/E/elections2024/notice-of-poll-ukpge.pdf" TargetMode="External"/><Relationship Id="rId87" Type="http://schemas.openxmlformats.org/officeDocument/2006/relationships/hyperlink" Target="https://www.bristol.gov.uk/files/documents/7826-bristol-east-nop/file" TargetMode="External"/><Relationship Id="rId513" Type="http://schemas.openxmlformats.org/officeDocument/2006/relationships/hyperlink" Target="https://www.midsuffolk.gov.uk/documents/d/asset-library-54706/south-suffolk-nop-sopn-sops" TargetMode="External"/><Relationship Id="rId597" Type="http://schemas.openxmlformats.org/officeDocument/2006/relationships/hyperlink" Target="https://aberdeenshire.gov.uk/media/pppadss2/notice-of-poll-ukpge-ea22-wak.pdf" TargetMode="External"/><Relationship Id="rId152" Type="http://schemas.openxmlformats.org/officeDocument/2006/relationships/hyperlink" Target="https://democracy.crawley.gov.uk/documents/s30699/SofPNomNotPollMP.docx.pdf" TargetMode="External"/><Relationship Id="rId457" Type="http://schemas.openxmlformats.org/officeDocument/2006/relationships/hyperlink" Target="https://www.redcar-cleveland.gov.uk/sites/default/files/2024-06/Statement%20of%20Persons%20Nominated%20including%20Notice%20of%20Poll%20and%20Situation%20of%20Polling%20Stations%20-%20Redcar.pdf" TargetMode="External"/><Relationship Id="rId14" Type="http://schemas.openxmlformats.org/officeDocument/2006/relationships/hyperlink" Target="https://www.argyll-bute.gov.uk/sites/default/files/2024-06/Statement%20of%20Persons%20and%20Notice-of-poll-UKPGE.pdf" TargetMode="External"/><Relationship Id="rId317" Type="http://schemas.openxmlformats.org/officeDocument/2006/relationships/hyperlink" Target="https://www.leeds.gov.uk/docs/Leeds%20North%20West.pdf" TargetMode="External"/><Relationship Id="rId524" Type="http://schemas.openxmlformats.org/officeDocument/2006/relationships/hyperlink" Target="https://www.spelthorne.gov.uk/media/26863/Statement-of-Persons-Nominated-for-the-UK-Parliamentary-General-Election-to-be-held-on-Thursday-4-July-2024/pdf/Statement_of_Persons_Nominated_-_UKPGE.pdf?m=1717781107160" TargetMode="External"/><Relationship Id="rId98" Type="http://schemas.openxmlformats.org/officeDocument/2006/relationships/hyperlink" Target="https://www.eaststaffsbc.gov.uk/sites/default/files/docs/elections/Statement_of_Persons_Nominated_PGE_2024.pdf" TargetMode="External"/><Relationship Id="rId163" Type="http://schemas.openxmlformats.org/officeDocument/2006/relationships/hyperlink" Target="https://www.derby.gov.uk/council-and-democracy/councillors-democracy-elections/elections/election-information/" TargetMode="External"/><Relationship Id="rId370" Type="http://schemas.openxmlformats.org/officeDocument/2006/relationships/hyperlink" Target="https://www.midlothian.gov.uk/info/799/elections_and_voting/813/general_election_2024/2" TargetMode="External"/><Relationship Id="rId230" Type="http://schemas.openxmlformats.org/officeDocument/2006/relationships/hyperlink" Target="https://www.glasgow.gov.uk/media/12222/Glasgow-North/pdf/NORTH_-_SOPN_and_NOP.pdf?m=1717783288533" TargetMode="External"/><Relationship Id="rId468" Type="http://schemas.openxmlformats.org/officeDocument/2006/relationships/hyperlink" Target="https://www.rossendale.gov.uk/downloads/file/18480/spn-and-nop-parliamentary-election-4-july-2024" TargetMode="External"/><Relationship Id="rId25" Type="http://schemas.openxmlformats.org/officeDocument/2006/relationships/hyperlink" Target="https://www.barnsley.gov.uk/services/voting-and-elections/uk-parliamentary-general-election-4-july-2024/" TargetMode="External"/><Relationship Id="rId328" Type="http://schemas.openxmlformats.org/officeDocument/2006/relationships/hyperlink" Target="https://lewisham.gov.uk/-/media/0-mayor-and-council/elections/statement-of-persons-nominated-lewisham-west--east-dulwich-for-election-on-4724.pdf" TargetMode="External"/><Relationship Id="rId535" Type="http://schemas.openxmlformats.org/officeDocument/2006/relationships/hyperlink" Target="https://www.stevenage.gov.uk/documents/general-election-2024/ukpge-combined-statement-of-persons-nominated-notice-of-poll-situation-of-polling-stations.pdf" TargetMode="External"/><Relationship Id="rId174" Type="http://schemas.openxmlformats.org/officeDocument/2006/relationships/hyperlink" Target="https://www.lambeth.gov.uk/sites/default/files/2024-06/Statement%20of%20Persons%20Nominated%2C%20Notice%20of%20Poll%20and%20SOPS%20Dulwich%20and%20West%20Norwood.pdf" TargetMode="External"/><Relationship Id="rId381" Type="http://schemas.openxmlformats.org/officeDocument/2006/relationships/hyperlink" Target="https://www.newforest.gov.uk/article/3611/Election-notices" TargetMode="External"/><Relationship Id="rId602" Type="http://schemas.openxmlformats.org/officeDocument/2006/relationships/hyperlink" Target="https://www.westlancs.gov.uk/media/547768/statement-of-persons-nominated-general-election-2024-west-lancashire.pdf" TargetMode="External"/><Relationship Id="rId241" Type="http://schemas.openxmlformats.org/officeDocument/2006/relationships/hyperlink" Target="https://www.manchester.gov.uk/directory_record/466430/gorton_and_denton" TargetMode="External"/><Relationship Id="rId479" Type="http://schemas.openxmlformats.org/officeDocument/2006/relationships/hyperlink" Target="https://www.wiltshire.gov.uk/media/13497/Statement-of-Persons-Nominated-Notice-of-Poll-and-Situation-of-Polling-Stations-Salisbury-Constituency/pdf/SoPN__NoP__SoPS_-_Salisbury_Constituency.pdf?m=1717776990240" TargetMode="External"/><Relationship Id="rId36" Type="http://schemas.openxmlformats.org/officeDocument/2006/relationships/hyperlink" Target="https://www.southwark.gov.uk/assets/attach/270708/Notice-of-Poll-and-Statement-of-Persons-Nominated-for-Bermondsey-and-Old-Southwark-4-July-2024.pdf" TargetMode="External"/><Relationship Id="rId339" Type="http://schemas.openxmlformats.org/officeDocument/2006/relationships/hyperlink" Target="https://www.eastlothian.gov.uk/info/210600/elections_and_voting/12029/uk_parliamentary_election/4" TargetMode="External"/><Relationship Id="rId546" Type="http://schemas.openxmlformats.org/officeDocument/2006/relationships/hyperlink" Target="https://www.stratford.gov.uk/doc/212829/name/Statement%20of%20Persons%20Nominated%20Notice%20of%20Poll%20and%20Situation%20of%20Polling%20Stations.pdf" TargetMode="External"/><Relationship Id="rId101" Type="http://schemas.openxmlformats.org/officeDocument/2006/relationships/hyperlink" Target="https://www.westsuffolk.gov.uk/Council/elections/vacancies-elections-results/elections/upload/SOPN-Bury-St-Edmunds-and-Stowmarket-Constituency.pdf" TargetMode="External"/><Relationship Id="rId185" Type="http://schemas.openxmlformats.org/officeDocument/2006/relationships/hyperlink" Target="https://durham.gov.uk/media/44797/Statement-of-Persons-Nominated-with-Notice-of-Poll-and-Situation-of-Polling-Stations-Easington/pdf/StatementOfPersonsNominatedWithNoticeOfPollAndSituationOfPollingStations-Easington.pdf?m=1717777390120" TargetMode="External"/><Relationship Id="rId406" Type="http://schemas.openxmlformats.org/officeDocument/2006/relationships/hyperlink" Target="https://beta.bathnes.gov.uk/statement-persons-nominated-and-notice-poll-election-member-parliament-north-east-somerset-and-hanham-constituency" TargetMode="External"/><Relationship Id="rId9" Type="http://schemas.openxmlformats.org/officeDocument/2006/relationships/hyperlink" Target="https://www.trafford.gov.uk/about-your-council/elections/docs/2024/Notices/Statement-of-Persons-Nominated-and-Notice-of-Poll-Altrincham-and-Sale-West.pdf" TargetMode="External"/><Relationship Id="rId210" Type="http://schemas.openxmlformats.org/officeDocument/2006/relationships/hyperlink" Target="https://www.royalgreenwich.gov.uk/download/downloads/id/6675/erith_and_thamesmead_statement_of_persons_nominated.pdf" TargetMode="External"/><Relationship Id="rId392" Type="http://schemas.openxmlformats.org/officeDocument/2006/relationships/hyperlink" Target="https://durham.gov.uk/media/44798/Statement-of-Persons-Nominated-with-Notice-of-Poll-and-Situation-of-Polling-Stations-Newton-Aycliffe-and-Spennymoor/pdf/StatementOfPersonsNominatedWithNoticeOfPollAndSituationOfPollingStations-NewtonAycliffeAndSpennymoor.pdf?m=1717777468707" TargetMode="External"/><Relationship Id="rId448" Type="http://schemas.openxmlformats.org/officeDocument/2006/relationships/hyperlink" Target="https://www.portsmouth.gov.uk/wp-content/uploads/2024/06/Statement-of-Persons-Nominated-and-Notice-of-Poll-Portsmouth-North.docx" TargetMode="External"/><Relationship Id="rId613" Type="http://schemas.openxmlformats.org/officeDocument/2006/relationships/hyperlink" Target="https://www.rbwm.gov.uk/media/3435/download/" TargetMode="External"/><Relationship Id="rId252" Type="http://schemas.openxmlformats.org/officeDocument/2006/relationships/hyperlink" Target="https://www.dudley.gov.uk/media/0jwbrsx1/statement-of-persons-nominated-notice-of-poll-and-situation-of-polling-stations-halesowen-borough-constituency.pdf" TargetMode="External"/><Relationship Id="rId294" Type="http://schemas.openxmlformats.org/officeDocument/2006/relationships/hyperlink" Target="https://www.inverclyde.gov.uk/assets/attach/17254/2024-UKPGE-Statement-of-Persons-Nominated-and-Notice-of-Poll.pdf" TargetMode="External"/><Relationship Id="rId308" Type="http://schemas.openxmlformats.org/officeDocument/2006/relationships/hyperlink" Target="https://www.hull.gov.uk/downloads/file/3387/Statement_of_Persons_Nominated_and_Notice_of_Poll___Kingston_upon_Hull_East.pdf" TargetMode="External"/><Relationship Id="rId515" Type="http://schemas.openxmlformats.org/officeDocument/2006/relationships/hyperlink" Target="https://www.dacorum.gov.uk/docs/default-source/council-democracy/elections-and-voting/statement-of-persons-nominated-and-notice-of-poll---south-west-herts.pdf?sfvrsn=ec241e9e_5" TargetMode="External"/><Relationship Id="rId47" Type="http://schemas.openxmlformats.org/officeDocument/2006/relationships/hyperlink" Target="https://www.birmingham.gov.uk/download/downloads/id/29252/hodge_hill_and_solihull_north_constituency_notice_of_poll_and_persons_nominated.pdf" TargetMode="External"/><Relationship Id="rId89" Type="http://schemas.openxmlformats.org/officeDocument/2006/relationships/hyperlink" Target="https://www.bristol.gov.uk/files/documents/7822-bristol-north-west-nop/file" TargetMode="External"/><Relationship Id="rId112" Type="http://schemas.openxmlformats.org/officeDocument/2006/relationships/hyperlink" Target="https://www.cardiff.gov.uk/ENG/Your-Council/Voting-and-elections/Elections-Information/Upcoming-elections-and-polls/cardiff-south-penarth-constituency-notices/Pages/default.aspx" TargetMode="External"/><Relationship Id="rId154" Type="http://schemas.openxmlformats.org/officeDocument/2006/relationships/hyperlink" Target="https://www.croydon.gov.uk/council-and-elections/voting-and-elections/general-election-thursday-4-july-2024-0/candidate-information" TargetMode="External"/><Relationship Id="rId361" Type="http://schemas.openxmlformats.org/officeDocument/2006/relationships/hyperlink" Target="https://www.cheshirewestandchester.gov.uk/asset-library/your-council/elections/general-election-2024/SOPN-NoP-SoP-MC-UKPGE.pdf" TargetMode="External"/><Relationship Id="rId557" Type="http://schemas.openxmlformats.org/officeDocument/2006/relationships/hyperlink" Target="https://www.swindon.gov.uk/downloads/file/10923/candidate_and_polling_station_details_for_swindon_north_constituency" TargetMode="External"/><Relationship Id="rId599" Type="http://schemas.openxmlformats.org/officeDocument/2006/relationships/hyperlink" Target="https://www.dorsetcouncil.gov.uk/w/uk-parliamentary-general-election" TargetMode="External"/><Relationship Id="rId196" Type="http://schemas.openxmlformats.org/officeDocument/2006/relationships/hyperlink" Target="https://www.eastleigh.gov.uk/media/14503/statement-of-persons-nominated-and-notice-of-poll.pdf" TargetMode="External"/><Relationship Id="rId417" Type="http://schemas.openxmlformats.org/officeDocument/2006/relationships/hyperlink" Target="https://www.west-norfolk.gov.uk/info/20090/elections_and_voting/1133/general_election_2024" TargetMode="External"/><Relationship Id="rId459" Type="http://schemas.openxmlformats.org/officeDocument/2006/relationships/hyperlink" Target="https://www.reigate-banstead.gov.uk/download/downloads/id/7325/notice_of_poll_and_statement_of_persons_nominated_-_reigate.pdf" TargetMode="External"/><Relationship Id="rId624" Type="http://schemas.openxmlformats.org/officeDocument/2006/relationships/hyperlink" Target="https://www.adur-worthing.gov.uk/media/Media,171611,smxx.pdf" TargetMode="External"/><Relationship Id="rId16" Type="http://schemas.openxmlformats.org/officeDocument/2006/relationships/hyperlink" Target="https://www.ashfield.gov.uk/your-council/elections/election-notices/" TargetMode="External"/><Relationship Id="rId221" Type="http://schemas.openxmlformats.org/officeDocument/2006/relationships/hyperlink" Target="https://www.folkestone-hythe.gov.uk/downloads/file/5330/statement-of-persons-nominated-notice-of-poll-and-situation-of-polling-stations-folkestone-and-hythe-constituency" TargetMode="External"/><Relationship Id="rId263" Type="http://schemas.openxmlformats.org/officeDocument/2006/relationships/hyperlink" Target="https://www.harrow.gov.uk/downloads/file/32288/Statement_of_Persons_Nominated_and_Notice_of_Poll_Harrow_West.pdf" TargetMode="External"/><Relationship Id="rId319" Type="http://schemas.openxmlformats.org/officeDocument/2006/relationships/hyperlink" Target="https://www.leeds.gov.uk/docs/Leeds%20South%20West%20and%20Morley.pdf" TargetMode="External"/><Relationship Id="rId470" Type="http://schemas.openxmlformats.org/officeDocument/2006/relationships/hyperlink" Target="http://www.rotherham.gov.uk/downloads/file/3885/statement-of-person-nominated-and-notice-of-poll-for-rotherham" TargetMode="External"/><Relationship Id="rId526" Type="http://schemas.openxmlformats.org/officeDocument/2006/relationships/hyperlink" Target="https://www.stalbans.gov.uk/uk-parliamentary-election-4-july-2024" TargetMode="External"/><Relationship Id="rId58" Type="http://schemas.openxmlformats.org/officeDocument/2006/relationships/hyperlink" Target="https://www.blaenau-gwent.gov.uk/media/asvijb4z/statement-of-persons-nominated-notice-of-poll-and-situation-of-polling-stations.pdf" TargetMode="External"/><Relationship Id="rId123" Type="http://schemas.openxmlformats.org/officeDocument/2006/relationships/hyperlink" Target="https://www.chelmsford.gov.uk/media/kf5fxe3k/sopn-and-notice-of-poll.pdf" TargetMode="External"/><Relationship Id="rId330" Type="http://schemas.openxmlformats.org/officeDocument/2006/relationships/hyperlink" Target="https://www.lichfielddc.gov.uk/downloads/file/2535/statement-of-persons-nominated-lichfield" TargetMode="External"/><Relationship Id="rId568" Type="http://schemas.openxmlformats.org/officeDocument/2006/relationships/hyperlink" Target="https://www.sandwell.gov.uk/candidates" TargetMode="External"/><Relationship Id="rId165" Type="http://schemas.openxmlformats.org/officeDocument/2006/relationships/hyperlink" Target="https://www.kirklees.gov.uk/beta/voting-and-elections/statement-of-persons-nominated.aspx" TargetMode="External"/><Relationship Id="rId372" Type="http://schemas.openxmlformats.org/officeDocument/2006/relationships/hyperlink" Target="https://www.milton-keynes.gov.uk/sites/default/files/2024-06/Statement%20of%20Persons%20Nominated%202024.zip" TargetMode="External"/><Relationship Id="rId428" Type="http://schemas.openxmlformats.org/officeDocument/2006/relationships/hyperlink" Target="https://www.oldham.gov.uk/downloads/file/8017/notice_of_poll_and_statement_of_persons_nominated_for_oldham_west_chadderton_and_royton" TargetMode="External"/><Relationship Id="rId232" Type="http://schemas.openxmlformats.org/officeDocument/2006/relationships/hyperlink" Target="https://www.glasgow.gov.uk/media/12225/Glasgow-South/pdf/SOUTH_-_SOPN_and_NOP.pdf?m=1717783316367" TargetMode="External"/><Relationship Id="rId274" Type="http://schemas.openxmlformats.org/officeDocument/2006/relationships/hyperlink" Target="https://www.canterbury.gov.uk/sites/default/files/2024-06/Statement%20of%20persons%20nominated%20-%20Herne%20Bay%20and%20Sandwich.pdf" TargetMode="External"/><Relationship Id="rId481" Type="http://schemas.openxmlformats.org/officeDocument/2006/relationships/hyperlink" Target="https://www.northlincs.gov.uk/wp-content/uploads/2024/06/Scunthorpe-Statement-of-Persons-Nominated-and-Notice-of-Poll-a.pdf" TargetMode="External"/><Relationship Id="rId27" Type="http://schemas.openxmlformats.org/officeDocument/2006/relationships/hyperlink" Target="https://www.basildon.gov.uk/media/12071/Basildon-Council-Statement-of-Persons-Nominated-Notice-of-Poll-and-Situation-of-Polling-Stations-Basildon-Billericay-Constituency-July-2024/pdf/SOPN_NOP_SPS_-_B_B_Cons_-_July_2024_atagojl0fce6.pdf?m=1717777219203" TargetMode="External"/><Relationship Id="rId69" Type="http://schemas.openxmlformats.org/officeDocument/2006/relationships/hyperlink" Target="https://www.bcpcouncil.gov.uk/councillors-committees-and-elections/elections-and-voting/candidates-standing-for-the-2024-uk-parliamentary-general-election" TargetMode="External"/><Relationship Id="rId134" Type="http://schemas.openxmlformats.org/officeDocument/2006/relationships/hyperlink" Target="https://chorley.gov.uk/media/3390/Persons-Nominated-and-Notice-of-Poll-and-Polling-Locations-2024/pdf/Persons_Nominated_and_Notice_of_Poll_and_Polling_Locations_2024.pdf?m=1717778284623" TargetMode="External"/><Relationship Id="rId537" Type="http://schemas.openxmlformats.org/officeDocument/2006/relationships/hyperlink" Target="https://assets.ctfassets.net/ii3xdrqc6nfw/60IXRfBInUIhj8jAEkwX7A/0bccb252bc2a07fc5a5725816c8103da/Stockport_Statement_of_Persons_Nominated___Notice_of_Poll.pdf" TargetMode="External"/><Relationship Id="rId579" Type="http://schemas.openxmlformats.org/officeDocument/2006/relationships/hyperlink" Target="https://my.northtyneside.gov.uk/sites/default/files/web-page-related-files/Tynemouth%20-%20SoPN%20and%20NoP.pdf" TargetMode="External"/><Relationship Id="rId80" Type="http://schemas.openxmlformats.org/officeDocument/2006/relationships/hyperlink" Target="https://www.bridgend.gov.uk/media/5fbbwhc3/statement-of-persons-nominated-and-notice-of-poll.pdf" TargetMode="External"/><Relationship Id="rId176" Type="http://schemas.openxmlformats.org/officeDocument/2006/relationships/hyperlink" Target="https://dumgal.gov.uk/media/29495/Notice-of-Poll-General-Election-2024-DCT/pdf/DCTNotice-of-Poll-UK-Parliamentary-Election-1.pdf?m=1717779252127" TargetMode="External"/><Relationship Id="rId341" Type="http://schemas.openxmlformats.org/officeDocument/2006/relationships/hyperlink" Target="https://www.e-lindsey.gov.uk/media/25051/Statement-of-Persons-Nominated-and-Notice-of-Poll/pdf/Statement_of_Persons_Nominated_and_Notice_of_Poll_A3.pdf?m=1717778846433" TargetMode="External"/><Relationship Id="rId383" Type="http://schemas.openxmlformats.org/officeDocument/2006/relationships/hyperlink" Target="https://www.newark-sherwooddc.gov.uk/your-council/your-council/elections/4-july-2024-parliamentary-election/" TargetMode="External"/><Relationship Id="rId439" Type="http://schemas.openxmlformats.org/officeDocument/2006/relationships/hyperlink" Target="https://www.cumberland.gov.uk/sites/default/files/2024-06/penrith_and_solway_-_statement_of_persons_nominated_and_notice_of_poll.pdf" TargetMode="External"/><Relationship Id="rId590" Type="http://schemas.openxmlformats.org/officeDocument/2006/relationships/hyperlink" Target="https://www.sunderland.gov.uk/media/32741/Statement-of-Persons-Nominated-Notice-of-Poll-and-Situation-of-Polling-Stations-UK-PGE-WGS-4-July-2024/pdf/Statement_of_Persons_Nominated__Notice_of_Poll_and_Situation_of_Polling_Stations_-_WGS_2024_06_07_rs.pdf?m=1717769120743" TargetMode="External"/><Relationship Id="rId604" Type="http://schemas.openxmlformats.org/officeDocument/2006/relationships/hyperlink" Target="https://www.malvernhills.gov.uk/component/fileman/file/Documents/Elections/2024/SoPN%2C%20Notice%20of%20Poll%20and%20Situation%20of%20Polling%20Stations.pdf?routed=1&amp;container=fileman-files" TargetMode="External"/><Relationship Id="rId201" Type="http://schemas.openxmlformats.org/officeDocument/2006/relationships/hyperlink" Target="https://www.edinburgh.gov.uk/elections-voting/ways-vote/6" TargetMode="External"/><Relationship Id="rId243" Type="http://schemas.openxmlformats.org/officeDocument/2006/relationships/hyperlink" Target="https://www.swansea.gov.uk/noticesgeneralelection2024" TargetMode="External"/><Relationship Id="rId285" Type="http://schemas.openxmlformats.org/officeDocument/2006/relationships/hyperlink" Target="https://new.haringey.gov.uk/council-elections/elections-voting/general-election-2024/statement-persons-nominated-notice-poll-hornsey-friern-barnet-constituency" TargetMode="External"/><Relationship Id="rId450" Type="http://schemas.openxmlformats.org/officeDocument/2006/relationships/hyperlink" Target="https://www.preston.gov.uk/media/18011/Statement-of-Persons-Nominated-Parliamentary/pdf/Parliamentary_-_Statement_of_Pers_Nom_Notice_of_Poll_Sit_of_Poll_Stat_3.pdf?m=1717778214250" TargetMode="External"/><Relationship Id="rId506" Type="http://schemas.openxmlformats.org/officeDocument/2006/relationships/hyperlink" Target="https://www.sholland.gov.uk/media/25048/Statement-of-Persons-Nominated-and-Notice-of-Poll/pdf/Statement_of_Persons_Nominated_and_Notice_of_Poll.pdf?m=1717775838137" TargetMode="External"/><Relationship Id="rId38" Type="http://schemas.openxmlformats.org/officeDocument/2006/relationships/hyperlink" Target="https://www.towerhamlets.gov.uk/Documents/Democracy/Elections/2024/SOPN-Bethnal-Green-Stepney.docx" TargetMode="External"/><Relationship Id="rId103" Type="http://schemas.openxmlformats.org/officeDocument/2006/relationships/hyperlink" Target="https://www.caerphilly.gov.uk/my-council/voting-and-elections/forthcoming-elections-2024/general-election-2024" TargetMode="External"/><Relationship Id="rId310" Type="http://schemas.openxmlformats.org/officeDocument/2006/relationships/hyperlink" Target="https://www.hull.gov.uk/downloads/file/3393/Statement_of_Persons_Nominated_and_Notice_of_Poll___Kingston_upon_Hull_West_and_Haltemprice.pdf" TargetMode="External"/><Relationship Id="rId492" Type="http://schemas.openxmlformats.org/officeDocument/2006/relationships/hyperlink" Target="https://www.shropshire.gov.uk/media/28058/sopn-shrewsbury.pdf" TargetMode="External"/><Relationship Id="rId548" Type="http://schemas.openxmlformats.org/officeDocument/2006/relationships/hyperlink" Target="https://www.trafford.gov.uk/about-your-council/elections/docs/2024/Notices/Statement-of-Persons-Nominated-and-Notice-of-Poll-Stretford-and-Urmston.pdf" TargetMode="External"/><Relationship Id="rId91" Type="http://schemas.openxmlformats.org/officeDocument/2006/relationships/hyperlink" Target="https://www.southnorfolkandbroadland.gov.uk/downloads/file/7044/statement-of-persons-nominated-notice-of-poll-and-situation-of-polling-stations-broadland-and-fakenham" TargetMode="External"/><Relationship Id="rId145" Type="http://schemas.openxmlformats.org/officeDocument/2006/relationships/hyperlink" Target="https://www.cheshireeast.gov.uk/pdf/elections/parliamentary-election-2024/statement-of-persons-nominated-and-notice-of-poll-congleton-constituency.pdf" TargetMode="External"/><Relationship Id="rId187" Type="http://schemas.openxmlformats.org/officeDocument/2006/relationships/hyperlink" Target="https://www.newham.gov.uk/downloads/file/7475/east-ham-constituency-statement-of-persons-nominated-notice-of-poll-and-situation-of-polling-stations" TargetMode="External"/><Relationship Id="rId352" Type="http://schemas.openxmlformats.org/officeDocument/2006/relationships/hyperlink" Target="https://www.manchester.gov.uk/directory_record/466428/manchester_withington" TargetMode="External"/><Relationship Id="rId394" Type="http://schemas.openxmlformats.org/officeDocument/2006/relationships/hyperlink" Target="https://www.north-ayrshire.gov.uk/Documents/Election-Info/notice-of-poll-uk-general-election.pdf" TargetMode="External"/><Relationship Id="rId408" Type="http://schemas.openxmlformats.org/officeDocument/2006/relationships/hyperlink" Target="https://www.north-norfolk.gov.uk/media/10392/statement-of-persons-nominated-and-notice-of-poll-north-norfolk-constituency.pdf" TargetMode="External"/><Relationship Id="rId615" Type="http://schemas.openxmlformats.org/officeDocument/2006/relationships/hyperlink" Target="https://www.braintree.gov.uk/downloads/file/3953/statement-of-persons-nominated-witham" TargetMode="External"/><Relationship Id="rId212" Type="http://schemas.openxmlformats.org/officeDocument/2006/relationships/hyperlink" Target="https://exeter.gov.uk/media/a54mwlv0/statement-of-persons-nominated-and-notice-of-poll-ukpge-4-july-2024.pdf" TargetMode="External"/><Relationship Id="rId254" Type="http://schemas.openxmlformats.org/officeDocument/2006/relationships/hyperlink" Target="https://www.fareham.gov.uk/pdf/about_the_council/elections/SOPN_and_NoticeOfPoll-Hamble_Valley.pdf" TargetMode="External"/><Relationship Id="rId49" Type="http://schemas.openxmlformats.org/officeDocument/2006/relationships/hyperlink" Target="https://www.birmingham.gov.uk/download/downloads/id/29248/northfield_constituency_notice_of_poll_and_persons_nominated.pdf" TargetMode="External"/><Relationship Id="rId114" Type="http://schemas.openxmlformats.org/officeDocument/2006/relationships/hyperlink" Target="https://www.cumberland.gov.uk/sites/default/files/2024-06/carlisle_-_statement_of_persons_nominated_and_notice_of_poll_0.pdf" TargetMode="External"/><Relationship Id="rId296" Type="http://schemas.openxmlformats.org/officeDocument/2006/relationships/hyperlink" Target="https://www.ipswich.gov.uk/sites/www.ipswich.gov.uk/files/statement_of_persons_nominated_and_notice_of_poll_2.pdf" TargetMode="External"/><Relationship Id="rId461" Type="http://schemas.openxmlformats.org/officeDocument/2006/relationships/hyperlink" Target="https://www.ribblevalley.gov.uk/downloads/file/4146/statement-of-persons-nominated-and-notice-of-poll-ribble-valley-parliamentary-04-july-2024" TargetMode="External"/><Relationship Id="rId517" Type="http://schemas.openxmlformats.org/officeDocument/2006/relationships/hyperlink" Target="https://www.wiltshire.gov.uk/media/13498/Statement-of-Persons-Nominated-Notice-of-Poll-and-Situation-of-Polling-Stations-South-West-Wiltshire-Constituency/pdf/SoPN__NoP__SoPS_-_South_West_Wiltshire_Constituency.pdf?m=1717777096653" TargetMode="External"/><Relationship Id="rId559" Type="http://schemas.openxmlformats.org/officeDocument/2006/relationships/hyperlink" Target="https://www.tamworth.gov.uk/sites/default/files/councillors_docs/03-Statement-of-Person-Nominated-Notice-of-Poll-and-Situation-of-Polling-Stations-UKPGE2024.pdf" TargetMode="External"/><Relationship Id="rId60" Type="http://schemas.openxmlformats.org/officeDocument/2006/relationships/hyperlink" Target="https://www.northumberland.gov.uk/NorthumberlandCountyCouncil/media/Councillors-and-Democracy/2%20may%202024%20elections/Statement-of-Persons-Nominated-and-Notice-of-Poll-Blyth-and-Ashington.pdf" TargetMode="External"/><Relationship Id="rId156" Type="http://schemas.openxmlformats.org/officeDocument/2006/relationships/hyperlink" Target="https://www.croydon.gov.uk/council-and-elections/voting-and-elections/general-election-thursday-4-july-2024-0/candidate-information" TargetMode="External"/><Relationship Id="rId198" Type="http://schemas.openxmlformats.org/officeDocument/2006/relationships/hyperlink" Target="https://www.edinburgh.gov.uk/elections-voting/ways-vote/6" TargetMode="External"/><Relationship Id="rId321" Type="http://schemas.openxmlformats.org/officeDocument/2006/relationships/hyperlink" Target="https://www.leicester.gov.uk/media/twmb2lev/statement-of-persons-nominated-notice-of-poll-leicester-east.pdf" TargetMode="External"/><Relationship Id="rId363" Type="http://schemas.openxmlformats.org/officeDocument/2006/relationships/hyperlink" Target="https://www.dorsetcouncil.gov.uk/w/uk-parliamentary-general-election" TargetMode="External"/><Relationship Id="rId419" Type="http://schemas.openxmlformats.org/officeDocument/2006/relationships/hyperlink" Target="https://cms.westnorthants.gov.uk/media/15767/download" TargetMode="External"/><Relationship Id="rId570" Type="http://schemas.openxmlformats.org/officeDocument/2006/relationships/hyperlink" Target="https://www.tmbc.gov.uk/downloads/file/3601/notice-of-poll-and-persons-nominated" TargetMode="External"/><Relationship Id="rId626" Type="http://schemas.openxmlformats.org/officeDocument/2006/relationships/hyperlink" Target="https://www.buckinghamshire.gov.uk/documents/32511/2024.07.04_Wycombe_Constituency_Statement_of_Persons_Nominated.pdf" TargetMode="External"/><Relationship Id="rId223" Type="http://schemas.openxmlformats.org/officeDocument/2006/relationships/hyperlink" Target="https://somersetcc.sharepoint.com/sites/SCCPublic/Council%20Democracy/Forms/AllItems.aspx?id=%2Fsites%2FSCCPublic%2FCouncil%20Democracy%2FGeneral%20Election%202024%2FNotice%20of%20Poll%20And%20Persons%20Nominated%20%2D%20Frome%20and%20East%20Somerset%2Epdf&amp;parent=%2Fsites%2FSCCPublic%2FCouncil%20Democracy%2FGeneral%20Election%202024&amp;p=true&amp;ga=1" TargetMode="External"/><Relationship Id="rId430" Type="http://schemas.openxmlformats.org/officeDocument/2006/relationships/hyperlink" Target="https://www.bromley.gov.uk/downloads/file/2473/statement-of-persons-nominated-orpington-constituency" TargetMode="External"/><Relationship Id="rId18" Type="http://schemas.openxmlformats.org/officeDocument/2006/relationships/hyperlink" Target="https://tameside.moderngov.co.uk/mggeneric.aspx?MD=Election2024" TargetMode="External"/><Relationship Id="rId265" Type="http://schemas.openxmlformats.org/officeDocument/2006/relationships/hyperlink" Target="https://legacy.tendringdc.gov.uk/sites/default/files/documents/council/elections%20%26%20voting/2024/UKPGE%20-%20NOP%20SOP%20SOPN%202024%20HNE.pdf" TargetMode="External"/><Relationship Id="rId472" Type="http://schemas.openxmlformats.org/officeDocument/2006/relationships/hyperlink" Target="https://www.hillingdon.gov.uk/media/14279/Statement-of-persons-nominated---Ruislip-Northwood-and-Pinner/pdf/53Statement-of-Persons-Nominated-Ruislip-Northwood-and-Pinner-2024.pdf?m=1717773504507" TargetMode="External"/><Relationship Id="rId528" Type="http://schemas.openxmlformats.org/officeDocument/2006/relationships/hyperlink" Target="https://www.sthelens.gov.uk/media/8478/Statement-of-Persons-Nominated-and-Notice-of-Poll-St-Helens-North/pdf/St_Helens_North_-_Statment_of_Persons_Nominated_and_Notice_of_Poll.pdf?m=1717777136100" TargetMode="External"/><Relationship Id="rId125" Type="http://schemas.openxmlformats.org/officeDocument/2006/relationships/hyperlink" Target="https://www.cheltenham.gov.uk/info/17/elections_and_voting/1834/statement_of_persons_nominated_and_notice_of_poll_for_the_uk_parliamentary_election_july_2024" TargetMode="External"/><Relationship Id="rId167" Type="http://schemas.openxmlformats.org/officeDocument/2006/relationships/hyperlink" Target="https://www.doncaster.gov.uk/Documents/DocumentView/Stream/Media/Default/Council%20and%20Democracy/Elections/Central%20-%20Statement%20of%20Persons%20Nominated%20Notice%20of%20Poll.pdf" TargetMode="External"/><Relationship Id="rId332" Type="http://schemas.openxmlformats.org/officeDocument/2006/relationships/hyperlink" Target="https://liverpool.gov.uk/media/2g2ci1xp/statement-of-persons-noinated-liverpool-garston.docx" TargetMode="External"/><Relationship Id="rId374" Type="http://schemas.openxmlformats.org/officeDocument/2006/relationships/hyperlink" Target="https://www.monmouthshire.gov.uk/general-election-2024/" TargetMode="External"/><Relationship Id="rId581" Type="http://schemas.openxmlformats.org/officeDocument/2006/relationships/hyperlink" Target="https://www.valeofglamorgan.gov.uk/Documents/Our%20Council/Council/Elections/NoP-SoPS-SoPN-07-06-24.pdf" TargetMode="External"/><Relationship Id="rId71" Type="http://schemas.openxmlformats.org/officeDocument/2006/relationships/hyperlink" Target="https://www.bradford.gov.uk/your-council/elections-and-voting/statement-of-persons-nominated-and-notice-of-poll/" TargetMode="External"/><Relationship Id="rId234" Type="http://schemas.openxmlformats.org/officeDocument/2006/relationships/hyperlink" Target="https://www.glasgow.gov.uk/media/12226/Glasgow-West/pdf/WEST_-_SOPN_and_NOP.pdf?m=1717783346610" TargetMode="External"/><Relationship Id="rId2" Type="http://schemas.openxmlformats.org/officeDocument/2006/relationships/hyperlink" Target="https://www.aberdeencity.gov.uk/sites/default/files/2024-06/Notice-of-poll-Aberdeen%20North.pdf" TargetMode="External"/><Relationship Id="rId29" Type="http://schemas.openxmlformats.org/officeDocument/2006/relationships/hyperlink" Target="https://www.bassetlaw.gov.uk/council-and-democracy/elections-in-bassetlaw/uk-parliamentary-general-election/statement-of-persons-nominated-notice-of-poll-and-situation-of-polling-stations-bassetlaw-parliamentary-constituency/" TargetMode="External"/><Relationship Id="rId276" Type="http://schemas.openxmlformats.org/officeDocument/2006/relationships/hyperlink" Target="https://www.hertsmere.gov.uk/Documents/11-Your-Council/Democracy-Elections/2024-UKPGE/NoticeOfPollAndPersonsNominatedAndPollingLocations-2024-06-06-17-04.pdf" TargetMode="External"/><Relationship Id="rId441" Type="http://schemas.openxmlformats.org/officeDocument/2006/relationships/hyperlink" Target="https://www.peterborough.gov.uk/asset-library/uk-general-election-2024-situation-of-persons-nominated-notice-of-poll-and-situation-of-polling-stations-peterborough.pdf" TargetMode="External"/><Relationship Id="rId483" Type="http://schemas.openxmlformats.org/officeDocument/2006/relationships/hyperlink" Target="https://www.northyorks.gov.uk/sites/default/files/2024-06/SPN%20Selby%2007.06.2024.pdf" TargetMode="External"/><Relationship Id="rId539" Type="http://schemas.openxmlformats.org/officeDocument/2006/relationships/hyperlink" Target="https://www.stockton.gov.uk/media/6432/Statement-of-Persons-nominated-notice-of-poll-and-situation-of-polling-stations-Stockton-West/pdf/Statement_of_Persons_nominated_-_notice_of_poll_and_situation_of_polling_stations_Stockton_West.pdf?m=1717778329877" TargetMode="External"/><Relationship Id="rId40" Type="http://schemas.openxmlformats.org/officeDocument/2006/relationships/hyperlink" Target="https://rdcpublic.blob.core.windows.net/website-uploads/2024/06/Statement-of-Persons-Nominated-Notice-of-Poll-and-Situation-of-Polling-Stations-UKPGE-2024.pdf" TargetMode="External"/><Relationship Id="rId136" Type="http://schemas.openxmlformats.org/officeDocument/2006/relationships/hyperlink" Target="https://www.westminster.gov.uk/about-council/democracy/elections-referendums-and-how-vote/general-election-4-july-2024" TargetMode="External"/><Relationship Id="rId178" Type="http://schemas.openxmlformats.org/officeDocument/2006/relationships/hyperlink" Target="https://www.fife.gov.uk/__data/assets/word_doc/0034/588535/UKPE2024-Notice-Of-Poll-DD.docx" TargetMode="External"/><Relationship Id="rId301" Type="http://schemas.openxmlformats.org/officeDocument/2006/relationships/hyperlink" Target="https://www.southtyneside.gov.uk/media/8076/Statement-of-persons-nominated-and-notice-of-poll-Jarrow-and-Gateshead-East-Constituency/pdf/Statement_of_Persons_Nominated_and_Notice_of_Poll_-_Jarrow_and_Gateshead_East.pdf?m=1717781203250" TargetMode="External"/><Relationship Id="rId343" Type="http://schemas.openxmlformats.org/officeDocument/2006/relationships/hyperlink" Target="https://www.luton.gov.uk/Council_government_and_democracy/Lists/LutonDocuments/PDF/Voting%20and%20elections/election-july-2024/statement-of-person-nominated-and-notice-of-poll-luton-north.pdf" TargetMode="External"/><Relationship Id="rId550" Type="http://schemas.openxmlformats.org/officeDocument/2006/relationships/hyperlink" Target="https://www.eastsuffolk.gov.uk/assets/Elections/2024/General-Election-Thursday-4-July-2024/Statement-of-Persons-Nominated-Situation-of-Polling-Stations-and-Notice-of-Poll-Suffolk-Coastal.pdf" TargetMode="External"/><Relationship Id="rId82" Type="http://schemas.openxmlformats.org/officeDocument/2006/relationships/hyperlink" Target="https://www.eastriding.gov.uk/url-directory/election-notices/?entry=597" TargetMode="External"/><Relationship Id="rId203" Type="http://schemas.openxmlformats.org/officeDocument/2006/relationships/hyperlink" Target="https://www.cheshirewestandchester.gov.uk/asset-library/your-council/elections/general-election-2024/SOPN-NoP-SoP-EPB-UKPGE.pdf" TargetMode="External"/><Relationship Id="rId385" Type="http://schemas.openxmlformats.org/officeDocument/2006/relationships/hyperlink" Target="https://new.newcastle.gov.uk/sites/default/files/2024-06/20240607_Elections_General_July-24_Newcastle-Central-West_Statement-of-persons-nominated.pdf" TargetMode="External"/><Relationship Id="rId592" Type="http://schemas.openxmlformats.org/officeDocument/2006/relationships/hyperlink" Target="https://www.midsuffolk.gov.uk/documents/d/asset-library-54706/waveney-valley-nop-sopn-sops" TargetMode="External"/><Relationship Id="rId606" Type="http://schemas.openxmlformats.org/officeDocument/2006/relationships/hyperlink" Target="https://n-somerset.gov.uk/sites/default/files/2024-06/7%20Jun%20-%20statement%20of%20persons%20nominated%2C%20notice%20of%20poll%20and%20location%20of%20polling%20stations%20-%20Weston-super-Mare%20constituency.pdf" TargetMode="External"/><Relationship Id="rId245" Type="http://schemas.openxmlformats.org/officeDocument/2006/relationships/hyperlink" Target="https://www.gravesham.gov.uk/downloads/file/704/statement-of-persons-nominated-and-situation-of-polling-stations-gravesham-constituency-" TargetMode="External"/><Relationship Id="rId287" Type="http://schemas.openxmlformats.org/officeDocument/2006/relationships/hyperlink" Target="https://www.sunderland.gov.uk/media/32739/Statement-of-Persons-Nominated-Notice-of-Poll-and-Situation-of-Polling-Stations-UK-PGE-HSS-4-July-2024/pdf/Statement_of_Persons_Nominated__Notice_of_Poll_and_Situation_of_Polling_Stations_-_HSS_2024_06_07_9n.pdf?m=1717769143820" TargetMode="External"/><Relationship Id="rId410" Type="http://schemas.openxmlformats.org/officeDocument/2006/relationships/hyperlink" Target="https://www.shropshire.gov.uk/media/28057/sopn-north-shropshire.pdf" TargetMode="External"/><Relationship Id="rId452" Type="http://schemas.openxmlformats.org/officeDocument/2006/relationships/hyperlink" Target="https://www.westminster.gov.uk/about-council/democracy/elections-referendums-and-how-vote/general-election-4-july-2024" TargetMode="External"/><Relationship Id="rId494" Type="http://schemas.openxmlformats.org/officeDocument/2006/relationships/hyperlink" Target="https://www.northyorks.gov.uk/sites/default/files/2024-06/SPN%20Skipton%20and%20Ripon%2007.06.2024.pdf" TargetMode="External"/><Relationship Id="rId508" Type="http://schemas.openxmlformats.org/officeDocument/2006/relationships/hyperlink" Target="https://www.southnorfolkandbroadland.gov.uk/downloads/file/7046/statement-of-persons-nominated-notice-of-poll-and-situation-of-polling-stations-south-norfolk" TargetMode="External"/><Relationship Id="rId105" Type="http://schemas.openxmlformats.org/officeDocument/2006/relationships/hyperlink" Target="https://new.calderdale.gov.uk/sites/default/files/2024-06/Statement%20as%20to%20Persons%20Nominated%20Calder%20Valley.pdf" TargetMode="External"/><Relationship Id="rId147" Type="http://schemas.openxmlformats.org/officeDocument/2006/relationships/hyperlink" Target="https://www.coventry.gov.uk/elections-voting/uk-parliamentary-general-election-2024/6" TargetMode="External"/><Relationship Id="rId312" Type="http://schemas.openxmlformats.org/officeDocument/2006/relationships/hyperlink" Target="https://www.knowsley.gov.uk/sites/default/files/2024-06/Knowsley%20Constituency%20-%20Statement%20of%20Persons%20Nominated%20and%20Notice%20of%20Poll.docx" TargetMode="External"/><Relationship Id="rId354" Type="http://schemas.openxmlformats.org/officeDocument/2006/relationships/hyperlink" Target="https://www.wiltshire.gov.uk/media/13496/Statement-of-Persons-Nominated-Notice-of-Poll-and-Situation-of-Polling-Stations-Melksham-and-Devizes-Constituency/pdf/SoPN__NoP__SoPS_-_Melksham_and_Devizes_Constituency.pdf?m=1717776903797" TargetMode="External"/><Relationship Id="rId51" Type="http://schemas.openxmlformats.org/officeDocument/2006/relationships/hyperlink" Target="https://www.birmingham.gov.uk/download/downloads/id/29245/selly_oak_constituency_notice_of_poll_and_persons_nominated.pdf" TargetMode="External"/><Relationship Id="rId93" Type="http://schemas.openxmlformats.org/officeDocument/2006/relationships/hyperlink" Target="https://www.bromsgrove.gov.uk/media/4evjb0kn/sopn-nop-and-sops-bromsgrove.pdf" TargetMode="External"/><Relationship Id="rId189" Type="http://schemas.openxmlformats.org/officeDocument/2006/relationships/hyperlink" Target="https://www.southlanarkshire.gov.uk/info/200237/elections/2221/uk_parliamentary_general_election_thursday_4_july_2024/3" TargetMode="External"/><Relationship Id="rId396" Type="http://schemas.openxmlformats.org/officeDocument/2006/relationships/hyperlink" Target="https://www.cornwall.gov.uk/the-council-and-democracy/elections/elections-and-referendums/2024-parliamentary-election/" TargetMode="External"/><Relationship Id="rId561" Type="http://schemas.openxmlformats.org/officeDocument/2006/relationships/hyperlink" Target="https://somersetcc.sharepoint.com/sites/SCCPublic/Council%20Democracy/Forms/AllItems.aspx?id=%2Fsites%2FSCCPublic%2FCouncil%20Democracy%2FGeneral%20Election%202024%2FSOPN%20Taunton%20%26%20Wellington%2Epdf&amp;parent=%2Fsites%2FSCCPublic%2FCouncil%20Democracy%2FGeneral%20Election%202024&amp;p=true&amp;ga=1" TargetMode="External"/><Relationship Id="rId617" Type="http://schemas.openxmlformats.org/officeDocument/2006/relationships/hyperlink" Target="https://www.woking.gov.uk/sites/default/files/documents/council-and-democracy/elections/Statement%20of%20Persons%20Nominated%20and%20Notice%20of%20Poll.pdf" TargetMode="External"/><Relationship Id="rId214" Type="http://schemas.openxmlformats.org/officeDocument/2006/relationships/hyperlink" Target="https://www.falkirk.gov.uk/services/council-democracy/elections-voting/general-election/docs/nominated-and-notice/Statement%20of%20Persons%20Nominated%20and%20Notice%20of%20Poll%20(2).docx" TargetMode="External"/><Relationship Id="rId256" Type="http://schemas.openxmlformats.org/officeDocument/2006/relationships/hyperlink" Target="https://www.lbhf.gov.uk/sites/default/files/2024-06/Statement-of-Persons-Nominated-Hammersmith-and-Chiswick-final-web.pdf" TargetMode="External"/><Relationship Id="rId298" Type="http://schemas.openxmlformats.org/officeDocument/2006/relationships/hyperlink" Target="https://iwc.iow.gov.uk/documentlibrary/download/statement-of-persons-nominated-and-notice-of-poll-isle-of-wight-west" TargetMode="External"/><Relationship Id="rId421" Type="http://schemas.openxmlformats.org/officeDocument/2006/relationships/hyperlink" Target="https://www.norwich.gov.uk/download/downloads/id/10263/statement_of_persons_nominated_and_notice_of_poll.pdf" TargetMode="External"/><Relationship Id="rId463" Type="http://schemas.openxmlformats.org/officeDocument/2006/relationships/hyperlink" Target="https://www.richmond.gov.uk/media/a4fpfcp5/statement_of_persons_nominated_notice_of_poll_richmond_park_2024.pdf" TargetMode="External"/><Relationship Id="rId519" Type="http://schemas.openxmlformats.org/officeDocument/2006/relationships/hyperlink" Target="https://www.southampton.gov.uk/media/lqhfikvd/ukpge-2024_test_sopn_nop_sops.pdf" TargetMode="External"/><Relationship Id="rId116" Type="http://schemas.openxmlformats.org/officeDocument/2006/relationships/hyperlink" Target="https://www.castlepoint.gov.uk/download.cfm?doc=docm93jijm4n8183.pdf&amp;ver=13924" TargetMode="External"/><Relationship Id="rId158" Type="http://schemas.openxmlformats.org/officeDocument/2006/relationships/hyperlink" Target="https://www.lbbd.gov.uk/sites/default/files/2024-06/SOPN%20-%20DR%202024.pdf" TargetMode="External"/><Relationship Id="rId323" Type="http://schemas.openxmlformats.org/officeDocument/2006/relationships/hyperlink" Target="https://www.leicester.gov.uk/media/kmol1g2t/statement-of-persons-nominated-notice-of-poll-leicester-west.pdf" TargetMode="External"/><Relationship Id="rId530" Type="http://schemas.openxmlformats.org/officeDocument/2006/relationships/hyperlink" Target="https://www.cornwall.gov.uk/the-council-and-democracy/elections/elections-and-referendums/2024-parliamentary-election/" TargetMode="External"/><Relationship Id="rId20" Type="http://schemas.openxmlformats.org/officeDocument/2006/relationships/hyperlink" Target="https://www.south-ayrshire.gov.uk/media/12246/DOC-20240704-UKPGE-Notice-of-Poll-ACC/pdf/DOC_20240704_UKPGE_Notice_of_Poll_ACC.pdf?m=1717779296167" TargetMode="External"/><Relationship Id="rId62" Type="http://schemas.openxmlformats.org/officeDocument/2006/relationships/hyperlink" Target="https://www.bolsover.gov.uk/index.php?option=com_content&amp;view=article&amp;id=1248" TargetMode="External"/><Relationship Id="rId365" Type="http://schemas.openxmlformats.org/officeDocument/2006/relationships/hyperlink" Target="https://www.charnwood.gov.uk/files/documents/statement_of_persons_nominated_and_notice_of_poll_mid_leicestershire_constituency/Statement%20of%20Persons%20Nominated%20and%20Notice%20of%20Poll%20-%20Mid%20Leicestershire%20Constituency.pdf" TargetMode="External"/><Relationship Id="rId572" Type="http://schemas.openxmlformats.org/officeDocument/2006/relationships/hyperlink" Target="https://www.torbay.gov.uk/council/voting-and-elections/elections/parliamentary/statement-of-persons-nominated-and-notice-of-poll/" TargetMode="External"/><Relationship Id="rId628" Type="http://schemas.openxmlformats.org/officeDocument/2006/relationships/hyperlink" Target="https://www.manchester.gov.uk/directory_record/466427/wythenshawe_and_sale_east" TargetMode="External"/><Relationship Id="rId225" Type="http://schemas.openxmlformats.org/officeDocument/2006/relationships/hyperlink" Target="https://www.west-lindsey.gov.uk/sites/default/files/2024-06/Statement%20of%20Persons%20Nominated%2C%20Notice%20of%20Poll%20and%20Situation%20of%20Polling%20Stations.pdf" TargetMode="External"/><Relationship Id="rId267" Type="http://schemas.openxmlformats.org/officeDocument/2006/relationships/hyperlink" Target="https://www.havant.gov.uk/sites/default/files/2024-06/Statement%20of%20Person%27s%20Nominated%20%26%20Notice%20of%20Poll%20UKPGE.pdf" TargetMode="External"/><Relationship Id="rId432" Type="http://schemas.openxmlformats.org/officeDocument/2006/relationships/hyperlink" Target="https://www.oxford.gov.uk/downloads/file/3404/statement-of-person-s-nominated" TargetMode="External"/><Relationship Id="rId474" Type="http://schemas.openxmlformats.org/officeDocument/2006/relationships/hyperlink" Target="https://www.runnymede.gov.uk/elections-2/general-election-2024" TargetMode="External"/><Relationship Id="rId127" Type="http://schemas.openxmlformats.org/officeDocument/2006/relationships/hyperlink" Target="https://www.cheshirewestandchester.gov.uk/asset-library/your-council/elections/general-election-2024/SOPN-NoP-SoP-CNN-UKPGE.pdf" TargetMode="External"/><Relationship Id="rId31" Type="http://schemas.openxmlformats.org/officeDocument/2006/relationships/hyperlink" Target="https://www.westlothian.gov.uk/media/61687/Notice-of-Poll-Bathgate-Linlithgow/pdf/Notice_of_Poll_Bathgate___Linlithgow.pdf" TargetMode="External"/><Relationship Id="rId73" Type="http://schemas.openxmlformats.org/officeDocument/2006/relationships/hyperlink" Target="https://www.bradford.gov.uk/your-council/elections-and-voting/statement-of-persons-nominated-and-notice-of-poll/" TargetMode="External"/><Relationship Id="rId169" Type="http://schemas.openxmlformats.org/officeDocument/2006/relationships/hyperlink" Target="https://www.doncaster.gov.uk/Documents/DocumentView/Stream/Media/Default/Council%20and%20Democracy/Elections/Doncaster%20North%20-%20Statement%20of%20Persons%20Nominated%20Notice%20of%20Poll.pdf" TargetMode="External"/><Relationship Id="rId334" Type="http://schemas.openxmlformats.org/officeDocument/2006/relationships/hyperlink" Target="https://liverpool.gov.uk/media/edioj3tt/statement-of-person-nominated-liverpool-walton.docx" TargetMode="External"/><Relationship Id="rId376" Type="http://schemas.openxmlformats.org/officeDocument/2006/relationships/hyperlink" Target="http://www.moray.gov.uk/downloads/file155741.pdf" TargetMode="External"/><Relationship Id="rId541" Type="http://schemas.openxmlformats.org/officeDocument/2006/relationships/hyperlink" Target="https://www.stoke.gov.uk/download/downloads/id/2505/north_sopn_and_nop.pdf" TargetMode="External"/><Relationship Id="rId583" Type="http://schemas.openxmlformats.org/officeDocument/2006/relationships/hyperlink" Target="https://www.wakefield.gov.uk/media/a1nabemk/wf-ukpge-sopn-notice-of-poll-wakefield-rothwell.docx" TargetMode="External"/><Relationship Id="rId4" Type="http://schemas.openxmlformats.org/officeDocument/2006/relationships/hyperlink" Target="https://aberdeenshire.gov.uk/media/vrdfilwm/notice-of-poll-ukpge-ea22-anme.pdf" TargetMode="External"/><Relationship Id="rId180" Type="http://schemas.openxmlformats.org/officeDocument/2006/relationships/hyperlink" Target="https://www.gwynedd.llyw.cymru/en/Council/Voting-and-elections/Parliamentary-Elections.aspx" TargetMode="External"/><Relationship Id="rId236" Type="http://schemas.openxmlformats.org/officeDocument/2006/relationships/hyperlink" Target="https://www.fife.gov.uk/__data/assets/word_doc/0033/588534/UKPE2024-Notice-Of-Poll-GMF.docx" TargetMode="External"/><Relationship Id="rId278" Type="http://schemas.openxmlformats.org/officeDocument/2006/relationships/hyperlink" Target="https://www.rochdale.gov.uk/downloads/file/2388/statement-of-persons-nominated-heywood-and-middleton-north" TargetMode="External"/><Relationship Id="rId401" Type="http://schemas.openxmlformats.org/officeDocument/2006/relationships/hyperlink" Target="https://www.fenland.gov.uk/media/21161/Statement-of-Persons-Nominated-and-Notice-of-Poll-North-East-Cambridgeshire-Parliamentary-Constituency/pdf/Statement_of_Person_Nominated___Notice_of_Poll_-_North_East_Cambridgeshire_Parliamentary_Constituenc.pdf?m=1717779188043" TargetMode="External"/><Relationship Id="rId443" Type="http://schemas.openxmlformats.org/officeDocument/2006/relationships/hyperlink" Target="https://www.plymouth.gov.uk/sites/default/files/2024-06/PSD.pdf" TargetMode="External"/><Relationship Id="rId303" Type="http://schemas.openxmlformats.org/officeDocument/2006/relationships/hyperlink" Target="https://www.warwickdc.gov.uk/info/20660/general_elections/1964/general_election_2024/3" TargetMode="External"/><Relationship Id="rId485" Type="http://schemas.openxmlformats.org/officeDocument/2006/relationships/hyperlink" Target="https://www.sheffield.gov.uk/sites/default/files/2024-06/statement_of_persons_nominated_and_notice_of_poll_general_election.pdf" TargetMode="External"/><Relationship Id="rId42" Type="http://schemas.openxmlformats.org/officeDocument/2006/relationships/hyperlink" Target="https://westoxon.gov.uk/media/z0vodxkh/bicester-and-woodstock-sopn-nop-sops.pdf" TargetMode="External"/><Relationship Id="rId84" Type="http://schemas.openxmlformats.org/officeDocument/2006/relationships/hyperlink" Target="https://www.brighton-hove.gov.uk/council-and-democracy/voting-and-elections/statement-persons-nominated-and-notice-poll-brighton-kemptown-and-peacehaven" TargetMode="External"/><Relationship Id="rId138" Type="http://schemas.openxmlformats.org/officeDocument/2006/relationships/hyperlink" Target="https://legacy.tendringdc.gov.uk/sites/default/files/documents/council/elections%20%26%20voting/2024/UKPGE%20-%20NOP%20SOP%20SOPN%202024%20Clacton.pdf" TargetMode="External"/><Relationship Id="rId345" Type="http://schemas.openxmlformats.org/officeDocument/2006/relationships/hyperlink" Target="https://www.cheshireeast.gov.uk/pdf/elections/parliamentary-election-2024/statement-of-persons-nominated-and-notice-of-poll-macclesfield-constituency.pdf" TargetMode="External"/><Relationship Id="rId387" Type="http://schemas.openxmlformats.org/officeDocument/2006/relationships/hyperlink" Target="https://new.newcastle.gov.uk/sites/default/files/2024-06/20240607_Elections_General_July-24_Newcastle-North_Statement-of-persons-nominated.pdf" TargetMode="External"/><Relationship Id="rId510" Type="http://schemas.openxmlformats.org/officeDocument/2006/relationships/hyperlink" Target="https://www.southribble.gov.uk/media/2918/Statement-of-Persons-Nominated-Notice-of-Poll-South-Ribble-constituency/pdf/Statement_of_Persons_Nominated___Notice_of_Poll_-_South_Ribble_constituency.pdf?m=1717777861267" TargetMode="External"/><Relationship Id="rId552" Type="http://schemas.openxmlformats.org/officeDocument/2006/relationships/hyperlink" Target="https://www.surreyheath.gov.uk/sites/default/files/2024-06/Statement%20of%20Persons%20Nominated%2C%20Notice%20of%20Poll%20and%20Situation%20of%20Polling%20Stations.pdf" TargetMode="External"/><Relationship Id="rId594" Type="http://schemas.openxmlformats.org/officeDocument/2006/relationships/hyperlink" Target="https://www.northnorthants.gov.uk/elections-and-voting/upcoming-elections/uk-general-election-thursday-4-july-2024/general-election-3" TargetMode="External"/><Relationship Id="rId608" Type="http://schemas.openxmlformats.org/officeDocument/2006/relationships/hyperlink" Target="https://www.cumberland.gov.uk/sites/default/files/2024-06/whitehaven_and_workington_-_statement_of_persons_nominated_and_notice_of_poll.pdf" TargetMode="External"/><Relationship Id="rId191" Type="http://schemas.openxmlformats.org/officeDocument/2006/relationships/hyperlink" Target="https://tandridge.gov.uk/Your-council/Voting-and-elections/General-Election-and-Caterham-on-the-Hill-by-election-4-July-2024" TargetMode="External"/><Relationship Id="rId205" Type="http://schemas.openxmlformats.org/officeDocument/2006/relationships/hyperlink" Target="https://www.eastcambs.gov.uk/sites/default/files/Statement%20of%20Persons%20Nominated.pdf" TargetMode="External"/><Relationship Id="rId247" Type="http://schemas.openxmlformats.org/officeDocument/2006/relationships/hyperlink" Target="https://docs.great-yarmouth.gov.uk/media/8007/NoticeOfPollAndPersonsNominatedAndPollingLocations-A3/pdf/NoticeOfPollAndPersonsNominatedAndPollingLocations_A3.pdf?m=1717773944757" TargetMode="External"/><Relationship Id="rId412" Type="http://schemas.openxmlformats.org/officeDocument/2006/relationships/hyperlink" Target="https://www.northwarks.gov.uk/downloads/file/1382/statement-of-persons-nominated-and-notice-of-poll-north-warwickshire-and-bedworth" TargetMode="External"/><Relationship Id="rId107" Type="http://schemas.openxmlformats.org/officeDocument/2006/relationships/hyperlink" Target="https://www.cambridge.gov.uk/media/wabd214r/notice-of-poll-and-persons-nominated-2024-07-04.pdf" TargetMode="External"/><Relationship Id="rId289" Type="http://schemas.openxmlformats.org/officeDocument/2006/relationships/hyperlink" Target="https://www.kirklees.gov.uk/beta/voting-and-elections/statement-of-persons-nominated.aspx" TargetMode="External"/><Relationship Id="rId454" Type="http://schemas.openxmlformats.org/officeDocument/2006/relationships/hyperlink" Target="https://www.basildon.gov.uk/media/12075/Rochford-Council-Statement-of-Persons-Nominated-and-Notice-of-Poll-Rayleigh-Wickford-Constituency-July-2024/pdf/Rochford_Council_-_SOPN_NOP_-_Rayleigh___Wickford_Constituency_-_July_2024.pdf?m=1717779209887" TargetMode="External"/><Relationship Id="rId496" Type="http://schemas.openxmlformats.org/officeDocument/2006/relationships/hyperlink" Target="https://www.slough.gov.uk/downloads/file/4285/statement-of-persons-nominated-notice-of-poll-and-situation-of-polling-stations" TargetMode="External"/><Relationship Id="rId11" Type="http://schemas.openxmlformats.org/officeDocument/2006/relationships/hyperlink" Target="https://www.ambervalley.gov.uk/media/1292/20240607-sopn-notice-of-poll-sops-amber-valley-constituency.pdf" TargetMode="External"/><Relationship Id="rId53" Type="http://schemas.openxmlformats.org/officeDocument/2006/relationships/hyperlink" Target="https://durham.gov.uk/media/44794/Statement-of-Persons-Nominated-with-Notice-of-Poll-and-Situation-of-Polling-Stations-Bishop-Auckland/pdf/StatementOfPersonsNominatedWithNoticeOfPollAndSituationOfPollingStations-BishopAuckland.pdf?m=1717777069690" TargetMode="External"/><Relationship Id="rId149" Type="http://schemas.openxmlformats.org/officeDocument/2006/relationships/hyperlink" Target="https://www.coventry.gov.uk/elections-voting/uk-parliamentary-general-election-2024/8" TargetMode="External"/><Relationship Id="rId314" Type="http://schemas.openxmlformats.org/officeDocument/2006/relationships/hyperlink" Target="https://www.leeds.gov.uk/docs/Leeds%20Central%20and%20Headingley.pdf" TargetMode="External"/><Relationship Id="rId356" Type="http://schemas.openxmlformats.org/officeDocument/2006/relationships/hyperlink" Target="https://www.solihull.gov.uk/councillors-and-democracy/general-election-2024" TargetMode="External"/><Relationship Id="rId398" Type="http://schemas.openxmlformats.org/officeDocument/2006/relationships/hyperlink" Target="https://www.northdevon.gov.uk/council/voting-and-elections/current-election-information" TargetMode="External"/><Relationship Id="rId521" Type="http://schemas.openxmlformats.org/officeDocument/2006/relationships/hyperlink" Target="https://www.southend.gov.uk/elections-registering-vote/elections-2024/5" TargetMode="External"/><Relationship Id="rId563" Type="http://schemas.openxmlformats.org/officeDocument/2006/relationships/hyperlink" Target="https://tewkesbury.gov.uk/wp-content/uploads/2024/06/Statement-of-Persons-Nominated-and-Notice-of-Poll.pdf" TargetMode="External"/><Relationship Id="rId619" Type="http://schemas.openxmlformats.org/officeDocument/2006/relationships/hyperlink" Target="https://www.wolverhampton.gov.uk/sites/default/files/2024-06/Statement%20of%20Persons%20Nominated%20and%20Notice%20of%20Poll%20-%20Wolverhampton%20North%20East.pdf" TargetMode="External"/><Relationship Id="rId95" Type="http://schemas.openxmlformats.org/officeDocument/2006/relationships/hyperlink" Target="https://www.broxtowe.gov.uk/media/ayahuevd/spn-nop-broxtowe-constituency.pdf" TargetMode="External"/><Relationship Id="rId160" Type="http://schemas.openxmlformats.org/officeDocument/2006/relationships/hyperlink" Target="https://www.dartford.gov.uk/downloads/file/2314/notice-of-poll-persons-nominated-and-polling-locations" TargetMode="External"/><Relationship Id="rId216" Type="http://schemas.openxmlformats.org/officeDocument/2006/relationships/hyperlink" Target="https://www.waverley.gov.uk/Services/Council-information/Registering-to-vote-and-elections/Elections-2024/Farnham-and-Bordon-Parliamentary-General-Election-Thursday-4-July-2024" TargetMode="External"/><Relationship Id="rId423" Type="http://schemas.openxmlformats.org/officeDocument/2006/relationships/hyperlink" Target="https://www.nottinghamcity.gov.uk/media/v0ci405v/statement-of-persons-nominated-and-notice-of-poll-north-and-kimberley.pdf" TargetMode="External"/><Relationship Id="rId258" Type="http://schemas.openxmlformats.org/officeDocument/2006/relationships/hyperlink" Target="https://www.harborough.gov.uk/download/downloads/id/8517/statement_of_persons_nominated_and_notice_of_poll_-_harborough_oadby_and_wigston.pdf" TargetMode="External"/><Relationship Id="rId465" Type="http://schemas.openxmlformats.org/officeDocument/2006/relationships/hyperlink" Target="https://www.medway.gov.uk/downloads/file/8736/notice_of_poll_and_persons_nominated_for_general_election_2024" TargetMode="External"/><Relationship Id="rId630" Type="http://schemas.openxmlformats.org/officeDocument/2006/relationships/hyperlink" Target="https://www.anglesey.gov.wales/documents/Docs-en/Council/Elections/UK-Parliament-election-2024/notice-of-statement-of-persons-nominated.pdf" TargetMode="External"/><Relationship Id="rId22" Type="http://schemas.openxmlformats.org/officeDocument/2006/relationships/hyperlink" Target="https://www.conwy.gov.uk/en/Council/Voting-and-Elections/About-Elections/UK-Parliamentary-Elections-General-Elections.aspx" TargetMode="External"/><Relationship Id="rId64" Type="http://schemas.openxmlformats.org/officeDocument/2006/relationships/hyperlink" Target="https://www.bolton.gov.uk/downloads/file/6021/general-election-2024-statement-of-persons-nominated-bolton-south-and-walkden" TargetMode="External"/><Relationship Id="rId118" Type="http://schemas.openxmlformats.org/officeDocument/2006/relationships/hyperlink" Target="https://www.middevon.gov.uk/your-council/voting-elections/2024-elections/uk-parliament-general-election/statement-of-persons-nominated-notice-of-poll-situation-of-polling-stations-uk-parliamentary-election/" TargetMode="External"/><Relationship Id="rId325" Type="http://schemas.openxmlformats.org/officeDocument/2006/relationships/hyperlink" Target="https://www.lewes-eastbourne.gov.uk/media/3892/Notice-of-Poll-Statement-of-Persons-Nominated-and-Situation-of-Polling-Stations-UK-Parliamentary-Election-4-July-2024/pdf/Notice_of_Poll__Statement_of_Persons_Nominated_and_Situation_of_Polling_Stations_-_UK_Parliamentary_.pdf?m=1717777713720" TargetMode="External"/><Relationship Id="rId367" Type="http://schemas.openxmlformats.org/officeDocument/2006/relationships/hyperlink" Target="https://www.midsussex.gov.uk/media/ji1bj0rd/mid-sussex-sopn-nop.pdf" TargetMode="External"/><Relationship Id="rId532" Type="http://schemas.openxmlformats.org/officeDocument/2006/relationships/hyperlink" Target="https://www.staffordbc.gov.uk/sites/default/files/cme/DocMan1/Elections-2024/General-Election/Notice-Of-Poll-And-Persons-Nominated-And-Polling-Stations.pdf" TargetMode="External"/><Relationship Id="rId574" Type="http://schemas.openxmlformats.org/officeDocument/2006/relationships/hyperlink" Target="https://www.torridge.gov.uk/media/27394/Statement-of-Persons-Nominated-and-Notice-of-Poll-and-Situation-of-Polling-Station/pdf/Statement_of_Persons_Nominated_and_Notice_of_Poll_and_Situation_of_Polling_Station.pdf?m=1717774883100" TargetMode="External"/><Relationship Id="rId171" Type="http://schemas.openxmlformats.org/officeDocument/2006/relationships/hyperlink" Target="https://www.dover.gov.uk/Council--Democracy/Elections/4-July-2024-UKPGE-Statement-of-Persons-Nominated-Notice-of-Poll-and-Situation-of-Polling-Stations.pdf" TargetMode="External"/><Relationship Id="rId227" Type="http://schemas.openxmlformats.org/officeDocument/2006/relationships/hyperlink" Target="https://www.gedling.gov.uk/elections/ukparliamentarygeneralelection-4july2024/statementofpersonsnominated/" TargetMode="External"/><Relationship Id="rId269" Type="http://schemas.openxmlformats.org/officeDocument/2006/relationships/hyperlink" Target="https://assets.ctfassets.net/ii3xdrqc6nfw/3KxhFF5hSF8WsV7GjWNiHr/d3989e0e4be2ed4cb41028c8b3bbf13e/Hazel_Grove_Statement_of_Persons_Nominated___Notice_of_Poll.pdf" TargetMode="External"/><Relationship Id="rId434" Type="http://schemas.openxmlformats.org/officeDocument/2006/relationships/hyperlink" Target="https://www.renfrewshire.gov.uk/media/16575/Statement-of-Persons-Nominated-including-Notice-of-Poll-and-Situation-of-Polling-Stations-for-Paisley-and-Renfrewshire-North-Constituency/pdf/FINAL_Notice_of_Poll___Sit_of_Polling_Places_-_PR_NORTH.pdf?m=1717777758577" TargetMode="External"/><Relationship Id="rId476" Type="http://schemas.openxmlformats.org/officeDocument/2006/relationships/hyperlink" Target="https://www.southlanarkshire.gov.uk/info/200237/elections/2221/uk_parliamentary_general_election_thursday_4_july_2024" TargetMode="External"/><Relationship Id="rId33" Type="http://schemas.openxmlformats.org/officeDocument/2006/relationships/hyperlink" Target="https://www.buckinghamshire.gov.uk/documents/32508/2024.07.04_Beaconsfield_Constituency_Statement_of_Persons_Nominated.pdf" TargetMode="External"/><Relationship Id="rId129" Type="http://schemas.openxmlformats.org/officeDocument/2006/relationships/hyperlink" Target="https://www.chesterfield.gov.uk/media/2457825/statement-of-persons-nominated-and-notice-of-poll-chesterfield-uk-parliamentary-constituency.pdf" TargetMode="External"/><Relationship Id="rId280" Type="http://schemas.openxmlformats.org/officeDocument/2006/relationships/hyperlink" Target="https://www.hinckley-bosworth.gov.uk/download/downloads/id/8262/notice_of_election_for_hinckley_and_bosworth.docx" TargetMode="External"/><Relationship Id="rId336" Type="http://schemas.openxmlformats.org/officeDocument/2006/relationships/hyperlink" Target="https://liverpool.gov.uk/media/eoyjixh4/statement-of-persons-nominated-liverpool-west-derby.docx" TargetMode="External"/><Relationship Id="rId501" Type="http://schemas.openxmlformats.org/officeDocument/2006/relationships/hyperlink" Target="https://www.cotswold.gov.uk/media/4wym05ua/statement-of-persons-nominated-and-notice-of-poll-south-cotswolds.pdf" TargetMode="External"/><Relationship Id="rId543" Type="http://schemas.openxmlformats.org/officeDocument/2006/relationships/hyperlink" Target="https://www.sstaffs.gov.uk/sites/default/files/2024-06/SOPN__NOP_Stone%2C%20Great%20Wyrley%20and%20Penkridge.pdf" TargetMode="External"/><Relationship Id="rId75" Type="http://schemas.openxmlformats.org/officeDocument/2006/relationships/hyperlink" Target="https://en.powys.gov.uk/article/5738/Find-out-about-upcoming-elections" TargetMode="External"/><Relationship Id="rId140" Type="http://schemas.openxmlformats.org/officeDocument/2006/relationships/hyperlink" Target="https://www.flintshire.gov.uk/en/PDFFiles/Council-Democracy/Elections-24/Statement-of-Persons-Nominated-and-Notice-of-Poll-Clwyd-East.pdf" TargetMode="External"/><Relationship Id="rId182" Type="http://schemas.openxmlformats.org/officeDocument/2006/relationships/hyperlink" Target="https://www.ealing.gov.uk/download/downloads/id/19829/statement_of_persons_nominated_and_notice_of_poll_-_ealing_north_constituency_4_july_2024.pdf" TargetMode="External"/><Relationship Id="rId378" Type="http://schemas.openxmlformats.org/officeDocument/2006/relationships/hyperlink" Target="https://www.northlanarkshire.gov.uk/sites/default/files/2024-06/Notice%20of%20Poll%20Published%20MW.docx" TargetMode="External"/><Relationship Id="rId403" Type="http://schemas.openxmlformats.org/officeDocument/2006/relationships/hyperlink" Target="https://www.fife.gov.uk/__data/assets/word_doc/0035/588536/UKPE2024-Notice-Of-Poll-NEF.docx" TargetMode="External"/><Relationship Id="rId585" Type="http://schemas.openxmlformats.org/officeDocument/2006/relationships/hyperlink" Target="https://go.walsall.gov.uk/sites/default/files/2024-06/Statment%20of%20Persons%20Nominated%20WB.pdf" TargetMode="External"/><Relationship Id="rId6" Type="http://schemas.openxmlformats.org/officeDocument/2006/relationships/hyperlink" Target="https://www.rushmoor.gov.uk/media/5xqgtahv/statement-of-persons-notice-of-poll-combined-updated.pdf" TargetMode="External"/><Relationship Id="rId238" Type="http://schemas.openxmlformats.org/officeDocument/2006/relationships/hyperlink" Target="https://www.waverley.gov.uk/Portals/0/Documents/services/council-information/voting-and-elections/Statement%20of%20Persons%20Nominated.pdf?ver=kpIxPWMzYh1PJV-f6k_swQ%3d%3d" TargetMode="External"/><Relationship Id="rId445" Type="http://schemas.openxmlformats.org/officeDocument/2006/relationships/hyperlink" Target="https://www.rctcbc.gov.uk/EN/Council/Votingandelections/Noticeofelections/StatementsofPersonsNominated.aspx" TargetMode="External"/><Relationship Id="rId487" Type="http://schemas.openxmlformats.org/officeDocument/2006/relationships/hyperlink" Target="https://www.sheffield.gov.uk/sites/default/files/2024-06/statement_of_persons_nominated_and_notice_of_poll_general_election.pdf" TargetMode="External"/><Relationship Id="rId610" Type="http://schemas.openxmlformats.org/officeDocument/2006/relationships/hyperlink" Target="https://www.wigan.gov.uk/Docs/PDF/Council/Voting-and-Elections/2024/General-Election/Statement-Of-Persons-Nominated-Wigan.pdf" TargetMode="External"/><Relationship Id="rId291" Type="http://schemas.openxmlformats.org/officeDocument/2006/relationships/hyperlink" Target="https://www.hyndburnbc.gov.uk/wp-content/uploads/2024/06/Statement-of-Persons-Nominated-and-Notice-of-Poll-2024.pdf" TargetMode="External"/><Relationship Id="rId305" Type="http://schemas.openxmlformats.org/officeDocument/2006/relationships/hyperlink" Target="https://www.northnorthants.gov.uk/elections-and-voting/upcoming-elections/uk-general-election-thursday-4-july-2024/general-election-1" TargetMode="External"/><Relationship Id="rId347" Type="http://schemas.openxmlformats.org/officeDocument/2006/relationships/hyperlink" Target="https://docs.maidstone.gov.uk/elections-2024/general-election-2024/SPN-and-NP-Maidstone-and-Malling.pdf" TargetMode="External"/><Relationship Id="rId512" Type="http://schemas.openxmlformats.org/officeDocument/2006/relationships/hyperlink" Target="https://www.shropshire.gov.uk/media/28059/sopn-south-shropshire.pdf" TargetMode="External"/><Relationship Id="rId44" Type="http://schemas.openxmlformats.org/officeDocument/2006/relationships/hyperlink" Target="https://www.birmingham.gov.uk/download/downloads/id/29249/edgbaston_constituency_notice_of_poll_and_persons_nominated.pdf" TargetMode="External"/><Relationship Id="rId86" Type="http://schemas.openxmlformats.org/officeDocument/2006/relationships/hyperlink" Target="https://www.bristol.gov.uk/files/documents/7825-bristol-central-nop/file" TargetMode="External"/><Relationship Id="rId151" Type="http://schemas.openxmlformats.org/officeDocument/2006/relationships/hyperlink" Target="https://www.northumberland.gov.uk/NorthumberlandCountyCouncil/media/Councillors-and-Democracy/2%20may%202024%20elections/Statement-of-Persons-Nominated-and-Notice-of-Poll-Cramlington-and-Killingworth.pdf" TargetMode="External"/><Relationship Id="rId389" Type="http://schemas.openxmlformats.org/officeDocument/2006/relationships/hyperlink" Target="https://www.newport.gov.uk/documents/Council-and-Democracy/Elections-and-voting/General-Election-2024/SOPN-v.05.pdf" TargetMode="External"/><Relationship Id="rId554" Type="http://schemas.openxmlformats.org/officeDocument/2006/relationships/hyperlink" Target="https://www.sutton.gov.uk/documents/d/guest/notice-statement-of-persons-nominated-and-situation-of-poll" TargetMode="External"/><Relationship Id="rId596" Type="http://schemas.openxmlformats.org/officeDocument/2006/relationships/hyperlink" Target="https://www.welhat.gov.uk/downloads/file/1135/statement-of-persons-nominated-and-notice-of-poll" TargetMode="External"/><Relationship Id="rId193" Type="http://schemas.openxmlformats.org/officeDocument/2006/relationships/hyperlink" Target="https://www.wiltshire.gov.uk/media/13495/Statement-of-Persons-Nominated-Notice-of-Poll-and-Situation-of-Polling-Stations-East-Wiltshire-Constituency/pdf/SoPN__NoP__SoPS_-_East_Wiltshire_Constituency.pdf?m=1717776803247" TargetMode="External"/><Relationship Id="rId207" Type="http://schemas.openxmlformats.org/officeDocument/2006/relationships/hyperlink" Target="https://www.eppingforestdc.gov.uk/wp-content/uploads/2024/06/EC-SOPN-NOP-M-SOPS.pdf" TargetMode="External"/><Relationship Id="rId249" Type="http://schemas.openxmlformats.org/officeDocument/2006/relationships/hyperlink" Target="https://www.guildford.gov.uk/media/36126/Statement-of-Persons-Nominated-Notice-of-Poll-Situation-of-Polling-Stations-Guildford-Constituency/pdf/NOP__SOPN___SOPS_070624.pdf?m=1717775860983" TargetMode="External"/><Relationship Id="rId414" Type="http://schemas.openxmlformats.org/officeDocument/2006/relationships/hyperlink" Target="https://www.uttlesford.gov.uk/general-election" TargetMode="External"/><Relationship Id="rId456" Type="http://schemas.openxmlformats.org/officeDocument/2006/relationships/hyperlink" Target="https://www.westberks.gov.uk/media/59138/Statement-of-Persons-Nominated-Notice-of-Poll-Reading-West-and-Mid-Berkshire/pdf/Statement_of_Persons_Nominated_Notice_of_Poll_-_Reading_West_and_Mid_Berkshire.pdf?m=1717781540243" TargetMode="External"/><Relationship Id="rId498" Type="http://schemas.openxmlformats.org/officeDocument/2006/relationships/hyperlink" Target="https://www.solihull.gov.uk/councillors-and-democracy/general-election-2024" TargetMode="External"/><Relationship Id="rId621" Type="http://schemas.openxmlformats.org/officeDocument/2006/relationships/hyperlink" Target="https://www.wolverhampton.gov.uk/sites/default/files/2024-06/Statement%20of%20Persons%20Nominated%20and%20Notice%20of%20Poll%20-%20Wolverhampton%20West.pdf" TargetMode="External"/><Relationship Id="rId13" Type="http://schemas.openxmlformats.org/officeDocument/2006/relationships/hyperlink" Target="https://www.angus.gov.uk/sites/default/files/2024-06/UKPE%202024%20Statement%20of%20Persons%20Nominated%2C%20Notice%20of%20Poll%20%26%20Situation%20of%20Polling%20Stations%20%E2%80%93%20Arbroath%20%26%20Broughty%20Ferry.pdf" TargetMode="External"/><Relationship Id="rId109" Type="http://schemas.openxmlformats.org/officeDocument/2006/relationships/hyperlink" Target="https://www.canterbury.gov.uk/sites/default/files/2024-06/Statement%20of%20persons%20nominated%20-%20Canterbury.pdf" TargetMode="External"/><Relationship Id="rId260" Type="http://schemas.openxmlformats.org/officeDocument/2006/relationships/hyperlink" Target="https://www.stalbans.gov.uk/uk-parliamentary-election-4-july-2024" TargetMode="External"/><Relationship Id="rId316" Type="http://schemas.openxmlformats.org/officeDocument/2006/relationships/hyperlink" Target="https://www.leeds.gov.uk/docs/Leeds%20North%20East.pdf" TargetMode="External"/><Relationship Id="rId523" Type="http://schemas.openxmlformats.org/officeDocument/2006/relationships/hyperlink" Target="https://sefton.gov.uk/media/8664/southport_statement-of-persons-nominated.pdf" TargetMode="External"/><Relationship Id="rId55" Type="http://schemas.openxmlformats.org/officeDocument/2006/relationships/hyperlink" Target="https://www.manchester.gov.uk/directory_record/466429/blackley_and_middleton_south" TargetMode="External"/><Relationship Id="rId97" Type="http://schemas.openxmlformats.org/officeDocument/2006/relationships/hyperlink" Target="https://burnley.gov.uk/wp-content/uploads/2024/06/Statement-of-Persons-Nominated-Notice-of-Poll-and-Situation-of-Polling-Stations-Parliamentary-Election.pdf" TargetMode="External"/><Relationship Id="rId120" Type="http://schemas.openxmlformats.org/officeDocument/2006/relationships/hyperlink" Target="https://www.ceredigion.gov.uk/your-council/voting-elections/election-for-a-member-of-parliament-for-the-ceredigion-preseli-constituency/" TargetMode="External"/><Relationship Id="rId358" Type="http://schemas.openxmlformats.org/officeDocument/2006/relationships/hyperlink" Target="https://www.pembrokeshire.gov.uk/objview.asp?object_id=11466&amp;language=" TargetMode="External"/><Relationship Id="rId565" Type="http://schemas.openxmlformats.org/officeDocument/2006/relationships/hyperlink" Target="https://www.northyorks.gov.uk/sites/default/files/2024-06/SPN%20Thirsk%20and%20Malton%2007.06.2024.pdf" TargetMode="External"/><Relationship Id="rId162" Type="http://schemas.openxmlformats.org/officeDocument/2006/relationships/hyperlink" Target="https://www.derby.gov.uk/council-and-democracy/councillors-democracy-elections/elections/election-information/" TargetMode="External"/><Relationship Id="rId218" Type="http://schemas.openxmlformats.org/officeDocument/2006/relationships/hyperlink" Target="https://www.hounslow.gov.uk/info/20043/elections_and_voting/2459/uk_parliamentary_general_election_2024_-_statement_of_persons_nominated_notice_of_poll_and_situation_of_polling_stations/2" TargetMode="External"/><Relationship Id="rId425" Type="http://schemas.openxmlformats.org/officeDocument/2006/relationships/hyperlink" Target="https://www.northwarks.gov.uk/downloads/file/1383/statement-of-persons-nominated-and-notice-of-poll-nuneaton" TargetMode="External"/><Relationship Id="rId467" Type="http://schemas.openxmlformats.org/officeDocument/2006/relationships/hyperlink" Target="https://www.testvalley.gov.uk/aboutyourcouncil/localdemocracy/elections/general-election?chapter=5" TargetMode="External"/><Relationship Id="rId632" Type="http://schemas.openxmlformats.org/officeDocument/2006/relationships/hyperlink" Target="https://www.york.gov.uk/downloads/file/9639/york-outer-constituency-statement-of-persons-nominated-and-notice-of-poll" TargetMode="External"/><Relationship Id="rId271" Type="http://schemas.openxmlformats.org/officeDocument/2006/relationships/hyperlink" Target="https://www.barnet.gov.uk/sites/default/files/2024-06/Statement%20of%20Persons%20Nominated%20%E2%80%93%20Hendon%20Constituency.pdf" TargetMode="External"/><Relationship Id="rId24" Type="http://schemas.openxmlformats.org/officeDocument/2006/relationships/hyperlink" Target="https://www.barnsley.gov.uk/services/voting-and-elections/uk-parliamentary-general-election-4-july-2024/" TargetMode="External"/><Relationship Id="rId66" Type="http://schemas.openxmlformats.org/officeDocument/2006/relationships/hyperlink" Target="https://sefton.gov.uk/media/8666/bootle_statement-of-persons-nominated.pdf" TargetMode="External"/><Relationship Id="rId131" Type="http://schemas.openxmlformats.org/officeDocument/2006/relationships/hyperlink" Target="https://www.walthamforest.gov.uk/sites/default/files/2024-06/Statement%20of%20Persons%20Nominated%20and%20Notice%20of%20Poll%20%20UK%20Parliamentary%20General%20Election%202024%20for%20Chingford%20and%20Woodford%20Green.pdf" TargetMode="External"/><Relationship Id="rId327" Type="http://schemas.openxmlformats.org/officeDocument/2006/relationships/hyperlink" Target="https://lewisham.gov.uk/-/media/0-mayor-and-council/elections/statement-of-persons-nominated-lewisham-north-for-election-on-4724.pdf" TargetMode="External"/><Relationship Id="rId369" Type="http://schemas.openxmlformats.org/officeDocument/2006/relationships/hyperlink" Target="https://middlesbrough.gov.uk/media/3ayffnv5/statement-of-persons-nominated-msec.pdf" TargetMode="External"/><Relationship Id="rId534" Type="http://schemas.openxmlformats.org/officeDocument/2006/relationships/hyperlink" Target="https://tameside.moderngov.co.uk/documents/s170224/Stalybridge%20and%20Hyde%20Statement%20of%20Persons%20Nominated%20and%20Notice%20of%20Poll.pdf" TargetMode="External"/><Relationship Id="rId576" Type="http://schemas.openxmlformats.org/officeDocument/2006/relationships/hyperlink" Target="https://www.cornwall.gov.uk/the-council-and-democracy/elections/elections-and-referendums/2024-parliamentary-election/" TargetMode="External"/><Relationship Id="rId173" Type="http://schemas.openxmlformats.org/officeDocument/2006/relationships/hyperlink" Target="https://www.dudley.gov.uk/media/liygajss/statement-of-persons-nominated-notice-of-poll-and-situation-of-polling-stations-dudley-borough-constituency.pdf" TargetMode="External"/><Relationship Id="rId229" Type="http://schemas.openxmlformats.org/officeDocument/2006/relationships/hyperlink" Target="https://www.glasgow.gov.uk/media/12221/Glasgow-East/pdf/EAST_-_SOPN_and_NOP.pdf?m=1717783262583" TargetMode="External"/><Relationship Id="rId380" Type="http://schemas.openxmlformats.org/officeDocument/2006/relationships/hyperlink" Target="https://beta.npt.gov.uk/council-democracy-elections/elections-and-voting/uk-parliamentary-election-2024/notices/statement-as-to-persons-nominated-and-notice-of-poll/neath-and-swansea-east-constituency/" TargetMode="External"/><Relationship Id="rId436" Type="http://schemas.openxmlformats.org/officeDocument/2006/relationships/hyperlink" Target="https://www.southwark.gov.uk/assets/attach/270709/Notice-of-Poll-and-Statement-of-Persons-Nominated-for-Peckham-4-July-2024.pdf" TargetMode="External"/><Relationship Id="rId601" Type="http://schemas.openxmlformats.org/officeDocument/2006/relationships/hyperlink" Target="https://www.newham.gov.uk/downloads/file/7476/west-ham-and-beckton-constituency-statement-of-persons-nominated-notice-of-poll-and-situation-of-polling-stations" TargetMode="External"/><Relationship Id="rId240" Type="http://schemas.openxmlformats.org/officeDocument/2006/relationships/hyperlink" Target="https://aberdeenshire.gov.uk/media/mjifaawb/notice-of-poll-ukpge-ea22-gb.pdf" TargetMode="External"/><Relationship Id="rId478" Type="http://schemas.openxmlformats.org/officeDocument/2006/relationships/hyperlink" Target="https://www.salford.gov.uk/your-council/elections-and-voting/uk-parliamentary-general-election-thursday-4-july-2024/statement-of-persons-nominated-and-notice-of-poll-salford-constituency/" TargetMode="External"/><Relationship Id="rId35" Type="http://schemas.openxmlformats.org/officeDocument/2006/relationships/hyperlink" Target="https://www.bedford.gov.uk/your-council/elections-and-voting/uk-parliamentary-election-general-election-4-july-2024" TargetMode="External"/><Relationship Id="rId77" Type="http://schemas.openxmlformats.org/officeDocument/2006/relationships/hyperlink" Target="https://legacy.brent.gov.uk/media/16421186/statement-of-persons-nominated-ukge24-brent-west.pdf?_ga=2.98603998.1319045725.1717779265-1551197769.1717779265" TargetMode="External"/><Relationship Id="rId100" Type="http://schemas.openxmlformats.org/officeDocument/2006/relationships/hyperlink" Target="https://www.bury.gov.uk/council-and-democracy/elections-and-voting/statement-of-persons-nominated-notice-of-poll-and-situation-of-polling-stations-for-bury-south" TargetMode="External"/><Relationship Id="rId282" Type="http://schemas.openxmlformats.org/officeDocument/2006/relationships/hyperlink" Target="https://www.camden.gov.uk/documents/d/guest/notice-of-poll-and-sits-of-ps-holborn-and-st-pancras-1" TargetMode="External"/><Relationship Id="rId338" Type="http://schemas.openxmlformats.org/officeDocument/2006/relationships/hyperlink" Target="https://www.carmarthenshire.gov.wales/home/council-democracy/elections-voting/uk-parliamentary-general-election/" TargetMode="External"/><Relationship Id="rId503" Type="http://schemas.openxmlformats.org/officeDocument/2006/relationships/hyperlink" Target="https://www.southhams.gov.uk/south-devon" TargetMode="External"/><Relationship Id="rId545" Type="http://schemas.openxmlformats.org/officeDocument/2006/relationships/hyperlink" Target="https://www.newham.gov.uk/downloads/file/7477/stratford-and-bow-constituency-statement-of-persons-nominated-notice-of-poll-and-situation-of-polling-stations" TargetMode="External"/><Relationship Id="rId587" Type="http://schemas.openxmlformats.org/officeDocument/2006/relationships/hyperlink" Target="https://www.warrington.gov.uk/sites/default/files/2024-06/Statement%20of%20Persons%20Nominated%20-%20Warrington%20North%20Constituency%20-%20June%202024.pdf" TargetMode="External"/><Relationship Id="rId8" Type="http://schemas.openxmlformats.org/officeDocument/2006/relationships/hyperlink" Target="https://www.clacks.gov.uk/document/7101.pdf" TargetMode="External"/><Relationship Id="rId142" Type="http://schemas.openxmlformats.org/officeDocument/2006/relationships/hyperlink" Target="https://www.northlanarkshire.gov.uk/sites/default/files/2024-06/Notice%20of%20Poll%20Published%20CB.docx" TargetMode="External"/><Relationship Id="rId184" Type="http://schemas.openxmlformats.org/officeDocument/2006/relationships/hyperlink" Target="https://www.wokingham.gov.uk/sites/wokingham/files/2024-06/Statement%20of%20Persons%20Nominated%20-%20Notice%20of%20Poll%20%20Situation%20of%20Polling%20Stations%20for%20Earley%20and%20Woodley%20constituency.pdf" TargetMode="External"/><Relationship Id="rId391" Type="http://schemas.openxmlformats.org/officeDocument/2006/relationships/hyperlink" Target="https://www.teignbridge.gov.uk/voting-and-elections/next-elections/general-election-2024/statement-of-persons-nominated-notice-of-poll-and-situation-of-polling-stations/" TargetMode="External"/><Relationship Id="rId405" Type="http://schemas.openxmlformats.org/officeDocument/2006/relationships/hyperlink" Target="https://www.north-herts.gov.uk/sites/default/files/2024-06/SOPN%20%26%20NoP%20-%20North%20East%20Hertfordshire%20-%2007.06.2024_1.pdf" TargetMode="External"/><Relationship Id="rId447" Type="http://schemas.openxmlformats.org/officeDocument/2006/relationships/hyperlink" Target="https://www.towerhamlets.gov.uk/Documents/Democracy/Elections/2024/SOPN-Poplar-Limehouse.docx" TargetMode="External"/><Relationship Id="rId612" Type="http://schemas.openxmlformats.org/officeDocument/2006/relationships/hyperlink" Target="https://www.winchester.gov.uk/assets/attach/40793/Statement-of-Persons-Nominated-Notice-of-Poll-and-Situation-of-Polling-Stations.pdf" TargetMode="External"/><Relationship Id="rId251" Type="http://schemas.openxmlformats.org/officeDocument/2006/relationships/hyperlink" Target="https://docs.google.com/document/d/1oWV8bt07UQJh65_dPIvCxU6s9ajHf8hICE6zc9kTCXo/edit" TargetMode="External"/><Relationship Id="rId489" Type="http://schemas.openxmlformats.org/officeDocument/2006/relationships/hyperlink" Target="https://www.sheffield.gov.uk/sites/default/files/2024-06/statement_of_persons_nominated_and_notice_of_poll_general_election.pdf" TargetMode="External"/><Relationship Id="rId46" Type="http://schemas.openxmlformats.org/officeDocument/2006/relationships/hyperlink" Target="https://www.birmingham.gov.uk/download/downloads/id/29251/hall_green_and_moseley_constituency_notice_of_poll_and_persons_nominated.pdf" TargetMode="External"/><Relationship Id="rId293" Type="http://schemas.openxmlformats.org/officeDocument/2006/relationships/hyperlink" Target="https://www.redbridge.gov.uk/media/12286/sopn-nop-and-situation-of-polling-stations-ilford-south.pdf" TargetMode="External"/><Relationship Id="rId307" Type="http://schemas.openxmlformats.org/officeDocument/2006/relationships/hyperlink" Target="https://www.kingston.gov.uk/downloads/file/2832/statement-of-persons-nominated-kingston-and-surbiton-constituency" TargetMode="External"/><Relationship Id="rId349" Type="http://schemas.openxmlformats.org/officeDocument/2006/relationships/hyperlink" Target="https://www.maldon.gov.uk/info/20067/elections_and_voting/10081/statutory_election_notices" TargetMode="External"/><Relationship Id="rId514" Type="http://schemas.openxmlformats.org/officeDocument/2006/relationships/hyperlink" Target="https://www.plymouth.gov.uk/sites/default/files/2024-06/SWD.pdf" TargetMode="External"/><Relationship Id="rId556" Type="http://schemas.openxmlformats.org/officeDocument/2006/relationships/hyperlink" Target="https://www.swansea.gov.uk/noticesgeneralelection2024" TargetMode="External"/><Relationship Id="rId88" Type="http://schemas.openxmlformats.org/officeDocument/2006/relationships/hyperlink" Target="https://www.bristol.gov.uk/files/documents/7827-bristol-north-east-nop/file" TargetMode="External"/><Relationship Id="rId111" Type="http://schemas.openxmlformats.org/officeDocument/2006/relationships/hyperlink" Target="https://www.cardiff.gov.uk/ENG/Your-Council/Voting-and-elections/Elections-Information/Upcoming-elections-and-polls/cardiff-north-constituency-notices/Pages/default.aspx" TargetMode="External"/><Relationship Id="rId153" Type="http://schemas.openxmlformats.org/officeDocument/2006/relationships/hyperlink" Target="https://www.cheshireeast.gov.uk/pdf/elections/parliamentary-election-2024/statement-of-persons-nominated-and-notice-of-poll-crewe-and-nantwich-constituency.pdf" TargetMode="External"/><Relationship Id="rId195" Type="http://schemas.openxmlformats.org/officeDocument/2006/relationships/hyperlink" Target="https://www.lewes-eastbourne.gov.uk/media/3894/Notice-of-Poll-Statement-of-Persons-Nominated-and-Situation-of-Polling-Stations-Eastbourne-Constituency-4th-July-2024/pdf/Notice_of_Poll__Statement_of_Persons_Nominated_and_Situation_of_Polling_stations_-_Eastbourne_Consti.pdf?m=1717777807740" TargetMode="External"/><Relationship Id="rId209" Type="http://schemas.openxmlformats.org/officeDocument/2006/relationships/hyperlink" Target="https://www.erewash.gov.uk/elections-section/2024-general-election.html" TargetMode="External"/><Relationship Id="rId360" Type="http://schemas.openxmlformats.org/officeDocument/2006/relationships/hyperlink" Target="https://www.buckinghamshire.gov.uk/documents/32510/2024.07.04_Mid_Buckinghamshire_Constituency_Statement_of_Persons_Nominated_4_July_2024.pdf" TargetMode="External"/><Relationship Id="rId416" Type="http://schemas.openxmlformats.org/officeDocument/2006/relationships/hyperlink" Target="https://www.nwleics.gov.uk/pages/uk_parliamentary_general_election_thursday_4_july_2024" TargetMode="External"/><Relationship Id="rId598" Type="http://schemas.openxmlformats.org/officeDocument/2006/relationships/hyperlink" Target="https://www.sandwell.gov.uk/candidates" TargetMode="External"/><Relationship Id="rId220" Type="http://schemas.openxmlformats.org/officeDocument/2006/relationships/hyperlink" Target="https://www.barnet.gov.uk/sites/default/files/2024-06/Statement%20of%20Persons%20Nominated%20%E2%80%93%20Finchley%20and%20Golders%20Green%20Constituency_0.pdf" TargetMode="External"/><Relationship Id="rId458" Type="http://schemas.openxmlformats.org/officeDocument/2006/relationships/hyperlink" Target="https://www.redditchbc.gov.uk/media/edul1033/sopn-nop-and-sops-redditch.pdf" TargetMode="External"/><Relationship Id="rId623" Type="http://schemas.openxmlformats.org/officeDocument/2006/relationships/hyperlink" Target="https://www.salford.gov.uk/your-council/elections-and-voting/uk-parliamentary-general-election-thursday-4-july-2024/statement-of-persons-nominated-and-notice-of-poll-worsley-and-eccles-constituency/" TargetMode="External"/><Relationship Id="rId15" Type="http://schemas.openxmlformats.org/officeDocument/2006/relationships/hyperlink" Target="https://www.horsham.gov.uk/__data/assets/pdf_file/0008/136394/Statement-of-Persons-Nominated,-Notice-of-Poll-and-Situation-of-Polling-Stations-Arundel-and-South-Downs.pdf" TargetMode="External"/><Relationship Id="rId57" Type="http://schemas.openxmlformats.org/officeDocument/2006/relationships/hyperlink" Target="https://www.blackpool.gov.uk/Your-Council/Voting-and-elections/Documents/2024/Parliamentary/SOPN-NOP.pdf" TargetMode="External"/><Relationship Id="rId262" Type="http://schemas.openxmlformats.org/officeDocument/2006/relationships/hyperlink" Target="https://www.harrow.gov.uk/downloads/file/32287/Statement_of_Persons_Nominated_and_Notice_of_Poll_Harrow_East.pdf" TargetMode="External"/><Relationship Id="rId318" Type="http://schemas.openxmlformats.org/officeDocument/2006/relationships/hyperlink" Target="https://www.leeds.gov.uk/docs/Leeds%20South.pdf" TargetMode="External"/><Relationship Id="rId525" Type="http://schemas.openxmlformats.org/officeDocument/2006/relationships/hyperlink" Target="https://www.kirklees.gov.uk/beta/voting-and-elections/statement-of-persons-nominated.aspx" TargetMode="External"/><Relationship Id="rId567" Type="http://schemas.openxmlformats.org/officeDocument/2006/relationships/hyperlink" Target="https://www.thurrock.gov.uk/elections-and-election-results/election-dates" TargetMode="External"/><Relationship Id="rId99" Type="http://schemas.openxmlformats.org/officeDocument/2006/relationships/hyperlink" Target="https://www.bury.gov.uk/council-and-democracy/elections-and-voting/statement-of-persons-nominated-notice-of-poll-and-situation-of-polling-stations-for-bury-north" TargetMode="External"/><Relationship Id="rId122" Type="http://schemas.openxmlformats.org/officeDocument/2006/relationships/hyperlink" Target="https://assets.ctfassets.net/ii3xdrqc6nfw/6ZvSv01zg5JMvX8CSO7dfr/d792e7aa105c416ba35109698d9da9ef/Cheadle_Statement_of_Persons_Nominated___Notice_of_Poll.pdf" TargetMode="External"/><Relationship Id="rId164" Type="http://schemas.openxmlformats.org/officeDocument/2006/relationships/hyperlink" Target="https://democracy.derbyshiredales.gov.uk/documents/s10670/Statement%20of%20Persons%20Nominated%20and%20Notice%20of%20Poll.pdf" TargetMode="External"/><Relationship Id="rId371" Type="http://schemas.openxmlformats.org/officeDocument/2006/relationships/hyperlink" Target="https://www.milton-keynes.gov.uk/sites/default/files/2024-06/Statement%20of%20Persons%20Nominated%202024.zip" TargetMode="External"/><Relationship Id="rId427" Type="http://schemas.openxmlformats.org/officeDocument/2006/relationships/hyperlink" Target="https://www.oldham.gov.uk/downloads/file/8018/notice_of_poll_and_statement_of_persons_nominated_for_oldham_east_and_saddleworth" TargetMode="External"/><Relationship Id="rId469" Type="http://schemas.openxmlformats.org/officeDocument/2006/relationships/hyperlink" Target="https://www.rotherham.gov.uk/elections-voting/parliamentary-general-election-4-july-2024/3" TargetMode="External"/><Relationship Id="rId26" Type="http://schemas.openxmlformats.org/officeDocument/2006/relationships/hyperlink" Target="https://www.westmorlandandfurness.gov.uk/voting-and-elections/elections/general-election-july-2024" TargetMode="External"/><Relationship Id="rId231" Type="http://schemas.openxmlformats.org/officeDocument/2006/relationships/hyperlink" Target="https://www.glasgow.gov.uk/media/12223/Glasgow-North-East/pdf/NORTH_EAST_-_SOPN_and_NOP.pdf?m=1717783302123" TargetMode="External"/><Relationship Id="rId273" Type="http://schemas.openxmlformats.org/officeDocument/2006/relationships/hyperlink" Target="https://www.herefordshire.gov.uk/downloads/file/26575/statement-of-persons-nominated-and-notice-of-poll-hereford-and-south-herefordshire" TargetMode="External"/><Relationship Id="rId329" Type="http://schemas.openxmlformats.org/officeDocument/2006/relationships/hyperlink" Target="https://www.walthamforest.gov.uk/sites/default/files/2024-06/Statement%20of%20Persons%20Nominated%20and%20Notice%20Of%20Poll%20UK%20Parliamentary%20General%20Election%202024%20for%20Leyton%20and%20Wanstead%20%28PDF%29.pdf" TargetMode="External"/><Relationship Id="rId480" Type="http://schemas.openxmlformats.org/officeDocument/2006/relationships/hyperlink" Target="https://www.northyorks.gov.uk/sites/default/files/2024-06/SPN%20Scarborough%20and%20Whitby%2007.06.2024.pdf" TargetMode="External"/><Relationship Id="rId536" Type="http://schemas.openxmlformats.org/officeDocument/2006/relationships/hyperlink" Target="https://www.stirling.gov.uk/media/kdip5qr1/notice-of-poll-ukpge.pdf" TargetMode="External"/><Relationship Id="rId68" Type="http://schemas.openxmlformats.org/officeDocument/2006/relationships/hyperlink" Target="https://www.bcpcouncil.gov.uk/councillors-committees-and-elections/elections-and-voting/candidates-standing-for-the-2024-uk-parliamentary-general-election" TargetMode="External"/><Relationship Id="rId133" Type="http://schemas.openxmlformats.org/officeDocument/2006/relationships/hyperlink" Target="https://www.barnet.gov.uk/sites/default/files/2024-06/Statement%20of%20Persons%20Nominated%20%E2%80%93%20Chipping%20Barnet%20Constituency_0.pdf" TargetMode="External"/><Relationship Id="rId175" Type="http://schemas.openxmlformats.org/officeDocument/2006/relationships/hyperlink" Target="https://dumgal.gov.uk/media/29498/Notice-of-poll-Dumfries-and-Galloway-County-Constituency/pdf/DGC-Notice_of_Poll_UK_Parliamentary_Election.pdf?m=1717779781213" TargetMode="External"/><Relationship Id="rId340" Type="http://schemas.openxmlformats.org/officeDocument/2006/relationships/hyperlink" Target="https://www.charnwood.gov.uk/files/documents/statement_of_persons_nominated_and_notice_of_poll_loughborough_constituency/Statement%20of%20Persons%20Nominated%20and%20Notice%20of%20Poll%20-%20Loughborough%20Constituency.pdf" TargetMode="External"/><Relationship Id="rId578" Type="http://schemas.openxmlformats.org/officeDocument/2006/relationships/hyperlink" Target="https://www.richmond.gov.uk/media/xtdnpcva/statement_of_persons_nominated_notice_of_poll_twickenham_2024.pdf" TargetMode="External"/><Relationship Id="rId200" Type="http://schemas.openxmlformats.org/officeDocument/2006/relationships/hyperlink" Target="https://www.edinburgh.gov.uk/elections-voting/ways-vote/6" TargetMode="External"/><Relationship Id="rId382" Type="http://schemas.openxmlformats.org/officeDocument/2006/relationships/hyperlink" Target="https://www.newforest.gov.uk/media/3993/Statement-of-Persons-Nominated-New-Forest-West/pdf/Statement_of_Persons_Nominated__New_Forest_West.pdf?m=1717775907993" TargetMode="External"/><Relationship Id="rId438" Type="http://schemas.openxmlformats.org/officeDocument/2006/relationships/hyperlink" Target="https://www.sheffield.gov.uk/sites/default/files/2024-06/statement_of_persons_nominated_and_notice_of_poll_general_election.pdf" TargetMode="External"/><Relationship Id="rId603" Type="http://schemas.openxmlformats.org/officeDocument/2006/relationships/hyperlink" Target="https://www.westsuffolk.gov.uk/Council/elections/vacancies-elections-results/elections/upload/SOPN-West-Suffolk-Constituency.pdf" TargetMode="External"/><Relationship Id="rId242" Type="http://schemas.openxmlformats.org/officeDocument/2006/relationships/hyperlink" Target="https://www.gosport.gov.uk/media/4838/2024-PGE-Statement-of-Persons-Nominated-Notice-of-Poll-Situation-of-Polling-Stations/pdf/2024_PGE_-_Statement_of_Persons_Nominated__Notice_of_Poll___Situation_of_Polling_Stations.pdf?m=1717778102373" TargetMode="External"/><Relationship Id="rId284" Type="http://schemas.openxmlformats.org/officeDocument/2006/relationships/hyperlink" Target="https://www.havering.gov.uk/downloads/file/6635/hornchurch_and_upminster_statement_of_persons_nominated_notice_of_poll_and_situation_of_polling_stations_-_4_july_2024_general_election" TargetMode="External"/><Relationship Id="rId491" Type="http://schemas.openxmlformats.org/officeDocument/2006/relationships/hyperlink" Target="https://www.bradford.gov.uk/media/yewch0ci/statement-of-persons-nominated-and-notice-of-poll-general-election-2024.pdf" TargetMode="External"/><Relationship Id="rId505" Type="http://schemas.openxmlformats.org/officeDocument/2006/relationships/hyperlink" Target="https://www.cornwall.gov.uk/the-council-and-democracy/elections/elections-and-referendums/2024-parliamentary-election/" TargetMode="External"/><Relationship Id="rId37" Type="http://schemas.openxmlformats.org/officeDocument/2006/relationships/hyperlink" Target="https://www.scotborders.gov.uk/downloads/file/12809/notice-of-poll-and-situation-of-polling-places" TargetMode="External"/><Relationship Id="rId79" Type="http://schemas.openxmlformats.org/officeDocument/2006/relationships/hyperlink" Target="https://www.brentwood.gov.uk/media/699" TargetMode="External"/><Relationship Id="rId102" Type="http://schemas.openxmlformats.org/officeDocument/2006/relationships/hyperlink" Target="https://www.carmarthenshire.gov.wales/home/council-democracy/elections-voting/uk-parliamentary-general-election/" TargetMode="External"/><Relationship Id="rId144" Type="http://schemas.openxmlformats.org/officeDocument/2006/relationships/hyperlink" Target="https://www.kirklees.gov.uk/beta/voting-and-elections/statement-of-persons-nominated.aspx" TargetMode="External"/><Relationship Id="rId547" Type="http://schemas.openxmlformats.org/officeDocument/2006/relationships/hyperlink" Target="https://www.lambeth.gov.uk/sites/default/files/2024-06/Statement%20of%20Persons%20Nominated%2C%20Notice%20of%20Poll%20and%20SOPS%20Streatham%20and%20Croydon%20North.pdf" TargetMode="External"/><Relationship Id="rId589" Type="http://schemas.openxmlformats.org/officeDocument/2006/relationships/hyperlink" Target="https://www.warwickdc.gov.uk/info/20660/general_elections/1964/general_election_2024/2" TargetMode="External"/><Relationship Id="rId90" Type="http://schemas.openxmlformats.org/officeDocument/2006/relationships/hyperlink" Target="https://www.bristol.gov.uk/files/documents/7823-bristol-south-nop/file" TargetMode="External"/><Relationship Id="rId186" Type="http://schemas.openxmlformats.org/officeDocument/2006/relationships/hyperlink" Target="https://www.midsussex.gov.uk/media/uxintccw/east-grinstead-and-uckfield-sopn-nop.pdf" TargetMode="External"/><Relationship Id="rId351" Type="http://schemas.openxmlformats.org/officeDocument/2006/relationships/hyperlink" Target="https://www.manchester.gov.uk/directory_record/466432/manchester_rusholme" TargetMode="External"/><Relationship Id="rId393" Type="http://schemas.openxmlformats.org/officeDocument/2006/relationships/hyperlink" Target="https://www.wakefield.gov.uk/media/2hpjpobz/wf-ukpge-sopn-notice-of-poll-normanton-and-hemsworth.docx" TargetMode="External"/><Relationship Id="rId407" Type="http://schemas.openxmlformats.org/officeDocument/2006/relationships/hyperlink" Target="https://www.herefordshire.gov.uk/downloads/file/26576/statement-of-persons-nominated-and-notice-of-poll-north-herefordshire" TargetMode="External"/><Relationship Id="rId449" Type="http://schemas.openxmlformats.org/officeDocument/2006/relationships/hyperlink" Target="https://www.portsmouth.gov.uk/wp-content/uploads/2024/06/Statement-of-Persons-Nominated-and-Notice-of-Poll-Portsmouth-South.docx" TargetMode="External"/><Relationship Id="rId614" Type="http://schemas.openxmlformats.org/officeDocument/2006/relationships/hyperlink" Target="https://www.wirral.gov.uk/files/statement-persons-nominated-and-notice-poll-general-election.pdf/download?inline" TargetMode="External"/><Relationship Id="rId211" Type="http://schemas.openxmlformats.org/officeDocument/2006/relationships/hyperlink" Target="https://www.elmbridge.gov.uk/sites/default/files/2024-06/Statement%20of%20Persons%20Nominated%20and%20Notice%20of%20Poll%20Esher%20and%20Walton.pdf" TargetMode="External"/><Relationship Id="rId253" Type="http://schemas.openxmlformats.org/officeDocument/2006/relationships/hyperlink" Target="https://new.calderdale.gov.uk/sites/default/files/2024-06/Statement%20as%20to%20Persons%20Nominated%20Halifax.pdf" TargetMode="External"/><Relationship Id="rId295" Type="http://schemas.openxmlformats.org/officeDocument/2006/relationships/hyperlink" Target="https://www.highland.gov.uk/downloads/file/28769/inverness_skye_and_west_ross_shire_notice_of_poll_ukpge" TargetMode="External"/><Relationship Id="rId309" Type="http://schemas.openxmlformats.org/officeDocument/2006/relationships/hyperlink" Target="https://www.hull.gov.uk/downloads/file/3391/Statement_of_Persons_Nominated_and_Notice_of_Poll___Kingston_upon_Hull_North_and_Cottingham_Constituency.pdf" TargetMode="External"/><Relationship Id="rId460" Type="http://schemas.openxmlformats.org/officeDocument/2006/relationships/hyperlink" Target="https://www.rctcbc.gov.uk/EN/Council/Votingandelections/Noticeofelections/StatementsofPersonsNominated.aspx" TargetMode="External"/><Relationship Id="rId516" Type="http://schemas.openxmlformats.org/officeDocument/2006/relationships/hyperlink" Target="https://www.west-norfolk.gov.uk/download/downloads/id/8711/sopn_and_notice_of_poll_-_south_west_norfolk.pdf" TargetMode="External"/><Relationship Id="rId48" Type="http://schemas.openxmlformats.org/officeDocument/2006/relationships/hyperlink" Target="https://www.birmingham.gov.uk/download/downloads/id/29253/ladywood_constituency_notice_of_poll_and_persons_nominated.pdf" TargetMode="External"/><Relationship Id="rId113" Type="http://schemas.openxmlformats.org/officeDocument/2006/relationships/hyperlink" Target="https://www.cardiff.gov.uk/ENG/Your-Council/Voting-and-elections/Elections-Information/Upcoming-elections-and-polls/cardiff-west-constituency-notices/Pages/default.aspx" TargetMode="External"/><Relationship Id="rId320" Type="http://schemas.openxmlformats.org/officeDocument/2006/relationships/hyperlink" Target="https://www.leeds.gov.uk/docs/Leeds%20West%20and%20Pudsey.pdf" TargetMode="External"/><Relationship Id="rId558" Type="http://schemas.openxmlformats.org/officeDocument/2006/relationships/hyperlink" Target="https://www.swindon.gov.uk/downloads/file/10925/candidate_and_polling_station_details_for_swindon_south_constituency" TargetMode="External"/><Relationship Id="rId155" Type="http://schemas.openxmlformats.org/officeDocument/2006/relationships/hyperlink" Target="https://www.croydon.gov.uk/council-and-elections/voting-and-elections/general-election-thursday-4-july-2024-0/candidate-information" TargetMode="External"/><Relationship Id="rId197" Type="http://schemas.openxmlformats.org/officeDocument/2006/relationships/hyperlink" Target="https://www.edinburgh.gov.uk/elections-voting/ways-vote/6" TargetMode="External"/><Relationship Id="rId362" Type="http://schemas.openxmlformats.org/officeDocument/2006/relationships/hyperlink" Target="https://www.ambervalley.gov.uk/media/1296/statement-of-persons-nominated-including-notice-of-poll-and-situation-of-polling-stations-md.pdf" TargetMode="External"/><Relationship Id="rId418" Type="http://schemas.openxmlformats.org/officeDocument/2006/relationships/hyperlink" Target="https://cms.westnorthants.gov.uk/media/15764/download" TargetMode="External"/><Relationship Id="rId625" Type="http://schemas.openxmlformats.org/officeDocument/2006/relationships/hyperlink" Target="https://www.wrexham.gov.uk/service/current-elections-and-vacancies" TargetMode="External"/><Relationship Id="rId222" Type="http://schemas.openxmlformats.org/officeDocument/2006/relationships/hyperlink" Target="https://www.fdean.gov.uk/media/us5i5w3h/statement-of-persons-nominated-notice-of-poll.pdf" TargetMode="External"/><Relationship Id="rId264" Type="http://schemas.openxmlformats.org/officeDocument/2006/relationships/hyperlink" Target="https://www.hartlepool.gov.uk/downloads/file/9375/statement_of_persons_nominated_notice_of_poll_and_situation_of_polling_stations" TargetMode="External"/><Relationship Id="rId471" Type="http://schemas.openxmlformats.org/officeDocument/2006/relationships/hyperlink" Target="https://www.rugby.gov.uk/w/general-election-2024-1" TargetMode="External"/><Relationship Id="rId17" Type="http://schemas.openxmlformats.org/officeDocument/2006/relationships/hyperlink" Target="https://www.ashford.gov.uk/your-council/register-to-vote-and-elections/general-election-2024/ashford-parliamentary-constituency/ashford-statement-of-persons-nominated-and-notice-of-poll/" TargetMode="External"/><Relationship Id="rId59" Type="http://schemas.openxmlformats.org/officeDocument/2006/relationships/hyperlink" Target="https://durham.gov.uk/media/44795/Statement-of-Persons-Nominated-with-Notice-of-Poll-and-Situation-of-Polling-Stations-Blaydon-and-Consett/pdf/StatementOfPersonsNominatedWithNoticeOfPollAndSituationOfPollingStations-BlaydonAndConsett.pdf?m=1717777184857" TargetMode="External"/><Relationship Id="rId124" Type="http://schemas.openxmlformats.org/officeDocument/2006/relationships/hyperlink" Target="https://www.lbhf.gov.uk/sites/default/files/2024-06/Statement-of-Persons-Nominated-Chelsea-and-Fulham-final-web.pdf" TargetMode="External"/><Relationship Id="rId527" Type="http://schemas.openxmlformats.org/officeDocument/2006/relationships/hyperlink" Target="https://www.cornwall.gov.uk/the-council-and-democracy/elections/elections-and-referendums/2024-parliamentary-election/" TargetMode="External"/><Relationship Id="rId569" Type="http://schemas.openxmlformats.org/officeDocument/2006/relationships/hyperlink" Target="https://somersetcc.sharepoint.com/sites/SCCPublic/Council%20Democracy/Forms/AllItems.aspx?id=%2Fsites%2FSCCPublic%2FCouncil%20Democracy%2FGeneral%20Election%202024%2FSOPN%20Tiverton%20%26%20Minehead%2Epdf&amp;parent=%2Fsites%2FSCCPublic%2FCouncil%20Democracy%2FGeneral%20Election%202024&amp;p=true&amp;ga=1" TargetMode="External"/><Relationship Id="rId70" Type="http://schemas.openxmlformats.org/officeDocument/2006/relationships/hyperlink" Target="https://www.bracknell-forest.gov.uk/sites/default/files/2024-06/statement-of-persons-nominated-and-notice-of-poll-general-election-2024.pdf" TargetMode="External"/><Relationship Id="rId166" Type="http://schemas.openxmlformats.org/officeDocument/2006/relationships/hyperlink" Target="https://www.southandvale.gov.uk/wp-content/uploads/2024/06/Statement-of-Persons-Nominated-Didcot-and-Wantage.pdf" TargetMode="External"/><Relationship Id="rId331" Type="http://schemas.openxmlformats.org/officeDocument/2006/relationships/hyperlink" Target="https://www.lincoln.gov.uk/downloads/file/1676/statement-of-persons-nominated-notice-of-poll-and-situation-of-polling-stations" TargetMode="External"/><Relationship Id="rId373" Type="http://schemas.openxmlformats.org/officeDocument/2006/relationships/hyperlink" Target="https://www.merton.gov.uk/system/files/statement_of_persons_nominated_and_notice_of_poll_-_mitcham_and_morden_constituency.pdf" TargetMode="External"/><Relationship Id="rId429" Type="http://schemas.openxmlformats.org/officeDocument/2006/relationships/hyperlink" Target="https://www.orkney.gov.uk/Files/Council/Elections/General%20Election%202024/Notice%20of%20Poll%20for%20Orkney%20and%20Shetland%20Constituency%202024.pdf" TargetMode="External"/><Relationship Id="rId580" Type="http://schemas.openxmlformats.org/officeDocument/2006/relationships/hyperlink" Target="https://www.hillingdon.gov.uk/media/14278/Statement-of-persons-nominated---Uxbridge-and-South-Ruislip/pdf/5rStatement-of-Persons-Nominated-Uxbridge-and-South-Ruislip-2024.pdf?m=1717773524820" TargetMode="External"/><Relationship Id="rId1" Type="http://schemas.openxmlformats.org/officeDocument/2006/relationships/hyperlink" Target="https://beta.npt.gov.uk/council-democracy-elections/elections-and-voting/uk-parliamentary-election-2024/notices/statement-as-to-persons-nominated-and-notice-of-poll/aberafan-maesteg-constituency/" TargetMode="External"/><Relationship Id="rId233" Type="http://schemas.openxmlformats.org/officeDocument/2006/relationships/hyperlink" Target="https://www.glasgow.gov.uk/media/12224/Glasgow-South-West/pdf/SOUTH_WEST_-_SOPN_and_NOP.pdf?m=1717783331807" TargetMode="External"/><Relationship Id="rId440" Type="http://schemas.openxmlformats.org/officeDocument/2006/relationships/hyperlink" Target="https://www.pkc.gov.uk/media/52796/Statement-of-Persons-Nominated-and-Notice-of-Poll/pdf/Statement_of_Person_Nominated_and_Notice_of_Poll.pdf?m=1717778731237" TargetMode="External"/><Relationship Id="rId28" Type="http://schemas.openxmlformats.org/officeDocument/2006/relationships/hyperlink" Target="https://www.basingstoke.gov.uk/content/page/84022/Statement%20of%20Persons%20Nominated%20Notice%20of%20Poll%20and%20Situation%20of%20Polling%20Stations%20-%20Basingstoke%20Constituency.pdf" TargetMode="External"/><Relationship Id="rId275" Type="http://schemas.openxmlformats.org/officeDocument/2006/relationships/hyperlink" Target="https://www.eastherts.gov.uk/elections-and-voting/elections-2024" TargetMode="External"/><Relationship Id="rId300" Type="http://schemas.openxmlformats.org/officeDocument/2006/relationships/hyperlink" Target="https://www.islington.gov.uk/about-the-council/voting-and-elections/general-election-2024/election-of-a-member-of-parliament-for-islington-south-and-finsbury" TargetMode="External"/><Relationship Id="rId482" Type="http://schemas.openxmlformats.org/officeDocument/2006/relationships/hyperlink" Target="https://sefton.gov.uk/media/8668/sefton-central_statement-of-persons-nominated.pdf" TargetMode="External"/><Relationship Id="rId538" Type="http://schemas.openxmlformats.org/officeDocument/2006/relationships/hyperlink" Target="https://www.stockton.gov.uk/media/6431/Statement-of-Persons-nominated-notice-of-poll-and-situation-of-polling-stations-Stockton-North/pdf/Statement_of_Persons_nominated_-_notice_of_poll_and_situation_of_polling_stations_Stockton_North.pdf?m=1717778329503" TargetMode="External"/><Relationship Id="rId81" Type="http://schemas.openxmlformats.org/officeDocument/2006/relationships/hyperlink" Target="https://somersetcc.sharepoint.com/sites/SCCPublic/Council%20Democracy/Forms/AllItems.aspx?id=%2Fsites%2FSCCPublic%2FCouncil%20Democracy%2FGeneral%20Election%202024%2FStatement%20of%20Persons%20Nominated%20and%20Notice%20of%20Poll%20%2D%20Bridgwater%20Constituency%2Epdf&amp;parent=%2Fsites%2FSCCPublic%2FCouncil%20Democracy%2FGeneral%20Election%202024&amp;p=true&amp;ga=1" TargetMode="External"/><Relationship Id="rId135" Type="http://schemas.openxmlformats.org/officeDocument/2006/relationships/hyperlink" Target="https://www.bcpcouncil.gov.uk/councillors-committees-and-elections/elections-and-voting/candidates-standing-for-the-2024-uk-parliamentary-general-election" TargetMode="External"/><Relationship Id="rId177" Type="http://schemas.openxmlformats.org/officeDocument/2006/relationships/hyperlink" Target="https://www.dundeecity.gov.uk/sites/default/files/publications/notice_of_poll_and_persons_nominated.pdf" TargetMode="External"/><Relationship Id="rId342" Type="http://schemas.openxmlformats.org/officeDocument/2006/relationships/hyperlink" Target="https://www.eastsuffolk.gov.uk/assets/Elections/2024/General-Election-Thursday-4-July-2024/Statement-of-Persons-Nominated-Situation-of-Polling-Stations-and-Notice-of-Poll-Lowestoft.pdf" TargetMode="External"/><Relationship Id="rId384" Type="http://schemas.openxmlformats.org/officeDocument/2006/relationships/hyperlink" Target="https://www.westberks.gov.uk/media/59141/Statement-of-Persons-Nominated-Notice-of-Poll-Newbury/pdf/Statement_of_Persons_Nominated_Notice_of_Poll_-_Newbury.pdf?m=1717781804947" TargetMode="External"/><Relationship Id="rId591" Type="http://schemas.openxmlformats.org/officeDocument/2006/relationships/hyperlink" Target="https://www.watford.gov.uk/downloads/file/2269/uk-parliament-general-election-2024-statement-of-persons-nominated-and-notice-of-poll" TargetMode="External"/><Relationship Id="rId605" Type="http://schemas.openxmlformats.org/officeDocument/2006/relationships/hyperlink" Target="https://www.westmorlandandfurness.gov.uk/sites/default/files/2024-06/Westmorland%20and%20Lonsdale%20-%20Statement%20of%20Persons%20Nominated%20and%20Notice%20of%20Poll.pdf" TargetMode="External"/><Relationship Id="rId202" Type="http://schemas.openxmlformats.org/officeDocument/2006/relationships/hyperlink" Target="https://www.enfield.gov.uk/__data/assets/pdf_file/0031/58693/Statement-of-Persons-Nominated,-Notice-of-Poll-and-Polling-Stations-Edmonton-and-Winchmore-Hill.pdf" TargetMode="External"/><Relationship Id="rId244" Type="http://schemas.openxmlformats.org/officeDocument/2006/relationships/hyperlink" Target="https://www.southkesteven.gov.uk/sites/default/files/2024-06/Statement%20of%20Persons%20Nominated%20and%20Notice%20of%20Poll_Grantham%20and%20Bourne%20constituency.pdf" TargetMode="External"/><Relationship Id="rId39" Type="http://schemas.openxmlformats.org/officeDocument/2006/relationships/hyperlink" Target="https://www.eastriding.gov.uk/council/elections-and-voting/election-notices/election-notice/?entry=596" TargetMode="External"/><Relationship Id="rId286" Type="http://schemas.openxmlformats.org/officeDocument/2006/relationships/hyperlink" Target="https://www.horsham.gov.uk/__data/assets/pdf_file/0007/136393/Statement-of-Persons-Nominated,-Notice-of-Poll-and-Situation-of-Polling-Stations-Horsham.pdf" TargetMode="External"/><Relationship Id="rId451" Type="http://schemas.openxmlformats.org/officeDocument/2006/relationships/hyperlink" Target="https://www.wandsworth.gov.uk/media/rptgcbac/statement_of_persons_nominated_notice_of_poll_putney_2024.pdf" TargetMode="External"/><Relationship Id="rId493" Type="http://schemas.openxmlformats.org/officeDocument/2006/relationships/hyperlink" Target="https://swale.gov.uk/__data/assets/pdf_file/0019/472015/Notice-of-poll-and-stations.pdf" TargetMode="External"/><Relationship Id="rId507" Type="http://schemas.openxmlformats.org/officeDocument/2006/relationships/hyperlink" Target="https://www.harborough.gov.uk/download/downloads/id/8516/south_leicestershire_statement_of_persons_nominated_notice_of_poll_situation_of_polling_stations.pdf" TargetMode="External"/><Relationship Id="rId549" Type="http://schemas.openxmlformats.org/officeDocument/2006/relationships/hyperlink" Target="https://www.stroud.gov.uk/media/h2zdu35b/statment-of-persons-nominated-and-notice-of-poll-final-2docx.pdf" TargetMode="External"/><Relationship Id="rId50" Type="http://schemas.openxmlformats.org/officeDocument/2006/relationships/hyperlink" Target="https://www.birmingham.gov.uk/download/downloads/id/29246/perry_barr_constituency_notice_of_poll_and_persons_nominated.pdf" TargetMode="External"/><Relationship Id="rId104" Type="http://schemas.openxmlformats.org/officeDocument/2006/relationships/hyperlink" Target="https://www.highland.gov.uk/downloads/file/28766/caithness_and_sutherland_and_easter_ross_notice_of_poll_ukpge" TargetMode="External"/><Relationship Id="rId146" Type="http://schemas.openxmlformats.org/officeDocument/2006/relationships/hyperlink" Target="https://www.northnorthants.gov.uk/elections-and-voting/upcoming-elections/uk-general-election-thursday-4-july-2024/general-election-0" TargetMode="External"/><Relationship Id="rId188" Type="http://schemas.openxmlformats.org/officeDocument/2006/relationships/hyperlink" Target="https://www.easthants.gov.uk/elections/uk-parliamentary-general-election-4-july-2024" TargetMode="External"/><Relationship Id="rId311" Type="http://schemas.openxmlformats.org/officeDocument/2006/relationships/hyperlink" Target="https://www.sstaffs.gov.uk/sites/default/files/2024-06/SOPN_NOP_Kingswinford%20and%20South%20Staffordshire.pdf" TargetMode="External"/><Relationship Id="rId353" Type="http://schemas.openxmlformats.org/officeDocument/2006/relationships/hyperlink" Target="https://www.mansfield.gov.uk/downloads/file/6549/notice-of-poll-situation-of-polling-stations-and-statement-of-persons-nominated" TargetMode="External"/><Relationship Id="rId395" Type="http://schemas.openxmlformats.org/officeDocument/2006/relationships/hyperlink" Target="https://www.bedford.gov.uk/your-council/elections-and-voting/uk-parliamentary-election-general-election-4-july-2024" TargetMode="External"/><Relationship Id="rId409" Type="http://schemas.openxmlformats.org/officeDocument/2006/relationships/hyperlink" Target="https://www.northumberland.gov.uk/NorthumberlandCountyCouncil/media/Councillors-and-Democracy/2%20may%202024%20elections/Statement-of-Persons-Nominated-and-Notice-of-Poll-North-Northumberland.pdf" TargetMode="External"/><Relationship Id="rId560" Type="http://schemas.openxmlformats.org/officeDocument/2006/relationships/hyperlink" Target="https://www.cheshireeast.gov.uk/pdf/elections/parliamentary-election-2024/statement-of-persons-nominated-and-notice-of-poll-tatton-constituency.pdf" TargetMode="External"/><Relationship Id="rId92" Type="http://schemas.openxmlformats.org/officeDocument/2006/relationships/hyperlink" Target="https://www.bromley.gov.uk/downloads/file/2471/statement-of-persons-nominated-bromley-and-biggin-hill-constituency" TargetMode="External"/><Relationship Id="rId213" Type="http://schemas.openxmlformats.org/officeDocument/2006/relationships/hyperlink" Target="https://eastdevon.gov.uk/elections-and-registering-to-vote/uk-general-election/exmouth-and-exeter-east-constituency/" TargetMode="External"/><Relationship Id="rId420" Type="http://schemas.openxmlformats.org/officeDocument/2006/relationships/hyperlink" Target="https://www.southnorfolkandbroadland.gov.uk/downloads/file/7045/statement-of-persons-nominated-notice-of-poll-and-situation-of-polling-stations-norwich-north" TargetMode="External"/><Relationship Id="rId616" Type="http://schemas.openxmlformats.org/officeDocument/2006/relationships/hyperlink" Target="https://westoxon.gov.uk/media/0vvnyyxw/spn-nop-witney.pdf" TargetMode="External"/><Relationship Id="rId255" Type="http://schemas.openxmlformats.org/officeDocument/2006/relationships/hyperlink" Target="https://www.southlanarkshire.gov.uk/info/200237/elections/2221/uk_parliamentary_general_election_thursday_4_july_2024/4" TargetMode="External"/><Relationship Id="rId297" Type="http://schemas.openxmlformats.org/officeDocument/2006/relationships/hyperlink" Target="https://iwc.iow.gov.uk/documentlibrary/download/statement-of-persons-nominated-and-notice-of-poll-isle-of-wight-east" TargetMode="External"/><Relationship Id="rId462" Type="http://schemas.openxmlformats.org/officeDocument/2006/relationships/hyperlink" Target="https://www.northyorks.gov.uk/sites/default/files/2024-06/SPN%20Richmond%20and%20Northallerton%2007.06.2024.pdf" TargetMode="External"/><Relationship Id="rId518" Type="http://schemas.openxmlformats.org/officeDocument/2006/relationships/hyperlink" Target="https://www.southampton.gov.uk/media/m55dzuke/ukpge-2024_itchen_sopn_nop_sops.pdf" TargetMode="External"/><Relationship Id="rId115" Type="http://schemas.openxmlformats.org/officeDocument/2006/relationships/hyperlink" Target="https://www.sutton.gov.uk/documents/d/guest/notice-statement-of-persons-nominated-and-situation-of-poll-1-" TargetMode="External"/><Relationship Id="rId157" Type="http://schemas.openxmlformats.org/officeDocument/2006/relationships/hyperlink" Target="https://www.northlanarkshire.gov.uk/sites/default/files/2024-06/Notice%20of%20Poll%20Published%20CKKE.docx" TargetMode="External"/><Relationship Id="rId322" Type="http://schemas.openxmlformats.org/officeDocument/2006/relationships/hyperlink" Target="https://www.leicester.gov.uk/media/vpdf1pxg/statement-of-persons-nominated-notice-of-poll-leicester-south.pdf" TargetMode="External"/><Relationship Id="rId364" Type="http://schemas.openxmlformats.org/officeDocument/2006/relationships/hyperlink" Target="https://www.eastdunbarton.gov.uk/residents/council-democracy/elections-and-voting/uk-parliamentary-general-election-2024/notice-poll" TargetMode="External"/><Relationship Id="rId61" Type="http://schemas.openxmlformats.org/officeDocument/2006/relationships/hyperlink" Target="https://www.arun.gov.uk/download.cfm?doc=docm93jijm4n20853.pdf&amp;ver=26660" TargetMode="External"/><Relationship Id="rId199" Type="http://schemas.openxmlformats.org/officeDocument/2006/relationships/hyperlink" Target="https://www.edinburgh.gov.uk/elections-voting/ways-vote/6" TargetMode="External"/><Relationship Id="rId571" Type="http://schemas.openxmlformats.org/officeDocument/2006/relationships/hyperlink" Target="https://www.wandsworth.gov.uk/media/jpcedtpa/statement_of_persons_nominated_notice_of_poll_tooting_2024.pdf" TargetMode="External"/><Relationship Id="rId627" Type="http://schemas.openxmlformats.org/officeDocument/2006/relationships/hyperlink" Target="https://www.wyreforestdc.gov.uk/media/k20dw1st/20240607-sopn-nop-sops.pdf" TargetMode="External"/><Relationship Id="rId19" Type="http://schemas.openxmlformats.org/officeDocument/2006/relationships/hyperlink" Target="https://www.buckinghamshire.gov.uk/documents/32507/2024.07.04_Aylesbury_Constituency_Statement_of_Persons_Nominated.pdf" TargetMode="External"/><Relationship Id="rId224" Type="http://schemas.openxmlformats.org/officeDocument/2006/relationships/hyperlink" Target="https://new.fylde.gov.uk/wp-content/uploads/2024/06/SOPN-NOP.pdf" TargetMode="External"/><Relationship Id="rId266" Type="http://schemas.openxmlformats.org/officeDocument/2006/relationships/hyperlink" Target="https://www.hastings.gov.uk/content/my_council/questions_voting_elections/pdfs/statement-nominated-ge-2024" TargetMode="External"/><Relationship Id="rId431" Type="http://schemas.openxmlformats.org/officeDocument/2006/relationships/hyperlink" Target="https://www.wakefield.gov.uk/media/bexndgas/wf-ukpge-sopn-notice-of-poll-ossett-and-denby-dale.docx" TargetMode="External"/><Relationship Id="rId473" Type="http://schemas.openxmlformats.org/officeDocument/2006/relationships/hyperlink" Target="https://www3.halton.gov.uk/Documents/council%20and%20democracy/elections/GE2024/RuncornandHelsbySPNandNOP.pdf" TargetMode="External"/><Relationship Id="rId529" Type="http://schemas.openxmlformats.org/officeDocument/2006/relationships/hyperlink" Target="https://www.sthelens.gov.uk/media/8437/Notice-of-Election-St-Helens-South-Whiston-2024/pdf/S___W_Notice_of_election_UKPGE_EA22_1.pdf?m=1717409562397" TargetMode="External"/><Relationship Id="rId30" Type="http://schemas.openxmlformats.org/officeDocument/2006/relationships/hyperlink" Target="https://beta.bathnes.gov.uk/statement-persons-nominated-and-notice-poll-election-member-parliament-bath-constituency" TargetMode="External"/><Relationship Id="rId126" Type="http://schemas.openxmlformats.org/officeDocument/2006/relationships/hyperlink" Target="https://www.buckinghamshire.gov.uk/documents/32509/2024.07.04_Chesham__Amersham_Constituency_Statement_of_Persons_Nominated.pdf" TargetMode="External"/><Relationship Id="rId168" Type="http://schemas.openxmlformats.org/officeDocument/2006/relationships/hyperlink" Target="https://www.doncaster.gov.uk/Documents/DocumentView/Stream/Media/Default/Council%20and%20Democracy/Elections/Doncaster%20East%20and%20the%20Isle%20of%20Axholme%20-%20Statement%20of%20Persons%20Nominated%20Notice%20of%20Poll.pdf" TargetMode="External"/><Relationship Id="rId333" Type="http://schemas.openxmlformats.org/officeDocument/2006/relationships/hyperlink" Target="https://liverpool.gov.uk/media/50fd55x0/statement-of-persons-nominated-liverpool-riverside.docx" TargetMode="External"/><Relationship Id="rId540" Type="http://schemas.openxmlformats.org/officeDocument/2006/relationships/hyperlink" Target="https://www.stoke.gov.uk/download/downloads/id/2498/central_sopn_and_nop.pdf" TargetMode="External"/><Relationship Id="rId72" Type="http://schemas.openxmlformats.org/officeDocument/2006/relationships/hyperlink" Target="https://www.bradford.gov.uk/your-council/elections-and-voting/statement-of-persons-nominated-and-notice-of-poll/" TargetMode="External"/><Relationship Id="rId375" Type="http://schemas.openxmlformats.org/officeDocument/2006/relationships/hyperlink" Target="https://en.powys.gov.uk/article/5738/Find-out-about-upcoming-elections" TargetMode="External"/><Relationship Id="rId582" Type="http://schemas.openxmlformats.org/officeDocument/2006/relationships/hyperlink" Target="https://www.lambeth.gov.uk/sites/default/files/2024-06/Statement%20of%20Persons%20Nominated%2C%20Notice%20of%20Poll%20and%20SOPS%20-Vauxhall%20and%20Camberwell%20Green.pdf" TargetMode="External"/><Relationship Id="rId3" Type="http://schemas.openxmlformats.org/officeDocument/2006/relationships/hyperlink" Target="https://www.aberdeencity.gov.uk/sites/default/files/2024-06/Notice-of-poll%20Aberdeen%20South.pdf" TargetMode="External"/><Relationship Id="rId235" Type="http://schemas.openxmlformats.org/officeDocument/2006/relationships/hyperlink" Target="https://somersetcc.sharepoint.com/sites/SCCPublic/Council%20Democracy/Forms/AllItems.aspx?id=%2Fsites%2FSCCPublic%2FCouncil%20Democracy%2FGeneral%20Election%202024%2FStatement%20of%20Persons%20Nominated%20%28UKPGE2024%29%20%2D%20GLASTONBURY%20AND%20SOMERTON%2Epdf&amp;parent=%2Fsites%2FSCCPublic%2FCouncil%20Democracy%2FGeneral%20Election%202024&amp;p=true&amp;ga=1" TargetMode="External"/><Relationship Id="rId277" Type="http://schemas.openxmlformats.org/officeDocument/2006/relationships/hyperlink" Target="https://www.northumberland.gov.uk/NorthumberlandCountyCouncil/media/Councillors-and-Democracy/2%20may%202024%20elections/Statement-of-Persons-Nominated-and-Notice-of-Poll-Hexham.pdf" TargetMode="External"/><Relationship Id="rId400" Type="http://schemas.openxmlformats.org/officeDocument/2006/relationships/hyperlink" Target="https://durham.gov.uk/media/44799/Statement-of-Persons-Nominated-with-Notice-of-Poll-and-Situation-of-Polling-Stations-North-Durham/pdf/StatementOfPersonsNominatedWithNoticeOfPollAndSituationOfPollingStations-NorthDurham.pdf?m=1717777547763" TargetMode="External"/><Relationship Id="rId442" Type="http://schemas.openxmlformats.org/officeDocument/2006/relationships/hyperlink" Target="https://www.plymouth.gov.uk/sites/default/files/2024-06/PMV.pdf" TargetMode="External"/><Relationship Id="rId484" Type="http://schemas.openxmlformats.org/officeDocument/2006/relationships/hyperlink" Target="https://www.sevenoaks.gov.uk/info/20053/elections_and_voting/787/parliamentary_general_election_-_4_july_2024" TargetMode="External"/><Relationship Id="rId137" Type="http://schemas.openxmlformats.org/officeDocument/2006/relationships/hyperlink" Target="https://durham.gov.uk/media/44796/Statement-of-Persons-Nominated-with-Notice-of-Poll-and-Situation-of-Polling-Stations-City-of-Durham/pdf/StatementOfPersonsNominatedWithNoticeOfPollAndSituationOfPollingStations-CityOfDurham.pdf?m=1717777313833" TargetMode="External"/><Relationship Id="rId302" Type="http://schemas.openxmlformats.org/officeDocument/2006/relationships/hyperlink" Target="https://www.bradford.gov.uk/media/yewch0ci/statement-of-persons-nominated-and-notice-of-poll-general-election-2024.pdf" TargetMode="External"/><Relationship Id="rId344" Type="http://schemas.openxmlformats.org/officeDocument/2006/relationships/hyperlink" Target="https://www.luton.gov.uk/Council_government_and_democracy/Lists/LutonDocuments/PDF/Voting%20and%20elections/election-july-2024/statement-of-person-nominated-and-notice-of-poll-luton-south-and-south-bedfordshire.pdf" TargetMode="External"/><Relationship Id="rId41" Type="http://schemas.openxmlformats.org/officeDocument/2006/relationships/hyperlink" Target="https://www.bexley.gov.uk/sites/default/files/2024-06/notice-of-election-of-a-member-of-parliament-for-bexleyheath-and-crayford.pdf" TargetMode="External"/><Relationship Id="rId83" Type="http://schemas.openxmlformats.org/officeDocument/2006/relationships/hyperlink" Target="https://www.nelincs.gov.uk/assets/uploads/2024/06/Notice-of-Poll-and-Persons-Nominated-UK-Parliamentary-4th-July-2024.pdf" TargetMode="External"/><Relationship Id="rId179" Type="http://schemas.openxmlformats.org/officeDocument/2006/relationships/hyperlink" Target="https://centralbedfordshirecouncil.sharepoint.com/:b:/s/Communications/ET7p3Ui3UbdHkjdiBRTBLIkBE52ZboyIei6ZsG97JbFKvw?e=ZwyicP" TargetMode="External"/><Relationship Id="rId386" Type="http://schemas.openxmlformats.org/officeDocument/2006/relationships/hyperlink" Target="https://new.newcastle.gov.uk/sites/default/files/2024-06/20240607_Elections_General_July-24_Newcastle-East-Wallsend_Statement-of-persons-nominated.pdf" TargetMode="External"/><Relationship Id="rId551" Type="http://schemas.openxmlformats.org/officeDocument/2006/relationships/hyperlink" Target="https://www.sunderland.gov.uk/media/32740/Statement-of-Persons-Nominated-Notice-of-Poll-and-Situation-of-Polling-Stations-UK-PGE-SCE-4-July-2024/pdf/Statement_of_Persons_Nominated__Notice_of_Poll_and_Situation_of_Polling_Stations_-_SCE_2024_06_07_1a.pdf?m=1717769097113" TargetMode="External"/><Relationship Id="rId593" Type="http://schemas.openxmlformats.org/officeDocument/2006/relationships/hyperlink" Target="https://docs.maidstone.gov.uk/elections-2024/general-election-2024/Weald-of-Kent-Statement-of-Persons-Nominated-and-Notice-of-Poll.pdf" TargetMode="External"/><Relationship Id="rId607" Type="http://schemas.openxmlformats.org/officeDocument/2006/relationships/hyperlink" Target="https://www.northyorks.gov.uk/sites/default/files/2024-06/SPN%20Wetherby%20and%20Easingwold%2007.06.2024.pdf" TargetMode="External"/><Relationship Id="rId190" Type="http://schemas.openxmlformats.org/officeDocument/2006/relationships/hyperlink" Target="https://eastrenfrewshire.gov.uk/media/10411/Statement-of-Person-Nominated-and-Notice-Poll/pdf/Notice_of_Poll_and_Situation_of_Polling_Places.pdf?m=1717779014187" TargetMode="External"/><Relationship Id="rId204" Type="http://schemas.openxmlformats.org/officeDocument/2006/relationships/hyperlink" Target="https://www.royalgreenwich.gov.uk/download/downloads/id/6674/eltham_and_chislehurst_statement_of_persons_nominated.pdf" TargetMode="External"/><Relationship Id="rId246" Type="http://schemas.openxmlformats.org/officeDocument/2006/relationships/hyperlink" Target="https://www.nelincs.gov.uk/assets/uploads/2024/06/Notice-of-Poll-and-Persons-Nominated-UK-Parliamentary-4th-July-2024.pdf" TargetMode="External"/><Relationship Id="rId288" Type="http://schemas.openxmlformats.org/officeDocument/2006/relationships/hyperlink" Target="https://www.brighton-hove.gov.uk/council-and-democracy/voting-and-elections/statement-persons-nominated-and-notice-poll-hove-and-portslade" TargetMode="External"/><Relationship Id="rId411" Type="http://schemas.openxmlformats.org/officeDocument/2006/relationships/hyperlink" Target="https://n-somerset.gov.uk/sites/default/files/2024-06/7%20Jun%20-%20statement%20of%20persons%20nominated%2C%20notice%20of%20poll%20and%20location%20of%20polling%20stations%20-%20North%20Somerset%20constituency.pdf" TargetMode="External"/><Relationship Id="rId453" Type="http://schemas.openxmlformats.org/officeDocument/2006/relationships/hyperlink" Target="https://www.rotherham.gov.uk/elections-voting/parliamentary-general-election-4-july-2024/3" TargetMode="External"/><Relationship Id="rId509" Type="http://schemas.openxmlformats.org/officeDocument/2006/relationships/hyperlink" Target="https://www.westnorthants.gov.uk/electoral-services/general-election-4-july-2024" TargetMode="External"/><Relationship Id="rId106" Type="http://schemas.openxmlformats.org/officeDocument/2006/relationships/hyperlink" Target="https://www.cornwall.gov.uk/the-council-and-democracy/elections/elections-and-referendums/2024-parliamentary-election/" TargetMode="External"/><Relationship Id="rId313" Type="http://schemas.openxmlformats.org/officeDocument/2006/relationships/hyperlink" Target="https://www.lancaster.gov.uk/the-council-and-democracy/voting-and-elections/vacancies" TargetMode="External"/><Relationship Id="rId495" Type="http://schemas.openxmlformats.org/officeDocument/2006/relationships/hyperlink" Target="https://www.n-kesteven.gov.uk/sites/default/files/2024-06/Statement%20of%20Persons%20Nominated%20and%20Notice%20of%20Poll.pdf" TargetMode="External"/><Relationship Id="rId10" Type="http://schemas.openxmlformats.org/officeDocument/2006/relationships/hyperlink" Target="https://www.flintshire.gov.uk/en/PDFFiles/Council-Democracy/Elections-24/Statement-of-Persons-Nominated-and-Notice-of-Poll-Alyn-and-Deeside.pdf" TargetMode="External"/><Relationship Id="rId52" Type="http://schemas.openxmlformats.org/officeDocument/2006/relationships/hyperlink" Target="https://www.birmingham.gov.uk/download/downloads/id/29247/yardley_constituency_notice_of_poll_and_persons_nominated.pdf" TargetMode="External"/><Relationship Id="rId94" Type="http://schemas.openxmlformats.org/officeDocument/2006/relationships/hyperlink" Target="https://www.broxbourne.gov.uk/downloads/file/4435/statement-of-persons-nominated-parliamentary-2024" TargetMode="External"/><Relationship Id="rId148" Type="http://schemas.openxmlformats.org/officeDocument/2006/relationships/hyperlink" Target="https://www.coventry.gov.uk/elections-voting/uk-parliamentary-general-election-2024/7" TargetMode="External"/><Relationship Id="rId355" Type="http://schemas.openxmlformats.org/officeDocument/2006/relationships/hyperlink" Target="https://www.melton.gov.uk/media/c2ynv2fg/statement-of-persons-nominated-notice-of-poll-and-sit-of-poll-stations-v2.pdf" TargetMode="External"/><Relationship Id="rId397" Type="http://schemas.openxmlformats.org/officeDocument/2006/relationships/hyperlink" Target="https://www.cotswold.gov.uk/media/bo3iq5v1/statement-of-persons-nominated-and-notice-of-poll-north-cotswolds.pdf" TargetMode="External"/><Relationship Id="rId520" Type="http://schemas.openxmlformats.org/officeDocument/2006/relationships/hyperlink" Target="https://www.southend.gov.uk/downloads/file/8337/statement-of-persons-nominated-notice-of-poll-and-situation-of-polling-stations-southend-east-and-rochford" TargetMode="External"/><Relationship Id="rId562" Type="http://schemas.openxmlformats.org/officeDocument/2006/relationships/hyperlink" Target="https://www.telford.gov.uk/download/downloads/id/27534/statement_of_persons_nominated_and_notice_of_poll_telford.pdf" TargetMode="External"/><Relationship Id="rId618" Type="http://schemas.openxmlformats.org/officeDocument/2006/relationships/hyperlink" Target="https://www.wokingham.gov.uk/sites/wokingham/files/2024-06/Statement%20of%20Persons%20Nominated%20-%20Notice%20of%20Poll%20%20Situation%20of%20Polling%20Stations%20for%20Wokingham%20constituency.pdf" TargetMode="External"/><Relationship Id="rId215" Type="http://schemas.openxmlformats.org/officeDocument/2006/relationships/hyperlink" Target="https://www.fareham.gov.uk/pdf/about_the_council/elections/SOPN_and_NoticeOfPoll-Fareham_and_Waterlooville.pdf" TargetMode="External"/><Relationship Id="rId257" Type="http://schemas.openxmlformats.org/officeDocument/2006/relationships/hyperlink" Target="https://www.camden.gov.uk/documents/d/guest/notice-of-poll-and-sits-of-ps-hampstead-and-highgate-1" TargetMode="External"/><Relationship Id="rId422" Type="http://schemas.openxmlformats.org/officeDocument/2006/relationships/hyperlink" Target="https://www.nottinghamcity.gov.uk/media/5tngypzn/statement-of-persons-nominated-and-notice-of-poll-east.pdf" TargetMode="External"/><Relationship Id="rId464" Type="http://schemas.openxmlformats.org/officeDocument/2006/relationships/hyperlink" Target="https://www.rochdale.gov.uk/downloads/download/1027/statement-of-persons-nominated---rochdale" TargetMode="External"/><Relationship Id="rId299" Type="http://schemas.openxmlformats.org/officeDocument/2006/relationships/hyperlink" Target="https://www.islington.gov.uk/about-the-council/voting-and-elections/general-election-2024/election-of-a-member-of-parliament-for-islington-north" TargetMode="External"/><Relationship Id="rId63" Type="http://schemas.openxmlformats.org/officeDocument/2006/relationships/hyperlink" Target="https://www.bolton.gov.uk/downloads/file/6025/general-election-2024-statement-of-persons-nominated-bolton-north-east" TargetMode="External"/><Relationship Id="rId159" Type="http://schemas.openxmlformats.org/officeDocument/2006/relationships/hyperlink" Target="https://www.darlington.gov.uk/media/21186/darlington-constituency-statement-of-persons-nominated-notice-of-poll-and-situation-of-polling-stations.pdf" TargetMode="External"/><Relationship Id="rId366" Type="http://schemas.openxmlformats.org/officeDocument/2006/relationships/hyperlink" Target="https://www.breckland.gov.uk/media/21681/Statement-of-Persons-Nominated-and-Notice-of-Poll/pdf/Statement_of_Persons_Nominated___Notice_of_Poll.pdf?m=1717775117280" TargetMode="External"/><Relationship Id="rId573" Type="http://schemas.openxmlformats.org/officeDocument/2006/relationships/hyperlink" Target="https://www.torfaen.gov.uk/en/Related-Documents/Elections/Parliamentary/Statement-of-Persons-Nominated-and-Notice-of-Poll.pdf" TargetMode="External"/><Relationship Id="rId226" Type="http://schemas.openxmlformats.org/officeDocument/2006/relationships/hyperlink" Target="https://www.gateshead.gov.uk/media/41486/Statement-of-Persons-nominated-Gateshead-Central-and-Whickham/pdf/Gateshead_Central_and_Whickham_Constituency_-_Statement_of_Persons_Nominated_and_Notice_of_Poll.pdf?m=1717780634873" TargetMode="External"/><Relationship Id="rId433" Type="http://schemas.openxmlformats.org/officeDocument/2006/relationships/hyperlink" Target="https://www.southandvale.gov.uk/wp-content/uploads/2024/06/Statement-of-Perons-Nominated-Oxford-West-and-Abingdon.pdf" TargetMode="External"/><Relationship Id="rId74" Type="http://schemas.openxmlformats.org/officeDocument/2006/relationships/hyperlink" Target="https://www.braintree.gov.uk/downloads/file/3952/statement-of-persons-nominated-braintree" TargetMode="External"/><Relationship Id="rId377" Type="http://schemas.openxmlformats.org/officeDocument/2006/relationships/hyperlink" Target="https://www.lancaster.gov.uk/the-council-and-democracy/voting-and-elections/vacancies" TargetMode="External"/><Relationship Id="rId500" Type="http://schemas.openxmlformats.org/officeDocument/2006/relationships/hyperlink" Target="https://www.scambs.gov.uk/media/sb3jcr3a/statement-of-persons-nominated-south-cambs.pdf" TargetMode="External"/><Relationship Id="rId584" Type="http://schemas.openxmlformats.org/officeDocument/2006/relationships/hyperlink" Target="https://www.wirral.gov.uk/files/statement-persons-nominated-and-notice-poll-general-election.pdf/download?inline" TargetMode="External"/><Relationship Id="rId5" Type="http://schemas.openxmlformats.org/officeDocument/2006/relationships/hyperlink" Target="https://www.northlanarkshire.gov.uk/sites/default/files/2024-06/Notice%20of%20Poll%20Published%20AS.docx" TargetMode="External"/><Relationship Id="rId237" Type="http://schemas.openxmlformats.org/officeDocument/2006/relationships/hyperlink" Target="https://www.gloucester.gov.uk/media/zbbhecxn/statement-of-persons-nominated-notice-of-poll-and-situation-of-polling-stations.pdf" TargetMode="External"/><Relationship Id="rId444" Type="http://schemas.openxmlformats.org/officeDocument/2006/relationships/hyperlink" Target="https://www.wakefield.gov.uk/media/ptwis0dz/wf-ukpge-sopn-notice-of-poll-pontefract-castleford-knottingley.docx" TargetMode="External"/><Relationship Id="rId290" Type="http://schemas.openxmlformats.org/officeDocument/2006/relationships/hyperlink" Target="https://www.huntingdonshire.gov.uk/media/osgnhftp/statement-of-persons-nominated-and-notice-of-poll-huntingdon-constituency-4-july-2024.pdf" TargetMode="External"/><Relationship Id="rId304" Type="http://schemas.openxmlformats.org/officeDocument/2006/relationships/hyperlink" Target="https://www.rbkc.gov.uk/council-councillors-and-democracy/local-democracy-and-elections/notice-election-parliamentary-election-kensington-and-bayswater-constituency" TargetMode="External"/><Relationship Id="rId388" Type="http://schemas.openxmlformats.org/officeDocument/2006/relationships/hyperlink" Target="https://www.newcastle-staffs.gov.uk/downloads/file/2300/statement-of-persons-nominated-notice-of-poll-and-situations-of-polling-stations-newcastle-under-lyme-constituency" TargetMode="External"/><Relationship Id="rId511" Type="http://schemas.openxmlformats.org/officeDocument/2006/relationships/hyperlink" Target="https://www.southtyneside.gov.uk/media/8077/Statement-of-persons-nominated-and-notice-of-poll-South-Shields-Constituency/pdf/Statement_of_Persons_Nominated_and_Notice_of_Poll_-_South_Shields.pdf?m=1717781268493" TargetMode="External"/><Relationship Id="rId609" Type="http://schemas.openxmlformats.org/officeDocument/2006/relationships/hyperlink" Target="https://www3.halton.gov.uk/Documents/council%20and%20democracy/elections/GE2024/WidnesandHalewoodSOPNandNOP.pdf" TargetMode="External"/><Relationship Id="rId85" Type="http://schemas.openxmlformats.org/officeDocument/2006/relationships/hyperlink" Target="https://www.brighton-hove.gov.uk/council-and-democracy/voting-and-elections/statement-persons-nominated-and-notice-poll-brighton-pavilion" TargetMode="External"/><Relationship Id="rId150" Type="http://schemas.openxmlformats.org/officeDocument/2006/relationships/hyperlink" Target="https://www.fife.gov.uk/__data/assets/word_doc/0036/588537/UKPE2024-Notice-Of-Poll-CK-.docx" TargetMode="External"/><Relationship Id="rId595" Type="http://schemas.openxmlformats.org/officeDocument/2006/relationships/hyperlink" Target="https://somersetcc.sharepoint.com/sites/SCCPublic/Council%20Democracy/Forms/AllItems.aspx?id=%2Fsites%2FSCCPublic%2FCouncil%20Democracy%2FGeneral%20Election%202024%2FNotice%20of%20Poll%20And%20Persons%20Nominated%20%2D%20Wells%20and%20Mendip%20Hills%2Epdf&amp;parent=%2Fsites%2FSCCPublic%2FCouncil%20Democracy%2FGeneral%20Election%202024&amp;p=true&amp;ga=1" TargetMode="External"/><Relationship Id="rId248" Type="http://schemas.openxmlformats.org/officeDocument/2006/relationships/hyperlink" Target="https://www.royalgreenwich.gov.uk/downloads/file/6676/greenwich_and_woolwich_statement_of_persons_nominated" TargetMode="External"/><Relationship Id="rId455" Type="http://schemas.openxmlformats.org/officeDocument/2006/relationships/hyperlink" Target="https://images.reading.gov.uk/2024/06/Statement-of-Persons-Nominated-and-Notice-of-Poll.docx" TargetMode="External"/><Relationship Id="rId12" Type="http://schemas.openxmlformats.org/officeDocument/2006/relationships/hyperlink" Target="https://www.angus.gov.uk/sites/default/files/2024-06/UKPE%202024%20Statement%20of%20Persons%20Nominated%2C%20Notice%20of%20Poll%20and%20Situation%20of%20Polling%20Stations%20%E2%80%93%20Angus%20%26%20Perthshire%20Glens_0.pdf" TargetMode="External"/><Relationship Id="rId108" Type="http://schemas.openxmlformats.org/officeDocument/2006/relationships/hyperlink" Target="https://www.cannockchasedc.gov.uk/sites/default/files/document-library/SOPN%20%20NOP%20final%20A3%20portrait%20%28002%29.pdf" TargetMode="External"/><Relationship Id="rId315" Type="http://schemas.openxmlformats.org/officeDocument/2006/relationships/hyperlink" Target="https://www.leeds.gov.uk/docs/Leeds%20East.pdf" TargetMode="External"/><Relationship Id="rId522" Type="http://schemas.openxmlformats.org/officeDocument/2006/relationships/hyperlink" Target="https://www.enfield.gov.uk/__data/assets/pdf_file/0033/58695/Statement-of-Persons-Nominated,-Notice-of-Poll-and-Polling-Stations-Southgate-Wood-Green.pdf" TargetMode="External"/><Relationship Id="rId96" Type="http://schemas.openxmlformats.org/officeDocument/2006/relationships/hyperlink" Target="https://www.milton-keynes.gov.uk/sites/default/files/2024-06/Statement%20of%20Persons%20Nominated%202024.zip" TargetMode="External"/><Relationship Id="rId161" Type="http://schemas.openxmlformats.org/officeDocument/2006/relationships/hyperlink" Target="https://www.westnorthants.gov.uk/electoral-services/general-election-4-july-2024" TargetMode="External"/><Relationship Id="rId399" Type="http://schemas.openxmlformats.org/officeDocument/2006/relationships/hyperlink" Target="https://www.dorsetcouncil.gov.uk/w/uk-parliamentary-general-election" TargetMode="External"/><Relationship Id="rId259" Type="http://schemas.openxmlformats.org/officeDocument/2006/relationships/hyperlink" Target="https://www.harlow.gov.uk/sites/default/files/documents/Statement%20of%20persons%20nominated%2C%20notice%20of%20poll%20and%20situation%20of%20polling%20stations%20-%20general%20election.pdf" TargetMode="External"/><Relationship Id="rId466" Type="http://schemas.openxmlformats.org/officeDocument/2006/relationships/hyperlink" Target="https://www.havering.gov.uk/downloads/file/6638/romford_statement_of_persons_nominated_notice_of_poll_and_situation_of_polling_stations_-_4_july_2024_general_election" TargetMode="External"/><Relationship Id="rId23" Type="http://schemas.openxmlformats.org/officeDocument/2006/relationships/hyperlink" Target="https://www.lbbd.gov.uk/sites/default/files/2024-06/SOPN%20-%20BK%202024.pdf" TargetMode="External"/><Relationship Id="rId119" Type="http://schemas.openxmlformats.org/officeDocument/2006/relationships/hyperlink" Target="https://www.midsuffolk.gov.uk/documents/d/asset-library-54706/csni-nop-sopn-sops" TargetMode="External"/><Relationship Id="rId326" Type="http://schemas.openxmlformats.org/officeDocument/2006/relationships/hyperlink" Target="https://lewisham.gov.uk/-/media/0-mayor-and-council/elections/statement-of-persons-nominated-lewisham-east-for-election-on-4724.pdf" TargetMode="External"/><Relationship Id="rId533" Type="http://schemas.openxmlformats.org/officeDocument/2006/relationships/hyperlink" Target="https://www.staffsmoorlands.gov.uk/media/9288/Staffordshire-Moorlands-Statement-of-Persons-Nominated-Notice-of-Poll-and-Situation-of-Polling-Stations/pdf/Statement_of_Persons_Nominated_Notice_of_Poll_and_Situatio_of_Polling_Stations_jgv0cl0d5im6.pdf?m=1717775777937" TargetMode="External"/><Relationship Id="rId172" Type="http://schemas.openxmlformats.org/officeDocument/2006/relationships/hyperlink" Target="https://www.wychavon.gov.uk/component/fileman/file/Documents/Elections/elections/2024/Statement%20of%20Persons%20Nominated%2C%20Notice%20of%20Poll%20and%20Situation%20of%20Polling%20Stations.pdf?routed=1&amp;container=fileman-files" TargetMode="External"/><Relationship Id="rId477" Type="http://schemas.openxmlformats.org/officeDocument/2006/relationships/hyperlink" Target="https://www.rutland.gov.uk/sites/default/files/2024-06/StatementOfPersonsNominated_2024-06-07%2016-14.pdf" TargetMode="External"/><Relationship Id="rId600" Type="http://schemas.openxmlformats.org/officeDocument/2006/relationships/hyperlink" Target="https://www.west-dunbarton.gov.uk/council/voting-and-elections/uk-general-election-2024/statement-of-persons-nominated-and-notice-of-poll/" TargetMode="External"/><Relationship Id="rId337" Type="http://schemas.openxmlformats.org/officeDocument/2006/relationships/hyperlink" Target="https://www.westlothian.gov.uk/media/61688/Notice-of-Poll-Livingston/pdf/Notice_of_Poll_Livingston.pdf" TargetMode="External"/><Relationship Id="rId34" Type="http://schemas.openxmlformats.org/officeDocument/2006/relationships/hyperlink" Target="https://www.bromley.gov.uk/downloads/file/2472/statement-of-persons-nominated-beckenham-and-penge-constituency" TargetMode="External"/><Relationship Id="rId544" Type="http://schemas.openxmlformats.org/officeDocument/2006/relationships/hyperlink" Target="https://www.dudley.gov.uk/media/2juhyitu/statement-of-persons-nominated-notice-of-poll-and-situation-of-polling-stations-stourbridge-borough-constituency.pdf" TargetMode="External"/><Relationship Id="rId183" Type="http://schemas.openxmlformats.org/officeDocument/2006/relationships/hyperlink" Target="https://www.ealing.gov.uk/download/downloads/id/19828/statement_of_persons_nominated_and_notice_of_poll_-_ealing_southall_constituency_4_july_2024.pdf" TargetMode="External"/><Relationship Id="rId390" Type="http://schemas.openxmlformats.org/officeDocument/2006/relationships/hyperlink" Target="https://www.caerphilly.gov.uk/my-council/voting-and-elections/forthcoming-elections-2024/general-election-2024" TargetMode="External"/><Relationship Id="rId404" Type="http://schemas.openxmlformats.org/officeDocument/2006/relationships/hyperlink" Target="https://www.hart.gov.uk/sites/default/files/2024-06/Statement%20of%20Persons%20Nominated%2C%20Notice%20of%20Poll%20and%20Situation%20of%20Polling%20Stations.pdf" TargetMode="External"/><Relationship Id="rId611" Type="http://schemas.openxmlformats.org/officeDocument/2006/relationships/hyperlink" Target="https://www.merton.gov.uk/system/files/statement_of_persons_nominated_and_notice_of_poll_-_wimbledon_constituency.pdf" TargetMode="External"/><Relationship Id="rId250" Type="http://schemas.openxmlformats.org/officeDocument/2006/relationships/hyperlink" Target="https://docs.google.com/document/d/1y88YU7Vh55_Pyy4sZ-fmowTUL2L7uIOrs6PEJDFXkVQ/edit" TargetMode="External"/><Relationship Id="rId488" Type="http://schemas.openxmlformats.org/officeDocument/2006/relationships/hyperlink" Target="https://www.sheffield.gov.uk/sites/default/files/2024-06/statement_of_persons_nominated_and_notice_of_poll_general_election.pdf" TargetMode="External"/><Relationship Id="rId45" Type="http://schemas.openxmlformats.org/officeDocument/2006/relationships/hyperlink" Target="https://www.birmingham.gov.uk/download/downloads/id/29250/erdington_constituency_notice_of_poll_and_persons_nominated.pdf" TargetMode="External"/><Relationship Id="rId110" Type="http://schemas.openxmlformats.org/officeDocument/2006/relationships/hyperlink" Target="https://www.cardiff.gov.uk/ENG/Your-Council/Voting-and-elections/Elections-Information/Upcoming-elections-and-polls/cardiff-east-constituency-notices/Pages/default.aspx" TargetMode="External"/><Relationship Id="rId348" Type="http://schemas.openxmlformats.org/officeDocument/2006/relationships/hyperlink" Target="https://www.wigan.gov.uk/Docs/PDF/Council/Voting-and-Elections/2024/General-Election/Statement-Of-Persons-Nominated-Makerfield.pdf" TargetMode="External"/><Relationship Id="rId555" Type="http://schemas.openxmlformats.org/officeDocument/2006/relationships/hyperlink" Target="https://www.birmingham.gov.uk/download/downloads/id/29254/sutton_coldfield_constituency_notice_of_poll_and_persons_nominated.pdf" TargetMode="External"/><Relationship Id="rId194" Type="http://schemas.openxmlformats.org/officeDocument/2006/relationships/hyperlink" Target="https://www.adur-worthing.gov.uk/media/Media,171608,smxx.pdf" TargetMode="External"/><Relationship Id="rId208" Type="http://schemas.openxmlformats.org/officeDocument/2006/relationships/hyperlink" Target="https://www.epsom-ewell.gov.uk/sites/default/files/documents/council/elections-and-voting/Statement%20of%20Persons%20Nominated%20&amp;%20Notice%20of%20Poll%20-%204%20July%202024.pdf" TargetMode="External"/><Relationship Id="rId415" Type="http://schemas.openxmlformats.org/officeDocument/2006/relationships/hyperlink" Target="https://www.basingstoke.gov.uk/content/page/84023/Statement%20of%20Persons%20Nominated%20Notice%20of%20Poll%20and%20Situation%20of%20Polling%20Stations%20-%20North%20West%20Hampshire%20constituency.pdf" TargetMode="External"/><Relationship Id="rId622" Type="http://schemas.openxmlformats.org/officeDocument/2006/relationships/hyperlink" Target="https://www.worcester.gov.uk/component/fileman/file/PDF%20Documents/Councillors%20and%20Democracy/Elections/2024/GE/Statement%20of%20Persons%20Nominated%20Worcester%20-%20UK%20General%20Election.pdf?routed=1&amp;container=fileman-files" TargetMode="External"/><Relationship Id="rId261" Type="http://schemas.openxmlformats.org/officeDocument/2006/relationships/hyperlink" Target="https://www.northyorks.gov.uk/sites/default/files/2024-06/SPN%20Harrogate%20and%20Knaresborough%2007.06.2024.pdf" TargetMode="External"/><Relationship Id="rId499" Type="http://schemas.openxmlformats.org/officeDocument/2006/relationships/hyperlink" Target="https://www.thurrock.gov.uk/elections-and-election-results/election-dates" TargetMode="External"/><Relationship Id="rId56" Type="http://schemas.openxmlformats.org/officeDocument/2006/relationships/hyperlink" Target="https://www.wyre.gov.uk/downloads/file/1924/statement-of-persons-nominated-including-notice-of-poll-situation-of-polling-stations" TargetMode="External"/><Relationship Id="rId359" Type="http://schemas.openxmlformats.org/officeDocument/2006/relationships/hyperlink" Target="https://centralbedfordshirecouncil.sharepoint.com/:b:/s/Communications/EbmO1soPcsVDl9VvMaBV3EYBq2fFgYabtjjYhO2BLdUUPw?e=Djp0kf" TargetMode="External"/><Relationship Id="rId566" Type="http://schemas.openxmlformats.org/officeDocument/2006/relationships/hyperlink" Target="https://beta.southglos.gov.uk/static/b9d1e04cfca41360c79e815fbf5e951a/TANDY-Statement-of-Persons-Nominated-Notice-of-Poll-and-Situation-of-Polling-Stations-Thornby-and-Yate-7-June-2024.pdf" TargetMode="External"/><Relationship Id="rId121" Type="http://schemas.openxmlformats.org/officeDocument/2006/relationships/hyperlink" Target="https://www.medway.gov.uk/download/downloads/id/8736/notice_of_poll_and_persons_nominated_for_general_election_2024.docx" TargetMode="External"/><Relationship Id="rId219" Type="http://schemas.openxmlformats.org/officeDocument/2006/relationships/hyperlink" Target="https://beta.southglos.gov.uk/static/001ab7b6905c7e1be9fb3c022fb4e79e/Statement_of_Persons_Nominated_FABS_7_June_2024.pdf" TargetMode="External"/><Relationship Id="rId426" Type="http://schemas.openxmlformats.org/officeDocument/2006/relationships/hyperlink" Target="https://www.bexley.gov.uk/sites/default/files/2024-06/notice-of-election-of-a-member-of-parliament-for-old-bexley-and-sidcup.pdf" TargetMode="External"/><Relationship Id="rId633" Type="http://schemas.openxmlformats.org/officeDocument/2006/relationships/table" Target="../tables/table2.xml"/><Relationship Id="rId67" Type="http://schemas.openxmlformats.org/officeDocument/2006/relationships/hyperlink" Target="https://www.boston.gov.uk/media/25054/Statement-of-Persons-Nominated-and-Notice-of-Poll/pdf/Statement_of_Persons_Nominated_and_Notice_of_Poll.pdf?m=1717781695020" TargetMode="External"/><Relationship Id="rId272" Type="http://schemas.openxmlformats.org/officeDocument/2006/relationships/hyperlink" Target="https://www.southandvale.gov.uk/wp-content/uploads/2024/06/Statement-of-Persons-Nominated-Henley-and-Thame.pdf" TargetMode="External"/><Relationship Id="rId577" Type="http://schemas.openxmlformats.org/officeDocument/2006/relationships/hyperlink" Target="https://tunbridgewells.gov.uk/council/voting-and-elections/elections/general-election/sopn" TargetMode="External"/><Relationship Id="rId132" Type="http://schemas.openxmlformats.org/officeDocument/2006/relationships/hyperlink" Target="https://www.wiltshire.gov.uk/media/13494/Statement-of-Persons-Nominated-Notice-of-Poll-and-Situation-of-Polling-Stations-Chippenham-Constituency/pdf/SoPN_-_NoP_-_SoPS_-_Chippenham_Constituency.pdf?m=1717776672323" TargetMode="External"/><Relationship Id="rId437" Type="http://schemas.openxmlformats.org/officeDocument/2006/relationships/hyperlink" Target="https://www.pendle.gov.uk/downloads/file/12026/statement_of_persons_nominated_for_pendle_and_clitheroe_constituency" TargetMode="External"/><Relationship Id="rId283" Type="http://schemas.openxmlformats.org/officeDocument/2006/relationships/hyperlink" Target="https://eastdevon.gov.uk/elections-and-registering-to-vote/uk-general-election/honiton-and-sidmouth-constituency/" TargetMode="External"/><Relationship Id="rId490" Type="http://schemas.openxmlformats.org/officeDocument/2006/relationships/hyperlink" Target="https://www.newark-sherwooddc.gov.uk/your-council/your-council/elections/4-july-2024-parliamentary-election/" TargetMode="External"/><Relationship Id="rId504" Type="http://schemas.openxmlformats.org/officeDocument/2006/relationships/hyperlink" Target="https://www.dorsetcouncil.gov.uk/w/uk-parliamentary-general-election" TargetMode="External"/><Relationship Id="rId78" Type="http://schemas.openxmlformats.org/officeDocument/2006/relationships/hyperlink" Target="https://www.hounslow.gov.uk/info/20043/elections_and_voting/2459/uk_parliamentary_general_election_2024_-_statement_of_persons_nominated_notice_of_poll_and_situation_of_polling_stations" TargetMode="External"/><Relationship Id="rId143" Type="http://schemas.openxmlformats.org/officeDocument/2006/relationships/hyperlink" Target="https://cbccrmdata.blob.core.windows.net/noteattachment/CBC-null-Notice-of-Poll-Statement-of-Persons-Nominated-and-Situations-of-Polling-Station-Notice%20of%20Poll%20Statement%20of%20Persons%20Nominated%20&amp;%20Situations%20of%20Polling%20Station.pdf" TargetMode="External"/><Relationship Id="rId350" Type="http://schemas.openxmlformats.org/officeDocument/2006/relationships/hyperlink" Target="https://www.manchester.gov.uk/directory_record/466431/manchester_central" TargetMode="External"/><Relationship Id="rId588" Type="http://schemas.openxmlformats.org/officeDocument/2006/relationships/hyperlink" Target="https://www.warrington.gov.uk/sites/default/files/2024-06/Statement%20of%20Persons%20Nominated%20-%20Warrington%20South%20Constituency%20-%20June%20202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Z654"/>
  <sheetViews>
    <sheetView tabSelected="1" workbookViewId="0">
      <pane ySplit="4" topLeftCell="A596" activePane="bottomLeft" state="frozen"/>
      <selection pane="bottomLeft" activeCell="R611" sqref="R611"/>
    </sheetView>
  </sheetViews>
  <sheetFormatPr defaultColWidth="12.59765625" defaultRowHeight="15.75" customHeight="1"/>
  <cols>
    <col min="1" max="1" width="1.3984375" customWidth="1"/>
    <col min="2" max="2" width="33.46484375" customWidth="1"/>
    <col min="4" max="4" width="21.265625" customWidth="1"/>
    <col min="5" max="5" width="7.59765625" customWidth="1"/>
    <col min="6" max="6" width="5.1328125" customWidth="1"/>
    <col min="7" max="7" width="1.3984375" customWidth="1"/>
    <col min="8" max="24" width="5.1328125" customWidth="1"/>
    <col min="25" max="30" width="3.265625" customWidth="1"/>
    <col min="31" max="31" width="1.3984375" customWidth="1"/>
    <col min="32" max="33" width="5.1328125" customWidth="1"/>
    <col min="34" max="34" width="1.3984375" customWidth="1"/>
    <col min="35" max="37" width="5.1328125" customWidth="1"/>
    <col min="38" max="38" width="10.1328125" customWidth="1"/>
    <col min="39" max="40" width="5.1328125" customWidth="1"/>
    <col min="41" max="41" width="1.3984375" customWidth="1"/>
    <col min="42" max="60" width="5.1328125" customWidth="1"/>
    <col min="61" max="61" width="1.3984375" customWidth="1"/>
    <col min="62" max="69" width="5.1328125" customWidth="1"/>
    <col min="70" max="70" width="1.3984375" customWidth="1"/>
    <col min="71" max="78" width="5.1328125" customWidth="1"/>
  </cols>
  <sheetData>
    <row r="1" spans="1:78" ht="47.25" customHeight="1">
      <c r="A1" s="1"/>
      <c r="B1" s="200" t="s">
        <v>0</v>
      </c>
      <c r="C1" s="196" t="s">
        <v>1</v>
      </c>
      <c r="D1" s="196" t="s">
        <v>2</v>
      </c>
      <c r="E1" s="194" t="s">
        <v>3</v>
      </c>
      <c r="F1" s="194" t="s">
        <v>4</v>
      </c>
      <c r="G1" s="199"/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193"/>
      <c r="AF1" s="190" t="s">
        <v>28</v>
      </c>
      <c r="AG1" s="195" t="s">
        <v>29</v>
      </c>
      <c r="AH1" s="193"/>
      <c r="AI1" s="190" t="s">
        <v>30</v>
      </c>
      <c r="AJ1" s="190" t="s">
        <v>31</v>
      </c>
      <c r="AK1" s="190" t="s">
        <v>32</v>
      </c>
      <c r="AL1" s="190" t="s">
        <v>33</v>
      </c>
      <c r="AM1" s="190" t="s">
        <v>34</v>
      </c>
      <c r="AN1" s="190" t="s">
        <v>35</v>
      </c>
      <c r="AO1" s="193"/>
      <c r="AP1" s="2" t="s">
        <v>5</v>
      </c>
      <c r="AQ1" s="2" t="s">
        <v>6</v>
      </c>
      <c r="AR1" s="2" t="s">
        <v>7</v>
      </c>
      <c r="AS1" s="2" t="s">
        <v>8</v>
      </c>
      <c r="AT1" s="2" t="s">
        <v>9</v>
      </c>
      <c r="AU1" s="2" t="s">
        <v>10</v>
      </c>
      <c r="AV1" s="2" t="s">
        <v>11</v>
      </c>
      <c r="AW1" s="198" t="s">
        <v>36</v>
      </c>
      <c r="AX1" s="2" t="s">
        <v>37</v>
      </c>
      <c r="AY1" s="2" t="s">
        <v>13</v>
      </c>
      <c r="AZ1" s="2" t="s">
        <v>14</v>
      </c>
      <c r="BA1" s="2" t="s">
        <v>15</v>
      </c>
      <c r="BB1" s="2" t="s">
        <v>16</v>
      </c>
      <c r="BC1" s="2" t="s">
        <v>17</v>
      </c>
      <c r="BD1" s="2" t="s">
        <v>18</v>
      </c>
      <c r="BE1" s="2" t="s">
        <v>19</v>
      </c>
      <c r="BF1" s="2" t="s">
        <v>20</v>
      </c>
      <c r="BG1" s="2" t="s">
        <v>21</v>
      </c>
      <c r="BH1" s="2" t="s">
        <v>38</v>
      </c>
      <c r="BI1" s="193"/>
      <c r="BJ1" s="2" t="s">
        <v>5</v>
      </c>
      <c r="BK1" s="2" t="s">
        <v>6</v>
      </c>
      <c r="BL1" s="2" t="s">
        <v>7</v>
      </c>
      <c r="BM1" s="2" t="s">
        <v>8</v>
      </c>
      <c r="BN1" s="2" t="s">
        <v>9</v>
      </c>
      <c r="BO1" s="2" t="s">
        <v>10</v>
      </c>
      <c r="BP1" s="2" t="s">
        <v>11</v>
      </c>
      <c r="BQ1" s="2" t="s">
        <v>39</v>
      </c>
      <c r="BR1" s="3"/>
      <c r="BS1" s="2" t="s">
        <v>5</v>
      </c>
      <c r="BT1" s="2" t="s">
        <v>6</v>
      </c>
      <c r="BU1" s="2" t="s">
        <v>7</v>
      </c>
      <c r="BV1" s="2" t="s">
        <v>8</v>
      </c>
      <c r="BW1" s="2" t="s">
        <v>9</v>
      </c>
      <c r="BX1" s="2" t="s">
        <v>10</v>
      </c>
      <c r="BY1" s="2" t="s">
        <v>11</v>
      </c>
      <c r="BZ1" s="2" t="s">
        <v>39</v>
      </c>
    </row>
    <row r="2" spans="1:78" ht="5.25" customHeight="1">
      <c r="A2" s="4"/>
      <c r="B2" s="191"/>
      <c r="C2" s="191"/>
      <c r="D2" s="191"/>
      <c r="E2" s="191"/>
      <c r="F2" s="191"/>
      <c r="G2" s="191"/>
      <c r="H2" s="5"/>
      <c r="I2" s="6"/>
      <c r="J2" s="7"/>
      <c r="K2" s="8"/>
      <c r="L2" s="9"/>
      <c r="M2" s="10"/>
      <c r="N2" s="11"/>
      <c r="O2" s="12"/>
      <c r="P2" s="13"/>
      <c r="Q2" s="14"/>
      <c r="R2" s="15"/>
      <c r="S2" s="16"/>
      <c r="T2" s="17"/>
      <c r="U2" s="18"/>
      <c r="V2" s="19"/>
      <c r="W2" s="20"/>
      <c r="X2" s="21"/>
      <c r="Y2" s="22"/>
      <c r="Z2" s="22"/>
      <c r="AA2" s="22"/>
      <c r="AB2" s="22"/>
      <c r="AC2" s="22"/>
      <c r="AD2" s="22"/>
      <c r="AE2" s="191"/>
      <c r="AF2" s="191"/>
      <c r="AG2" s="191"/>
      <c r="AH2" s="191"/>
      <c r="AI2" s="191"/>
      <c r="AJ2" s="191"/>
      <c r="AK2" s="191"/>
      <c r="AL2" s="191"/>
      <c r="AM2" s="191"/>
      <c r="AN2" s="191"/>
      <c r="AO2" s="191"/>
      <c r="AP2" s="23"/>
      <c r="AQ2" s="24"/>
      <c r="AR2" s="25"/>
      <c r="AS2" s="26"/>
      <c r="AT2" s="27"/>
      <c r="AU2" s="28"/>
      <c r="AV2" s="29"/>
      <c r="AW2" s="191"/>
      <c r="AX2" s="30"/>
      <c r="AY2" s="31"/>
      <c r="AZ2" s="32"/>
      <c r="BA2" s="33"/>
      <c r="BB2" s="34"/>
      <c r="BC2" s="35"/>
      <c r="BD2" s="36"/>
      <c r="BE2" s="37"/>
      <c r="BF2" s="38"/>
      <c r="BG2" s="39"/>
      <c r="BH2" s="40"/>
      <c r="BI2" s="191"/>
      <c r="BJ2" s="23"/>
      <c r="BK2" s="24"/>
      <c r="BL2" s="25"/>
      <c r="BM2" s="26"/>
      <c r="BN2" s="27"/>
      <c r="BO2" s="28"/>
      <c r="BP2" s="29"/>
      <c r="BQ2" s="40"/>
      <c r="BR2" s="41"/>
      <c r="BS2" s="23"/>
      <c r="BT2" s="24"/>
      <c r="BU2" s="25"/>
      <c r="BV2" s="26"/>
      <c r="BW2" s="27"/>
      <c r="BX2" s="28"/>
      <c r="BY2" s="29"/>
      <c r="BZ2" s="40"/>
    </row>
    <row r="3" spans="1:78" ht="13.15">
      <c r="A3" s="4"/>
      <c r="B3" s="191"/>
      <c r="C3" s="191"/>
      <c r="D3" s="191"/>
      <c r="E3" s="191"/>
      <c r="F3" s="191"/>
      <c r="G3" s="191"/>
      <c r="H3" s="42">
        <f t="shared" ref="H3:X3" si="0">H4/SUM($H4:$AD4)</f>
        <v>0.3373887673515214</v>
      </c>
      <c r="I3" s="42">
        <f t="shared" si="0"/>
        <v>0.23713493002482541</v>
      </c>
      <c r="J3" s="42">
        <f t="shared" si="0"/>
        <v>0.14271357688835423</v>
      </c>
      <c r="K3" s="42">
        <f t="shared" si="0"/>
        <v>0.12222498288126799</v>
      </c>
      <c r="L3" s="42">
        <f t="shared" si="0"/>
        <v>6.7359381570965798E-2</v>
      </c>
      <c r="M3" s="42">
        <f t="shared" si="0"/>
        <v>2.5195589139724139E-2</v>
      </c>
      <c r="N3" s="42">
        <f t="shared" si="0"/>
        <v>6.7724370284961317E-3</v>
      </c>
      <c r="O3" s="42">
        <f t="shared" si="0"/>
        <v>1.8088060558298889E-2</v>
      </c>
      <c r="P3" s="42">
        <f t="shared" si="0"/>
        <v>7.0665068953108838E-3</v>
      </c>
      <c r="Q3" s="42">
        <f t="shared" si="0"/>
        <v>1.0877004365646035E-3</v>
      </c>
      <c r="R3" s="42">
        <f t="shared" si="0"/>
        <v>1.2216119068294607E-3</v>
      </c>
      <c r="S3" s="42">
        <f t="shared" si="0"/>
        <v>5.981448533445172E-3</v>
      </c>
      <c r="T3" s="42">
        <f t="shared" si="0"/>
        <v>7.3314444121562834E-3</v>
      </c>
      <c r="U3" s="42">
        <f t="shared" si="0"/>
        <v>4.0740444215495537E-3</v>
      </c>
      <c r="V3" s="42">
        <f t="shared" si="0"/>
        <v>3.0196480318472902E-3</v>
      </c>
      <c r="W3" s="42">
        <f t="shared" si="0"/>
        <v>3.29491049850283E-3</v>
      </c>
      <c r="X3" s="42">
        <f t="shared" si="0"/>
        <v>1.6924921936252787E-3</v>
      </c>
      <c r="Y3" s="186">
        <f>SUM(Y4:AD4)/SUM($H4:$AD4)</f>
        <v>8.3524672267146563E-3</v>
      </c>
      <c r="Z3" s="187"/>
      <c r="AA3" s="187"/>
      <c r="AB3" s="187"/>
      <c r="AC3" s="187"/>
      <c r="AD3" s="188"/>
      <c r="AE3" s="191"/>
      <c r="AF3" s="192"/>
      <c r="AG3" s="192"/>
      <c r="AH3" s="191"/>
      <c r="AI3" s="191"/>
      <c r="AJ3" s="191"/>
      <c r="AK3" s="191"/>
      <c r="AL3" s="191"/>
      <c r="AM3" s="191"/>
      <c r="AN3" s="191"/>
      <c r="AO3" s="191"/>
      <c r="AP3" s="43">
        <f>COUNTIF($AJ5:$AJ654, "=LAB")</f>
        <v>411</v>
      </c>
      <c r="AQ3" s="43">
        <f>COUNTIF($AJ5:$AJ654, "=CON")</f>
        <v>121</v>
      </c>
      <c r="AR3" s="43">
        <f>COUNTIF($AJ5:$AJ654, "=RFM")</f>
        <v>5</v>
      </c>
      <c r="AS3" s="43">
        <f>COUNTIF($AJ5:$AJ654, "=LDM")</f>
        <v>72</v>
      </c>
      <c r="AT3" s="43">
        <f>COUNTIF($AJ5:$AJ654, "=GRN")</f>
        <v>4</v>
      </c>
      <c r="AU3" s="43">
        <f>COUNTIF($AJ5:$AJ654, "=SNP")</f>
        <v>9</v>
      </c>
      <c r="AV3" s="43">
        <f>COUNTIF($AJ5:$AJ654, "=PLC")</f>
        <v>4</v>
      </c>
      <c r="AW3" s="191"/>
      <c r="AX3" s="43">
        <f>COUNTIF($AJ5:$AJ654, "=IND")</f>
        <v>6</v>
      </c>
      <c r="AY3" s="43">
        <f>COUNTIF($AJ5:$AJ654, "=WPGB")</f>
        <v>0</v>
      </c>
      <c r="AZ3" s="43">
        <f>COUNTIF($AJ5:$AJ654, "=SDP")</f>
        <v>0</v>
      </c>
      <c r="BA3" s="43">
        <f>COUNTIF($AJ5:$AJ654, "=Localist")</f>
        <v>0</v>
      </c>
      <c r="BB3" s="43">
        <f>COUNTIF($AJ5:$AJ654, "=DUP")</f>
        <v>5</v>
      </c>
      <c r="BC3" s="43">
        <f>COUNTIF($AJ5:$AJ654, "=SF")</f>
        <v>7</v>
      </c>
      <c r="BD3" s="43">
        <f>COUNTIF($AJ5:$AJ654, "=ALL")</f>
        <v>1</v>
      </c>
      <c r="BE3" s="43">
        <f>COUNTIF($AJ5:$AJ654, "=SDLP")</f>
        <v>2</v>
      </c>
      <c r="BF3" s="43">
        <f>COUNTIF($AJ5:$AJ654, "=UUP")</f>
        <v>1</v>
      </c>
      <c r="BG3" s="43">
        <f>COUNTIF($AJ5:$AJ654, "=TUV")</f>
        <v>1</v>
      </c>
      <c r="BH3" s="43">
        <v>0</v>
      </c>
      <c r="BI3" s="191"/>
      <c r="BJ3" s="189" t="s">
        <v>40</v>
      </c>
      <c r="BK3" s="187"/>
      <c r="BL3" s="187"/>
      <c r="BM3" s="187"/>
      <c r="BN3" s="187"/>
      <c r="BO3" s="187"/>
      <c r="BP3" s="187"/>
      <c r="BQ3" s="188"/>
      <c r="BR3" s="45"/>
      <c r="BS3" s="44" t="s">
        <v>41</v>
      </c>
      <c r="BT3" s="46"/>
      <c r="BU3" s="46"/>
      <c r="BV3" s="46"/>
      <c r="BW3" s="46"/>
      <c r="BX3" s="46"/>
      <c r="BY3" s="46"/>
      <c r="BZ3" s="47"/>
    </row>
    <row r="4" spans="1:78" ht="13.15">
      <c r="A4" s="48"/>
      <c r="B4" s="192"/>
      <c r="C4" s="192"/>
      <c r="D4" s="192"/>
      <c r="E4" s="192"/>
      <c r="F4" s="192"/>
      <c r="G4" s="192"/>
      <c r="H4" s="49">
        <f t="shared" ref="H4:X4" si="1">SUM(H5:H654)</f>
        <v>9705080</v>
      </c>
      <c r="I4" s="49">
        <f t="shared" si="1"/>
        <v>6821251</v>
      </c>
      <c r="J4" s="49">
        <f t="shared" si="1"/>
        <v>4105195</v>
      </c>
      <c r="K4" s="49">
        <f t="shared" si="1"/>
        <v>3515835</v>
      </c>
      <c r="L4" s="49">
        <f t="shared" si="1"/>
        <v>1937611</v>
      </c>
      <c r="M4" s="49">
        <f t="shared" si="1"/>
        <v>724758</v>
      </c>
      <c r="N4" s="49">
        <f t="shared" si="1"/>
        <v>194811</v>
      </c>
      <c r="O4" s="49">
        <f t="shared" si="1"/>
        <v>520308</v>
      </c>
      <c r="P4" s="49">
        <f t="shared" si="1"/>
        <v>203270</v>
      </c>
      <c r="Q4" s="49">
        <f t="shared" si="1"/>
        <v>31288</v>
      </c>
      <c r="R4" s="49">
        <f t="shared" si="1"/>
        <v>35140</v>
      </c>
      <c r="S4" s="49">
        <f t="shared" si="1"/>
        <v>172058</v>
      </c>
      <c r="T4" s="49">
        <f t="shared" si="1"/>
        <v>210891</v>
      </c>
      <c r="U4" s="49">
        <f t="shared" si="1"/>
        <v>117191</v>
      </c>
      <c r="V4" s="49">
        <f t="shared" si="1"/>
        <v>86861</v>
      </c>
      <c r="W4" s="49">
        <f t="shared" si="1"/>
        <v>94779</v>
      </c>
      <c r="X4" s="49">
        <f t="shared" si="1"/>
        <v>48685</v>
      </c>
      <c r="Y4" s="197">
        <f>SUM(Y5:AD654)</f>
        <v>240261</v>
      </c>
      <c r="Z4" s="187"/>
      <c r="AA4" s="187"/>
      <c r="AB4" s="187"/>
      <c r="AC4" s="187"/>
      <c r="AD4" s="188"/>
      <c r="AE4" s="192"/>
      <c r="AF4" s="50">
        <f t="shared" ref="AF4:AG4" si="2">COUNTIF(AF5:AF654,TRUE)/COUNTA(AF5:AF654)</f>
        <v>4.6153846153846156E-2</v>
      </c>
      <c r="AG4" s="50">
        <f t="shared" si="2"/>
        <v>1.0769230769230769E-2</v>
      </c>
      <c r="AH4" s="192"/>
      <c r="AI4" s="192"/>
      <c r="AJ4" s="192"/>
      <c r="AK4" s="192"/>
      <c r="AL4" s="192"/>
      <c r="AM4" s="192"/>
      <c r="AN4" s="192"/>
      <c r="AO4" s="192"/>
      <c r="AP4" s="51">
        <f>AP3-200</f>
        <v>211</v>
      </c>
      <c r="AQ4" s="51">
        <f>AQ3-372</f>
        <v>-251</v>
      </c>
      <c r="AR4" s="51">
        <f>AR3-0</f>
        <v>5</v>
      </c>
      <c r="AS4" s="51">
        <f>AS3-8</f>
        <v>64</v>
      </c>
      <c r="AT4" s="51">
        <f>AT3-1</f>
        <v>3</v>
      </c>
      <c r="AU4" s="51">
        <f>AU3-48</f>
        <v>-39</v>
      </c>
      <c r="AV4" s="51">
        <f>AV3-2</f>
        <v>2</v>
      </c>
      <c r="AW4" s="192"/>
      <c r="AX4" s="51">
        <f t="shared" ref="AX4:BA4" si="3">AX3-0</f>
        <v>6</v>
      </c>
      <c r="AY4" s="51">
        <f t="shared" si="3"/>
        <v>0</v>
      </c>
      <c r="AZ4" s="51">
        <f t="shared" si="3"/>
        <v>0</v>
      </c>
      <c r="BA4" s="51">
        <f t="shared" si="3"/>
        <v>0</v>
      </c>
      <c r="BB4" s="51">
        <f>BB3-8</f>
        <v>-3</v>
      </c>
      <c r="BC4" s="51">
        <f>BC3-7</f>
        <v>0</v>
      </c>
      <c r="BD4" s="51">
        <f>BD3-1</f>
        <v>0</v>
      </c>
      <c r="BE4" s="51">
        <f>BE3-2</f>
        <v>0</v>
      </c>
      <c r="BF4" s="51">
        <f t="shared" ref="BF4:BH4" si="4">BF3-0</f>
        <v>1</v>
      </c>
      <c r="BG4" s="51">
        <f t="shared" si="4"/>
        <v>1</v>
      </c>
      <c r="BH4" s="51">
        <f t="shared" si="4"/>
        <v>0</v>
      </c>
      <c r="BI4" s="192"/>
      <c r="BJ4" s="52">
        <v>0.32079999999999997</v>
      </c>
      <c r="BK4" s="52">
        <v>0.43630000000000002</v>
      </c>
      <c r="BL4" s="52">
        <v>2.01E-2</v>
      </c>
      <c r="BM4" s="52">
        <v>0.11550000000000001</v>
      </c>
      <c r="BN4" s="52">
        <v>2.6100000000000002E-2</v>
      </c>
      <c r="BO4" s="52">
        <v>3.8800000000000001E-2</v>
      </c>
      <c r="BP4" s="52">
        <v>4.7999999999999996E-3</v>
      </c>
      <c r="BQ4" s="52">
        <f>1-(SUM(BJ4:BP4))</f>
        <v>3.7599999999999967E-2</v>
      </c>
      <c r="BR4" s="53"/>
      <c r="BS4" s="54">
        <f t="shared" ref="BS4:BX4" si="5">H3-BJ4</f>
        <v>1.6588767351521427E-2</v>
      </c>
      <c r="BT4" s="54">
        <f t="shared" si="5"/>
        <v>-0.19916506997517461</v>
      </c>
      <c r="BU4" s="54">
        <f t="shared" si="5"/>
        <v>0.12261357688835423</v>
      </c>
      <c r="BV4" s="54">
        <f t="shared" si="5"/>
        <v>6.7249828812679796E-3</v>
      </c>
      <c r="BW4" s="54">
        <f t="shared" si="5"/>
        <v>4.12593815709658E-2</v>
      </c>
      <c r="BX4" s="54">
        <f t="shared" si="5"/>
        <v>-1.3604410860275862E-2</v>
      </c>
      <c r="BY4" s="54">
        <f>O3-BP4</f>
        <v>1.3288060558298891E-2</v>
      </c>
      <c r="BZ4" s="54">
        <f>-(SUM(BS4:BY4))</f>
        <v>1.2294711585042147E-2</v>
      </c>
    </row>
    <row r="5" spans="1:78" ht="13.15">
      <c r="A5" s="55" t="s">
        <v>6</v>
      </c>
      <c r="B5" s="56" t="s">
        <v>42</v>
      </c>
      <c r="C5" s="57" t="s">
        <v>43</v>
      </c>
      <c r="D5" s="57" t="s">
        <v>44</v>
      </c>
      <c r="E5" s="58">
        <v>78569</v>
      </c>
      <c r="F5" s="59">
        <f t="shared" ref="F5:F40" si="6">AI5/E5</f>
        <v>0.61785182451093945</v>
      </c>
      <c r="G5" s="60"/>
      <c r="H5" s="61">
        <v>19764</v>
      </c>
      <c r="I5" s="61">
        <v>14081</v>
      </c>
      <c r="J5" s="61">
        <v>8210</v>
      </c>
      <c r="K5" s="61">
        <v>4052</v>
      </c>
      <c r="L5" s="61">
        <v>2155</v>
      </c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>
        <v>282</v>
      </c>
      <c r="Z5" s="61"/>
      <c r="AA5" s="61"/>
      <c r="AB5" s="61"/>
      <c r="AC5" s="61"/>
      <c r="AD5" s="61"/>
      <c r="AE5" s="62"/>
      <c r="AF5" s="63" t="b">
        <v>0</v>
      </c>
      <c r="AG5" s="63" t="b">
        <v>0</v>
      </c>
      <c r="AH5" s="62"/>
      <c r="AI5" s="64">
        <f t="shared" ref="AI5:AI259" si="7">SUM(H5:AD5)</f>
        <v>48544</v>
      </c>
      <c r="AJ5" s="65" t="str">
        <f t="shared" ref="AJ5:AJ111" si="8">INDEX($H$1:$X$1,0,MATCH(MAX($H5:$X5),$H5:$X5,0))</f>
        <v>LAB</v>
      </c>
      <c r="AK5" s="66" t="str">
        <f t="shared" ref="AK5:AK259" si="9">IF(A5=AJ5,"HOLD","GAIN")</f>
        <v>GAIN</v>
      </c>
      <c r="AL5" s="67" t="e">
        <f t="shared" ref="AL5:AL259" ca="1" si="10">_xludf.TEXTJOIN(,,AJ5,," ",AK5)</f>
        <v>#NAME?</v>
      </c>
      <c r="AM5" s="68">
        <f t="shared" ref="AM5:AM145" si="11">LARGE(H5:X5,1)-LARGE(H5:X5,2)</f>
        <v>5683</v>
      </c>
      <c r="AN5" s="69">
        <f t="shared" ref="AN5:AN145" si="12">(LARGE(H5:X5,1)/AI5)-(LARGE(H5:X5,2)/AI5)</f>
        <v>0.11706905075807517</v>
      </c>
      <c r="AO5" s="62"/>
      <c r="AP5" s="70">
        <f t="shared" ref="AP5:AT5" si="13">H5/$AI5</f>
        <v>0.40713579433091629</v>
      </c>
      <c r="AQ5" s="70">
        <f t="shared" si="13"/>
        <v>0.29006674357284112</v>
      </c>
      <c r="AR5" s="70">
        <f t="shared" si="13"/>
        <v>0.16912491760052736</v>
      </c>
      <c r="AS5" s="70">
        <f t="shared" si="13"/>
        <v>8.3470665787738957E-2</v>
      </c>
      <c r="AT5" s="70">
        <f t="shared" si="13"/>
        <v>4.4392715886618327E-2</v>
      </c>
      <c r="AU5" s="70"/>
      <c r="AV5" s="70"/>
      <c r="AW5" s="71">
        <f t="shared" ref="AW5:AW259" si="14">1-SUM(AP5:AV5)</f>
        <v>5.809162821357905E-3</v>
      </c>
      <c r="AX5" s="70">
        <f t="shared" ref="AX5:BG5" si="15">O5/$AI5</f>
        <v>0</v>
      </c>
      <c r="AY5" s="70">
        <f t="shared" si="15"/>
        <v>0</v>
      </c>
      <c r="AZ5" s="70">
        <f t="shared" si="15"/>
        <v>0</v>
      </c>
      <c r="BA5" s="70">
        <f t="shared" si="15"/>
        <v>0</v>
      </c>
      <c r="BB5" s="70">
        <f t="shared" si="15"/>
        <v>0</v>
      </c>
      <c r="BC5" s="70">
        <f t="shared" si="15"/>
        <v>0</v>
      </c>
      <c r="BD5" s="70">
        <f t="shared" si="15"/>
        <v>0</v>
      </c>
      <c r="BE5" s="70">
        <f t="shared" si="15"/>
        <v>0</v>
      </c>
      <c r="BF5" s="70">
        <f t="shared" si="15"/>
        <v>0</v>
      </c>
      <c r="BG5" s="70">
        <f t="shared" si="15"/>
        <v>0</v>
      </c>
      <c r="BH5" s="70">
        <f t="shared" ref="BH5:BH259" si="16">1-SUM(AP5:AV5)-SUM(AX5:BG5)</f>
        <v>5.809162821357905E-3</v>
      </c>
      <c r="BI5" s="62"/>
      <c r="BJ5" s="69">
        <v>0.221</v>
      </c>
      <c r="BK5" s="69">
        <v>0.56799999999999995</v>
      </c>
      <c r="BL5" s="69">
        <v>0</v>
      </c>
      <c r="BM5" s="69">
        <v>0.17499999999999999</v>
      </c>
      <c r="BN5" s="69">
        <v>3.5999999999999997E-2</v>
      </c>
      <c r="BO5" s="69">
        <v>0</v>
      </c>
      <c r="BP5" s="69">
        <v>0</v>
      </c>
      <c r="BQ5" s="69">
        <v>0</v>
      </c>
      <c r="BR5" s="62"/>
      <c r="BS5" s="72">
        <f t="shared" ref="BS5:BW5" si="17">AP5-BJ5</f>
        <v>0.18613579433091629</v>
      </c>
      <c r="BT5" s="72">
        <f t="shared" si="17"/>
        <v>-0.27793325642715883</v>
      </c>
      <c r="BU5" s="72">
        <f t="shared" si="17"/>
        <v>0.16912491760052736</v>
      </c>
      <c r="BV5" s="72">
        <f t="shared" si="17"/>
        <v>-9.1529334212261032E-2</v>
      </c>
      <c r="BW5" s="72">
        <f t="shared" si="17"/>
        <v>8.3927158866183293E-3</v>
      </c>
      <c r="BX5" s="72"/>
      <c r="BY5" s="72"/>
      <c r="BZ5" s="72">
        <f t="shared" ref="BZ5:BZ259" si="18">SUM(AX5:BH5)-BQ5</f>
        <v>5.809162821357905E-3</v>
      </c>
    </row>
    <row r="6" spans="1:78" ht="13.15">
      <c r="A6" s="73" t="s">
        <v>6</v>
      </c>
      <c r="B6" s="74" t="s">
        <v>45</v>
      </c>
      <c r="C6" s="75" t="s">
        <v>46</v>
      </c>
      <c r="D6" s="75" t="s">
        <v>47</v>
      </c>
      <c r="E6" s="76">
        <v>70871</v>
      </c>
      <c r="F6" s="59">
        <f t="shared" si="6"/>
        <v>0.57727420242412275</v>
      </c>
      <c r="G6" s="60"/>
      <c r="H6" s="77">
        <v>11607</v>
      </c>
      <c r="I6" s="77">
        <v>15901</v>
      </c>
      <c r="J6" s="77">
        <v>9903</v>
      </c>
      <c r="K6" s="77">
        <v>1755</v>
      </c>
      <c r="L6" s="77">
        <v>1746</v>
      </c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77"/>
      <c r="AC6" s="77"/>
      <c r="AD6" s="77"/>
      <c r="AE6" s="62"/>
      <c r="AF6" s="63" t="b">
        <v>0</v>
      </c>
      <c r="AG6" s="63" t="b">
        <v>0</v>
      </c>
      <c r="AH6" s="62"/>
      <c r="AI6" s="64">
        <f t="shared" si="7"/>
        <v>40912</v>
      </c>
      <c r="AJ6" s="65" t="str">
        <f t="shared" si="8"/>
        <v>CON</v>
      </c>
      <c r="AK6" s="66" t="str">
        <f t="shared" si="9"/>
        <v>HOLD</v>
      </c>
      <c r="AL6" s="67" t="e">
        <f t="shared" ca="1" si="10"/>
        <v>#NAME?</v>
      </c>
      <c r="AM6" s="68">
        <f t="shared" si="11"/>
        <v>4294</v>
      </c>
      <c r="AN6" s="69">
        <f t="shared" si="12"/>
        <v>0.10495698083691823</v>
      </c>
      <c r="AO6" s="62"/>
      <c r="AP6" s="70">
        <f t="shared" ref="AP6:AT6" si="19">H6/$AI6</f>
        <v>0.28370649198279235</v>
      </c>
      <c r="AQ6" s="70">
        <f t="shared" si="19"/>
        <v>0.38866347281971059</v>
      </c>
      <c r="AR6" s="70">
        <f t="shared" si="19"/>
        <v>0.24205612045365663</v>
      </c>
      <c r="AS6" s="70">
        <f t="shared" si="19"/>
        <v>4.2896949550254207E-2</v>
      </c>
      <c r="AT6" s="70">
        <f t="shared" si="19"/>
        <v>4.2676965193586235E-2</v>
      </c>
      <c r="AU6" s="70"/>
      <c r="AV6" s="70"/>
      <c r="AW6" s="71">
        <f t="shared" si="14"/>
        <v>0</v>
      </c>
      <c r="AX6" s="70">
        <f t="shared" ref="AX6:BG6" si="20">O6/$AI6</f>
        <v>0</v>
      </c>
      <c r="AY6" s="70">
        <f t="shared" si="20"/>
        <v>0</v>
      </c>
      <c r="AZ6" s="70">
        <f t="shared" si="20"/>
        <v>0</v>
      </c>
      <c r="BA6" s="70">
        <f t="shared" si="20"/>
        <v>0</v>
      </c>
      <c r="BB6" s="70">
        <f t="shared" si="20"/>
        <v>0</v>
      </c>
      <c r="BC6" s="70">
        <f t="shared" si="20"/>
        <v>0</v>
      </c>
      <c r="BD6" s="70">
        <f t="shared" si="20"/>
        <v>0</v>
      </c>
      <c r="BE6" s="70">
        <f t="shared" si="20"/>
        <v>0</v>
      </c>
      <c r="BF6" s="70">
        <f t="shared" si="20"/>
        <v>0</v>
      </c>
      <c r="BG6" s="70">
        <f t="shared" si="20"/>
        <v>0</v>
      </c>
      <c r="BH6" s="70">
        <f t="shared" si="16"/>
        <v>-2.2204460492503131E-16</v>
      </c>
      <c r="BI6" s="62"/>
      <c r="BJ6" s="69">
        <v>0.215</v>
      </c>
      <c r="BK6" s="69">
        <v>0.69599999999999995</v>
      </c>
      <c r="BL6" s="69">
        <v>7.0000000000000001E-3</v>
      </c>
      <c r="BM6" s="69">
        <v>5.6000000000000001E-2</v>
      </c>
      <c r="BN6" s="69">
        <v>1.7999999999999999E-2</v>
      </c>
      <c r="BO6" s="69">
        <v>0</v>
      </c>
      <c r="BP6" s="69">
        <v>0</v>
      </c>
      <c r="BQ6" s="69">
        <v>7.0000000000000001E-3</v>
      </c>
      <c r="BR6" s="62"/>
      <c r="BS6" s="72">
        <f t="shared" ref="BS6:BW6" si="21">AP6-BJ6</f>
        <v>6.8706491982792356E-2</v>
      </c>
      <c r="BT6" s="72">
        <f t="shared" si="21"/>
        <v>-0.30733652718028937</v>
      </c>
      <c r="BU6" s="72">
        <f t="shared" si="21"/>
        <v>0.23505612045365662</v>
      </c>
      <c r="BV6" s="72">
        <f t="shared" si="21"/>
        <v>-1.3103050449745794E-2</v>
      </c>
      <c r="BW6" s="72">
        <f t="shared" si="21"/>
        <v>2.4676965193586236E-2</v>
      </c>
      <c r="BX6" s="72"/>
      <c r="BY6" s="72"/>
      <c r="BZ6" s="72">
        <f t="shared" si="18"/>
        <v>-7.0000000000002222E-3</v>
      </c>
    </row>
    <row r="7" spans="1:78" ht="13.15">
      <c r="A7" s="73" t="s">
        <v>6</v>
      </c>
      <c r="B7" s="74" t="s">
        <v>48</v>
      </c>
      <c r="C7" s="75" t="s">
        <v>49</v>
      </c>
      <c r="D7" s="75" t="s">
        <v>50</v>
      </c>
      <c r="E7" s="76">
        <v>74026</v>
      </c>
      <c r="F7" s="59">
        <f t="shared" si="6"/>
        <v>0.69505308945505628</v>
      </c>
      <c r="G7" s="60"/>
      <c r="H7" s="77">
        <v>20798</v>
      </c>
      <c r="I7" s="77">
        <v>16624</v>
      </c>
      <c r="J7" s="77">
        <v>4961</v>
      </c>
      <c r="K7" s="77">
        <v>4727</v>
      </c>
      <c r="L7" s="77">
        <v>3699</v>
      </c>
      <c r="M7" s="77"/>
      <c r="N7" s="77"/>
      <c r="O7" s="77"/>
      <c r="P7" s="77">
        <v>643</v>
      </c>
      <c r="Q7" s="77"/>
      <c r="R7" s="77"/>
      <c r="S7" s="77"/>
      <c r="T7" s="77"/>
      <c r="U7" s="77"/>
      <c r="V7" s="77"/>
      <c r="W7" s="77"/>
      <c r="X7" s="77"/>
      <c r="Y7" s="77"/>
      <c r="Z7" s="77"/>
      <c r="AA7" s="77"/>
      <c r="AB7" s="77"/>
      <c r="AC7" s="77"/>
      <c r="AD7" s="77"/>
      <c r="AE7" s="62"/>
      <c r="AF7" s="63" t="b">
        <v>0</v>
      </c>
      <c r="AG7" s="63" t="b">
        <v>0</v>
      </c>
      <c r="AH7" s="62"/>
      <c r="AI7" s="64">
        <f t="shared" si="7"/>
        <v>51452</v>
      </c>
      <c r="AJ7" s="65" t="str">
        <f t="shared" si="8"/>
        <v>LAB</v>
      </c>
      <c r="AK7" s="66" t="str">
        <f t="shared" si="9"/>
        <v>GAIN</v>
      </c>
      <c r="AL7" s="67" t="e">
        <f t="shared" ca="1" si="10"/>
        <v>#NAME?</v>
      </c>
      <c r="AM7" s="68">
        <f t="shared" si="11"/>
        <v>4174</v>
      </c>
      <c r="AN7" s="69">
        <f t="shared" si="12"/>
        <v>8.112415455181532E-2</v>
      </c>
      <c r="AO7" s="62"/>
      <c r="AP7" s="70">
        <f t="shared" ref="AP7:AT7" si="22">H7/$AI7</f>
        <v>0.40422141024644331</v>
      </c>
      <c r="AQ7" s="70">
        <f t="shared" si="22"/>
        <v>0.32309725569462799</v>
      </c>
      <c r="AR7" s="70">
        <f t="shared" si="22"/>
        <v>9.6419964238513567E-2</v>
      </c>
      <c r="AS7" s="70">
        <f t="shared" si="22"/>
        <v>9.1872036072455879E-2</v>
      </c>
      <c r="AT7" s="70">
        <f t="shared" si="22"/>
        <v>7.1892249086527249E-2</v>
      </c>
      <c r="AU7" s="70"/>
      <c r="AV7" s="70"/>
      <c r="AW7" s="71">
        <f t="shared" si="14"/>
        <v>1.2497084661432067E-2</v>
      </c>
      <c r="AX7" s="70">
        <f t="shared" ref="AX7:BG7" si="23">O7/$AI7</f>
        <v>0</v>
      </c>
      <c r="AY7" s="70">
        <f t="shared" si="23"/>
        <v>1.2497084661432014E-2</v>
      </c>
      <c r="AZ7" s="70">
        <f t="shared" si="23"/>
        <v>0</v>
      </c>
      <c r="BA7" s="70">
        <f t="shared" si="23"/>
        <v>0</v>
      </c>
      <c r="BB7" s="70">
        <f t="shared" si="23"/>
        <v>0</v>
      </c>
      <c r="BC7" s="70">
        <f t="shared" si="23"/>
        <v>0</v>
      </c>
      <c r="BD7" s="70">
        <f t="shared" si="23"/>
        <v>0</v>
      </c>
      <c r="BE7" s="70">
        <f t="shared" si="23"/>
        <v>0</v>
      </c>
      <c r="BF7" s="70">
        <f t="shared" si="23"/>
        <v>0</v>
      </c>
      <c r="BG7" s="70">
        <f t="shared" si="23"/>
        <v>0</v>
      </c>
      <c r="BH7" s="70">
        <f t="shared" si="16"/>
        <v>5.377642775528102E-17</v>
      </c>
      <c r="BI7" s="62"/>
      <c r="BJ7" s="69">
        <v>0.36799999999999999</v>
      </c>
      <c r="BK7" s="69">
        <v>0.48099999999999998</v>
      </c>
      <c r="BL7" s="69">
        <v>0</v>
      </c>
      <c r="BM7" s="69">
        <v>0.11</v>
      </c>
      <c r="BN7" s="69">
        <v>2.9000000000000001E-2</v>
      </c>
      <c r="BO7" s="69">
        <v>0</v>
      </c>
      <c r="BP7" s="69">
        <v>0</v>
      </c>
      <c r="BQ7" s="69">
        <v>1.2E-2</v>
      </c>
      <c r="BR7" s="62"/>
      <c r="BS7" s="72">
        <f t="shared" ref="BS7:BW7" si="24">AP7-BJ7</f>
        <v>3.622141024644332E-2</v>
      </c>
      <c r="BT7" s="72">
        <f t="shared" si="24"/>
        <v>-0.15790274430537199</v>
      </c>
      <c r="BU7" s="72">
        <f t="shared" si="24"/>
        <v>9.6419964238513567E-2</v>
      </c>
      <c r="BV7" s="72">
        <f t="shared" si="24"/>
        <v>-1.8127963927544122E-2</v>
      </c>
      <c r="BW7" s="72">
        <f t="shared" si="24"/>
        <v>4.2892249086527251E-2</v>
      </c>
      <c r="BX7" s="72"/>
      <c r="BY7" s="72"/>
      <c r="BZ7" s="72">
        <f t="shared" si="18"/>
        <v>4.9708466143206717E-4</v>
      </c>
    </row>
    <row r="8" spans="1:78" ht="13.15">
      <c r="A8" s="73" t="s">
        <v>6</v>
      </c>
      <c r="B8" s="74" t="s">
        <v>51</v>
      </c>
      <c r="C8" s="75" t="s">
        <v>52</v>
      </c>
      <c r="D8" s="75" t="s">
        <v>53</v>
      </c>
      <c r="E8" s="76">
        <v>71546</v>
      </c>
      <c r="F8" s="59">
        <f t="shared" si="6"/>
        <v>0.59445671316355908</v>
      </c>
      <c r="G8" s="60"/>
      <c r="H8" s="77">
        <v>15746</v>
      </c>
      <c r="I8" s="77">
        <v>10725</v>
      </c>
      <c r="J8" s="77">
        <v>12192</v>
      </c>
      <c r="K8" s="77">
        <v>1590</v>
      </c>
      <c r="L8" s="77">
        <v>2278</v>
      </c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  <c r="AA8" s="77"/>
      <c r="AB8" s="77"/>
      <c r="AC8" s="77"/>
      <c r="AD8" s="77"/>
      <c r="AE8" s="62"/>
      <c r="AF8" s="63" t="b">
        <v>0</v>
      </c>
      <c r="AG8" s="63" t="b">
        <v>0</v>
      </c>
      <c r="AH8" s="62"/>
      <c r="AI8" s="64">
        <f t="shared" si="7"/>
        <v>42531</v>
      </c>
      <c r="AJ8" s="65" t="str">
        <f t="shared" si="8"/>
        <v>LAB</v>
      </c>
      <c r="AK8" s="66" t="str">
        <f t="shared" si="9"/>
        <v>GAIN</v>
      </c>
      <c r="AL8" s="67" t="e">
        <f t="shared" ca="1" si="10"/>
        <v>#NAME?</v>
      </c>
      <c r="AM8" s="68">
        <f t="shared" si="11"/>
        <v>3554</v>
      </c>
      <c r="AN8" s="69">
        <f t="shared" si="12"/>
        <v>8.3562577884366662E-2</v>
      </c>
      <c r="AO8" s="62"/>
      <c r="AP8" s="70">
        <f t="shared" ref="AP8:AT8" si="25">H8/$AI8</f>
        <v>0.37022407185347156</v>
      </c>
      <c r="AQ8" s="70">
        <f t="shared" si="25"/>
        <v>0.25216900613670029</v>
      </c>
      <c r="AR8" s="70">
        <f t="shared" si="25"/>
        <v>0.2866614939691049</v>
      </c>
      <c r="AS8" s="70">
        <f t="shared" si="25"/>
        <v>3.7384496014671649E-2</v>
      </c>
      <c r="AT8" s="70">
        <f t="shared" si="25"/>
        <v>5.3560932026051583E-2</v>
      </c>
      <c r="AU8" s="70"/>
      <c r="AV8" s="70"/>
      <c r="AW8" s="71">
        <f t="shared" si="14"/>
        <v>0</v>
      </c>
      <c r="AX8" s="70">
        <f t="shared" ref="AX8:BG8" si="26">O8/$AI8</f>
        <v>0</v>
      </c>
      <c r="AY8" s="70">
        <f t="shared" si="26"/>
        <v>0</v>
      </c>
      <c r="AZ8" s="70">
        <f t="shared" si="26"/>
        <v>0</v>
      </c>
      <c r="BA8" s="70">
        <f t="shared" si="26"/>
        <v>0</v>
      </c>
      <c r="BB8" s="70">
        <f t="shared" si="26"/>
        <v>0</v>
      </c>
      <c r="BC8" s="70">
        <f t="shared" si="26"/>
        <v>0</v>
      </c>
      <c r="BD8" s="70">
        <f t="shared" si="26"/>
        <v>0</v>
      </c>
      <c r="BE8" s="70">
        <f t="shared" si="26"/>
        <v>0</v>
      </c>
      <c r="BF8" s="70">
        <f t="shared" si="26"/>
        <v>0</v>
      </c>
      <c r="BG8" s="70">
        <f t="shared" si="26"/>
        <v>0</v>
      </c>
      <c r="BH8" s="70">
        <f t="shared" si="16"/>
        <v>0</v>
      </c>
      <c r="BI8" s="62"/>
      <c r="BJ8" s="69">
        <v>0.26800000000000002</v>
      </c>
      <c r="BK8" s="69">
        <v>0.63800000000000001</v>
      </c>
      <c r="BL8" s="69">
        <v>0</v>
      </c>
      <c r="BM8" s="69">
        <v>6.3E-2</v>
      </c>
      <c r="BN8" s="69">
        <v>3.1E-2</v>
      </c>
      <c r="BO8" s="69">
        <v>0</v>
      </c>
      <c r="BP8" s="69">
        <v>0</v>
      </c>
      <c r="BQ8" s="69">
        <v>0</v>
      </c>
      <c r="BR8" s="62"/>
      <c r="BS8" s="72">
        <f t="shared" ref="BS8:BW8" si="27">AP8-BJ8</f>
        <v>0.10222407185347154</v>
      </c>
      <c r="BT8" s="72">
        <f t="shared" si="27"/>
        <v>-0.38583099386329972</v>
      </c>
      <c r="BU8" s="72">
        <f t="shared" si="27"/>
        <v>0.2866614939691049</v>
      </c>
      <c r="BV8" s="72">
        <f t="shared" si="27"/>
        <v>-2.5615503985328351E-2</v>
      </c>
      <c r="BW8" s="72">
        <f t="shared" si="27"/>
        <v>2.2560932026051583E-2</v>
      </c>
      <c r="BX8" s="72"/>
      <c r="BY8" s="72"/>
      <c r="BZ8" s="72">
        <f t="shared" si="18"/>
        <v>0</v>
      </c>
    </row>
    <row r="9" spans="1:78" ht="13.15">
      <c r="A9" s="73" t="s">
        <v>6</v>
      </c>
      <c r="B9" s="74" t="s">
        <v>54</v>
      </c>
      <c r="C9" s="75" t="s">
        <v>55</v>
      </c>
      <c r="D9" s="75" t="s">
        <v>44</v>
      </c>
      <c r="E9" s="76">
        <v>77969</v>
      </c>
      <c r="F9" s="59">
        <f t="shared" si="6"/>
        <v>0.702073901165848</v>
      </c>
      <c r="G9" s="60"/>
      <c r="H9" s="77">
        <v>9782</v>
      </c>
      <c r="I9" s="77">
        <v>22001</v>
      </c>
      <c r="J9" s="77">
        <v>7391</v>
      </c>
      <c r="K9" s="77">
        <v>9867</v>
      </c>
      <c r="L9" s="77">
        <v>5515</v>
      </c>
      <c r="M9" s="77"/>
      <c r="N9" s="77"/>
      <c r="O9" s="77"/>
      <c r="P9" s="77"/>
      <c r="Q9" s="77">
        <v>184</v>
      </c>
      <c r="R9" s="77"/>
      <c r="S9" s="77"/>
      <c r="T9" s="77"/>
      <c r="U9" s="77"/>
      <c r="V9" s="77"/>
      <c r="W9" s="77"/>
      <c r="X9" s="77"/>
      <c r="Y9" s="77"/>
      <c r="Z9" s="77"/>
      <c r="AA9" s="77"/>
      <c r="AB9" s="77"/>
      <c r="AC9" s="77"/>
      <c r="AD9" s="77"/>
      <c r="AE9" s="62"/>
      <c r="AF9" s="63" t="b">
        <v>0</v>
      </c>
      <c r="AG9" s="63" t="b">
        <v>0</v>
      </c>
      <c r="AH9" s="62"/>
      <c r="AI9" s="64">
        <f t="shared" si="7"/>
        <v>54740</v>
      </c>
      <c r="AJ9" s="65" t="str">
        <f t="shared" si="8"/>
        <v>CON</v>
      </c>
      <c r="AK9" s="66" t="str">
        <f t="shared" si="9"/>
        <v>HOLD</v>
      </c>
      <c r="AL9" s="67" t="e">
        <f t="shared" ca="1" si="10"/>
        <v>#NAME?</v>
      </c>
      <c r="AM9" s="68">
        <f t="shared" si="11"/>
        <v>12134</v>
      </c>
      <c r="AN9" s="69">
        <f t="shared" si="12"/>
        <v>0.22166605772743883</v>
      </c>
      <c r="AO9" s="62"/>
      <c r="AP9" s="70">
        <f t="shared" ref="AP9:AT9" si="28">H9/$AI9</f>
        <v>0.17869930580928023</v>
      </c>
      <c r="AQ9" s="70">
        <f t="shared" si="28"/>
        <v>0.40191815856777496</v>
      </c>
      <c r="AR9" s="70">
        <f t="shared" si="28"/>
        <v>0.13502009499451956</v>
      </c>
      <c r="AS9" s="70">
        <f t="shared" si="28"/>
        <v>0.18025210084033613</v>
      </c>
      <c r="AT9" s="70">
        <f t="shared" si="28"/>
        <v>0.10074899525027402</v>
      </c>
      <c r="AU9" s="70"/>
      <c r="AV9" s="70"/>
      <c r="AW9" s="71">
        <f t="shared" si="14"/>
        <v>3.3613445378151141E-3</v>
      </c>
      <c r="AX9" s="70">
        <f t="shared" ref="AX9:BG9" si="29">O9/$AI9</f>
        <v>0</v>
      </c>
      <c r="AY9" s="70">
        <f t="shared" si="29"/>
        <v>0</v>
      </c>
      <c r="AZ9" s="70">
        <f t="shared" si="29"/>
        <v>3.3613445378151263E-3</v>
      </c>
      <c r="BA9" s="70">
        <f t="shared" si="29"/>
        <v>0</v>
      </c>
      <c r="BB9" s="70">
        <f t="shared" si="29"/>
        <v>0</v>
      </c>
      <c r="BC9" s="70">
        <f t="shared" si="29"/>
        <v>0</v>
      </c>
      <c r="BD9" s="70">
        <f t="shared" si="29"/>
        <v>0</v>
      </c>
      <c r="BE9" s="70">
        <f t="shared" si="29"/>
        <v>0</v>
      </c>
      <c r="BF9" s="70">
        <f t="shared" si="29"/>
        <v>0</v>
      </c>
      <c r="BG9" s="70">
        <f t="shared" si="29"/>
        <v>0</v>
      </c>
      <c r="BH9" s="70">
        <f t="shared" si="16"/>
        <v>-1.214306433183765E-17</v>
      </c>
      <c r="BI9" s="62"/>
      <c r="BJ9" s="69">
        <v>0.157</v>
      </c>
      <c r="BK9" s="69">
        <v>0.60399999999999998</v>
      </c>
      <c r="BL9" s="69">
        <v>0</v>
      </c>
      <c r="BM9" s="69">
        <v>0.19</v>
      </c>
      <c r="BN9" s="69">
        <v>0.04</v>
      </c>
      <c r="BO9" s="69">
        <v>0</v>
      </c>
      <c r="BP9" s="69">
        <v>0</v>
      </c>
      <c r="BQ9" s="69">
        <v>0.01</v>
      </c>
      <c r="BR9" s="62"/>
      <c r="BS9" s="72">
        <f t="shared" ref="BS9:BW9" si="30">AP9-BJ9</f>
        <v>2.1699305809280228E-2</v>
      </c>
      <c r="BT9" s="72">
        <f t="shared" si="30"/>
        <v>-0.20208184143222502</v>
      </c>
      <c r="BU9" s="72">
        <f t="shared" si="30"/>
        <v>0.13502009499451956</v>
      </c>
      <c r="BV9" s="72">
        <f t="shared" si="30"/>
        <v>-9.7478991596638698E-3</v>
      </c>
      <c r="BW9" s="72">
        <f t="shared" si="30"/>
        <v>6.0748995250274017E-2</v>
      </c>
      <c r="BX9" s="72"/>
      <c r="BY9" s="72"/>
      <c r="BZ9" s="72">
        <f t="shared" si="18"/>
        <v>-6.6386554621848861E-3</v>
      </c>
    </row>
    <row r="10" spans="1:78" ht="13.15">
      <c r="A10" s="73" t="s">
        <v>6</v>
      </c>
      <c r="B10" s="74" t="s">
        <v>56</v>
      </c>
      <c r="C10" s="75" t="s">
        <v>57</v>
      </c>
      <c r="D10" s="75" t="s">
        <v>53</v>
      </c>
      <c r="E10" s="76">
        <v>68929</v>
      </c>
      <c r="F10" s="59">
        <f t="shared" si="6"/>
        <v>0.57858085856460995</v>
      </c>
      <c r="G10" s="60"/>
      <c r="H10" s="77">
        <v>11553</v>
      </c>
      <c r="I10" s="77">
        <v>3271</v>
      </c>
      <c r="J10" s="77">
        <v>17062</v>
      </c>
      <c r="K10" s="77">
        <v>619</v>
      </c>
      <c r="L10" s="77">
        <v>1100</v>
      </c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>
        <v>6276</v>
      </c>
      <c r="Z10" s="77"/>
      <c r="AA10" s="77"/>
      <c r="AB10" s="77"/>
      <c r="AC10" s="77"/>
      <c r="AD10" s="77"/>
      <c r="AE10" s="62"/>
      <c r="AF10" s="63" t="b">
        <v>0</v>
      </c>
      <c r="AG10" s="63" t="b">
        <v>0</v>
      </c>
      <c r="AH10" s="62"/>
      <c r="AI10" s="64">
        <f t="shared" si="7"/>
        <v>39881</v>
      </c>
      <c r="AJ10" s="65" t="str">
        <f t="shared" si="8"/>
        <v>RFM</v>
      </c>
      <c r="AK10" s="66" t="str">
        <f t="shared" si="9"/>
        <v>GAIN</v>
      </c>
      <c r="AL10" s="67" t="e">
        <f t="shared" ca="1" si="10"/>
        <v>#NAME?</v>
      </c>
      <c r="AM10" s="68">
        <f t="shared" si="11"/>
        <v>5509</v>
      </c>
      <c r="AN10" s="69">
        <f t="shared" si="12"/>
        <v>0.13813595446453197</v>
      </c>
      <c r="AO10" s="62"/>
      <c r="AP10" s="70">
        <f t="shared" ref="AP10:AT10" si="31">H10/$AI10</f>
        <v>0.28968681828439607</v>
      </c>
      <c r="AQ10" s="70">
        <f t="shared" si="31"/>
        <v>8.2019006544469794E-2</v>
      </c>
      <c r="AR10" s="70">
        <f t="shared" si="31"/>
        <v>0.42782277274892805</v>
      </c>
      <c r="AS10" s="70">
        <f t="shared" si="31"/>
        <v>1.5521175497103884E-2</v>
      </c>
      <c r="AT10" s="70">
        <f t="shared" si="31"/>
        <v>2.7582056618439859E-2</v>
      </c>
      <c r="AU10" s="70"/>
      <c r="AV10" s="70"/>
      <c r="AW10" s="71">
        <f t="shared" si="14"/>
        <v>0.15736817030666239</v>
      </c>
      <c r="AX10" s="70">
        <f t="shared" ref="AX10:BG10" si="32">O10/$AI10</f>
        <v>0</v>
      </c>
      <c r="AY10" s="70">
        <f t="shared" si="32"/>
        <v>0</v>
      </c>
      <c r="AZ10" s="70">
        <f t="shared" si="32"/>
        <v>0</v>
      </c>
      <c r="BA10" s="70">
        <f t="shared" si="32"/>
        <v>0</v>
      </c>
      <c r="BB10" s="70">
        <f t="shared" si="32"/>
        <v>0</v>
      </c>
      <c r="BC10" s="70">
        <f t="shared" si="32"/>
        <v>0</v>
      </c>
      <c r="BD10" s="70">
        <f t="shared" si="32"/>
        <v>0</v>
      </c>
      <c r="BE10" s="70">
        <f t="shared" si="32"/>
        <v>0</v>
      </c>
      <c r="BF10" s="70">
        <f t="shared" si="32"/>
        <v>0</v>
      </c>
      <c r="BG10" s="70">
        <f t="shared" si="32"/>
        <v>0</v>
      </c>
      <c r="BH10" s="70">
        <f t="shared" si="16"/>
        <v>0.15736817030666239</v>
      </c>
      <c r="BI10" s="62"/>
      <c r="BJ10" s="69">
        <v>0.25600000000000001</v>
      </c>
      <c r="BK10" s="69">
        <v>0.39200000000000002</v>
      </c>
      <c r="BL10" s="69">
        <v>0.05</v>
      </c>
      <c r="BM10" s="69">
        <v>2.1000000000000001E-2</v>
      </c>
      <c r="BN10" s="69">
        <v>1.2999999999999999E-2</v>
      </c>
      <c r="BO10" s="69">
        <v>0</v>
      </c>
      <c r="BP10" s="69">
        <v>0</v>
      </c>
      <c r="BQ10" s="69">
        <v>0.26900000000000002</v>
      </c>
      <c r="BR10" s="62"/>
      <c r="BS10" s="72">
        <f t="shared" ref="BS10:BW10" si="33">AP10-BJ10</f>
        <v>3.368681828439607E-2</v>
      </c>
      <c r="BT10" s="72">
        <f t="shared" si="33"/>
        <v>-0.30998099345553021</v>
      </c>
      <c r="BU10" s="72">
        <f t="shared" si="33"/>
        <v>0.37782277274892806</v>
      </c>
      <c r="BV10" s="72">
        <f t="shared" si="33"/>
        <v>-5.4788245028961173E-3</v>
      </c>
      <c r="BW10" s="72">
        <f t="shared" si="33"/>
        <v>1.458205661843986E-2</v>
      </c>
      <c r="BX10" s="72"/>
      <c r="BY10" s="72"/>
      <c r="BZ10" s="72">
        <f t="shared" si="18"/>
        <v>-0.11163182969333763</v>
      </c>
    </row>
    <row r="11" spans="1:78" ht="13.15">
      <c r="A11" s="73" t="s">
        <v>6</v>
      </c>
      <c r="B11" s="74" t="s">
        <v>58</v>
      </c>
      <c r="C11" s="75" t="s">
        <v>59</v>
      </c>
      <c r="D11" s="75" t="s">
        <v>44</v>
      </c>
      <c r="E11" s="76">
        <v>76212</v>
      </c>
      <c r="F11" s="59">
        <f t="shared" si="6"/>
        <v>0.61637274969821021</v>
      </c>
      <c r="G11" s="60"/>
      <c r="H11" s="77">
        <v>15262</v>
      </c>
      <c r="I11" s="77">
        <v>13483</v>
      </c>
      <c r="J11" s="77">
        <v>10141</v>
      </c>
      <c r="K11" s="77">
        <v>2445</v>
      </c>
      <c r="L11" s="77">
        <v>4355</v>
      </c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>
        <v>1289</v>
      </c>
      <c r="Z11" s="77"/>
      <c r="AA11" s="77"/>
      <c r="AB11" s="77"/>
      <c r="AC11" s="77"/>
      <c r="AD11" s="77"/>
      <c r="AE11" s="62"/>
      <c r="AF11" s="63" t="b">
        <v>0</v>
      </c>
      <c r="AG11" s="63" t="b">
        <v>0</v>
      </c>
      <c r="AH11" s="62"/>
      <c r="AI11" s="64">
        <f t="shared" si="7"/>
        <v>46975</v>
      </c>
      <c r="AJ11" s="65" t="str">
        <f t="shared" si="8"/>
        <v>LAB</v>
      </c>
      <c r="AK11" s="66" t="str">
        <f t="shared" si="9"/>
        <v>GAIN</v>
      </c>
      <c r="AL11" s="67" t="e">
        <f t="shared" ca="1" si="10"/>
        <v>#NAME?</v>
      </c>
      <c r="AM11" s="68">
        <f t="shared" si="11"/>
        <v>1779</v>
      </c>
      <c r="AN11" s="69">
        <f t="shared" si="12"/>
        <v>3.7871208089409247E-2</v>
      </c>
      <c r="AO11" s="62"/>
      <c r="AP11" s="70">
        <f t="shared" ref="AP11:AT11" si="34">H11/$AI11</f>
        <v>0.3248962213943587</v>
      </c>
      <c r="AQ11" s="70">
        <f t="shared" si="34"/>
        <v>0.28702501330494945</v>
      </c>
      <c r="AR11" s="70">
        <f t="shared" si="34"/>
        <v>0.21588078765300692</v>
      </c>
      <c r="AS11" s="70">
        <f t="shared" si="34"/>
        <v>5.2048962213943589E-2</v>
      </c>
      <c r="AT11" s="70">
        <f t="shared" si="34"/>
        <v>9.270888770622672E-2</v>
      </c>
      <c r="AU11" s="70"/>
      <c r="AV11" s="70"/>
      <c r="AW11" s="71">
        <f t="shared" si="14"/>
        <v>2.7440127727514585E-2</v>
      </c>
      <c r="AX11" s="70">
        <f t="shared" ref="AX11:BG11" si="35">O11/$AI11</f>
        <v>0</v>
      </c>
      <c r="AY11" s="70">
        <f t="shared" si="35"/>
        <v>0</v>
      </c>
      <c r="AZ11" s="70">
        <f t="shared" si="35"/>
        <v>0</v>
      </c>
      <c r="BA11" s="70">
        <f t="shared" si="35"/>
        <v>0</v>
      </c>
      <c r="BB11" s="70">
        <f t="shared" si="35"/>
        <v>0</v>
      </c>
      <c r="BC11" s="70">
        <f t="shared" si="35"/>
        <v>0</v>
      </c>
      <c r="BD11" s="70">
        <f t="shared" si="35"/>
        <v>0</v>
      </c>
      <c r="BE11" s="70">
        <f t="shared" si="35"/>
        <v>0</v>
      </c>
      <c r="BF11" s="70">
        <f t="shared" si="35"/>
        <v>0</v>
      </c>
      <c r="BG11" s="70">
        <f t="shared" si="35"/>
        <v>0</v>
      </c>
      <c r="BH11" s="70">
        <f t="shared" si="16"/>
        <v>2.7440127727514585E-2</v>
      </c>
      <c r="BI11" s="62"/>
      <c r="BJ11" s="69">
        <v>0.23799999999999999</v>
      </c>
      <c r="BK11" s="69">
        <v>0.59199999999999997</v>
      </c>
      <c r="BL11" s="69">
        <v>0</v>
      </c>
      <c r="BM11" s="69">
        <v>0.107</v>
      </c>
      <c r="BN11" s="69">
        <v>4.5999999999999999E-2</v>
      </c>
      <c r="BO11" s="69">
        <v>0</v>
      </c>
      <c r="BP11" s="69">
        <v>0</v>
      </c>
      <c r="BQ11" s="69">
        <v>1.7999999999999999E-2</v>
      </c>
      <c r="BR11" s="62"/>
      <c r="BS11" s="72">
        <f t="shared" ref="BS11:BW11" si="36">AP11-BJ11</f>
        <v>8.6896221394358708E-2</v>
      </c>
      <c r="BT11" s="72">
        <f t="shared" si="36"/>
        <v>-0.30497498669505052</v>
      </c>
      <c r="BU11" s="72">
        <f t="shared" si="36"/>
        <v>0.21588078765300692</v>
      </c>
      <c r="BV11" s="72">
        <f t="shared" si="36"/>
        <v>-5.4951037786056409E-2</v>
      </c>
      <c r="BW11" s="72">
        <f t="shared" si="36"/>
        <v>4.670888770622672E-2</v>
      </c>
      <c r="BX11" s="72"/>
      <c r="BY11" s="72"/>
      <c r="BZ11" s="72">
        <f t="shared" si="18"/>
        <v>9.4401277275145863E-3</v>
      </c>
    </row>
    <row r="12" spans="1:78" ht="13.15">
      <c r="A12" s="78" t="s">
        <v>5</v>
      </c>
      <c r="B12" s="74" t="s">
        <v>60</v>
      </c>
      <c r="C12" s="75" t="s">
        <v>61</v>
      </c>
      <c r="D12" s="75" t="s">
        <v>50</v>
      </c>
      <c r="E12" s="76">
        <v>71002</v>
      </c>
      <c r="F12" s="59">
        <f t="shared" si="6"/>
        <v>0.49307061772907806</v>
      </c>
      <c r="G12" s="60"/>
      <c r="H12" s="77">
        <v>15573</v>
      </c>
      <c r="I12" s="77">
        <v>4375</v>
      </c>
      <c r="J12" s="77">
        <v>8784</v>
      </c>
      <c r="K12" s="77">
        <v>1411</v>
      </c>
      <c r="L12" s="77">
        <v>2481</v>
      </c>
      <c r="M12" s="77"/>
      <c r="N12" s="77"/>
      <c r="O12" s="77"/>
      <c r="P12" s="77">
        <v>2385</v>
      </c>
      <c r="Q12" s="77"/>
      <c r="R12" s="77"/>
      <c r="S12" s="77"/>
      <c r="T12" s="77"/>
      <c r="U12" s="77"/>
      <c r="V12" s="77"/>
      <c r="W12" s="77"/>
      <c r="X12" s="77"/>
      <c r="Y12" s="77"/>
      <c r="Z12" s="77"/>
      <c r="AA12" s="77"/>
      <c r="AB12" s="77"/>
      <c r="AC12" s="77"/>
      <c r="AD12" s="77"/>
      <c r="AE12" s="62"/>
      <c r="AF12" s="63" t="b">
        <v>0</v>
      </c>
      <c r="AG12" s="63" t="b">
        <v>0</v>
      </c>
      <c r="AH12" s="62"/>
      <c r="AI12" s="64">
        <f t="shared" si="7"/>
        <v>35009</v>
      </c>
      <c r="AJ12" s="65" t="str">
        <f t="shared" si="8"/>
        <v>LAB</v>
      </c>
      <c r="AK12" s="66" t="str">
        <f t="shared" si="9"/>
        <v>HOLD</v>
      </c>
      <c r="AL12" s="67" t="e">
        <f t="shared" ca="1" si="10"/>
        <v>#NAME?</v>
      </c>
      <c r="AM12" s="68">
        <f t="shared" si="11"/>
        <v>6789</v>
      </c>
      <c r="AN12" s="69">
        <f t="shared" si="12"/>
        <v>0.19392156302665026</v>
      </c>
      <c r="AO12" s="62"/>
      <c r="AP12" s="70">
        <f t="shared" ref="AP12:AT12" si="37">H12/$AI12</f>
        <v>0.4448284726784541</v>
      </c>
      <c r="AQ12" s="70">
        <f t="shared" si="37"/>
        <v>0.12496786540603845</v>
      </c>
      <c r="AR12" s="70">
        <f t="shared" si="37"/>
        <v>0.25090690965180384</v>
      </c>
      <c r="AS12" s="70">
        <f t="shared" si="37"/>
        <v>4.0303921848667483E-2</v>
      </c>
      <c r="AT12" s="70">
        <f t="shared" si="37"/>
        <v>7.0867491216544315E-2</v>
      </c>
      <c r="AU12" s="70"/>
      <c r="AV12" s="70"/>
      <c r="AW12" s="71">
        <f t="shared" si="14"/>
        <v>6.812533919849173E-2</v>
      </c>
      <c r="AX12" s="70">
        <f t="shared" ref="AX12:BG12" si="38">O12/$AI12</f>
        <v>0</v>
      </c>
      <c r="AY12" s="70">
        <f t="shared" si="38"/>
        <v>6.8125339198491813E-2</v>
      </c>
      <c r="AZ12" s="70">
        <f t="shared" si="38"/>
        <v>0</v>
      </c>
      <c r="BA12" s="70">
        <f t="shared" si="38"/>
        <v>0</v>
      </c>
      <c r="BB12" s="70">
        <f t="shared" si="38"/>
        <v>0</v>
      </c>
      <c r="BC12" s="70">
        <f t="shared" si="38"/>
        <v>0</v>
      </c>
      <c r="BD12" s="70">
        <f t="shared" si="38"/>
        <v>0</v>
      </c>
      <c r="BE12" s="70">
        <f t="shared" si="38"/>
        <v>0</v>
      </c>
      <c r="BF12" s="70">
        <f t="shared" si="38"/>
        <v>0</v>
      </c>
      <c r="BG12" s="70">
        <f t="shared" si="38"/>
        <v>0</v>
      </c>
      <c r="BH12" s="70">
        <f t="shared" si="16"/>
        <v>0</v>
      </c>
      <c r="BI12" s="62"/>
      <c r="BJ12" s="69">
        <v>0.47499999999999998</v>
      </c>
      <c r="BK12" s="69">
        <v>0.36199999999999999</v>
      </c>
      <c r="BL12" s="69">
        <v>8.5000000000000006E-2</v>
      </c>
      <c r="BM12" s="69">
        <v>4.2999999999999997E-2</v>
      </c>
      <c r="BN12" s="69">
        <v>3.5000000000000003E-2</v>
      </c>
      <c r="BO12" s="69">
        <v>0</v>
      </c>
      <c r="BP12" s="69">
        <v>0</v>
      </c>
      <c r="BQ12" s="69">
        <v>0</v>
      </c>
      <c r="BR12" s="62"/>
      <c r="BS12" s="72">
        <f t="shared" ref="BS12:BW12" si="39">AP12-BJ12</f>
        <v>-3.0171527321545877E-2</v>
      </c>
      <c r="BT12" s="72">
        <f t="shared" si="39"/>
        <v>-0.23703213459396155</v>
      </c>
      <c r="BU12" s="72">
        <f t="shared" si="39"/>
        <v>0.16590690965180382</v>
      </c>
      <c r="BV12" s="72">
        <f t="shared" si="39"/>
        <v>-2.6960781513325136E-3</v>
      </c>
      <c r="BW12" s="72">
        <f t="shared" si="39"/>
        <v>3.5867491216544312E-2</v>
      </c>
      <c r="BX12" s="72"/>
      <c r="BY12" s="72"/>
      <c r="BZ12" s="72">
        <f t="shared" si="18"/>
        <v>6.8125339198491813E-2</v>
      </c>
    </row>
    <row r="13" spans="1:78" ht="13.15">
      <c r="A13" s="73" t="s">
        <v>6</v>
      </c>
      <c r="B13" s="74" t="s">
        <v>62</v>
      </c>
      <c r="C13" s="75" t="s">
        <v>63</v>
      </c>
      <c r="D13" s="75" t="s">
        <v>44</v>
      </c>
      <c r="E13" s="76">
        <v>79169</v>
      </c>
      <c r="F13" s="59">
        <f t="shared" si="6"/>
        <v>0.6308024605590572</v>
      </c>
      <c r="G13" s="60"/>
      <c r="H13" s="77">
        <v>15081</v>
      </c>
      <c r="I13" s="77">
        <v>14451</v>
      </c>
      <c r="J13" s="77">
        <v>6746</v>
      </c>
      <c r="K13" s="77">
        <v>10440</v>
      </c>
      <c r="L13" s="77">
        <v>2590</v>
      </c>
      <c r="M13" s="77"/>
      <c r="N13" s="77"/>
      <c r="O13" s="77"/>
      <c r="P13" s="77">
        <v>516</v>
      </c>
      <c r="Q13" s="77">
        <v>116</v>
      </c>
      <c r="R13" s="77"/>
      <c r="S13" s="77"/>
      <c r="T13" s="77"/>
      <c r="U13" s="77"/>
      <c r="V13" s="77"/>
      <c r="W13" s="77"/>
      <c r="X13" s="77"/>
      <c r="Y13" s="77"/>
      <c r="Z13" s="77"/>
      <c r="AA13" s="77"/>
      <c r="AB13" s="77"/>
      <c r="AC13" s="77"/>
      <c r="AD13" s="77"/>
      <c r="AE13" s="62"/>
      <c r="AF13" s="63" t="b">
        <v>0</v>
      </c>
      <c r="AG13" s="63" t="b">
        <v>0</v>
      </c>
      <c r="AH13" s="62"/>
      <c r="AI13" s="64">
        <f t="shared" si="7"/>
        <v>49940</v>
      </c>
      <c r="AJ13" s="65" t="str">
        <f t="shared" si="8"/>
        <v>LAB</v>
      </c>
      <c r="AK13" s="66" t="str">
        <f t="shared" si="9"/>
        <v>GAIN</v>
      </c>
      <c r="AL13" s="67" t="e">
        <f t="shared" ca="1" si="10"/>
        <v>#NAME?</v>
      </c>
      <c r="AM13" s="68">
        <f t="shared" si="11"/>
        <v>630</v>
      </c>
      <c r="AN13" s="69">
        <f t="shared" si="12"/>
        <v>1.2615138165798956E-2</v>
      </c>
      <c r="AO13" s="62"/>
      <c r="AP13" s="70">
        <f t="shared" ref="AP13:AT13" si="40">H13/$AI13</f>
        <v>0.30198237885462553</v>
      </c>
      <c r="AQ13" s="70">
        <f t="shared" si="40"/>
        <v>0.28936724068882658</v>
      </c>
      <c r="AR13" s="70">
        <f t="shared" si="40"/>
        <v>0.13508209851822187</v>
      </c>
      <c r="AS13" s="70">
        <f t="shared" si="40"/>
        <v>0.20905086103323989</v>
      </c>
      <c r="AT13" s="70">
        <f t="shared" si="40"/>
        <v>5.1862234681617943E-2</v>
      </c>
      <c r="AU13" s="70"/>
      <c r="AV13" s="70"/>
      <c r="AW13" s="71">
        <f t="shared" si="14"/>
        <v>1.2655186223468173E-2</v>
      </c>
      <c r="AX13" s="70">
        <f t="shared" ref="AX13:BG13" si="41">O13/$AI13</f>
        <v>0</v>
      </c>
      <c r="AY13" s="70">
        <f t="shared" si="41"/>
        <v>1.0332398878654385E-2</v>
      </c>
      <c r="AZ13" s="70">
        <f t="shared" si="41"/>
        <v>2.3227873448137767E-3</v>
      </c>
      <c r="BA13" s="70">
        <f t="shared" si="41"/>
        <v>0</v>
      </c>
      <c r="BB13" s="70">
        <f t="shared" si="41"/>
        <v>0</v>
      </c>
      <c r="BC13" s="70">
        <f t="shared" si="41"/>
        <v>0</v>
      </c>
      <c r="BD13" s="70">
        <f t="shared" si="41"/>
        <v>0</v>
      </c>
      <c r="BE13" s="70">
        <f t="shared" si="41"/>
        <v>0</v>
      </c>
      <c r="BF13" s="70">
        <f t="shared" si="41"/>
        <v>0</v>
      </c>
      <c r="BG13" s="70">
        <f t="shared" si="41"/>
        <v>0</v>
      </c>
      <c r="BH13" s="70">
        <f t="shared" si="16"/>
        <v>0</v>
      </c>
      <c r="BI13" s="62"/>
      <c r="BJ13" s="69">
        <v>0.23</v>
      </c>
      <c r="BK13" s="69">
        <v>0.51700000000000002</v>
      </c>
      <c r="BL13" s="69">
        <v>5.0000000000000001E-3</v>
      </c>
      <c r="BM13" s="69">
        <v>0.219</v>
      </c>
      <c r="BN13" s="69">
        <v>2.9000000000000001E-2</v>
      </c>
      <c r="BO13" s="69">
        <v>0</v>
      </c>
      <c r="BP13" s="69">
        <v>0</v>
      </c>
      <c r="BQ13" s="69">
        <v>0</v>
      </c>
      <c r="BR13" s="62"/>
      <c r="BS13" s="72">
        <f t="shared" ref="BS13:BW13" si="42">AP13-BJ13</f>
        <v>7.1982378854625523E-2</v>
      </c>
      <c r="BT13" s="72">
        <f t="shared" si="42"/>
        <v>-0.22763275931117344</v>
      </c>
      <c r="BU13" s="72">
        <f t="shared" si="42"/>
        <v>0.13008209851822186</v>
      </c>
      <c r="BV13" s="72">
        <f t="shared" si="42"/>
        <v>-9.9491389667601127E-3</v>
      </c>
      <c r="BW13" s="72">
        <f t="shared" si="42"/>
        <v>2.2862234681617941E-2</v>
      </c>
      <c r="BX13" s="72"/>
      <c r="BY13" s="72"/>
      <c r="BZ13" s="72">
        <f t="shared" si="18"/>
        <v>1.2655186223468161E-2</v>
      </c>
    </row>
    <row r="14" spans="1:78" ht="13.15">
      <c r="A14" s="73" t="s">
        <v>6</v>
      </c>
      <c r="B14" s="74" t="s">
        <v>64</v>
      </c>
      <c r="C14" s="75" t="s">
        <v>65</v>
      </c>
      <c r="D14" s="75" t="s">
        <v>44</v>
      </c>
      <c r="E14" s="76">
        <v>73193</v>
      </c>
      <c r="F14" s="59">
        <f t="shared" si="6"/>
        <v>0.65823234462311975</v>
      </c>
      <c r="G14" s="60"/>
      <c r="H14" s="77">
        <v>18468</v>
      </c>
      <c r="I14" s="77">
        <v>15212</v>
      </c>
      <c r="J14" s="77">
        <v>6284</v>
      </c>
      <c r="K14" s="77">
        <v>4352</v>
      </c>
      <c r="L14" s="77">
        <v>2615</v>
      </c>
      <c r="M14" s="77"/>
      <c r="N14" s="77"/>
      <c r="O14" s="77">
        <v>850</v>
      </c>
      <c r="P14" s="77"/>
      <c r="Q14" s="77">
        <v>155</v>
      </c>
      <c r="R14" s="77"/>
      <c r="S14" s="77"/>
      <c r="T14" s="77"/>
      <c r="U14" s="77"/>
      <c r="V14" s="77"/>
      <c r="W14" s="77"/>
      <c r="X14" s="77"/>
      <c r="Y14" s="77">
        <v>242</v>
      </c>
      <c r="Z14" s="77"/>
      <c r="AA14" s="77"/>
      <c r="AB14" s="77"/>
      <c r="AC14" s="77"/>
      <c r="AD14" s="77"/>
      <c r="AE14" s="62"/>
      <c r="AF14" s="63" t="b">
        <v>0</v>
      </c>
      <c r="AG14" s="63" t="b">
        <v>0</v>
      </c>
      <c r="AH14" s="62"/>
      <c r="AI14" s="64">
        <f t="shared" si="7"/>
        <v>48178</v>
      </c>
      <c r="AJ14" s="65" t="str">
        <f t="shared" si="8"/>
        <v>LAB</v>
      </c>
      <c r="AK14" s="66" t="str">
        <f t="shared" si="9"/>
        <v>GAIN</v>
      </c>
      <c r="AL14" s="67" t="e">
        <f t="shared" ca="1" si="10"/>
        <v>#NAME?</v>
      </c>
      <c r="AM14" s="68">
        <f t="shared" si="11"/>
        <v>3256</v>
      </c>
      <c r="AN14" s="69">
        <f t="shared" si="12"/>
        <v>6.7582714101872221E-2</v>
      </c>
      <c r="AO14" s="62"/>
      <c r="AP14" s="70">
        <f t="shared" ref="AP14:AT14" si="43">H14/$AI14</f>
        <v>0.38332849018224086</v>
      </c>
      <c r="AQ14" s="70">
        <f t="shared" si="43"/>
        <v>0.31574577608036863</v>
      </c>
      <c r="AR14" s="70">
        <f t="shared" si="43"/>
        <v>0.1304329777076674</v>
      </c>
      <c r="AS14" s="70">
        <f t="shared" si="43"/>
        <v>9.0331686661961896E-2</v>
      </c>
      <c r="AT14" s="70">
        <f t="shared" si="43"/>
        <v>5.4277886172111753E-2</v>
      </c>
      <c r="AU14" s="70"/>
      <c r="AV14" s="70"/>
      <c r="AW14" s="71">
        <f t="shared" si="14"/>
        <v>2.5883183195649528E-2</v>
      </c>
      <c r="AX14" s="70">
        <f t="shared" ref="AX14:BG14" si="44">O14/$AI14</f>
        <v>1.7642907551164433E-2</v>
      </c>
      <c r="AY14" s="70">
        <f t="shared" si="44"/>
        <v>0</v>
      </c>
      <c r="AZ14" s="70">
        <f t="shared" si="44"/>
        <v>3.2172360828593965E-3</v>
      </c>
      <c r="BA14" s="70">
        <f t="shared" si="44"/>
        <v>0</v>
      </c>
      <c r="BB14" s="70">
        <f t="shared" si="44"/>
        <v>0</v>
      </c>
      <c r="BC14" s="70">
        <f t="shared" si="44"/>
        <v>0</v>
      </c>
      <c r="BD14" s="70">
        <f t="shared" si="44"/>
        <v>0</v>
      </c>
      <c r="BE14" s="70">
        <f t="shared" si="44"/>
        <v>0</v>
      </c>
      <c r="BF14" s="70">
        <f t="shared" si="44"/>
        <v>0</v>
      </c>
      <c r="BG14" s="70">
        <f t="shared" si="44"/>
        <v>0</v>
      </c>
      <c r="BH14" s="70">
        <f t="shared" si="16"/>
        <v>5.0230395616256973E-3</v>
      </c>
      <c r="BI14" s="62"/>
      <c r="BJ14" s="69">
        <v>0.248</v>
      </c>
      <c r="BK14" s="69">
        <v>0.52</v>
      </c>
      <c r="BL14" s="69">
        <v>0</v>
      </c>
      <c r="BM14" s="69">
        <v>0.20300000000000001</v>
      </c>
      <c r="BN14" s="69">
        <v>2.9000000000000001E-2</v>
      </c>
      <c r="BO14" s="69">
        <v>0</v>
      </c>
      <c r="BP14" s="69">
        <v>0</v>
      </c>
      <c r="BQ14" s="69">
        <v>0</v>
      </c>
      <c r="BR14" s="62"/>
      <c r="BS14" s="72">
        <f t="shared" ref="BS14:BW14" si="45">AP14-BJ14</f>
        <v>0.13532849018224086</v>
      </c>
      <c r="BT14" s="72">
        <f t="shared" si="45"/>
        <v>-0.20425422391963138</v>
      </c>
      <c r="BU14" s="72">
        <f t="shared" si="45"/>
        <v>0.1304329777076674</v>
      </c>
      <c r="BV14" s="72">
        <f t="shared" si="45"/>
        <v>-0.11266831333803812</v>
      </c>
      <c r="BW14" s="72">
        <f t="shared" si="45"/>
        <v>2.5277886172111751E-2</v>
      </c>
      <c r="BX14" s="72"/>
      <c r="BY14" s="72"/>
      <c r="BZ14" s="72">
        <f t="shared" si="18"/>
        <v>2.5883183195649528E-2</v>
      </c>
    </row>
    <row r="15" spans="1:78" ht="13.15">
      <c r="A15" s="78" t="s">
        <v>5</v>
      </c>
      <c r="B15" s="74" t="s">
        <v>66</v>
      </c>
      <c r="C15" s="75" t="s">
        <v>67</v>
      </c>
      <c r="D15" s="75" t="s">
        <v>68</v>
      </c>
      <c r="E15" s="76">
        <v>79825</v>
      </c>
      <c r="F15" s="59">
        <f t="shared" si="6"/>
        <v>0.45696210460382086</v>
      </c>
      <c r="G15" s="60"/>
      <c r="H15" s="77">
        <v>16227</v>
      </c>
      <c r="I15" s="77">
        <v>4294</v>
      </c>
      <c r="J15" s="77">
        <v>5173</v>
      </c>
      <c r="K15" s="77">
        <v>1015</v>
      </c>
      <c r="L15" s="77">
        <v>4988</v>
      </c>
      <c r="M15" s="77"/>
      <c r="N15" s="77"/>
      <c r="O15" s="77">
        <v>753</v>
      </c>
      <c r="P15" s="77">
        <v>3578</v>
      </c>
      <c r="Q15" s="77"/>
      <c r="R15" s="77"/>
      <c r="S15" s="77"/>
      <c r="T15" s="77"/>
      <c r="U15" s="77"/>
      <c r="V15" s="77"/>
      <c r="W15" s="77"/>
      <c r="X15" s="77"/>
      <c r="Y15" s="77">
        <v>449</v>
      </c>
      <c r="Z15" s="77"/>
      <c r="AA15" s="77"/>
      <c r="AB15" s="77"/>
      <c r="AC15" s="77"/>
      <c r="AD15" s="77"/>
      <c r="AE15" s="62"/>
      <c r="AF15" s="63" t="b">
        <v>0</v>
      </c>
      <c r="AG15" s="63" t="b">
        <v>0</v>
      </c>
      <c r="AH15" s="62"/>
      <c r="AI15" s="64">
        <f t="shared" si="7"/>
        <v>36477</v>
      </c>
      <c r="AJ15" s="65" t="str">
        <f t="shared" si="8"/>
        <v>LAB</v>
      </c>
      <c r="AK15" s="66" t="str">
        <f t="shared" si="9"/>
        <v>HOLD</v>
      </c>
      <c r="AL15" s="67" t="e">
        <f t="shared" ca="1" si="10"/>
        <v>#NAME?</v>
      </c>
      <c r="AM15" s="68">
        <f t="shared" si="11"/>
        <v>11054</v>
      </c>
      <c r="AN15" s="69">
        <f t="shared" si="12"/>
        <v>0.30304027195218908</v>
      </c>
      <c r="AO15" s="62"/>
      <c r="AP15" s="70">
        <f t="shared" ref="AP15:AT15" si="46">H15/$AI15</f>
        <v>0.44485566247224279</v>
      </c>
      <c r="AQ15" s="70">
        <f t="shared" si="46"/>
        <v>0.11771801409107109</v>
      </c>
      <c r="AR15" s="70">
        <f t="shared" si="46"/>
        <v>0.14181539052005374</v>
      </c>
      <c r="AS15" s="70">
        <f t="shared" si="46"/>
        <v>2.7825753214354251E-2</v>
      </c>
      <c r="AT15" s="70">
        <f t="shared" si="46"/>
        <v>0.13674370151054088</v>
      </c>
      <c r="AU15" s="70"/>
      <c r="AV15" s="70"/>
      <c r="AW15" s="71">
        <f t="shared" si="14"/>
        <v>0.13104147819173728</v>
      </c>
      <c r="AX15" s="70">
        <f t="shared" ref="AX15:BG15" si="47">O15/$AI15</f>
        <v>2.0643144995476603E-2</v>
      </c>
      <c r="AY15" s="70">
        <f t="shared" si="47"/>
        <v>9.8089206897497047E-2</v>
      </c>
      <c r="AZ15" s="70">
        <f t="shared" si="47"/>
        <v>0</v>
      </c>
      <c r="BA15" s="70">
        <f t="shared" si="47"/>
        <v>0</v>
      </c>
      <c r="BB15" s="70">
        <f t="shared" si="47"/>
        <v>0</v>
      </c>
      <c r="BC15" s="70">
        <f t="shared" si="47"/>
        <v>0</v>
      </c>
      <c r="BD15" s="70">
        <f t="shared" si="47"/>
        <v>0</v>
      </c>
      <c r="BE15" s="70">
        <f t="shared" si="47"/>
        <v>0</v>
      </c>
      <c r="BF15" s="70">
        <f t="shared" si="47"/>
        <v>0</v>
      </c>
      <c r="BG15" s="70">
        <f t="shared" si="47"/>
        <v>0</v>
      </c>
      <c r="BH15" s="70">
        <f t="shared" si="16"/>
        <v>1.2309126298763629E-2</v>
      </c>
      <c r="BI15" s="62"/>
      <c r="BJ15" s="69">
        <v>0.60899999999999999</v>
      </c>
      <c r="BK15" s="69">
        <v>0.26800000000000002</v>
      </c>
      <c r="BL15" s="69">
        <v>7.0999999999999994E-2</v>
      </c>
      <c r="BM15" s="69">
        <v>3.3000000000000002E-2</v>
      </c>
      <c r="BN15" s="69">
        <v>1.7999999999999999E-2</v>
      </c>
      <c r="BO15" s="69">
        <v>0</v>
      </c>
      <c r="BP15" s="69">
        <v>0</v>
      </c>
      <c r="BQ15" s="69">
        <v>0</v>
      </c>
      <c r="BR15" s="62"/>
      <c r="BS15" s="72">
        <f t="shared" ref="BS15:BW15" si="48">AP15-BJ15</f>
        <v>-0.1641443375277572</v>
      </c>
      <c r="BT15" s="72">
        <f t="shared" si="48"/>
        <v>-0.15028198590892894</v>
      </c>
      <c r="BU15" s="72">
        <f t="shared" si="48"/>
        <v>7.0815390520053742E-2</v>
      </c>
      <c r="BV15" s="72">
        <f t="shared" si="48"/>
        <v>-5.1742467856457502E-3</v>
      </c>
      <c r="BW15" s="72">
        <f t="shared" si="48"/>
        <v>0.11874370151054088</v>
      </c>
      <c r="BX15" s="72"/>
      <c r="BY15" s="72"/>
      <c r="BZ15" s="72">
        <f t="shared" si="18"/>
        <v>0.13104147819173728</v>
      </c>
    </row>
    <row r="16" spans="1:78" ht="13.15">
      <c r="A16" s="78" t="s">
        <v>5</v>
      </c>
      <c r="B16" s="74" t="s">
        <v>69</v>
      </c>
      <c r="C16" s="75" t="s">
        <v>70</v>
      </c>
      <c r="D16" s="75" t="s">
        <v>71</v>
      </c>
      <c r="E16" s="76">
        <v>78267</v>
      </c>
      <c r="F16" s="59">
        <f t="shared" si="6"/>
        <v>0.47138640806470161</v>
      </c>
      <c r="G16" s="60"/>
      <c r="H16" s="77">
        <v>18610</v>
      </c>
      <c r="I16" s="77">
        <v>3083</v>
      </c>
      <c r="J16" s="77">
        <v>10799</v>
      </c>
      <c r="K16" s="77">
        <v>1336</v>
      </c>
      <c r="L16" s="77">
        <v>1805</v>
      </c>
      <c r="M16" s="77"/>
      <c r="N16" s="77"/>
      <c r="O16" s="77">
        <v>616</v>
      </c>
      <c r="P16" s="77"/>
      <c r="Q16" s="77"/>
      <c r="R16" s="77"/>
      <c r="S16" s="77"/>
      <c r="T16" s="77"/>
      <c r="U16" s="77"/>
      <c r="V16" s="77"/>
      <c r="W16" s="77"/>
      <c r="X16" s="77"/>
      <c r="Y16" s="77">
        <v>603</v>
      </c>
      <c r="Z16" s="77">
        <v>42</v>
      </c>
      <c r="AA16" s="77"/>
      <c r="AB16" s="77"/>
      <c r="AC16" s="77"/>
      <c r="AD16" s="77"/>
      <c r="AE16" s="62"/>
      <c r="AF16" s="63" t="b">
        <v>1</v>
      </c>
      <c r="AG16" s="63" t="b">
        <v>1</v>
      </c>
      <c r="AH16" s="62"/>
      <c r="AI16" s="64">
        <f t="shared" si="7"/>
        <v>36894</v>
      </c>
      <c r="AJ16" s="65" t="str">
        <f t="shared" si="8"/>
        <v>LAB</v>
      </c>
      <c r="AK16" s="66" t="str">
        <f t="shared" si="9"/>
        <v>HOLD</v>
      </c>
      <c r="AL16" s="67" t="e">
        <f t="shared" ca="1" si="10"/>
        <v>#NAME?</v>
      </c>
      <c r="AM16" s="68">
        <f t="shared" si="11"/>
        <v>7811</v>
      </c>
      <c r="AN16" s="69">
        <f t="shared" si="12"/>
        <v>0.21171464194720013</v>
      </c>
      <c r="AO16" s="62"/>
      <c r="AP16" s="70">
        <f t="shared" ref="AP16:AT16" si="49">H16/$AI16</f>
        <v>0.50441806255759747</v>
      </c>
      <c r="AQ16" s="70">
        <f t="shared" si="49"/>
        <v>8.3563723098606824E-2</v>
      </c>
      <c r="AR16" s="70">
        <f t="shared" si="49"/>
        <v>0.29270342061039734</v>
      </c>
      <c r="AS16" s="70">
        <f t="shared" si="49"/>
        <v>3.6211850165338538E-2</v>
      </c>
      <c r="AT16" s="70">
        <f t="shared" si="49"/>
        <v>4.8923944272781482E-2</v>
      </c>
      <c r="AU16" s="70"/>
      <c r="AV16" s="70"/>
      <c r="AW16" s="71">
        <f t="shared" si="14"/>
        <v>3.4178999295278345E-2</v>
      </c>
      <c r="AX16" s="70">
        <f t="shared" ref="AX16:BG16" si="50">O16/$AI16</f>
        <v>1.6696481812760882E-2</v>
      </c>
      <c r="AY16" s="70">
        <f t="shared" si="50"/>
        <v>0</v>
      </c>
      <c r="AZ16" s="70">
        <f t="shared" si="50"/>
        <v>0</v>
      </c>
      <c r="BA16" s="70">
        <f t="shared" si="50"/>
        <v>0</v>
      </c>
      <c r="BB16" s="70">
        <f t="shared" si="50"/>
        <v>0</v>
      </c>
      <c r="BC16" s="70">
        <f t="shared" si="50"/>
        <v>0</v>
      </c>
      <c r="BD16" s="70">
        <f t="shared" si="50"/>
        <v>0</v>
      </c>
      <c r="BE16" s="70">
        <f t="shared" si="50"/>
        <v>0</v>
      </c>
      <c r="BF16" s="70">
        <f t="shared" si="50"/>
        <v>0</v>
      </c>
      <c r="BG16" s="70">
        <f t="shared" si="50"/>
        <v>0</v>
      </c>
      <c r="BH16" s="70">
        <f t="shared" si="16"/>
        <v>1.7482517482517463E-2</v>
      </c>
      <c r="BI16" s="62"/>
      <c r="BJ16" s="69">
        <v>0.38500000000000001</v>
      </c>
      <c r="BK16" s="69">
        <v>0.24</v>
      </c>
      <c r="BL16" s="69">
        <v>0.29499999999999998</v>
      </c>
      <c r="BM16" s="69">
        <v>3.5999999999999997E-2</v>
      </c>
      <c r="BN16" s="69">
        <v>2.4E-2</v>
      </c>
      <c r="BO16" s="69">
        <v>0</v>
      </c>
      <c r="BP16" s="69">
        <v>0</v>
      </c>
      <c r="BQ16" s="69">
        <v>0.02</v>
      </c>
      <c r="BR16" s="62"/>
      <c r="BS16" s="72">
        <f t="shared" ref="BS16:BW16" si="51">AP16-BJ16</f>
        <v>0.11941806255759746</v>
      </c>
      <c r="BT16" s="72">
        <f t="shared" si="51"/>
        <v>-0.15643627690139317</v>
      </c>
      <c r="BU16" s="72">
        <f t="shared" si="51"/>
        <v>-2.2965793896026487E-3</v>
      </c>
      <c r="BV16" s="72">
        <f t="shared" si="51"/>
        <v>2.1185016533854101E-4</v>
      </c>
      <c r="BW16" s="72">
        <f t="shared" si="51"/>
        <v>2.4923944272781481E-2</v>
      </c>
      <c r="BX16" s="72"/>
      <c r="BY16" s="72"/>
      <c r="BZ16" s="72">
        <f t="shared" si="18"/>
        <v>1.4178999295278345E-2</v>
      </c>
    </row>
    <row r="17" spans="1:78" ht="13.15">
      <c r="A17" s="78" t="s">
        <v>5</v>
      </c>
      <c r="B17" s="74" t="s">
        <v>72</v>
      </c>
      <c r="C17" s="75" t="s">
        <v>73</v>
      </c>
      <c r="D17" s="75" t="s">
        <v>71</v>
      </c>
      <c r="E17" s="76">
        <v>75850</v>
      </c>
      <c r="F17" s="59">
        <f t="shared" si="6"/>
        <v>0.46251812788398156</v>
      </c>
      <c r="G17" s="60"/>
      <c r="H17" s="77">
        <v>16399</v>
      </c>
      <c r="I17" s="77">
        <v>3247</v>
      </c>
      <c r="J17" s="77">
        <v>11651</v>
      </c>
      <c r="K17" s="77">
        <v>1172</v>
      </c>
      <c r="L17" s="77">
        <v>1521</v>
      </c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>
        <v>716</v>
      </c>
      <c r="Z17" s="77">
        <v>227</v>
      </c>
      <c r="AA17" s="77">
        <v>149</v>
      </c>
      <c r="AB17" s="77"/>
      <c r="AC17" s="77"/>
      <c r="AD17" s="77"/>
      <c r="AE17" s="62"/>
      <c r="AF17" s="63" t="b">
        <v>1</v>
      </c>
      <c r="AG17" s="63" t="b">
        <v>1</v>
      </c>
      <c r="AH17" s="62"/>
      <c r="AI17" s="64">
        <f t="shared" si="7"/>
        <v>35082</v>
      </c>
      <c r="AJ17" s="65" t="str">
        <f t="shared" si="8"/>
        <v>LAB</v>
      </c>
      <c r="AK17" s="66" t="str">
        <f t="shared" si="9"/>
        <v>HOLD</v>
      </c>
      <c r="AL17" s="67" t="e">
        <f t="shared" ca="1" si="10"/>
        <v>#NAME?</v>
      </c>
      <c r="AM17" s="68">
        <f t="shared" si="11"/>
        <v>4748</v>
      </c>
      <c r="AN17" s="69">
        <f t="shared" si="12"/>
        <v>0.13534006042985008</v>
      </c>
      <c r="AO17" s="62"/>
      <c r="AP17" s="70">
        <f t="shared" ref="AP17:AT17" si="52">H17/$AI17</f>
        <v>0.46744769397411778</v>
      </c>
      <c r="AQ17" s="70">
        <f t="shared" si="52"/>
        <v>9.2554586397582808E-2</v>
      </c>
      <c r="AR17" s="70">
        <f t="shared" si="52"/>
        <v>0.3321076335442677</v>
      </c>
      <c r="AS17" s="70">
        <f t="shared" si="52"/>
        <v>3.3407445413602417E-2</v>
      </c>
      <c r="AT17" s="70">
        <f t="shared" si="52"/>
        <v>4.3355566957414056E-2</v>
      </c>
      <c r="AU17" s="70"/>
      <c r="AV17" s="70"/>
      <c r="AW17" s="71">
        <f t="shared" si="14"/>
        <v>3.1127073713015263E-2</v>
      </c>
      <c r="AX17" s="70">
        <f t="shared" ref="AX17:BG17" si="53">O17/$AI17</f>
        <v>0</v>
      </c>
      <c r="AY17" s="70">
        <f t="shared" si="53"/>
        <v>0</v>
      </c>
      <c r="AZ17" s="70">
        <f t="shared" si="53"/>
        <v>0</v>
      </c>
      <c r="BA17" s="70">
        <f t="shared" si="53"/>
        <v>0</v>
      </c>
      <c r="BB17" s="70">
        <f t="shared" si="53"/>
        <v>0</v>
      </c>
      <c r="BC17" s="70">
        <f t="shared" si="53"/>
        <v>0</v>
      </c>
      <c r="BD17" s="70">
        <f t="shared" si="53"/>
        <v>0</v>
      </c>
      <c r="BE17" s="70">
        <f t="shared" si="53"/>
        <v>0</v>
      </c>
      <c r="BF17" s="70">
        <f t="shared" si="53"/>
        <v>0</v>
      </c>
      <c r="BG17" s="70">
        <f t="shared" si="53"/>
        <v>0</v>
      </c>
      <c r="BH17" s="70">
        <f t="shared" si="16"/>
        <v>3.1127073713015263E-2</v>
      </c>
      <c r="BI17" s="62"/>
      <c r="BJ17" s="69">
        <v>0.41799999999999998</v>
      </c>
      <c r="BK17" s="69">
        <v>0.22700000000000001</v>
      </c>
      <c r="BL17" s="69">
        <v>0.29199999999999998</v>
      </c>
      <c r="BM17" s="69">
        <v>3.5000000000000003E-2</v>
      </c>
      <c r="BN17" s="69">
        <v>2.1000000000000001E-2</v>
      </c>
      <c r="BO17" s="69">
        <v>0</v>
      </c>
      <c r="BP17" s="69">
        <v>0</v>
      </c>
      <c r="BQ17" s="69">
        <v>7.0000000000000001E-3</v>
      </c>
      <c r="BR17" s="62"/>
      <c r="BS17" s="72">
        <f t="shared" ref="BS17:BW17" si="54">AP17-BJ17</f>
        <v>4.9447693974117801E-2</v>
      </c>
      <c r="BT17" s="72">
        <f t="shared" si="54"/>
        <v>-0.13444541360241719</v>
      </c>
      <c r="BU17" s="72">
        <f t="shared" si="54"/>
        <v>4.0107633544267718E-2</v>
      </c>
      <c r="BV17" s="72">
        <f t="shared" si="54"/>
        <v>-1.5925545863975862E-3</v>
      </c>
      <c r="BW17" s="72">
        <f t="shared" si="54"/>
        <v>2.2355566957414055E-2</v>
      </c>
      <c r="BX17" s="72"/>
      <c r="BY17" s="72"/>
      <c r="BZ17" s="72">
        <f t="shared" si="18"/>
        <v>2.4127073713015264E-2</v>
      </c>
    </row>
    <row r="18" spans="1:78" ht="13.15">
      <c r="A18" s="73" t="s">
        <v>6</v>
      </c>
      <c r="B18" s="74" t="s">
        <v>74</v>
      </c>
      <c r="C18" s="75" t="s">
        <v>75</v>
      </c>
      <c r="D18" s="75" t="s">
        <v>50</v>
      </c>
      <c r="E18" s="76">
        <v>74980</v>
      </c>
      <c r="F18" s="59">
        <f t="shared" si="6"/>
        <v>0.56309682582021869</v>
      </c>
      <c r="G18" s="60"/>
      <c r="H18" s="77">
        <v>18537</v>
      </c>
      <c r="I18" s="77">
        <v>13213</v>
      </c>
      <c r="J18" s="77">
        <v>7035</v>
      </c>
      <c r="K18" s="77">
        <v>1680</v>
      </c>
      <c r="L18" s="77">
        <v>1466</v>
      </c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77"/>
      <c r="Y18" s="77">
        <v>290</v>
      </c>
      <c r="Z18" s="77"/>
      <c r="AA18" s="77"/>
      <c r="AB18" s="77"/>
      <c r="AC18" s="77"/>
      <c r="AD18" s="77"/>
      <c r="AE18" s="62"/>
      <c r="AF18" s="63" t="b">
        <v>1</v>
      </c>
      <c r="AG18" s="63" t="b">
        <v>1</v>
      </c>
      <c r="AH18" s="62"/>
      <c r="AI18" s="64">
        <f t="shared" si="7"/>
        <v>42221</v>
      </c>
      <c r="AJ18" s="65" t="str">
        <f t="shared" si="8"/>
        <v>LAB</v>
      </c>
      <c r="AK18" s="66" t="str">
        <f t="shared" si="9"/>
        <v>GAIN</v>
      </c>
      <c r="AL18" s="67" t="e">
        <f t="shared" ca="1" si="10"/>
        <v>#NAME?</v>
      </c>
      <c r="AM18" s="68">
        <f t="shared" si="11"/>
        <v>5324</v>
      </c>
      <c r="AN18" s="69">
        <f t="shared" si="12"/>
        <v>0.12609838705857274</v>
      </c>
      <c r="AO18" s="62"/>
      <c r="AP18" s="70">
        <f t="shared" ref="AP18:AT18" si="55">H18/$AI18</f>
        <v>0.43904691977925675</v>
      </c>
      <c r="AQ18" s="70">
        <f t="shared" si="55"/>
        <v>0.31294853272068401</v>
      </c>
      <c r="AR18" s="70">
        <f t="shared" si="55"/>
        <v>0.16662324435707349</v>
      </c>
      <c r="AS18" s="70">
        <f t="shared" si="55"/>
        <v>3.9790625518107102E-2</v>
      </c>
      <c r="AT18" s="70">
        <f t="shared" si="55"/>
        <v>3.4722057743776791E-2</v>
      </c>
      <c r="AU18" s="70"/>
      <c r="AV18" s="70"/>
      <c r="AW18" s="71">
        <f t="shared" si="14"/>
        <v>6.8686198811018784E-3</v>
      </c>
      <c r="AX18" s="70">
        <f t="shared" ref="AX18:BG18" si="56">O18/$AI18</f>
        <v>0</v>
      </c>
      <c r="AY18" s="70">
        <f t="shared" si="56"/>
        <v>0</v>
      </c>
      <c r="AZ18" s="70">
        <f t="shared" si="56"/>
        <v>0</v>
      </c>
      <c r="BA18" s="70">
        <f t="shared" si="56"/>
        <v>0</v>
      </c>
      <c r="BB18" s="70">
        <f t="shared" si="56"/>
        <v>0</v>
      </c>
      <c r="BC18" s="70">
        <f t="shared" si="56"/>
        <v>0</v>
      </c>
      <c r="BD18" s="70">
        <f t="shared" si="56"/>
        <v>0</v>
      </c>
      <c r="BE18" s="70">
        <f t="shared" si="56"/>
        <v>0</v>
      </c>
      <c r="BF18" s="70">
        <f t="shared" si="56"/>
        <v>0</v>
      </c>
      <c r="BG18" s="70">
        <f t="shared" si="56"/>
        <v>0</v>
      </c>
      <c r="BH18" s="70">
        <f t="shared" si="16"/>
        <v>6.8686198811018784E-3</v>
      </c>
      <c r="BI18" s="62"/>
      <c r="BJ18" s="69">
        <v>0.38200000000000001</v>
      </c>
      <c r="BK18" s="69">
        <v>0.53100000000000003</v>
      </c>
      <c r="BL18" s="69">
        <v>2.7E-2</v>
      </c>
      <c r="BM18" s="69">
        <v>4.4999999999999998E-2</v>
      </c>
      <c r="BN18" s="69">
        <v>1.4999999999999999E-2</v>
      </c>
      <c r="BO18" s="69">
        <v>0</v>
      </c>
      <c r="BP18" s="69">
        <v>0</v>
      </c>
      <c r="BQ18" s="69">
        <v>0</v>
      </c>
      <c r="BR18" s="62"/>
      <c r="BS18" s="72">
        <f t="shared" ref="BS18:BW18" si="57">AP18-BJ18</f>
        <v>5.7046919779256744E-2</v>
      </c>
      <c r="BT18" s="72">
        <f t="shared" si="57"/>
        <v>-0.21805146727931601</v>
      </c>
      <c r="BU18" s="72">
        <f t="shared" si="57"/>
        <v>0.13962324435707349</v>
      </c>
      <c r="BV18" s="72">
        <f t="shared" si="57"/>
        <v>-5.2093744818928964E-3</v>
      </c>
      <c r="BW18" s="72">
        <f t="shared" si="57"/>
        <v>1.9722057743776791E-2</v>
      </c>
      <c r="BX18" s="72"/>
      <c r="BY18" s="72"/>
      <c r="BZ18" s="72">
        <f t="shared" si="18"/>
        <v>6.8686198811018784E-3</v>
      </c>
    </row>
    <row r="19" spans="1:78" ht="13.15">
      <c r="A19" s="73" t="s">
        <v>6</v>
      </c>
      <c r="B19" s="74" t="s">
        <v>76</v>
      </c>
      <c r="C19" s="75" t="s">
        <v>77</v>
      </c>
      <c r="D19" s="75" t="s">
        <v>78</v>
      </c>
      <c r="E19" s="76">
        <v>76873</v>
      </c>
      <c r="F19" s="59">
        <f t="shared" si="6"/>
        <v>0.5479687276416948</v>
      </c>
      <c r="G19" s="60"/>
      <c r="H19" s="77">
        <v>12885</v>
      </c>
      <c r="I19" s="77">
        <v>12905</v>
      </c>
      <c r="J19" s="77">
        <v>11354</v>
      </c>
      <c r="K19" s="77">
        <v>2292</v>
      </c>
      <c r="L19" s="77">
        <v>2123</v>
      </c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>
        <v>373</v>
      </c>
      <c r="Z19" s="77">
        <v>192</v>
      </c>
      <c r="AA19" s="77"/>
      <c r="AB19" s="77"/>
      <c r="AC19" s="77"/>
      <c r="AD19" s="77"/>
      <c r="AE19" s="62"/>
      <c r="AF19" s="63" t="b">
        <v>1</v>
      </c>
      <c r="AG19" s="63" t="b">
        <v>1</v>
      </c>
      <c r="AH19" s="62"/>
      <c r="AI19" s="64">
        <f t="shared" si="7"/>
        <v>42124</v>
      </c>
      <c r="AJ19" s="65" t="str">
        <f t="shared" si="8"/>
        <v>CON</v>
      </c>
      <c r="AK19" s="66" t="str">
        <f t="shared" si="9"/>
        <v>HOLD</v>
      </c>
      <c r="AL19" s="67" t="e">
        <f t="shared" ca="1" si="10"/>
        <v>#NAME?</v>
      </c>
      <c r="AM19" s="68">
        <f t="shared" si="11"/>
        <v>20</v>
      </c>
      <c r="AN19" s="69">
        <f t="shared" si="12"/>
        <v>4.7478871902001396E-4</v>
      </c>
      <c r="AO19" s="62"/>
      <c r="AP19" s="70">
        <f t="shared" ref="AP19:AT19" si="58">H19/$AI19</f>
        <v>0.30588263222865825</v>
      </c>
      <c r="AQ19" s="70">
        <f t="shared" si="58"/>
        <v>0.30635742094767826</v>
      </c>
      <c r="AR19" s="70">
        <f t="shared" si="58"/>
        <v>0.26953755578767447</v>
      </c>
      <c r="AS19" s="70">
        <f t="shared" si="58"/>
        <v>5.4410787199696137E-2</v>
      </c>
      <c r="AT19" s="70">
        <f t="shared" si="58"/>
        <v>5.039882252397683E-2</v>
      </c>
      <c r="AU19" s="70"/>
      <c r="AV19" s="70"/>
      <c r="AW19" s="71">
        <f t="shared" si="14"/>
        <v>1.3412781312315936E-2</v>
      </c>
      <c r="AX19" s="70">
        <f t="shared" ref="AX19:BG19" si="59">O19/$AI19</f>
        <v>0</v>
      </c>
      <c r="AY19" s="70">
        <f t="shared" si="59"/>
        <v>0</v>
      </c>
      <c r="AZ19" s="70">
        <f t="shared" si="59"/>
        <v>0</v>
      </c>
      <c r="BA19" s="70">
        <f t="shared" si="59"/>
        <v>0</v>
      </c>
      <c r="BB19" s="70">
        <f t="shared" si="59"/>
        <v>0</v>
      </c>
      <c r="BC19" s="70">
        <f t="shared" si="59"/>
        <v>0</v>
      </c>
      <c r="BD19" s="70">
        <f t="shared" si="59"/>
        <v>0</v>
      </c>
      <c r="BE19" s="70">
        <f t="shared" si="59"/>
        <v>0</v>
      </c>
      <c r="BF19" s="70">
        <f t="shared" si="59"/>
        <v>0</v>
      </c>
      <c r="BG19" s="70">
        <f t="shared" si="59"/>
        <v>0</v>
      </c>
      <c r="BH19" s="70">
        <f t="shared" si="16"/>
        <v>1.3412781312315936E-2</v>
      </c>
      <c r="BI19" s="62"/>
      <c r="BJ19" s="69">
        <v>0.216</v>
      </c>
      <c r="BK19" s="69">
        <v>0.65900000000000003</v>
      </c>
      <c r="BL19" s="69">
        <v>0</v>
      </c>
      <c r="BM19" s="69">
        <v>8.4000000000000005E-2</v>
      </c>
      <c r="BN19" s="69">
        <v>0.03</v>
      </c>
      <c r="BO19" s="69">
        <v>0</v>
      </c>
      <c r="BP19" s="69">
        <v>0</v>
      </c>
      <c r="BQ19" s="69">
        <v>1.0999999999999999E-2</v>
      </c>
      <c r="BR19" s="62"/>
      <c r="BS19" s="72">
        <f t="shared" ref="BS19:BW19" si="60">AP19-BJ19</f>
        <v>8.9882632228658249E-2</v>
      </c>
      <c r="BT19" s="72">
        <f t="shared" si="60"/>
        <v>-0.35264257905232177</v>
      </c>
      <c r="BU19" s="72">
        <f t="shared" si="60"/>
        <v>0.26953755578767447</v>
      </c>
      <c r="BV19" s="72">
        <f t="shared" si="60"/>
        <v>-2.9589212800303868E-2</v>
      </c>
      <c r="BW19" s="72">
        <f t="shared" si="60"/>
        <v>2.0398822523976831E-2</v>
      </c>
      <c r="BX19" s="72"/>
      <c r="BY19" s="72"/>
      <c r="BZ19" s="72">
        <f t="shared" si="18"/>
        <v>2.4127813123159363E-3</v>
      </c>
    </row>
    <row r="20" spans="1:78" ht="13.15">
      <c r="A20" s="73" t="s">
        <v>6</v>
      </c>
      <c r="B20" s="74" t="s">
        <v>79</v>
      </c>
      <c r="C20" s="75" t="s">
        <v>80</v>
      </c>
      <c r="D20" s="75" t="s">
        <v>44</v>
      </c>
      <c r="E20" s="76">
        <v>78487</v>
      </c>
      <c r="F20" s="59">
        <f t="shared" si="6"/>
        <v>0.62416705951304041</v>
      </c>
      <c r="G20" s="60"/>
      <c r="H20" s="77">
        <v>20922</v>
      </c>
      <c r="I20" s="77">
        <v>14438</v>
      </c>
      <c r="J20" s="77">
        <v>6314</v>
      </c>
      <c r="K20" s="77">
        <v>3176</v>
      </c>
      <c r="L20" s="77">
        <v>3568</v>
      </c>
      <c r="M20" s="77"/>
      <c r="N20" s="77"/>
      <c r="O20" s="77"/>
      <c r="P20" s="77"/>
      <c r="Q20" s="77"/>
      <c r="R20" s="77">
        <v>571</v>
      </c>
      <c r="S20" s="77"/>
      <c r="T20" s="77"/>
      <c r="U20" s="77"/>
      <c r="V20" s="77"/>
      <c r="W20" s="77"/>
      <c r="X20" s="77"/>
      <c r="Y20" s="77"/>
      <c r="Z20" s="77"/>
      <c r="AA20" s="77"/>
      <c r="AB20" s="77"/>
      <c r="AC20" s="77"/>
      <c r="AD20" s="77"/>
      <c r="AE20" s="62"/>
      <c r="AF20" s="63" t="b">
        <v>1</v>
      </c>
      <c r="AG20" s="63" t="b">
        <v>1</v>
      </c>
      <c r="AH20" s="62"/>
      <c r="AI20" s="64">
        <f t="shared" si="7"/>
        <v>48989</v>
      </c>
      <c r="AJ20" s="65" t="str">
        <f t="shared" si="8"/>
        <v>LAB</v>
      </c>
      <c r="AK20" s="66" t="str">
        <f t="shared" si="9"/>
        <v>GAIN</v>
      </c>
      <c r="AL20" s="67" t="e">
        <f t="shared" ca="1" si="10"/>
        <v>#NAME?</v>
      </c>
      <c r="AM20" s="68">
        <f t="shared" si="11"/>
        <v>6484</v>
      </c>
      <c r="AN20" s="69">
        <f t="shared" si="12"/>
        <v>0.13235624323827799</v>
      </c>
      <c r="AO20" s="62"/>
      <c r="AP20" s="70">
        <f t="shared" ref="AP20:AT20" si="61">H20/$AI20</f>
        <v>0.42707546592092105</v>
      </c>
      <c r="AQ20" s="70">
        <f t="shared" si="61"/>
        <v>0.29471922268264306</v>
      </c>
      <c r="AR20" s="70">
        <f t="shared" si="61"/>
        <v>0.12888607646614547</v>
      </c>
      <c r="AS20" s="70">
        <f t="shared" si="61"/>
        <v>6.4830880401722829E-2</v>
      </c>
      <c r="AT20" s="70">
        <f t="shared" si="61"/>
        <v>7.2832676723346063E-2</v>
      </c>
      <c r="AU20" s="70"/>
      <c r="AV20" s="70"/>
      <c r="AW20" s="71">
        <f t="shared" si="14"/>
        <v>1.1655677805221587E-2</v>
      </c>
      <c r="AX20" s="70">
        <f t="shared" ref="AX20:BG20" si="62">O20/$AI20</f>
        <v>0</v>
      </c>
      <c r="AY20" s="70">
        <f t="shared" si="62"/>
        <v>0</v>
      </c>
      <c r="AZ20" s="70">
        <f t="shared" si="62"/>
        <v>0</v>
      </c>
      <c r="BA20" s="70">
        <f t="shared" si="62"/>
        <v>1.165567780522158E-2</v>
      </c>
      <c r="BB20" s="70">
        <f t="shared" si="62"/>
        <v>0</v>
      </c>
      <c r="BC20" s="70">
        <f t="shared" si="62"/>
        <v>0</v>
      </c>
      <c r="BD20" s="70">
        <f t="shared" si="62"/>
        <v>0</v>
      </c>
      <c r="BE20" s="70">
        <f t="shared" si="62"/>
        <v>0</v>
      </c>
      <c r="BF20" s="70">
        <f t="shared" si="62"/>
        <v>0</v>
      </c>
      <c r="BG20" s="70">
        <f t="shared" si="62"/>
        <v>0</v>
      </c>
      <c r="BH20" s="70">
        <f t="shared" si="16"/>
        <v>0</v>
      </c>
      <c r="BI20" s="62"/>
      <c r="BJ20" s="69">
        <v>0.28699999999999998</v>
      </c>
      <c r="BK20" s="69">
        <v>0.52700000000000002</v>
      </c>
      <c r="BL20" s="69">
        <v>0</v>
      </c>
      <c r="BM20" s="69">
        <v>0.13300000000000001</v>
      </c>
      <c r="BN20" s="69">
        <v>3.9E-2</v>
      </c>
      <c r="BO20" s="69">
        <v>0</v>
      </c>
      <c r="BP20" s="69">
        <v>0</v>
      </c>
      <c r="BQ20" s="69">
        <v>1.4999999999999999E-2</v>
      </c>
      <c r="BR20" s="62"/>
      <c r="BS20" s="72">
        <f t="shared" ref="BS20:BW20" si="63">AP20-BJ20</f>
        <v>0.14007546592092107</v>
      </c>
      <c r="BT20" s="72">
        <f t="shared" si="63"/>
        <v>-0.23228077731735697</v>
      </c>
      <c r="BU20" s="72">
        <f t="shared" si="63"/>
        <v>0.12888607646614547</v>
      </c>
      <c r="BV20" s="72">
        <f t="shared" si="63"/>
        <v>-6.8169119598277178E-2</v>
      </c>
      <c r="BW20" s="72">
        <f t="shared" si="63"/>
        <v>3.3832676723346063E-2</v>
      </c>
      <c r="BX20" s="72"/>
      <c r="BY20" s="72"/>
      <c r="BZ20" s="72">
        <f t="shared" si="18"/>
        <v>-3.3443221947784194E-3</v>
      </c>
    </row>
    <row r="21" spans="1:78" ht="13.15">
      <c r="A21" s="73" t="s">
        <v>6</v>
      </c>
      <c r="B21" s="74" t="s">
        <v>81</v>
      </c>
      <c r="C21" s="75" t="s">
        <v>82</v>
      </c>
      <c r="D21" s="75" t="s">
        <v>53</v>
      </c>
      <c r="E21" s="76">
        <v>78173</v>
      </c>
      <c r="F21" s="59">
        <f t="shared" si="6"/>
        <v>0.57408568175712837</v>
      </c>
      <c r="G21" s="60"/>
      <c r="H21" s="77">
        <v>18476</v>
      </c>
      <c r="I21" s="77">
        <v>12708</v>
      </c>
      <c r="J21" s="77">
        <v>9751</v>
      </c>
      <c r="K21" s="77">
        <v>1996</v>
      </c>
      <c r="L21" s="77">
        <v>1947</v>
      </c>
      <c r="M21" s="77"/>
      <c r="N21" s="77"/>
      <c r="O21" s="77"/>
      <c r="P21" s="77"/>
      <c r="Q21" s="77"/>
      <c r="R21" s="77"/>
      <c r="S21" s="77"/>
      <c r="T21" s="77"/>
      <c r="U21" s="77"/>
      <c r="V21" s="77"/>
      <c r="W21" s="77"/>
      <c r="X21" s="77"/>
      <c r="Y21" s="77"/>
      <c r="Z21" s="77"/>
      <c r="AA21" s="77"/>
      <c r="AB21" s="77"/>
      <c r="AC21" s="77"/>
      <c r="AD21" s="77"/>
      <c r="AE21" s="62"/>
      <c r="AF21" s="63" t="b">
        <v>1</v>
      </c>
      <c r="AG21" s="63" t="b">
        <v>1</v>
      </c>
      <c r="AH21" s="62"/>
      <c r="AI21" s="64">
        <f t="shared" si="7"/>
        <v>44878</v>
      </c>
      <c r="AJ21" s="65" t="str">
        <f t="shared" si="8"/>
        <v>LAB</v>
      </c>
      <c r="AK21" s="66" t="str">
        <f t="shared" si="9"/>
        <v>GAIN</v>
      </c>
      <c r="AL21" s="67" t="e">
        <f t="shared" ca="1" si="10"/>
        <v>#NAME?</v>
      </c>
      <c r="AM21" s="68">
        <f t="shared" si="11"/>
        <v>5768</v>
      </c>
      <c r="AN21" s="69">
        <f t="shared" si="12"/>
        <v>0.12852622665894203</v>
      </c>
      <c r="AO21" s="62"/>
      <c r="AP21" s="70">
        <f t="shared" ref="AP21:AT21" si="64">H21/$AI21</f>
        <v>0.41169392575426711</v>
      </c>
      <c r="AQ21" s="70">
        <f t="shared" si="64"/>
        <v>0.28316769909532508</v>
      </c>
      <c r="AR21" s="70">
        <f t="shared" si="64"/>
        <v>0.21727795356299301</v>
      </c>
      <c r="AS21" s="70">
        <f t="shared" si="64"/>
        <v>4.4476135300147067E-2</v>
      </c>
      <c r="AT21" s="70">
        <f t="shared" si="64"/>
        <v>4.3384286287267704E-2</v>
      </c>
      <c r="AU21" s="70"/>
      <c r="AV21" s="70"/>
      <c r="AW21" s="71">
        <f t="shared" si="14"/>
        <v>0</v>
      </c>
      <c r="AX21" s="70">
        <f t="shared" ref="AX21:BG21" si="65">O21/$AI21</f>
        <v>0</v>
      </c>
      <c r="AY21" s="70">
        <f t="shared" si="65"/>
        <v>0</v>
      </c>
      <c r="AZ21" s="70">
        <f t="shared" si="65"/>
        <v>0</v>
      </c>
      <c r="BA21" s="70">
        <f t="shared" si="65"/>
        <v>0</v>
      </c>
      <c r="BB21" s="70">
        <f t="shared" si="65"/>
        <v>0</v>
      </c>
      <c r="BC21" s="70">
        <f t="shared" si="65"/>
        <v>0</v>
      </c>
      <c r="BD21" s="70">
        <f t="shared" si="65"/>
        <v>0</v>
      </c>
      <c r="BE21" s="70">
        <f t="shared" si="65"/>
        <v>0</v>
      </c>
      <c r="BF21" s="70">
        <f t="shared" si="65"/>
        <v>0</v>
      </c>
      <c r="BG21" s="70">
        <f t="shared" si="65"/>
        <v>0</v>
      </c>
      <c r="BH21" s="70">
        <f t="shared" si="16"/>
        <v>0</v>
      </c>
      <c r="BI21" s="62"/>
      <c r="BJ21" s="69">
        <v>0.28000000000000003</v>
      </c>
      <c r="BK21" s="69">
        <v>0.54400000000000004</v>
      </c>
      <c r="BL21" s="69">
        <v>0.109</v>
      </c>
      <c r="BM21" s="69">
        <v>6.7000000000000004E-2</v>
      </c>
      <c r="BN21" s="69">
        <v>0</v>
      </c>
      <c r="BO21" s="69">
        <v>0</v>
      </c>
      <c r="BP21" s="69">
        <v>0</v>
      </c>
      <c r="BQ21" s="69">
        <v>0</v>
      </c>
      <c r="BR21" s="62"/>
      <c r="BS21" s="72">
        <f t="shared" ref="BS21:BW21" si="66">AP21-BJ21</f>
        <v>0.13169392575426708</v>
      </c>
      <c r="BT21" s="72">
        <f t="shared" si="66"/>
        <v>-0.26083230090467496</v>
      </c>
      <c r="BU21" s="72">
        <f t="shared" si="66"/>
        <v>0.10827795356299301</v>
      </c>
      <c r="BV21" s="72">
        <f t="shared" si="66"/>
        <v>-2.2523864699852937E-2</v>
      </c>
      <c r="BW21" s="72">
        <f t="shared" si="66"/>
        <v>4.3384286287267704E-2</v>
      </c>
      <c r="BX21" s="72"/>
      <c r="BY21" s="72"/>
      <c r="BZ21" s="72">
        <f t="shared" si="18"/>
        <v>0</v>
      </c>
    </row>
    <row r="22" spans="1:78" ht="13.15">
      <c r="A22" s="79" t="s">
        <v>8</v>
      </c>
      <c r="B22" s="74" t="s">
        <v>83</v>
      </c>
      <c r="C22" s="75" t="s">
        <v>84</v>
      </c>
      <c r="D22" s="75" t="s">
        <v>85</v>
      </c>
      <c r="E22" s="76">
        <v>69655</v>
      </c>
      <c r="F22" s="59">
        <f t="shared" si="6"/>
        <v>0.69097695786375712</v>
      </c>
      <c r="G22" s="60"/>
      <c r="H22" s="77">
        <v>8665</v>
      </c>
      <c r="I22" s="77">
        <v>7659</v>
      </c>
      <c r="J22" s="77">
        <v>3798</v>
      </c>
      <c r="K22" s="77">
        <v>19883</v>
      </c>
      <c r="L22" s="77">
        <v>5952</v>
      </c>
      <c r="M22" s="77"/>
      <c r="N22" s="77"/>
      <c r="O22" s="77">
        <v>1749</v>
      </c>
      <c r="P22" s="77">
        <v>230</v>
      </c>
      <c r="Q22" s="77"/>
      <c r="R22" s="77"/>
      <c r="S22" s="77"/>
      <c r="T22" s="77"/>
      <c r="U22" s="77"/>
      <c r="V22" s="77"/>
      <c r="W22" s="77"/>
      <c r="X22" s="77"/>
      <c r="Y22" s="77">
        <v>169</v>
      </c>
      <c r="Z22" s="77">
        <v>25</v>
      </c>
      <c r="AA22" s="77"/>
      <c r="AB22" s="77"/>
      <c r="AC22" s="77"/>
      <c r="AD22" s="77"/>
      <c r="AE22" s="62"/>
      <c r="AF22" s="63" t="b">
        <v>1</v>
      </c>
      <c r="AG22" s="63" t="b">
        <v>1</v>
      </c>
      <c r="AH22" s="62"/>
      <c r="AI22" s="64">
        <f t="shared" si="7"/>
        <v>48130</v>
      </c>
      <c r="AJ22" s="65" t="str">
        <f t="shared" si="8"/>
        <v>LDM</v>
      </c>
      <c r="AK22" s="66" t="str">
        <f t="shared" si="9"/>
        <v>HOLD</v>
      </c>
      <c r="AL22" s="67" t="e">
        <f t="shared" ca="1" si="10"/>
        <v>#NAME?</v>
      </c>
      <c r="AM22" s="68">
        <f t="shared" si="11"/>
        <v>11218</v>
      </c>
      <c r="AN22" s="69">
        <f t="shared" si="12"/>
        <v>0.23307708290047785</v>
      </c>
      <c r="AO22" s="62"/>
      <c r="AP22" s="70">
        <f t="shared" ref="AP22:AT22" si="67">H22/$AI22</f>
        <v>0.18003324329939746</v>
      </c>
      <c r="AQ22" s="70">
        <f t="shared" si="67"/>
        <v>0.15913151880324122</v>
      </c>
      <c r="AR22" s="70">
        <f t="shared" si="67"/>
        <v>7.8911281944733014E-2</v>
      </c>
      <c r="AS22" s="70">
        <f t="shared" si="67"/>
        <v>0.41311032619987531</v>
      </c>
      <c r="AT22" s="70">
        <f t="shared" si="67"/>
        <v>0.12366507375857054</v>
      </c>
      <c r="AU22" s="70"/>
      <c r="AV22" s="70"/>
      <c r="AW22" s="71">
        <f t="shared" si="14"/>
        <v>4.5148555994182438E-2</v>
      </c>
      <c r="AX22" s="70">
        <f t="shared" ref="AX22:BG22" si="68">O22/$AI22</f>
        <v>3.6339081653854147E-2</v>
      </c>
      <c r="AY22" s="70">
        <f t="shared" si="68"/>
        <v>4.7787242883856225E-3</v>
      </c>
      <c r="AZ22" s="70">
        <f t="shared" si="68"/>
        <v>0</v>
      </c>
      <c r="BA22" s="70">
        <f t="shared" si="68"/>
        <v>0</v>
      </c>
      <c r="BB22" s="70">
        <f t="shared" si="68"/>
        <v>0</v>
      </c>
      <c r="BC22" s="70">
        <f t="shared" si="68"/>
        <v>0</v>
      </c>
      <c r="BD22" s="70">
        <f t="shared" si="68"/>
        <v>0</v>
      </c>
      <c r="BE22" s="70">
        <f t="shared" si="68"/>
        <v>0</v>
      </c>
      <c r="BF22" s="70">
        <f t="shared" si="68"/>
        <v>0</v>
      </c>
      <c r="BG22" s="70">
        <f t="shared" si="68"/>
        <v>0</v>
      </c>
      <c r="BH22" s="70">
        <f t="shared" si="16"/>
        <v>4.030750051942672E-3</v>
      </c>
      <c r="BI22" s="62"/>
      <c r="BJ22" s="69">
        <v>0.125</v>
      </c>
      <c r="BK22" s="69">
        <v>0.32100000000000001</v>
      </c>
      <c r="BL22" s="69">
        <v>1.0999999999999999E-2</v>
      </c>
      <c r="BM22" s="69">
        <v>0.53400000000000003</v>
      </c>
      <c r="BN22" s="69">
        <v>3.0000000000000001E-3</v>
      </c>
      <c r="BO22" s="69">
        <v>0</v>
      </c>
      <c r="BP22" s="69">
        <v>0</v>
      </c>
      <c r="BQ22" s="69">
        <v>6.0000000000000001E-3</v>
      </c>
      <c r="BR22" s="62"/>
      <c r="BS22" s="72">
        <f t="shared" ref="BS22:BW22" si="69">AP22-BJ22</f>
        <v>5.5033243299397461E-2</v>
      </c>
      <c r="BT22" s="72">
        <f t="shared" si="69"/>
        <v>-0.16186848119675878</v>
      </c>
      <c r="BU22" s="72">
        <f t="shared" si="69"/>
        <v>6.7911281944733018E-2</v>
      </c>
      <c r="BV22" s="72">
        <f t="shared" si="69"/>
        <v>-0.12088967380012472</v>
      </c>
      <c r="BW22" s="72">
        <f t="shared" si="69"/>
        <v>0.12066507375857054</v>
      </c>
      <c r="BX22" s="72"/>
      <c r="BY22" s="72"/>
      <c r="BZ22" s="72">
        <f t="shared" si="18"/>
        <v>3.9148555994182439E-2</v>
      </c>
    </row>
    <row r="23" spans="1:78" ht="13.15">
      <c r="A23" s="78" t="s">
        <v>5</v>
      </c>
      <c r="B23" s="74" t="s">
        <v>86</v>
      </c>
      <c r="C23" s="75" t="s">
        <v>87</v>
      </c>
      <c r="D23" s="75" t="s">
        <v>68</v>
      </c>
      <c r="E23" s="76">
        <v>72767</v>
      </c>
      <c r="F23" s="59">
        <f t="shared" si="6"/>
        <v>0.64702406310552862</v>
      </c>
      <c r="G23" s="60"/>
      <c r="H23" s="77">
        <v>22983</v>
      </c>
      <c r="I23" s="77">
        <v>10944</v>
      </c>
      <c r="J23" s="77">
        <v>2825</v>
      </c>
      <c r="K23" s="77">
        <v>4826</v>
      </c>
      <c r="L23" s="77">
        <v>4239</v>
      </c>
      <c r="M23" s="77"/>
      <c r="N23" s="77"/>
      <c r="O23" s="77">
        <v>216</v>
      </c>
      <c r="P23" s="77">
        <v>499</v>
      </c>
      <c r="Q23" s="77">
        <v>149</v>
      </c>
      <c r="R23" s="77"/>
      <c r="S23" s="77"/>
      <c r="T23" s="77"/>
      <c r="U23" s="77"/>
      <c r="V23" s="77"/>
      <c r="W23" s="77"/>
      <c r="X23" s="77"/>
      <c r="Y23" s="77">
        <v>401</v>
      </c>
      <c r="Z23" s="77"/>
      <c r="AA23" s="77"/>
      <c r="AB23" s="77"/>
      <c r="AC23" s="77"/>
      <c r="AD23" s="77"/>
      <c r="AE23" s="62"/>
      <c r="AF23" s="63" t="b">
        <v>0</v>
      </c>
      <c r="AG23" s="63" t="b">
        <v>0</v>
      </c>
      <c r="AH23" s="62"/>
      <c r="AI23" s="64">
        <f t="shared" si="7"/>
        <v>47082</v>
      </c>
      <c r="AJ23" s="65" t="str">
        <f t="shared" si="8"/>
        <v>LAB</v>
      </c>
      <c r="AK23" s="66" t="str">
        <f t="shared" si="9"/>
        <v>HOLD</v>
      </c>
      <c r="AL23" s="67" t="e">
        <f t="shared" ca="1" si="10"/>
        <v>#NAME?</v>
      </c>
      <c r="AM23" s="68">
        <f t="shared" si="11"/>
        <v>12039</v>
      </c>
      <c r="AN23" s="69">
        <f t="shared" si="12"/>
        <v>0.25570281636294123</v>
      </c>
      <c r="AO23" s="62"/>
      <c r="AP23" s="70">
        <f t="shared" ref="AP23:AT23" si="70">H23/$AI23</f>
        <v>0.48814833694405507</v>
      </c>
      <c r="AQ23" s="70">
        <f t="shared" si="70"/>
        <v>0.23244552058111381</v>
      </c>
      <c r="AR23" s="70">
        <f t="shared" si="70"/>
        <v>6.0001699163162142E-2</v>
      </c>
      <c r="AS23" s="70">
        <f t="shared" si="70"/>
        <v>0.10250201775625505</v>
      </c>
      <c r="AT23" s="70">
        <f t="shared" si="70"/>
        <v>9.0034408054033385E-2</v>
      </c>
      <c r="AU23" s="70"/>
      <c r="AV23" s="70"/>
      <c r="AW23" s="71">
        <f t="shared" si="14"/>
        <v>2.686801750138057E-2</v>
      </c>
      <c r="AX23" s="70">
        <f t="shared" ref="AX23:BG23" si="71">O23/$AI23</f>
        <v>4.5877405377851409E-3</v>
      </c>
      <c r="AY23" s="70">
        <f t="shared" si="71"/>
        <v>1.0598530223864746E-2</v>
      </c>
      <c r="AZ23" s="70">
        <f t="shared" si="71"/>
        <v>3.1646913894906757E-3</v>
      </c>
      <c r="BA23" s="70">
        <f t="shared" si="71"/>
        <v>0</v>
      </c>
      <c r="BB23" s="70">
        <f t="shared" si="71"/>
        <v>0</v>
      </c>
      <c r="BC23" s="70">
        <f t="shared" si="71"/>
        <v>0</v>
      </c>
      <c r="BD23" s="70">
        <f t="shared" si="71"/>
        <v>0</v>
      </c>
      <c r="BE23" s="70">
        <f t="shared" si="71"/>
        <v>0</v>
      </c>
      <c r="BF23" s="70">
        <f t="shared" si="71"/>
        <v>0</v>
      </c>
      <c r="BG23" s="70">
        <f t="shared" si="71"/>
        <v>0</v>
      </c>
      <c r="BH23" s="70">
        <f t="shared" si="16"/>
        <v>8.5170553502400062E-3</v>
      </c>
      <c r="BI23" s="62"/>
      <c r="BJ23" s="69">
        <v>0.46400000000000002</v>
      </c>
      <c r="BK23" s="69">
        <v>0.35399999999999998</v>
      </c>
      <c r="BL23" s="69">
        <v>6.0000000000000001E-3</v>
      </c>
      <c r="BM23" s="69">
        <v>0.151</v>
      </c>
      <c r="BN23" s="69">
        <v>2.5000000000000001E-2</v>
      </c>
      <c r="BO23" s="69">
        <v>0</v>
      </c>
      <c r="BP23" s="69">
        <v>0</v>
      </c>
      <c r="BQ23" s="69">
        <v>0</v>
      </c>
      <c r="BR23" s="62"/>
      <c r="BS23" s="72">
        <f t="shared" ref="BS23:BW23" si="72">AP23-BJ23</f>
        <v>2.4148336944055049E-2</v>
      </c>
      <c r="BT23" s="72">
        <f t="shared" si="72"/>
        <v>-0.12155447941888617</v>
      </c>
      <c r="BU23" s="72">
        <f t="shared" si="72"/>
        <v>5.4001699163162144E-2</v>
      </c>
      <c r="BV23" s="72">
        <f t="shared" si="72"/>
        <v>-4.849798224374495E-2</v>
      </c>
      <c r="BW23" s="72">
        <f t="shared" si="72"/>
        <v>6.5034408054033377E-2</v>
      </c>
      <c r="BX23" s="72"/>
      <c r="BY23" s="72"/>
      <c r="BZ23" s="72">
        <f t="shared" si="18"/>
        <v>2.686801750138057E-2</v>
      </c>
    </row>
    <row r="24" spans="1:78" ht="13.15">
      <c r="A24" s="73" t="s">
        <v>6</v>
      </c>
      <c r="B24" s="74" t="s">
        <v>88</v>
      </c>
      <c r="C24" s="75" t="s">
        <v>89</v>
      </c>
      <c r="D24" s="75" t="s">
        <v>44</v>
      </c>
      <c r="E24" s="76">
        <v>72751</v>
      </c>
      <c r="F24" s="59">
        <f t="shared" si="6"/>
        <v>0.65601847397286639</v>
      </c>
      <c r="G24" s="60"/>
      <c r="H24" s="77">
        <v>7216</v>
      </c>
      <c r="I24" s="77">
        <v>18494</v>
      </c>
      <c r="J24" s="77">
        <v>6055</v>
      </c>
      <c r="K24" s="77">
        <v>13039</v>
      </c>
      <c r="L24" s="77">
        <v>1977</v>
      </c>
      <c r="M24" s="77"/>
      <c r="N24" s="77"/>
      <c r="O24" s="77">
        <v>710</v>
      </c>
      <c r="P24" s="77"/>
      <c r="Q24" s="77">
        <v>131</v>
      </c>
      <c r="R24" s="77"/>
      <c r="S24" s="77"/>
      <c r="T24" s="77"/>
      <c r="U24" s="77"/>
      <c r="V24" s="77"/>
      <c r="W24" s="77"/>
      <c r="X24" s="77"/>
      <c r="Y24" s="77">
        <v>104</v>
      </c>
      <c r="Z24" s="77"/>
      <c r="AA24" s="77"/>
      <c r="AB24" s="77"/>
      <c r="AC24" s="77"/>
      <c r="AD24" s="77"/>
      <c r="AE24" s="62"/>
      <c r="AF24" s="63" t="b">
        <v>1</v>
      </c>
      <c r="AG24" s="63" t="b">
        <v>0</v>
      </c>
      <c r="AH24" s="62"/>
      <c r="AI24" s="64">
        <f t="shared" si="7"/>
        <v>47726</v>
      </c>
      <c r="AJ24" s="65" t="str">
        <f t="shared" si="8"/>
        <v>CON</v>
      </c>
      <c r="AK24" s="66" t="str">
        <f t="shared" si="9"/>
        <v>HOLD</v>
      </c>
      <c r="AL24" s="67" t="e">
        <f t="shared" ca="1" si="10"/>
        <v>#NAME?</v>
      </c>
      <c r="AM24" s="68">
        <f t="shared" si="11"/>
        <v>5455</v>
      </c>
      <c r="AN24" s="69">
        <f t="shared" si="12"/>
        <v>0.11429828604953274</v>
      </c>
      <c r="AO24" s="62"/>
      <c r="AP24" s="70">
        <f t="shared" ref="AP24:AT24" si="73">H24/$AI24</f>
        <v>0.15119641285672381</v>
      </c>
      <c r="AQ24" s="70">
        <f t="shared" si="73"/>
        <v>0.38750366676444703</v>
      </c>
      <c r="AR24" s="70">
        <f t="shared" si="73"/>
        <v>0.12687004986799649</v>
      </c>
      <c r="AS24" s="70">
        <f t="shared" si="73"/>
        <v>0.27320538071491429</v>
      </c>
      <c r="AT24" s="70">
        <f t="shared" si="73"/>
        <v>4.1423961781837992E-2</v>
      </c>
      <c r="AU24" s="70"/>
      <c r="AV24" s="70"/>
      <c r="AW24" s="71">
        <f t="shared" si="14"/>
        <v>1.9800528014080276E-2</v>
      </c>
      <c r="AX24" s="70">
        <f t="shared" ref="AX24:BG24" si="74">O24/$AI24</f>
        <v>1.4876587185182082E-2</v>
      </c>
      <c r="AY24" s="70">
        <f t="shared" si="74"/>
        <v>0</v>
      </c>
      <c r="AZ24" s="70">
        <f t="shared" si="74"/>
        <v>2.744835100364581E-3</v>
      </c>
      <c r="BA24" s="70">
        <f t="shared" si="74"/>
        <v>0</v>
      </c>
      <c r="BB24" s="70">
        <f t="shared" si="74"/>
        <v>0</v>
      </c>
      <c r="BC24" s="70">
        <f t="shared" si="74"/>
        <v>0</v>
      </c>
      <c r="BD24" s="70">
        <f t="shared" si="74"/>
        <v>0</v>
      </c>
      <c r="BE24" s="70">
        <f t="shared" si="74"/>
        <v>0</v>
      </c>
      <c r="BF24" s="70">
        <f t="shared" si="74"/>
        <v>0</v>
      </c>
      <c r="BG24" s="70">
        <f t="shared" si="74"/>
        <v>0</v>
      </c>
      <c r="BH24" s="70">
        <f t="shared" si="16"/>
        <v>2.1791057285336125E-3</v>
      </c>
      <c r="BI24" s="62"/>
      <c r="BJ24" s="69">
        <v>9.9000000000000005E-2</v>
      </c>
      <c r="BK24" s="69">
        <v>0.55500000000000005</v>
      </c>
      <c r="BL24" s="69">
        <v>0</v>
      </c>
      <c r="BM24" s="69">
        <v>0</v>
      </c>
      <c r="BN24" s="69">
        <v>3.6999999999999998E-2</v>
      </c>
      <c r="BO24" s="69">
        <v>0</v>
      </c>
      <c r="BP24" s="69">
        <v>0</v>
      </c>
      <c r="BQ24" s="69">
        <v>0.309</v>
      </c>
      <c r="BR24" s="62"/>
      <c r="BS24" s="72">
        <f t="shared" ref="BS24:BW24" si="75">AP24-BJ24</f>
        <v>5.2196412856723801E-2</v>
      </c>
      <c r="BT24" s="72">
        <f t="shared" si="75"/>
        <v>-0.16749633323555302</v>
      </c>
      <c r="BU24" s="72">
        <f t="shared" si="75"/>
        <v>0.12687004986799649</v>
      </c>
      <c r="BV24" s="72">
        <f t="shared" si="75"/>
        <v>0.27320538071491429</v>
      </c>
      <c r="BW24" s="72">
        <f t="shared" si="75"/>
        <v>4.4239617818379942E-3</v>
      </c>
      <c r="BX24" s="72"/>
      <c r="BY24" s="72"/>
      <c r="BZ24" s="72">
        <f t="shared" si="18"/>
        <v>-0.28919947198591972</v>
      </c>
    </row>
    <row r="25" spans="1:78" ht="13.15">
      <c r="A25" s="73" t="s">
        <v>5</v>
      </c>
      <c r="B25" s="74" t="s">
        <v>90</v>
      </c>
      <c r="C25" s="75" t="s">
        <v>91</v>
      </c>
      <c r="D25" s="75" t="s">
        <v>68</v>
      </c>
      <c r="E25" s="76">
        <v>77194</v>
      </c>
      <c r="F25" s="59">
        <f t="shared" si="6"/>
        <v>0.67650335518304527</v>
      </c>
      <c r="G25" s="60"/>
      <c r="H25" s="77">
        <v>25753</v>
      </c>
      <c r="I25" s="77">
        <v>12848</v>
      </c>
      <c r="J25" s="77">
        <v>5355</v>
      </c>
      <c r="K25" s="77">
        <v>4436</v>
      </c>
      <c r="L25" s="77">
        <v>3830</v>
      </c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62"/>
      <c r="AF25" s="63" t="b">
        <v>1</v>
      </c>
      <c r="AG25" s="63" t="b">
        <v>0</v>
      </c>
      <c r="AH25" s="62"/>
      <c r="AI25" s="64">
        <f t="shared" si="7"/>
        <v>52222</v>
      </c>
      <c r="AJ25" s="65" t="str">
        <f t="shared" si="8"/>
        <v>LAB</v>
      </c>
      <c r="AK25" s="66" t="str">
        <f t="shared" si="9"/>
        <v>HOLD</v>
      </c>
      <c r="AL25" s="67" t="e">
        <f t="shared" ca="1" si="10"/>
        <v>#NAME?</v>
      </c>
      <c r="AM25" s="68">
        <f t="shared" si="11"/>
        <v>12905</v>
      </c>
      <c r="AN25" s="69">
        <f t="shared" si="12"/>
        <v>0.24711807284286313</v>
      </c>
      <c r="AO25" s="62"/>
      <c r="AP25" s="70">
        <f t="shared" ref="AP25:AT25" si="76">H25/$AI25</f>
        <v>0.49314465167936883</v>
      </c>
      <c r="AQ25" s="70">
        <f t="shared" si="76"/>
        <v>0.24602657883650569</v>
      </c>
      <c r="AR25" s="70">
        <f t="shared" si="76"/>
        <v>0.10254298954463636</v>
      </c>
      <c r="AS25" s="70">
        <f t="shared" si="76"/>
        <v>8.494504231932902E-2</v>
      </c>
      <c r="AT25" s="70">
        <f t="shared" si="76"/>
        <v>7.3340737620160079E-2</v>
      </c>
      <c r="AU25" s="70"/>
      <c r="AV25" s="70"/>
      <c r="AW25" s="71">
        <f t="shared" si="14"/>
        <v>0</v>
      </c>
      <c r="AX25" s="70">
        <f t="shared" ref="AX25:BG25" si="77">O25/$AI25</f>
        <v>0</v>
      </c>
      <c r="AY25" s="70">
        <f t="shared" si="77"/>
        <v>0</v>
      </c>
      <c r="AZ25" s="70">
        <f t="shared" si="77"/>
        <v>0</v>
      </c>
      <c r="BA25" s="70">
        <f t="shared" si="77"/>
        <v>0</v>
      </c>
      <c r="BB25" s="70">
        <f t="shared" si="77"/>
        <v>0</v>
      </c>
      <c r="BC25" s="70">
        <f t="shared" si="77"/>
        <v>0</v>
      </c>
      <c r="BD25" s="70">
        <f t="shared" si="77"/>
        <v>0</v>
      </c>
      <c r="BE25" s="70">
        <f t="shared" si="77"/>
        <v>0</v>
      </c>
      <c r="BF25" s="70">
        <f t="shared" si="77"/>
        <v>0</v>
      </c>
      <c r="BG25" s="70">
        <f t="shared" si="77"/>
        <v>0</v>
      </c>
      <c r="BH25" s="70">
        <f t="shared" si="16"/>
        <v>0</v>
      </c>
      <c r="BI25" s="62"/>
      <c r="BJ25" s="69">
        <v>0.40100000000000002</v>
      </c>
      <c r="BK25" s="69">
        <v>0.39100000000000001</v>
      </c>
      <c r="BL25" s="69">
        <v>8.0000000000000002E-3</v>
      </c>
      <c r="BM25" s="69">
        <v>0.161</v>
      </c>
      <c r="BN25" s="69">
        <v>0.04</v>
      </c>
      <c r="BO25" s="69">
        <v>0</v>
      </c>
      <c r="BP25" s="69">
        <v>0</v>
      </c>
      <c r="BQ25" s="69">
        <v>0</v>
      </c>
      <c r="BR25" s="62"/>
      <c r="BS25" s="72">
        <f t="shared" ref="BS25:BW25" si="78">AP25-BJ25</f>
        <v>9.2144651679368805E-2</v>
      </c>
      <c r="BT25" s="72">
        <f t="shared" si="78"/>
        <v>-0.14497342116349432</v>
      </c>
      <c r="BU25" s="72">
        <f t="shared" si="78"/>
        <v>9.4542989544636358E-2</v>
      </c>
      <c r="BV25" s="72">
        <f t="shared" si="78"/>
        <v>-7.6054957680670984E-2</v>
      </c>
      <c r="BW25" s="72">
        <f t="shared" si="78"/>
        <v>3.3340737620160078E-2</v>
      </c>
      <c r="BX25" s="72"/>
      <c r="BY25" s="72"/>
      <c r="BZ25" s="72">
        <f t="shared" si="18"/>
        <v>0</v>
      </c>
    </row>
    <row r="26" spans="1:78" ht="13.15">
      <c r="A26" s="78" t="s">
        <v>5</v>
      </c>
      <c r="B26" s="74" t="s">
        <v>92</v>
      </c>
      <c r="C26" s="75" t="s">
        <v>93</v>
      </c>
      <c r="D26" s="75" t="s">
        <v>78</v>
      </c>
      <c r="E26" s="76">
        <v>72478</v>
      </c>
      <c r="F26" s="59">
        <f t="shared" si="6"/>
        <v>0.56098402273793424</v>
      </c>
      <c r="G26" s="60"/>
      <c r="H26" s="77">
        <v>18342</v>
      </c>
      <c r="I26" s="77">
        <v>8912</v>
      </c>
      <c r="J26" s="77">
        <v>4548</v>
      </c>
      <c r="K26" s="77">
        <v>4025</v>
      </c>
      <c r="L26" s="77">
        <v>2394</v>
      </c>
      <c r="M26" s="77"/>
      <c r="N26" s="77"/>
      <c r="O26" s="77">
        <v>1442</v>
      </c>
      <c r="P26" s="77">
        <v>996</v>
      </c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62"/>
      <c r="AF26" s="63" t="b">
        <v>1</v>
      </c>
      <c r="AG26" s="63" t="b">
        <v>0</v>
      </c>
      <c r="AH26" s="62"/>
      <c r="AI26" s="64">
        <f t="shared" si="7"/>
        <v>40659</v>
      </c>
      <c r="AJ26" s="65" t="str">
        <f t="shared" si="8"/>
        <v>LAB</v>
      </c>
      <c r="AK26" s="66" t="str">
        <f t="shared" si="9"/>
        <v>HOLD</v>
      </c>
      <c r="AL26" s="67" t="e">
        <f t="shared" ca="1" si="10"/>
        <v>#NAME?</v>
      </c>
      <c r="AM26" s="68">
        <f t="shared" si="11"/>
        <v>9430</v>
      </c>
      <c r="AN26" s="69">
        <f t="shared" si="12"/>
        <v>0.23192897021569642</v>
      </c>
      <c r="AO26" s="62"/>
      <c r="AP26" s="70">
        <f t="shared" ref="AP26:AT26" si="79">H26/$AI26</f>
        <v>0.45111783368995795</v>
      </c>
      <c r="AQ26" s="70">
        <f t="shared" si="79"/>
        <v>0.21918886347426153</v>
      </c>
      <c r="AR26" s="70">
        <f t="shared" si="79"/>
        <v>0.11185715339777171</v>
      </c>
      <c r="AS26" s="70">
        <f t="shared" si="79"/>
        <v>9.8994072653041151E-2</v>
      </c>
      <c r="AT26" s="70">
        <f t="shared" si="79"/>
        <v>5.8879952777982733E-2</v>
      </c>
      <c r="AU26" s="70"/>
      <c r="AV26" s="70"/>
      <c r="AW26" s="71">
        <f t="shared" si="14"/>
        <v>5.9962124006984863E-2</v>
      </c>
      <c r="AX26" s="70">
        <f t="shared" ref="AX26:BG26" si="80">O26/$AI26</f>
        <v>3.5465702550480829E-2</v>
      </c>
      <c r="AY26" s="70">
        <f t="shared" si="80"/>
        <v>2.4496421456504096E-2</v>
      </c>
      <c r="AZ26" s="70">
        <f t="shared" si="80"/>
        <v>0</v>
      </c>
      <c r="BA26" s="70">
        <f t="shared" si="80"/>
        <v>0</v>
      </c>
      <c r="BB26" s="70">
        <f t="shared" si="80"/>
        <v>0</v>
      </c>
      <c r="BC26" s="70">
        <f t="shared" si="80"/>
        <v>0</v>
      </c>
      <c r="BD26" s="70">
        <f t="shared" si="80"/>
        <v>0</v>
      </c>
      <c r="BE26" s="70">
        <f t="shared" si="80"/>
        <v>0</v>
      </c>
      <c r="BF26" s="70">
        <f t="shared" si="80"/>
        <v>0</v>
      </c>
      <c r="BG26" s="70">
        <f t="shared" si="80"/>
        <v>0</v>
      </c>
      <c r="BH26" s="70">
        <f t="shared" si="16"/>
        <v>-6.2450045135165055E-17</v>
      </c>
      <c r="BI26" s="62"/>
      <c r="BJ26" s="69">
        <v>0.443</v>
      </c>
      <c r="BK26" s="69">
        <v>0.42</v>
      </c>
      <c r="BL26" s="69">
        <v>1.7000000000000001E-2</v>
      </c>
      <c r="BM26" s="69">
        <v>0.1</v>
      </c>
      <c r="BN26" s="69">
        <v>0.02</v>
      </c>
      <c r="BO26" s="69">
        <v>0</v>
      </c>
      <c r="BP26" s="69">
        <v>0</v>
      </c>
      <c r="BQ26" s="69">
        <v>0</v>
      </c>
      <c r="BR26" s="62"/>
      <c r="BS26" s="72">
        <f t="shared" ref="BS26:BW26" si="81">AP26-BJ26</f>
        <v>8.1178336899579429E-3</v>
      </c>
      <c r="BT26" s="72">
        <f t="shared" si="81"/>
        <v>-0.20081113652573845</v>
      </c>
      <c r="BU26" s="72">
        <f t="shared" si="81"/>
        <v>9.4857153397771704E-2</v>
      </c>
      <c r="BV26" s="72">
        <f t="shared" si="81"/>
        <v>-1.0059273469588542E-3</v>
      </c>
      <c r="BW26" s="72">
        <f t="shared" si="81"/>
        <v>3.8879952777982729E-2</v>
      </c>
      <c r="BX26" s="72"/>
      <c r="BY26" s="72"/>
      <c r="BZ26" s="72">
        <f t="shared" si="18"/>
        <v>5.9962124006984863E-2</v>
      </c>
    </row>
    <row r="27" spans="1:78" ht="13.15">
      <c r="A27" s="78" t="s">
        <v>5</v>
      </c>
      <c r="B27" s="74" t="s">
        <v>94</v>
      </c>
      <c r="C27" s="75" t="s">
        <v>95</v>
      </c>
      <c r="D27" s="75" t="s">
        <v>68</v>
      </c>
      <c r="E27" s="76">
        <v>69473</v>
      </c>
      <c r="F27" s="59">
        <f t="shared" si="6"/>
        <v>0.54126063362745236</v>
      </c>
      <c r="G27" s="60"/>
      <c r="H27" s="77">
        <v>16857</v>
      </c>
      <c r="I27" s="77">
        <v>2879</v>
      </c>
      <c r="J27" s="77">
        <v>3397</v>
      </c>
      <c r="K27" s="77">
        <v>9070</v>
      </c>
      <c r="L27" s="77">
        <v>4477</v>
      </c>
      <c r="M27" s="77"/>
      <c r="N27" s="77"/>
      <c r="O27" s="77">
        <v>403</v>
      </c>
      <c r="P27" s="77"/>
      <c r="Q27" s="77"/>
      <c r="R27" s="77"/>
      <c r="S27" s="77"/>
      <c r="T27" s="77"/>
      <c r="U27" s="77"/>
      <c r="V27" s="77"/>
      <c r="W27" s="77"/>
      <c r="X27" s="77"/>
      <c r="Y27" s="77">
        <v>273</v>
      </c>
      <c r="Z27" s="77">
        <v>247</v>
      </c>
      <c r="AA27" s="77"/>
      <c r="AB27" s="77"/>
      <c r="AC27" s="77"/>
      <c r="AD27" s="77"/>
      <c r="AE27" s="62"/>
      <c r="AF27" s="63" t="b">
        <v>1</v>
      </c>
      <c r="AG27" s="63" t="b">
        <v>0</v>
      </c>
      <c r="AH27" s="62"/>
      <c r="AI27" s="64">
        <f t="shared" si="7"/>
        <v>37603</v>
      </c>
      <c r="AJ27" s="65" t="str">
        <f t="shared" si="8"/>
        <v>LAB</v>
      </c>
      <c r="AK27" s="66" t="str">
        <f t="shared" si="9"/>
        <v>HOLD</v>
      </c>
      <c r="AL27" s="67" t="e">
        <f t="shared" ca="1" si="10"/>
        <v>#NAME?</v>
      </c>
      <c r="AM27" s="68">
        <f t="shared" si="11"/>
        <v>7787</v>
      </c>
      <c r="AN27" s="69">
        <f t="shared" si="12"/>
        <v>0.20708454112703772</v>
      </c>
      <c r="AO27" s="62"/>
      <c r="AP27" s="70">
        <f t="shared" ref="AP27:AT27" si="82">H27/$AI27</f>
        <v>0.44828870036965135</v>
      </c>
      <c r="AQ27" s="70">
        <f t="shared" si="82"/>
        <v>7.6563040182964129E-2</v>
      </c>
      <c r="AR27" s="70">
        <f t="shared" si="82"/>
        <v>9.0338536818870829E-2</v>
      </c>
      <c r="AS27" s="70">
        <f t="shared" si="82"/>
        <v>0.24120415924261362</v>
      </c>
      <c r="AT27" s="70">
        <f t="shared" si="82"/>
        <v>0.11905964949605084</v>
      </c>
      <c r="AU27" s="70"/>
      <c r="AV27" s="70"/>
      <c r="AW27" s="71">
        <f t="shared" si="14"/>
        <v>2.4545913889849169E-2</v>
      </c>
      <c r="AX27" s="70">
        <f t="shared" ref="AX27:BG27" si="83">O27/$AI27</f>
        <v>1.0717230008244023E-2</v>
      </c>
      <c r="AY27" s="70">
        <f t="shared" si="83"/>
        <v>0</v>
      </c>
      <c r="AZ27" s="70">
        <f t="shared" si="83"/>
        <v>0</v>
      </c>
      <c r="BA27" s="70">
        <f t="shared" si="83"/>
        <v>0</v>
      </c>
      <c r="BB27" s="70">
        <f t="shared" si="83"/>
        <v>0</v>
      </c>
      <c r="BC27" s="70">
        <f t="shared" si="83"/>
        <v>0</v>
      </c>
      <c r="BD27" s="70">
        <f t="shared" si="83"/>
        <v>0</v>
      </c>
      <c r="BE27" s="70">
        <f t="shared" si="83"/>
        <v>0</v>
      </c>
      <c r="BF27" s="70">
        <f t="shared" si="83"/>
        <v>0</v>
      </c>
      <c r="BG27" s="70">
        <f t="shared" si="83"/>
        <v>0</v>
      </c>
      <c r="BH27" s="70">
        <f t="shared" si="16"/>
        <v>1.3828683881605146E-2</v>
      </c>
      <c r="BI27" s="62"/>
      <c r="BJ27" s="69">
        <v>0.496</v>
      </c>
      <c r="BK27" s="69">
        <v>0.16800000000000001</v>
      </c>
      <c r="BL27" s="69">
        <v>2.4E-2</v>
      </c>
      <c r="BM27" s="69">
        <v>0.311</v>
      </c>
      <c r="BN27" s="69">
        <v>1E-3</v>
      </c>
      <c r="BO27" s="69">
        <v>0</v>
      </c>
      <c r="BP27" s="69">
        <v>0</v>
      </c>
      <c r="BQ27" s="69">
        <v>0</v>
      </c>
      <c r="BR27" s="62"/>
      <c r="BS27" s="72">
        <f t="shared" ref="BS27:BW27" si="84">AP27-BJ27</f>
        <v>-4.7711299630348647E-2</v>
      </c>
      <c r="BT27" s="72">
        <f t="shared" si="84"/>
        <v>-9.1436959817035882E-2</v>
      </c>
      <c r="BU27" s="72">
        <f t="shared" si="84"/>
        <v>6.6338536818870836E-2</v>
      </c>
      <c r="BV27" s="72">
        <f t="shared" si="84"/>
        <v>-6.9795840757386374E-2</v>
      </c>
      <c r="BW27" s="72">
        <f t="shared" si="84"/>
        <v>0.11805964949605084</v>
      </c>
      <c r="BX27" s="72"/>
      <c r="BY27" s="72"/>
      <c r="BZ27" s="72">
        <f t="shared" si="18"/>
        <v>2.4545913889849169E-2</v>
      </c>
    </row>
    <row r="28" spans="1:78" ht="13.15">
      <c r="A28" s="78" t="s">
        <v>5</v>
      </c>
      <c r="B28" s="74" t="s">
        <v>96</v>
      </c>
      <c r="C28" s="75" t="s">
        <v>97</v>
      </c>
      <c r="D28" s="75" t="s">
        <v>68</v>
      </c>
      <c r="E28" s="76">
        <v>81922</v>
      </c>
      <c r="F28" s="59">
        <f t="shared" si="6"/>
        <v>0.56940748516881912</v>
      </c>
      <c r="G28" s="60"/>
      <c r="H28" s="77">
        <v>15896</v>
      </c>
      <c r="I28" s="77">
        <v>1920</v>
      </c>
      <c r="J28" s="77">
        <v>1964</v>
      </c>
      <c r="K28" s="77">
        <v>4777</v>
      </c>
      <c r="L28" s="77">
        <v>6391</v>
      </c>
      <c r="M28" s="77"/>
      <c r="N28" s="77"/>
      <c r="O28" s="77">
        <v>14207</v>
      </c>
      <c r="P28" s="77"/>
      <c r="Q28" s="77">
        <v>233</v>
      </c>
      <c r="R28" s="77"/>
      <c r="S28" s="77"/>
      <c r="T28" s="77"/>
      <c r="U28" s="77"/>
      <c r="V28" s="77"/>
      <c r="W28" s="77"/>
      <c r="X28" s="77"/>
      <c r="Y28" s="77">
        <v>348</v>
      </c>
      <c r="Z28" s="77">
        <v>325</v>
      </c>
      <c r="AA28" s="77">
        <v>315</v>
      </c>
      <c r="AB28" s="77">
        <v>271</v>
      </c>
      <c r="AC28" s="77"/>
      <c r="AD28" s="77"/>
      <c r="AE28" s="80" t="s">
        <v>98</v>
      </c>
      <c r="AF28" s="63" t="b">
        <v>1</v>
      </c>
      <c r="AG28" s="63" t="b">
        <v>0</v>
      </c>
      <c r="AH28" s="62"/>
      <c r="AI28" s="64">
        <f t="shared" si="7"/>
        <v>46647</v>
      </c>
      <c r="AJ28" s="65" t="str">
        <f t="shared" si="8"/>
        <v>LAB</v>
      </c>
      <c r="AK28" s="66" t="str">
        <f t="shared" si="9"/>
        <v>HOLD</v>
      </c>
      <c r="AL28" s="67" t="e">
        <f t="shared" ca="1" si="10"/>
        <v>#NAME?</v>
      </c>
      <c r="AM28" s="68">
        <f t="shared" si="11"/>
        <v>1689</v>
      </c>
      <c r="AN28" s="69">
        <f t="shared" si="12"/>
        <v>3.6208116277574143E-2</v>
      </c>
      <c r="AO28" s="62"/>
      <c r="AP28" s="70">
        <f t="shared" ref="AP28:AT28" si="85">H28/$AI28</f>
        <v>0.3407721825626514</v>
      </c>
      <c r="AQ28" s="70">
        <f t="shared" si="85"/>
        <v>4.1160203228503438E-2</v>
      </c>
      <c r="AR28" s="70">
        <f t="shared" si="85"/>
        <v>4.2103457885823314E-2</v>
      </c>
      <c r="AS28" s="70">
        <f t="shared" si="85"/>
        <v>0.10240744313675049</v>
      </c>
      <c r="AT28" s="70">
        <f t="shared" si="85"/>
        <v>0.1370077389757112</v>
      </c>
      <c r="AU28" s="70"/>
      <c r="AV28" s="70"/>
      <c r="AW28" s="71">
        <f t="shared" si="14"/>
        <v>0.33654897421056018</v>
      </c>
      <c r="AX28" s="70">
        <f t="shared" ref="AX28:BG28" si="86">O28/$AI28</f>
        <v>0.30456406628507726</v>
      </c>
      <c r="AY28" s="70">
        <f t="shared" si="86"/>
        <v>0</v>
      </c>
      <c r="AZ28" s="70">
        <f t="shared" si="86"/>
        <v>4.994962162625678E-3</v>
      </c>
      <c r="BA28" s="70">
        <f t="shared" si="86"/>
        <v>0</v>
      </c>
      <c r="BB28" s="70">
        <f t="shared" si="86"/>
        <v>0</v>
      </c>
      <c r="BC28" s="70">
        <f t="shared" si="86"/>
        <v>0</v>
      </c>
      <c r="BD28" s="70">
        <f t="shared" si="86"/>
        <v>0</v>
      </c>
      <c r="BE28" s="70">
        <f t="shared" si="86"/>
        <v>0</v>
      </c>
      <c r="BF28" s="70">
        <f t="shared" si="86"/>
        <v>0</v>
      </c>
      <c r="BG28" s="70">
        <f t="shared" si="86"/>
        <v>0</v>
      </c>
      <c r="BH28" s="70">
        <f t="shared" si="16"/>
        <v>2.6989945762857237E-2</v>
      </c>
      <c r="BI28" s="62"/>
      <c r="BJ28" s="69">
        <v>0.73499999999999999</v>
      </c>
      <c r="BK28" s="69">
        <v>0.10100000000000001</v>
      </c>
      <c r="BL28" s="69">
        <v>0.02</v>
      </c>
      <c r="BM28" s="69">
        <v>9.2999999999999999E-2</v>
      </c>
      <c r="BN28" s="69">
        <v>4.2000000000000003E-2</v>
      </c>
      <c r="BO28" s="69">
        <v>0</v>
      </c>
      <c r="BP28" s="69">
        <v>0</v>
      </c>
      <c r="BQ28" s="69">
        <v>8.9999999999999993E-3</v>
      </c>
      <c r="BR28" s="62"/>
      <c r="BS28" s="72">
        <f t="shared" ref="BS28:BW28" si="87">AP28-BJ28</f>
        <v>-0.39422781743734858</v>
      </c>
      <c r="BT28" s="72">
        <f t="shared" si="87"/>
        <v>-5.9839796771496569E-2</v>
      </c>
      <c r="BU28" s="72">
        <f t="shared" si="87"/>
        <v>2.2103457885823314E-2</v>
      </c>
      <c r="BV28" s="72">
        <f t="shared" si="87"/>
        <v>9.4074431367504874E-3</v>
      </c>
      <c r="BW28" s="72">
        <f t="shared" si="87"/>
        <v>9.5007738975711187E-2</v>
      </c>
      <c r="BX28" s="72"/>
      <c r="BY28" s="72"/>
      <c r="BZ28" s="72">
        <f t="shared" si="18"/>
        <v>0.32754897421056017</v>
      </c>
    </row>
    <row r="29" spans="1:78" ht="13.15">
      <c r="A29" s="73" t="s">
        <v>6</v>
      </c>
      <c r="B29" s="74" t="s">
        <v>99</v>
      </c>
      <c r="C29" s="75" t="s">
        <v>100</v>
      </c>
      <c r="D29" s="75" t="s">
        <v>71</v>
      </c>
      <c r="E29" s="76">
        <v>70559</v>
      </c>
      <c r="F29" s="59">
        <f t="shared" si="6"/>
        <v>0.63630436939299029</v>
      </c>
      <c r="G29" s="60"/>
      <c r="H29" s="77">
        <v>15377</v>
      </c>
      <c r="I29" s="77">
        <v>15501</v>
      </c>
      <c r="J29" s="77">
        <v>8198</v>
      </c>
      <c r="K29" s="77">
        <v>3386</v>
      </c>
      <c r="L29" s="77">
        <v>1647</v>
      </c>
      <c r="M29" s="77"/>
      <c r="N29" s="77"/>
      <c r="O29" s="77"/>
      <c r="P29" s="77"/>
      <c r="Q29" s="77">
        <v>89</v>
      </c>
      <c r="R29" s="77">
        <v>625</v>
      </c>
      <c r="S29" s="77"/>
      <c r="T29" s="77"/>
      <c r="U29" s="77"/>
      <c r="V29" s="77"/>
      <c r="W29" s="77"/>
      <c r="X29" s="77"/>
      <c r="Y29" s="77">
        <v>74</v>
      </c>
      <c r="Z29" s="77"/>
      <c r="AA29" s="77"/>
      <c r="AB29" s="77"/>
      <c r="AC29" s="77"/>
      <c r="AD29" s="77"/>
      <c r="AE29" s="62"/>
      <c r="AF29" s="63" t="b">
        <v>1</v>
      </c>
      <c r="AG29" s="63" t="b">
        <v>0</v>
      </c>
      <c r="AH29" s="62"/>
      <c r="AI29" s="64">
        <f t="shared" si="7"/>
        <v>44897</v>
      </c>
      <c r="AJ29" s="65" t="str">
        <f t="shared" si="8"/>
        <v>CON</v>
      </c>
      <c r="AK29" s="66" t="str">
        <f t="shared" si="9"/>
        <v>HOLD</v>
      </c>
      <c r="AL29" s="67" t="e">
        <f t="shared" ca="1" si="10"/>
        <v>#NAME?</v>
      </c>
      <c r="AM29" s="68">
        <f t="shared" si="11"/>
        <v>124</v>
      </c>
      <c r="AN29" s="69">
        <f t="shared" si="12"/>
        <v>2.7618771855580371E-3</v>
      </c>
      <c r="AO29" s="62"/>
      <c r="AP29" s="70">
        <f t="shared" ref="AP29:AT29" si="88">H29/$AI29</f>
        <v>0.3424950442123082</v>
      </c>
      <c r="AQ29" s="70">
        <f t="shared" si="88"/>
        <v>0.34525692139786623</v>
      </c>
      <c r="AR29" s="70">
        <f t="shared" si="88"/>
        <v>0.18259571909036237</v>
      </c>
      <c r="AS29" s="70">
        <f t="shared" si="88"/>
        <v>7.5417065728222377E-2</v>
      </c>
      <c r="AT29" s="70">
        <f t="shared" si="88"/>
        <v>3.6683965521081587E-2</v>
      </c>
      <c r="AU29" s="70"/>
      <c r="AV29" s="70"/>
      <c r="AW29" s="71">
        <f t="shared" si="14"/>
        <v>1.7551284050159155E-2</v>
      </c>
      <c r="AX29" s="70">
        <f t="shared" ref="AX29:BG29" si="89">O29/$AI29</f>
        <v>0</v>
      </c>
      <c r="AY29" s="70">
        <f t="shared" si="89"/>
        <v>0</v>
      </c>
      <c r="AZ29" s="70">
        <f t="shared" si="89"/>
        <v>1.9823150767311849E-3</v>
      </c>
      <c r="BA29" s="70">
        <f t="shared" si="89"/>
        <v>1.3920751943336971E-2</v>
      </c>
      <c r="BB29" s="70">
        <f t="shared" si="89"/>
        <v>0</v>
      </c>
      <c r="BC29" s="70">
        <f t="shared" si="89"/>
        <v>0</v>
      </c>
      <c r="BD29" s="70">
        <f t="shared" si="89"/>
        <v>0</v>
      </c>
      <c r="BE29" s="70">
        <f t="shared" si="89"/>
        <v>0</v>
      </c>
      <c r="BF29" s="70">
        <f t="shared" si="89"/>
        <v>0</v>
      </c>
      <c r="BG29" s="70">
        <f t="shared" si="89"/>
        <v>0</v>
      </c>
      <c r="BH29" s="70">
        <f t="shared" si="16"/>
        <v>1.6482170300909996E-3</v>
      </c>
      <c r="BI29" s="62"/>
      <c r="BJ29" s="69">
        <v>0.247</v>
      </c>
      <c r="BK29" s="69">
        <v>0.61</v>
      </c>
      <c r="BL29" s="69">
        <v>0</v>
      </c>
      <c r="BM29" s="69">
        <v>9.2999999999999999E-2</v>
      </c>
      <c r="BN29" s="69">
        <v>2.5000000000000001E-2</v>
      </c>
      <c r="BO29" s="69">
        <v>0</v>
      </c>
      <c r="BP29" s="69">
        <v>0</v>
      </c>
      <c r="BQ29" s="69">
        <v>2.5999999999999999E-2</v>
      </c>
      <c r="BR29" s="62"/>
      <c r="BS29" s="72">
        <f t="shared" ref="BS29:BW29" si="90">AP29-BJ29</f>
        <v>9.54950442123082E-2</v>
      </c>
      <c r="BT29" s="72">
        <f t="shared" si="90"/>
        <v>-0.26474307860213375</v>
      </c>
      <c r="BU29" s="72">
        <f t="shared" si="90"/>
        <v>0.18259571909036237</v>
      </c>
      <c r="BV29" s="72">
        <f t="shared" si="90"/>
        <v>-1.7582934271777623E-2</v>
      </c>
      <c r="BW29" s="72">
        <f t="shared" si="90"/>
        <v>1.1683965521081585E-2</v>
      </c>
      <c r="BX29" s="72"/>
      <c r="BY29" s="72"/>
      <c r="BZ29" s="72">
        <f t="shared" si="18"/>
        <v>-8.4487159498408439E-3</v>
      </c>
    </row>
    <row r="30" spans="1:78" ht="13.15">
      <c r="A30" s="73" t="s">
        <v>6</v>
      </c>
      <c r="B30" s="74" t="s">
        <v>101</v>
      </c>
      <c r="C30" s="75" t="s">
        <v>102</v>
      </c>
      <c r="D30" s="75" t="s">
        <v>44</v>
      </c>
      <c r="E30" s="76">
        <v>72209</v>
      </c>
      <c r="F30" s="59">
        <f t="shared" si="6"/>
        <v>0.66127491032973729</v>
      </c>
      <c r="G30" s="60"/>
      <c r="H30" s="77">
        <v>13529</v>
      </c>
      <c r="I30" s="77">
        <v>16186</v>
      </c>
      <c r="J30" s="77">
        <v>7929</v>
      </c>
      <c r="K30" s="77">
        <v>3473</v>
      </c>
      <c r="L30" s="77">
        <v>2972</v>
      </c>
      <c r="M30" s="77"/>
      <c r="N30" s="77"/>
      <c r="O30" s="77">
        <v>2206</v>
      </c>
      <c r="P30" s="77"/>
      <c r="Q30" s="77"/>
      <c r="R30" s="77"/>
      <c r="S30" s="77"/>
      <c r="T30" s="77"/>
      <c r="U30" s="77"/>
      <c r="V30" s="77"/>
      <c r="W30" s="77"/>
      <c r="X30" s="77"/>
      <c r="Y30" s="77">
        <v>769</v>
      </c>
      <c r="Z30" s="77">
        <v>332</v>
      </c>
      <c r="AA30" s="77">
        <v>210</v>
      </c>
      <c r="AB30" s="77">
        <v>144</v>
      </c>
      <c r="AC30" s="77"/>
      <c r="AD30" s="77"/>
      <c r="AE30" s="62"/>
      <c r="AF30" s="63" t="b">
        <v>1</v>
      </c>
      <c r="AG30" s="63" t="b">
        <v>0</v>
      </c>
      <c r="AH30" s="62"/>
      <c r="AI30" s="64">
        <f t="shared" si="7"/>
        <v>47750</v>
      </c>
      <c r="AJ30" s="65" t="str">
        <f t="shared" si="8"/>
        <v>CON</v>
      </c>
      <c r="AK30" s="66" t="str">
        <f t="shared" si="9"/>
        <v>HOLD</v>
      </c>
      <c r="AL30" s="67" t="e">
        <f t="shared" ca="1" si="10"/>
        <v>#NAME?</v>
      </c>
      <c r="AM30" s="68">
        <f t="shared" si="11"/>
        <v>2657</v>
      </c>
      <c r="AN30" s="69">
        <f t="shared" si="12"/>
        <v>5.5643979057591608E-2</v>
      </c>
      <c r="AO30" s="62"/>
      <c r="AP30" s="70">
        <f t="shared" ref="AP30:AT30" si="91">H30/$AI30</f>
        <v>0.28332984293193719</v>
      </c>
      <c r="AQ30" s="70">
        <f t="shared" si="91"/>
        <v>0.3389738219895288</v>
      </c>
      <c r="AR30" s="70">
        <f t="shared" si="91"/>
        <v>0.1660523560209424</v>
      </c>
      <c r="AS30" s="70">
        <f t="shared" si="91"/>
        <v>7.273298429319372E-2</v>
      </c>
      <c r="AT30" s="70">
        <f t="shared" si="91"/>
        <v>6.224083769633508E-2</v>
      </c>
      <c r="AU30" s="70"/>
      <c r="AV30" s="70"/>
      <c r="AW30" s="71">
        <f t="shared" si="14"/>
        <v>7.6670157068062905E-2</v>
      </c>
      <c r="AX30" s="70">
        <f t="shared" ref="AX30:BG30" si="92">O30/$AI30</f>
        <v>4.6198952879581152E-2</v>
      </c>
      <c r="AY30" s="70">
        <f t="shared" si="92"/>
        <v>0</v>
      </c>
      <c r="AZ30" s="70">
        <f t="shared" si="92"/>
        <v>0</v>
      </c>
      <c r="BA30" s="70">
        <f t="shared" si="92"/>
        <v>0</v>
      </c>
      <c r="BB30" s="70">
        <f t="shared" si="92"/>
        <v>0</v>
      </c>
      <c r="BC30" s="70">
        <f t="shared" si="92"/>
        <v>0</v>
      </c>
      <c r="BD30" s="70">
        <f t="shared" si="92"/>
        <v>0</v>
      </c>
      <c r="BE30" s="70">
        <f t="shared" si="92"/>
        <v>0</v>
      </c>
      <c r="BF30" s="70">
        <f t="shared" si="92"/>
        <v>0</v>
      </c>
      <c r="BG30" s="70">
        <f t="shared" si="92"/>
        <v>0</v>
      </c>
      <c r="BH30" s="70">
        <f t="shared" si="16"/>
        <v>3.0471204188481753E-2</v>
      </c>
      <c r="BI30" s="62"/>
      <c r="BJ30" s="69">
        <v>0.20799999999999999</v>
      </c>
      <c r="BK30" s="69">
        <v>0.61799999999999999</v>
      </c>
      <c r="BL30" s="69">
        <v>0</v>
      </c>
      <c r="BM30" s="69">
        <v>0.13400000000000001</v>
      </c>
      <c r="BN30" s="69">
        <v>4.1000000000000002E-2</v>
      </c>
      <c r="BO30" s="69">
        <v>0</v>
      </c>
      <c r="BP30" s="69">
        <v>0</v>
      </c>
      <c r="BQ30" s="69">
        <v>0</v>
      </c>
      <c r="BR30" s="62"/>
      <c r="BS30" s="72">
        <f t="shared" ref="BS30:BW30" si="93">AP30-BJ30</f>
        <v>7.5329842931937202E-2</v>
      </c>
      <c r="BT30" s="72">
        <f t="shared" si="93"/>
        <v>-0.27902617801047119</v>
      </c>
      <c r="BU30" s="72">
        <f t="shared" si="93"/>
        <v>0.1660523560209424</v>
      </c>
      <c r="BV30" s="72">
        <f t="shared" si="93"/>
        <v>-6.1267015706806288E-2</v>
      </c>
      <c r="BW30" s="72">
        <f t="shared" si="93"/>
        <v>2.1240837696335078E-2</v>
      </c>
      <c r="BX30" s="72"/>
      <c r="BY30" s="72"/>
      <c r="BZ30" s="72">
        <f t="shared" si="18"/>
        <v>7.6670157068062905E-2</v>
      </c>
    </row>
    <row r="31" spans="1:78" ht="13.15">
      <c r="A31" s="73" t="s">
        <v>6</v>
      </c>
      <c r="B31" s="74" t="s">
        <v>103</v>
      </c>
      <c r="C31" s="75" t="s">
        <v>104</v>
      </c>
      <c r="D31" s="75" t="s">
        <v>68</v>
      </c>
      <c r="E31" s="76">
        <v>69470</v>
      </c>
      <c r="F31" s="59">
        <f t="shared" si="6"/>
        <v>0.6256081761911616</v>
      </c>
      <c r="G31" s="60"/>
      <c r="H31" s="77">
        <v>15717</v>
      </c>
      <c r="I31" s="77">
        <v>13603</v>
      </c>
      <c r="J31" s="77">
        <v>9861</v>
      </c>
      <c r="K31" s="77">
        <v>2204</v>
      </c>
      <c r="L31" s="77">
        <v>2076</v>
      </c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77"/>
      <c r="AE31" s="62"/>
      <c r="AF31" s="63" t="b">
        <v>1</v>
      </c>
      <c r="AG31" s="63" t="b">
        <v>0</v>
      </c>
      <c r="AH31" s="62"/>
      <c r="AI31" s="64">
        <f t="shared" si="7"/>
        <v>43461</v>
      </c>
      <c r="AJ31" s="65" t="str">
        <f t="shared" si="8"/>
        <v>LAB</v>
      </c>
      <c r="AK31" s="66" t="str">
        <f t="shared" si="9"/>
        <v>GAIN</v>
      </c>
      <c r="AL31" s="67" t="e">
        <f t="shared" ca="1" si="10"/>
        <v>#NAME?</v>
      </c>
      <c r="AM31" s="68">
        <f t="shared" si="11"/>
        <v>2114</v>
      </c>
      <c r="AN31" s="69">
        <f t="shared" si="12"/>
        <v>4.8641310600308296E-2</v>
      </c>
      <c r="AO31" s="62"/>
      <c r="AP31" s="70">
        <f t="shared" ref="AP31:AT31" si="94">H31/$AI31</f>
        <v>0.36163456892386275</v>
      </c>
      <c r="AQ31" s="70">
        <f t="shared" si="94"/>
        <v>0.31299325832355446</v>
      </c>
      <c r="AR31" s="70">
        <f t="shared" si="94"/>
        <v>0.2268930765513909</v>
      </c>
      <c r="AS31" s="70">
        <f t="shared" si="94"/>
        <v>5.0712132716688528E-2</v>
      </c>
      <c r="AT31" s="70">
        <f t="shared" si="94"/>
        <v>4.776696348450335E-2</v>
      </c>
      <c r="AU31" s="70"/>
      <c r="AV31" s="70"/>
      <c r="AW31" s="71">
        <f t="shared" si="14"/>
        <v>0</v>
      </c>
      <c r="AX31" s="70">
        <f t="shared" ref="AX31:BG31" si="95">O31/$AI31</f>
        <v>0</v>
      </c>
      <c r="AY31" s="70">
        <f t="shared" si="95"/>
        <v>0</v>
      </c>
      <c r="AZ31" s="70">
        <f t="shared" si="95"/>
        <v>0</v>
      </c>
      <c r="BA31" s="70">
        <f t="shared" si="95"/>
        <v>0</v>
      </c>
      <c r="BB31" s="70">
        <f t="shared" si="95"/>
        <v>0</v>
      </c>
      <c r="BC31" s="70">
        <f t="shared" si="95"/>
        <v>0</v>
      </c>
      <c r="BD31" s="70">
        <f t="shared" si="95"/>
        <v>0</v>
      </c>
      <c r="BE31" s="70">
        <f t="shared" si="95"/>
        <v>0</v>
      </c>
      <c r="BF31" s="70">
        <f t="shared" si="95"/>
        <v>0</v>
      </c>
      <c r="BG31" s="70">
        <f t="shared" si="95"/>
        <v>0</v>
      </c>
      <c r="BH31" s="70">
        <f t="shared" si="16"/>
        <v>0</v>
      </c>
      <c r="BI31" s="62"/>
      <c r="BJ31" s="69">
        <v>0.28999999999999998</v>
      </c>
      <c r="BK31" s="69">
        <v>0.60799999999999998</v>
      </c>
      <c r="BL31" s="69">
        <v>8.9999999999999993E-3</v>
      </c>
      <c r="BM31" s="69">
        <v>0.06</v>
      </c>
      <c r="BN31" s="69">
        <v>2.3E-2</v>
      </c>
      <c r="BO31" s="69">
        <v>0</v>
      </c>
      <c r="BP31" s="69">
        <v>0</v>
      </c>
      <c r="BQ31" s="69">
        <v>1.0999999999999999E-2</v>
      </c>
      <c r="BR31" s="62"/>
      <c r="BS31" s="72">
        <f t="shared" ref="BS31:BW31" si="96">AP31-BJ31</f>
        <v>7.1634568923862774E-2</v>
      </c>
      <c r="BT31" s="72">
        <f t="shared" si="96"/>
        <v>-0.29500674167644553</v>
      </c>
      <c r="BU31" s="72">
        <f t="shared" si="96"/>
        <v>0.2178930765513909</v>
      </c>
      <c r="BV31" s="72">
        <f t="shared" si="96"/>
        <v>-9.2878672833114698E-3</v>
      </c>
      <c r="BW31" s="72">
        <f t="shared" si="96"/>
        <v>2.476696348450335E-2</v>
      </c>
      <c r="BX31" s="72"/>
      <c r="BY31" s="72"/>
      <c r="BZ31" s="72">
        <f t="shared" si="18"/>
        <v>-1.0999999999999999E-2</v>
      </c>
    </row>
    <row r="32" spans="1:78" ht="13.15">
      <c r="A32" s="73" t="s">
        <v>6</v>
      </c>
      <c r="B32" s="74" t="s">
        <v>105</v>
      </c>
      <c r="C32" s="75" t="s">
        <v>106</v>
      </c>
      <c r="D32" s="75" t="s">
        <v>44</v>
      </c>
      <c r="E32" s="76">
        <v>74350</v>
      </c>
      <c r="F32" s="59">
        <f t="shared" si="6"/>
        <v>0.67544048419636848</v>
      </c>
      <c r="G32" s="60"/>
      <c r="H32" s="77">
        <v>8236</v>
      </c>
      <c r="I32" s="77">
        <v>14461</v>
      </c>
      <c r="J32" s="77">
        <v>5408</v>
      </c>
      <c r="K32" s="77">
        <v>19419</v>
      </c>
      <c r="L32" s="77">
        <v>2404</v>
      </c>
      <c r="M32" s="77"/>
      <c r="N32" s="77"/>
      <c r="O32" s="77"/>
      <c r="P32" s="77"/>
      <c r="Q32" s="77">
        <v>291</v>
      </c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7"/>
      <c r="AC32" s="77"/>
      <c r="AD32" s="77"/>
      <c r="AE32" s="62"/>
      <c r="AF32" s="63" t="b">
        <v>1</v>
      </c>
      <c r="AG32" s="63" t="b">
        <v>0</v>
      </c>
      <c r="AH32" s="62"/>
      <c r="AI32" s="64">
        <f t="shared" si="7"/>
        <v>50219</v>
      </c>
      <c r="AJ32" s="65" t="str">
        <f t="shared" si="8"/>
        <v>LDM</v>
      </c>
      <c r="AK32" s="66" t="str">
        <f t="shared" si="9"/>
        <v>GAIN</v>
      </c>
      <c r="AL32" s="67" t="e">
        <f t="shared" ca="1" si="10"/>
        <v>#NAME?</v>
      </c>
      <c r="AM32" s="68">
        <f t="shared" si="11"/>
        <v>4958</v>
      </c>
      <c r="AN32" s="69">
        <f t="shared" si="12"/>
        <v>9.8727573229255849E-2</v>
      </c>
      <c r="AO32" s="62"/>
      <c r="AP32" s="70">
        <f t="shared" ref="AP32:AT32" si="97">H32/$AI32</f>
        <v>0.16400167267368923</v>
      </c>
      <c r="AQ32" s="70">
        <f t="shared" si="97"/>
        <v>0.28795874071566541</v>
      </c>
      <c r="AR32" s="70">
        <f t="shared" si="97"/>
        <v>0.10768832513590473</v>
      </c>
      <c r="AS32" s="70">
        <f t="shared" si="97"/>
        <v>0.38668631394492126</v>
      </c>
      <c r="AT32" s="70">
        <f t="shared" si="97"/>
        <v>4.7870327963519782E-2</v>
      </c>
      <c r="AU32" s="70"/>
      <c r="AV32" s="70"/>
      <c r="AW32" s="71">
        <f t="shared" si="14"/>
        <v>5.7946195662995637E-3</v>
      </c>
      <c r="AX32" s="70">
        <f t="shared" ref="AX32:BG32" si="98">O32/$AI32</f>
        <v>0</v>
      </c>
      <c r="AY32" s="70">
        <f t="shared" si="98"/>
        <v>0</v>
      </c>
      <c r="AZ32" s="70">
        <f t="shared" si="98"/>
        <v>5.7946195662996079E-3</v>
      </c>
      <c r="BA32" s="70">
        <f t="shared" si="98"/>
        <v>0</v>
      </c>
      <c r="BB32" s="70">
        <f t="shared" si="98"/>
        <v>0</v>
      </c>
      <c r="BC32" s="70">
        <f t="shared" si="98"/>
        <v>0</v>
      </c>
      <c r="BD32" s="70">
        <f t="shared" si="98"/>
        <v>0</v>
      </c>
      <c r="BE32" s="70">
        <f t="shared" si="98"/>
        <v>0</v>
      </c>
      <c r="BF32" s="70">
        <f t="shared" si="98"/>
        <v>0</v>
      </c>
      <c r="BG32" s="70">
        <f t="shared" si="98"/>
        <v>0</v>
      </c>
      <c r="BH32" s="70">
        <f t="shared" si="16"/>
        <v>-4.4235448637408581E-17</v>
      </c>
      <c r="BI32" s="62"/>
      <c r="BJ32" s="69">
        <v>0.16900000000000001</v>
      </c>
      <c r="BK32" s="69">
        <v>0.53900000000000003</v>
      </c>
      <c r="BL32" s="69">
        <v>3.0000000000000001E-3</v>
      </c>
      <c r="BM32" s="69">
        <v>0.26600000000000001</v>
      </c>
      <c r="BN32" s="69">
        <v>2.4E-2</v>
      </c>
      <c r="BO32" s="69">
        <v>0</v>
      </c>
      <c r="BP32" s="69">
        <v>0</v>
      </c>
      <c r="BQ32" s="69">
        <v>0</v>
      </c>
      <c r="BR32" s="62"/>
      <c r="BS32" s="72">
        <f t="shared" ref="BS32:BW32" si="99">AP32-BJ32</f>
        <v>-4.9983273263107808E-3</v>
      </c>
      <c r="BT32" s="72">
        <f t="shared" si="99"/>
        <v>-0.25104125928433463</v>
      </c>
      <c r="BU32" s="72">
        <f t="shared" si="99"/>
        <v>0.10468832513590473</v>
      </c>
      <c r="BV32" s="72">
        <f t="shared" si="99"/>
        <v>0.12068631394492124</v>
      </c>
      <c r="BW32" s="72">
        <f t="shared" si="99"/>
        <v>2.3870327963519782E-2</v>
      </c>
      <c r="BX32" s="72"/>
      <c r="BY32" s="72"/>
      <c r="BZ32" s="72">
        <f t="shared" si="18"/>
        <v>5.7946195662995637E-3</v>
      </c>
    </row>
    <row r="33" spans="1:78" ht="13.15">
      <c r="A33" s="78" t="s">
        <v>5</v>
      </c>
      <c r="B33" s="74" t="s">
        <v>107</v>
      </c>
      <c r="C33" s="75" t="s">
        <v>108</v>
      </c>
      <c r="D33" s="75" t="s">
        <v>50</v>
      </c>
      <c r="E33" s="76">
        <v>78091</v>
      </c>
      <c r="F33" s="59">
        <f t="shared" si="6"/>
        <v>0.55235558515065752</v>
      </c>
      <c r="G33" s="60"/>
      <c r="H33" s="77">
        <v>22468</v>
      </c>
      <c r="I33" s="77">
        <v>3238</v>
      </c>
      <c r="J33" s="77">
        <v>6142</v>
      </c>
      <c r="K33" s="77">
        <v>2292</v>
      </c>
      <c r="L33" s="77">
        <v>8670</v>
      </c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>
        <v>324</v>
      </c>
      <c r="Z33" s="77"/>
      <c r="AA33" s="77"/>
      <c r="AB33" s="77"/>
      <c r="AC33" s="77"/>
      <c r="AD33" s="77"/>
      <c r="AE33" s="62"/>
      <c r="AF33" s="63" t="b">
        <v>1</v>
      </c>
      <c r="AG33" s="63" t="b">
        <v>0</v>
      </c>
      <c r="AH33" s="62"/>
      <c r="AI33" s="64">
        <f t="shared" si="7"/>
        <v>43134</v>
      </c>
      <c r="AJ33" s="65" t="str">
        <f t="shared" si="8"/>
        <v>LAB</v>
      </c>
      <c r="AK33" s="66" t="str">
        <f t="shared" si="9"/>
        <v>HOLD</v>
      </c>
      <c r="AL33" s="67" t="e">
        <f t="shared" ca="1" si="10"/>
        <v>#NAME?</v>
      </c>
      <c r="AM33" s="68">
        <f t="shared" si="11"/>
        <v>13798</v>
      </c>
      <c r="AN33" s="69">
        <f t="shared" si="12"/>
        <v>0.31988686419066159</v>
      </c>
      <c r="AO33" s="62"/>
      <c r="AP33" s="70">
        <f t="shared" ref="AP33:AT33" si="100">H33/$AI33</f>
        <v>0.52088839430611578</v>
      </c>
      <c r="AQ33" s="70">
        <f t="shared" si="100"/>
        <v>7.506839152408773E-2</v>
      </c>
      <c r="AR33" s="70">
        <f t="shared" si="100"/>
        <v>0.14239347150739556</v>
      </c>
      <c r="AS33" s="70">
        <f t="shared" si="100"/>
        <v>5.3136736681040478E-2</v>
      </c>
      <c r="AT33" s="70">
        <f t="shared" si="100"/>
        <v>0.20100153011545416</v>
      </c>
      <c r="AU33" s="70"/>
      <c r="AV33" s="70"/>
      <c r="AW33" s="71">
        <f t="shared" si="14"/>
        <v>7.5114758659062808E-3</v>
      </c>
      <c r="AX33" s="70">
        <f t="shared" ref="AX33:BG33" si="101">O33/$AI33</f>
        <v>0</v>
      </c>
      <c r="AY33" s="70">
        <f t="shared" si="101"/>
        <v>0</v>
      </c>
      <c r="AZ33" s="70">
        <f t="shared" si="101"/>
        <v>0</v>
      </c>
      <c r="BA33" s="70">
        <f t="shared" si="101"/>
        <v>0</v>
      </c>
      <c r="BB33" s="70">
        <f t="shared" si="101"/>
        <v>0</v>
      </c>
      <c r="BC33" s="70">
        <f t="shared" si="101"/>
        <v>0</v>
      </c>
      <c r="BD33" s="70">
        <f t="shared" si="101"/>
        <v>0</v>
      </c>
      <c r="BE33" s="70">
        <f t="shared" si="101"/>
        <v>0</v>
      </c>
      <c r="BF33" s="70">
        <f t="shared" si="101"/>
        <v>0</v>
      </c>
      <c r="BG33" s="70">
        <f t="shared" si="101"/>
        <v>0</v>
      </c>
      <c r="BH33" s="70">
        <f t="shared" si="16"/>
        <v>7.5114758659062808E-3</v>
      </c>
      <c r="BI33" s="62"/>
      <c r="BJ33" s="69">
        <v>0.6</v>
      </c>
      <c r="BK33" s="69">
        <v>0.156</v>
      </c>
      <c r="BL33" s="69">
        <v>3.4000000000000002E-2</v>
      </c>
      <c r="BM33" s="69">
        <v>0.04</v>
      </c>
      <c r="BN33" s="69">
        <v>0.03</v>
      </c>
      <c r="BO33" s="69">
        <v>0</v>
      </c>
      <c r="BP33" s="69">
        <v>0</v>
      </c>
      <c r="BQ33" s="69">
        <v>0.14099999999999999</v>
      </c>
      <c r="BR33" s="62"/>
      <c r="BS33" s="72">
        <f t="shared" ref="BS33:BW33" si="102">AP33-BJ33</f>
        <v>-7.9111605693884202E-2</v>
      </c>
      <c r="BT33" s="72">
        <f t="shared" si="102"/>
        <v>-8.093160847591227E-2</v>
      </c>
      <c r="BU33" s="72">
        <f t="shared" si="102"/>
        <v>0.10839347150739556</v>
      </c>
      <c r="BV33" s="72">
        <f t="shared" si="102"/>
        <v>1.3136736681040477E-2</v>
      </c>
      <c r="BW33" s="72">
        <f t="shared" si="102"/>
        <v>0.17100153011545416</v>
      </c>
      <c r="BX33" s="72"/>
      <c r="BY33" s="72"/>
      <c r="BZ33" s="72">
        <f t="shared" si="18"/>
        <v>-0.13348852413409371</v>
      </c>
    </row>
    <row r="34" spans="1:78" ht="13.15">
      <c r="A34" s="78" t="s">
        <v>5</v>
      </c>
      <c r="B34" s="74" t="s">
        <v>109</v>
      </c>
      <c r="C34" s="75" t="s">
        <v>110</v>
      </c>
      <c r="D34" s="75" t="s">
        <v>47</v>
      </c>
      <c r="E34" s="76">
        <v>71787</v>
      </c>
      <c r="F34" s="59">
        <f t="shared" si="6"/>
        <v>0.52137573655397218</v>
      </c>
      <c r="G34" s="60"/>
      <c r="H34" s="77">
        <v>16599</v>
      </c>
      <c r="I34" s="77">
        <v>8231</v>
      </c>
      <c r="J34" s="77">
        <v>4363</v>
      </c>
      <c r="K34" s="77">
        <v>2102</v>
      </c>
      <c r="L34" s="77">
        <v>2797</v>
      </c>
      <c r="M34" s="77"/>
      <c r="N34" s="77"/>
      <c r="O34" s="77">
        <v>3336</v>
      </c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62"/>
      <c r="AF34" s="63" t="b">
        <v>1</v>
      </c>
      <c r="AG34" s="63" t="b">
        <v>0</v>
      </c>
      <c r="AH34" s="62"/>
      <c r="AI34" s="64">
        <f t="shared" si="7"/>
        <v>37428</v>
      </c>
      <c r="AJ34" s="65" t="str">
        <f t="shared" si="8"/>
        <v>LAB</v>
      </c>
      <c r="AK34" s="66" t="str">
        <f t="shared" si="9"/>
        <v>HOLD</v>
      </c>
      <c r="AL34" s="67" t="e">
        <f t="shared" ca="1" si="10"/>
        <v>#NAME?</v>
      </c>
      <c r="AM34" s="68">
        <f t="shared" si="11"/>
        <v>8368</v>
      </c>
      <c r="AN34" s="69">
        <f t="shared" si="12"/>
        <v>0.22357593245698407</v>
      </c>
      <c r="AO34" s="62"/>
      <c r="AP34" s="70">
        <f t="shared" ref="AP34:AT34" si="103">H34/$AI34</f>
        <v>0.44349150368707918</v>
      </c>
      <c r="AQ34" s="70">
        <f t="shared" si="103"/>
        <v>0.21991557123009511</v>
      </c>
      <c r="AR34" s="70">
        <f t="shared" si="103"/>
        <v>0.11657048199209148</v>
      </c>
      <c r="AS34" s="70">
        <f t="shared" si="103"/>
        <v>5.616116276584375E-2</v>
      </c>
      <c r="AT34" s="70">
        <f t="shared" si="103"/>
        <v>7.4730148551886283E-2</v>
      </c>
      <c r="AU34" s="70"/>
      <c r="AV34" s="70"/>
      <c r="AW34" s="71">
        <f t="shared" si="14"/>
        <v>8.9131131773004135E-2</v>
      </c>
      <c r="AX34" s="70">
        <f t="shared" ref="AX34:BG34" si="104">O34/$AI34</f>
        <v>8.9131131773004163E-2</v>
      </c>
      <c r="AY34" s="70">
        <f t="shared" si="104"/>
        <v>0</v>
      </c>
      <c r="AZ34" s="70">
        <f t="shared" si="104"/>
        <v>0</v>
      </c>
      <c r="BA34" s="70">
        <f t="shared" si="104"/>
        <v>0</v>
      </c>
      <c r="BB34" s="70">
        <f t="shared" si="104"/>
        <v>0</v>
      </c>
      <c r="BC34" s="70">
        <f t="shared" si="104"/>
        <v>0</v>
      </c>
      <c r="BD34" s="70">
        <f t="shared" si="104"/>
        <v>0</v>
      </c>
      <c r="BE34" s="70">
        <f t="shared" si="104"/>
        <v>0</v>
      </c>
      <c r="BF34" s="70">
        <f t="shared" si="104"/>
        <v>0</v>
      </c>
      <c r="BG34" s="70">
        <f t="shared" si="104"/>
        <v>0</v>
      </c>
      <c r="BH34" s="70">
        <f t="shared" si="16"/>
        <v>0</v>
      </c>
      <c r="BI34" s="62"/>
      <c r="BJ34" s="69">
        <v>0.52300000000000002</v>
      </c>
      <c r="BK34" s="69">
        <v>0.35499999999999998</v>
      </c>
      <c r="BL34" s="69">
        <v>2.4E-2</v>
      </c>
      <c r="BM34" s="69">
        <v>7.2999999999999995E-2</v>
      </c>
      <c r="BN34" s="69">
        <v>2.5999999999999999E-2</v>
      </c>
      <c r="BO34" s="69">
        <v>0</v>
      </c>
      <c r="BP34" s="69">
        <v>0</v>
      </c>
      <c r="BQ34" s="69">
        <v>0</v>
      </c>
      <c r="BR34" s="62"/>
      <c r="BS34" s="72">
        <f t="shared" ref="BS34:BW34" si="105">AP34-BJ34</f>
        <v>-7.950849631292084E-2</v>
      </c>
      <c r="BT34" s="72">
        <f t="shared" si="105"/>
        <v>-0.13508442876990487</v>
      </c>
      <c r="BU34" s="72">
        <f t="shared" si="105"/>
        <v>9.2570481992091475E-2</v>
      </c>
      <c r="BV34" s="72">
        <f t="shared" si="105"/>
        <v>-1.6838837234156245E-2</v>
      </c>
      <c r="BW34" s="72">
        <f t="shared" si="105"/>
        <v>4.8730148551886288E-2</v>
      </c>
      <c r="BX34" s="72"/>
      <c r="BY34" s="72"/>
      <c r="BZ34" s="72">
        <f t="shared" si="18"/>
        <v>8.9131131773004163E-2</v>
      </c>
    </row>
    <row r="35" spans="1:78" ht="13.15">
      <c r="A35" s="78" t="s">
        <v>5</v>
      </c>
      <c r="B35" s="74" t="s">
        <v>111</v>
      </c>
      <c r="C35" s="75" t="s">
        <v>112</v>
      </c>
      <c r="D35" s="75" t="s">
        <v>47</v>
      </c>
      <c r="E35" s="76">
        <v>77463</v>
      </c>
      <c r="F35" s="59">
        <f t="shared" si="6"/>
        <v>0.43631152937531464</v>
      </c>
      <c r="G35" s="60"/>
      <c r="H35" s="77">
        <v>14774</v>
      </c>
      <c r="I35" s="77">
        <v>5402</v>
      </c>
      <c r="J35" s="77">
        <v>7755</v>
      </c>
      <c r="K35" s="77">
        <v>1128</v>
      </c>
      <c r="L35" s="77">
        <v>2452</v>
      </c>
      <c r="M35" s="77"/>
      <c r="N35" s="77"/>
      <c r="O35" s="77">
        <v>2250</v>
      </c>
      <c r="P35" s="77"/>
      <c r="Q35" s="77"/>
      <c r="R35" s="77"/>
      <c r="S35" s="77"/>
      <c r="T35" s="77"/>
      <c r="U35" s="77"/>
      <c r="V35" s="77"/>
      <c r="W35" s="77"/>
      <c r="X35" s="77"/>
      <c r="Y35" s="77">
        <v>37</v>
      </c>
      <c r="Z35" s="77"/>
      <c r="AA35" s="77"/>
      <c r="AB35" s="77"/>
      <c r="AC35" s="77"/>
      <c r="AD35" s="77"/>
      <c r="AE35" s="62"/>
      <c r="AF35" s="63" t="b">
        <v>1</v>
      </c>
      <c r="AG35" s="63" t="b">
        <v>0</v>
      </c>
      <c r="AH35" s="62"/>
      <c r="AI35" s="64">
        <f t="shared" si="7"/>
        <v>33798</v>
      </c>
      <c r="AJ35" s="65" t="str">
        <f t="shared" si="8"/>
        <v>LAB</v>
      </c>
      <c r="AK35" s="66" t="str">
        <f t="shared" si="9"/>
        <v>HOLD</v>
      </c>
      <c r="AL35" s="67" t="e">
        <f t="shared" ca="1" si="10"/>
        <v>#NAME?</v>
      </c>
      <c r="AM35" s="68">
        <f t="shared" si="11"/>
        <v>7019</v>
      </c>
      <c r="AN35" s="69">
        <f t="shared" si="12"/>
        <v>0.20767501035564237</v>
      </c>
      <c r="AO35" s="62"/>
      <c r="AP35" s="70">
        <f t="shared" ref="AP35:AT35" si="106">H35/$AI35</f>
        <v>0.43712645718681581</v>
      </c>
      <c r="AQ35" s="70">
        <f t="shared" si="106"/>
        <v>0.15983194271850407</v>
      </c>
      <c r="AR35" s="70">
        <f t="shared" si="106"/>
        <v>0.22945144683117344</v>
      </c>
      <c r="AS35" s="70">
        <f t="shared" si="106"/>
        <v>3.3374755902716137E-2</v>
      </c>
      <c r="AT35" s="70">
        <f t="shared" si="106"/>
        <v>7.254867151902479E-2</v>
      </c>
      <c r="AU35" s="70"/>
      <c r="AV35" s="70"/>
      <c r="AW35" s="71">
        <f t="shared" si="14"/>
        <v>6.7666725841765807E-2</v>
      </c>
      <c r="AX35" s="70">
        <f t="shared" ref="AX35:BG35" si="107">O35/$AI35</f>
        <v>6.6571986508077399E-2</v>
      </c>
      <c r="AY35" s="70">
        <f t="shared" si="107"/>
        <v>0</v>
      </c>
      <c r="AZ35" s="70">
        <f t="shared" si="107"/>
        <v>0</v>
      </c>
      <c r="BA35" s="70">
        <f t="shared" si="107"/>
        <v>0</v>
      </c>
      <c r="BB35" s="70">
        <f t="shared" si="107"/>
        <v>0</v>
      </c>
      <c r="BC35" s="70">
        <f t="shared" si="107"/>
        <v>0</v>
      </c>
      <c r="BD35" s="70">
        <f t="shared" si="107"/>
        <v>0</v>
      </c>
      <c r="BE35" s="70">
        <f t="shared" si="107"/>
        <v>0</v>
      </c>
      <c r="BF35" s="70">
        <f t="shared" si="107"/>
        <v>0</v>
      </c>
      <c r="BG35" s="70">
        <f t="shared" si="107"/>
        <v>0</v>
      </c>
      <c r="BH35" s="70">
        <f t="shared" si="16"/>
        <v>1.0947393336884076E-3</v>
      </c>
      <c r="BI35" s="62"/>
      <c r="BJ35" s="69">
        <v>0.49399999999999999</v>
      </c>
      <c r="BK35" s="69">
        <v>0.41499999999999998</v>
      </c>
      <c r="BL35" s="69">
        <v>0.04</v>
      </c>
      <c r="BM35" s="69">
        <v>3.3000000000000002E-2</v>
      </c>
      <c r="BN35" s="69">
        <v>1.7999999999999999E-2</v>
      </c>
      <c r="BO35" s="69">
        <v>0</v>
      </c>
      <c r="BP35" s="69">
        <v>0</v>
      </c>
      <c r="BQ35" s="69">
        <v>0</v>
      </c>
      <c r="BR35" s="62"/>
      <c r="BS35" s="72">
        <f t="shared" ref="BS35:BW35" si="108">AP35-BJ35</f>
        <v>-5.6873542813184186E-2</v>
      </c>
      <c r="BT35" s="72">
        <f t="shared" si="108"/>
        <v>-0.25516805728149594</v>
      </c>
      <c r="BU35" s="72">
        <f t="shared" si="108"/>
        <v>0.18945144683117343</v>
      </c>
      <c r="BV35" s="72">
        <f t="shared" si="108"/>
        <v>3.747559027161354E-4</v>
      </c>
      <c r="BW35" s="72">
        <f t="shared" si="108"/>
        <v>5.4548671519024788E-2</v>
      </c>
      <c r="BX35" s="72"/>
      <c r="BY35" s="72"/>
      <c r="BZ35" s="72">
        <f t="shared" si="18"/>
        <v>6.7666725841765807E-2</v>
      </c>
    </row>
    <row r="36" spans="1:78" ht="13.15">
      <c r="A36" s="78" t="s">
        <v>5</v>
      </c>
      <c r="B36" s="74" t="s">
        <v>113</v>
      </c>
      <c r="C36" s="75" t="s">
        <v>114</v>
      </c>
      <c r="D36" s="75" t="s">
        <v>47</v>
      </c>
      <c r="E36" s="76">
        <v>76936</v>
      </c>
      <c r="F36" s="59">
        <f t="shared" si="6"/>
        <v>0.54076115212644271</v>
      </c>
      <c r="G36" s="60"/>
      <c r="H36" s="77">
        <v>12796</v>
      </c>
      <c r="I36" s="77">
        <v>3845</v>
      </c>
      <c r="J36" s="77">
        <v>2305</v>
      </c>
      <c r="K36" s="77">
        <v>4711</v>
      </c>
      <c r="L36" s="77">
        <v>3913</v>
      </c>
      <c r="M36" s="77"/>
      <c r="N36" s="77"/>
      <c r="O36" s="77">
        <v>7142</v>
      </c>
      <c r="P36" s="77"/>
      <c r="Q36" s="77"/>
      <c r="R36" s="77"/>
      <c r="S36" s="77"/>
      <c r="T36" s="77"/>
      <c r="U36" s="77"/>
      <c r="V36" s="77"/>
      <c r="W36" s="77"/>
      <c r="X36" s="77"/>
      <c r="Y36" s="77">
        <v>6159</v>
      </c>
      <c r="Z36" s="77">
        <v>733</v>
      </c>
      <c r="AA36" s="77"/>
      <c r="AB36" s="77"/>
      <c r="AC36" s="77"/>
      <c r="AD36" s="77"/>
      <c r="AE36" s="62"/>
      <c r="AF36" s="63" t="b">
        <v>1</v>
      </c>
      <c r="AG36" s="63" t="b">
        <v>0</v>
      </c>
      <c r="AH36" s="62"/>
      <c r="AI36" s="64">
        <f t="shared" si="7"/>
        <v>41604</v>
      </c>
      <c r="AJ36" s="65" t="str">
        <f t="shared" si="8"/>
        <v>LAB</v>
      </c>
      <c r="AK36" s="66" t="str">
        <f t="shared" si="9"/>
        <v>HOLD</v>
      </c>
      <c r="AL36" s="67" t="e">
        <f t="shared" ca="1" si="10"/>
        <v>#NAME?</v>
      </c>
      <c r="AM36" s="68">
        <f t="shared" si="11"/>
        <v>5654</v>
      </c>
      <c r="AN36" s="69">
        <f t="shared" si="12"/>
        <v>0.13590039419286606</v>
      </c>
      <c r="AO36" s="62"/>
      <c r="AP36" s="70">
        <f t="shared" ref="AP36:AT36" si="109">H36/$AI36</f>
        <v>0.30756658013652532</v>
      </c>
      <c r="AQ36" s="70">
        <f t="shared" si="109"/>
        <v>9.2418998173252567E-2</v>
      </c>
      <c r="AR36" s="70">
        <f t="shared" si="109"/>
        <v>5.5403326603211227E-2</v>
      </c>
      <c r="AS36" s="70">
        <f t="shared" si="109"/>
        <v>0.11323430439380829</v>
      </c>
      <c r="AT36" s="70">
        <f t="shared" si="109"/>
        <v>9.4053456398423232E-2</v>
      </c>
      <c r="AU36" s="70"/>
      <c r="AV36" s="70"/>
      <c r="AW36" s="71">
        <f t="shared" si="14"/>
        <v>0.33732333429477934</v>
      </c>
      <c r="AX36" s="70">
        <f t="shared" ref="AX36:BG36" si="110">O36/$AI36</f>
        <v>0.17166618594365926</v>
      </c>
      <c r="AY36" s="70">
        <f t="shared" si="110"/>
        <v>0</v>
      </c>
      <c r="AZ36" s="70">
        <f t="shared" si="110"/>
        <v>0</v>
      </c>
      <c r="BA36" s="70">
        <f t="shared" si="110"/>
        <v>0</v>
      </c>
      <c r="BB36" s="70">
        <f t="shared" si="110"/>
        <v>0</v>
      </c>
      <c r="BC36" s="70">
        <f t="shared" si="110"/>
        <v>0</v>
      </c>
      <c r="BD36" s="70">
        <f t="shared" si="110"/>
        <v>0</v>
      </c>
      <c r="BE36" s="70">
        <f t="shared" si="110"/>
        <v>0</v>
      </c>
      <c r="BF36" s="70">
        <f t="shared" si="110"/>
        <v>0</v>
      </c>
      <c r="BG36" s="70">
        <f t="shared" si="110"/>
        <v>0</v>
      </c>
      <c r="BH36" s="70">
        <f t="shared" si="16"/>
        <v>0.16565714835112008</v>
      </c>
      <c r="BI36" s="62"/>
      <c r="BJ36" s="69">
        <v>0.66300000000000003</v>
      </c>
      <c r="BK36" s="69">
        <v>0.15</v>
      </c>
      <c r="BL36" s="69">
        <v>1.9E-2</v>
      </c>
      <c r="BM36" s="69">
        <v>7.1999999999999995E-2</v>
      </c>
      <c r="BN36" s="69">
        <v>1.7000000000000001E-2</v>
      </c>
      <c r="BO36" s="69">
        <v>0</v>
      </c>
      <c r="BP36" s="69">
        <v>0</v>
      </c>
      <c r="BQ36" s="69">
        <v>0.08</v>
      </c>
      <c r="BR36" s="62"/>
      <c r="BS36" s="72">
        <f t="shared" ref="BS36:BW36" si="111">AP36-BJ36</f>
        <v>-0.35543341986347471</v>
      </c>
      <c r="BT36" s="72">
        <f t="shared" si="111"/>
        <v>-5.7581001826747427E-2</v>
      </c>
      <c r="BU36" s="72">
        <f t="shared" si="111"/>
        <v>3.6403326603211231E-2</v>
      </c>
      <c r="BV36" s="72">
        <f t="shared" si="111"/>
        <v>4.1234304393808291E-2</v>
      </c>
      <c r="BW36" s="72">
        <f t="shared" si="111"/>
        <v>7.7053456398423231E-2</v>
      </c>
      <c r="BX36" s="72"/>
      <c r="BY36" s="72"/>
      <c r="BZ36" s="72">
        <f t="shared" si="18"/>
        <v>0.25732333429477933</v>
      </c>
    </row>
    <row r="37" spans="1:78" ht="13.15">
      <c r="A37" s="78" t="s">
        <v>5</v>
      </c>
      <c r="B37" s="74" t="s">
        <v>115</v>
      </c>
      <c r="C37" s="75" t="s">
        <v>116</v>
      </c>
      <c r="D37" s="75" t="s">
        <v>47</v>
      </c>
      <c r="E37" s="76">
        <v>77737</v>
      </c>
      <c r="F37" s="59">
        <f t="shared" si="6"/>
        <v>0.43912165378133966</v>
      </c>
      <c r="G37" s="60"/>
      <c r="H37" s="77">
        <v>10655</v>
      </c>
      <c r="I37" s="77">
        <v>4634</v>
      </c>
      <c r="J37" s="77">
        <v>6456</v>
      </c>
      <c r="K37" s="77">
        <v>942</v>
      </c>
      <c r="L37" s="77">
        <v>2360</v>
      </c>
      <c r="M37" s="77"/>
      <c r="N37" s="77"/>
      <c r="O37" s="77"/>
      <c r="P37" s="77">
        <v>9089</v>
      </c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7"/>
      <c r="AC37" s="77"/>
      <c r="AD37" s="77"/>
      <c r="AE37" s="62"/>
      <c r="AF37" s="63" t="b">
        <v>1</v>
      </c>
      <c r="AG37" s="63" t="b">
        <v>0</v>
      </c>
      <c r="AH37" s="62"/>
      <c r="AI37" s="64">
        <f t="shared" si="7"/>
        <v>34136</v>
      </c>
      <c r="AJ37" s="65" t="str">
        <f t="shared" si="8"/>
        <v>LAB</v>
      </c>
      <c r="AK37" s="66" t="str">
        <f t="shared" si="9"/>
        <v>HOLD</v>
      </c>
      <c r="AL37" s="67" t="e">
        <f t="shared" ca="1" si="10"/>
        <v>#NAME?</v>
      </c>
      <c r="AM37" s="68">
        <f t="shared" si="11"/>
        <v>1566</v>
      </c>
      <c r="AN37" s="69">
        <f t="shared" si="12"/>
        <v>4.5875322240449934E-2</v>
      </c>
      <c r="AO37" s="62"/>
      <c r="AP37" s="70">
        <f t="shared" ref="AP37:AT37" si="112">H37/$AI37</f>
        <v>0.31213381767049447</v>
      </c>
      <c r="AQ37" s="70">
        <f t="shared" si="112"/>
        <v>0.13575111319428171</v>
      </c>
      <c r="AR37" s="70">
        <f t="shared" si="112"/>
        <v>0.18912584954300446</v>
      </c>
      <c r="AS37" s="70">
        <f t="shared" si="112"/>
        <v>2.7595500351535036E-2</v>
      </c>
      <c r="AT37" s="70">
        <f t="shared" si="112"/>
        <v>6.9135223810639787E-2</v>
      </c>
      <c r="AU37" s="70"/>
      <c r="AV37" s="70"/>
      <c r="AW37" s="71">
        <f t="shared" si="14"/>
        <v>0.26625849543004454</v>
      </c>
      <c r="AX37" s="70">
        <f t="shared" ref="AX37:BG37" si="113">O37/$AI37</f>
        <v>0</v>
      </c>
      <c r="AY37" s="70">
        <f t="shared" si="113"/>
        <v>0.26625849543004454</v>
      </c>
      <c r="AZ37" s="70">
        <f t="shared" si="113"/>
        <v>0</v>
      </c>
      <c r="BA37" s="70">
        <f t="shared" si="113"/>
        <v>0</v>
      </c>
      <c r="BB37" s="70">
        <f t="shared" si="113"/>
        <v>0</v>
      </c>
      <c r="BC37" s="70">
        <f t="shared" si="113"/>
        <v>0</v>
      </c>
      <c r="BD37" s="70">
        <f t="shared" si="113"/>
        <v>0</v>
      </c>
      <c r="BE37" s="70">
        <f t="shared" si="113"/>
        <v>0</v>
      </c>
      <c r="BF37" s="70">
        <f t="shared" si="113"/>
        <v>0</v>
      </c>
      <c r="BG37" s="70">
        <f t="shared" si="113"/>
        <v>0</v>
      </c>
      <c r="BH37" s="70">
        <f t="shared" si="16"/>
        <v>0</v>
      </c>
      <c r="BI37" s="62"/>
      <c r="BJ37" s="69">
        <v>0.59899999999999998</v>
      </c>
      <c r="BK37" s="69">
        <v>0.28599999999999998</v>
      </c>
      <c r="BL37" s="69">
        <v>3.1E-2</v>
      </c>
      <c r="BM37" s="69">
        <v>4.2999999999999997E-2</v>
      </c>
      <c r="BN37" s="69">
        <v>3.5000000000000003E-2</v>
      </c>
      <c r="BO37" s="69">
        <v>0</v>
      </c>
      <c r="BP37" s="69">
        <v>0</v>
      </c>
      <c r="BQ37" s="69">
        <v>6.0000000000000001E-3</v>
      </c>
      <c r="BR37" s="62"/>
      <c r="BS37" s="72">
        <f t="shared" ref="BS37:BW37" si="114">AP37-BJ37</f>
        <v>-0.2868661823295055</v>
      </c>
      <c r="BT37" s="72">
        <f t="shared" si="114"/>
        <v>-0.15024888680571827</v>
      </c>
      <c r="BU37" s="72">
        <f t="shared" si="114"/>
        <v>0.15812584954300446</v>
      </c>
      <c r="BV37" s="72">
        <f t="shared" si="114"/>
        <v>-1.5404499648464961E-2</v>
      </c>
      <c r="BW37" s="72">
        <f t="shared" si="114"/>
        <v>3.4135223810639784E-2</v>
      </c>
      <c r="BX37" s="72"/>
      <c r="BY37" s="72"/>
      <c r="BZ37" s="72">
        <f t="shared" si="18"/>
        <v>0.26025849543004453</v>
      </c>
    </row>
    <row r="38" spans="1:78" ht="13.15">
      <c r="A38" s="78" t="s">
        <v>5</v>
      </c>
      <c r="B38" s="74" t="s">
        <v>117</v>
      </c>
      <c r="C38" s="75" t="s">
        <v>118</v>
      </c>
      <c r="D38" s="75" t="s">
        <v>47</v>
      </c>
      <c r="E38" s="76">
        <v>83693</v>
      </c>
      <c r="F38" s="59">
        <f t="shared" si="6"/>
        <v>0.43706164195332942</v>
      </c>
      <c r="G38" s="60"/>
      <c r="H38" s="77">
        <v>15558</v>
      </c>
      <c r="I38" s="77">
        <v>2218</v>
      </c>
      <c r="J38" s="77">
        <v>1477</v>
      </c>
      <c r="K38" s="77">
        <v>1711</v>
      </c>
      <c r="L38" s="77">
        <v>3478</v>
      </c>
      <c r="M38" s="77"/>
      <c r="N38" s="77"/>
      <c r="O38" s="77">
        <v>12137</v>
      </c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7"/>
      <c r="AC38" s="77"/>
      <c r="AD38" s="77"/>
      <c r="AE38" s="62"/>
      <c r="AF38" s="63" t="b">
        <v>1</v>
      </c>
      <c r="AG38" s="63" t="b">
        <v>0</v>
      </c>
      <c r="AH38" s="62"/>
      <c r="AI38" s="64">
        <f t="shared" si="7"/>
        <v>36579</v>
      </c>
      <c r="AJ38" s="65" t="str">
        <f t="shared" si="8"/>
        <v>LAB</v>
      </c>
      <c r="AK38" s="66" t="str">
        <f t="shared" si="9"/>
        <v>HOLD</v>
      </c>
      <c r="AL38" s="67" t="e">
        <f t="shared" ca="1" si="10"/>
        <v>#NAME?</v>
      </c>
      <c r="AM38" s="68">
        <f t="shared" si="11"/>
        <v>3421</v>
      </c>
      <c r="AN38" s="69">
        <f t="shared" si="12"/>
        <v>9.3523606440854057E-2</v>
      </c>
      <c r="AO38" s="62"/>
      <c r="AP38" s="70">
        <f t="shared" ref="AP38:AT38" si="115">H38/$AI38</f>
        <v>0.42532600672517018</v>
      </c>
      <c r="AQ38" s="70">
        <f t="shared" si="115"/>
        <v>6.0635883977145359E-2</v>
      </c>
      <c r="AR38" s="70">
        <f t="shared" si="115"/>
        <v>4.0378359167828538E-2</v>
      </c>
      <c r="AS38" s="70">
        <f t="shared" si="115"/>
        <v>4.6775472265507531E-2</v>
      </c>
      <c r="AT38" s="70">
        <f t="shared" si="115"/>
        <v>9.5081877580032254E-2</v>
      </c>
      <c r="AU38" s="70"/>
      <c r="AV38" s="70"/>
      <c r="AW38" s="71">
        <f t="shared" si="14"/>
        <v>0.33180240028431618</v>
      </c>
      <c r="AX38" s="70">
        <f t="shared" ref="AX38:BG38" si="116">O38/$AI38</f>
        <v>0.33180240028431612</v>
      </c>
      <c r="AY38" s="70">
        <f t="shared" si="116"/>
        <v>0</v>
      </c>
      <c r="AZ38" s="70">
        <f t="shared" si="116"/>
        <v>0</v>
      </c>
      <c r="BA38" s="70">
        <f t="shared" si="116"/>
        <v>0</v>
      </c>
      <c r="BB38" s="70">
        <f t="shared" si="116"/>
        <v>0</v>
      </c>
      <c r="BC38" s="70">
        <f t="shared" si="116"/>
        <v>0</v>
      </c>
      <c r="BD38" s="70">
        <f t="shared" si="116"/>
        <v>0</v>
      </c>
      <c r="BE38" s="70">
        <f t="shared" si="116"/>
        <v>0</v>
      </c>
      <c r="BF38" s="70">
        <f t="shared" si="116"/>
        <v>0</v>
      </c>
      <c r="BG38" s="70">
        <f t="shared" si="116"/>
        <v>0</v>
      </c>
      <c r="BH38" s="70">
        <f t="shared" si="16"/>
        <v>0</v>
      </c>
      <c r="BI38" s="62"/>
      <c r="BJ38" s="69">
        <v>0.83</v>
      </c>
      <c r="BK38" s="69">
        <v>9.8000000000000004E-2</v>
      </c>
      <c r="BL38" s="69">
        <v>2.1999999999999999E-2</v>
      </c>
      <c r="BM38" s="69">
        <v>2.8000000000000001E-2</v>
      </c>
      <c r="BN38" s="69">
        <v>1.9E-2</v>
      </c>
      <c r="BO38" s="69">
        <v>0</v>
      </c>
      <c r="BP38" s="69">
        <v>0</v>
      </c>
      <c r="BQ38" s="69">
        <v>4.0000000000000001E-3</v>
      </c>
      <c r="BR38" s="62"/>
      <c r="BS38" s="72">
        <f t="shared" ref="BS38:BW38" si="117">AP38-BJ38</f>
        <v>-0.40467399327482978</v>
      </c>
      <c r="BT38" s="72">
        <f t="shared" si="117"/>
        <v>-3.7364116022854645E-2</v>
      </c>
      <c r="BU38" s="72">
        <f t="shared" si="117"/>
        <v>1.837835916782854E-2</v>
      </c>
      <c r="BV38" s="72">
        <f t="shared" si="117"/>
        <v>1.8775472265507531E-2</v>
      </c>
      <c r="BW38" s="72">
        <f t="shared" si="117"/>
        <v>7.6081877580032251E-2</v>
      </c>
      <c r="BX38" s="72"/>
      <c r="BY38" s="72"/>
      <c r="BZ38" s="72">
        <f t="shared" si="18"/>
        <v>0.32780240028431612</v>
      </c>
    </row>
    <row r="39" spans="1:78" ht="13.15">
      <c r="A39" s="73" t="s">
        <v>6</v>
      </c>
      <c r="B39" s="74" t="s">
        <v>119</v>
      </c>
      <c r="C39" s="75" t="s">
        <v>120</v>
      </c>
      <c r="D39" s="75" t="s">
        <v>47</v>
      </c>
      <c r="E39" s="76">
        <v>74048</v>
      </c>
      <c r="F39" s="59">
        <f t="shared" si="6"/>
        <v>0.50848098530682795</v>
      </c>
      <c r="G39" s="60"/>
      <c r="H39" s="77">
        <v>14929</v>
      </c>
      <c r="I39" s="77">
        <v>9540</v>
      </c>
      <c r="J39" s="77">
        <v>7895</v>
      </c>
      <c r="K39" s="77">
        <v>1791</v>
      </c>
      <c r="L39" s="77">
        <v>2809</v>
      </c>
      <c r="M39" s="77"/>
      <c r="N39" s="77"/>
      <c r="O39" s="77">
        <v>310</v>
      </c>
      <c r="P39" s="77"/>
      <c r="Q39" s="77"/>
      <c r="R39" s="77"/>
      <c r="S39" s="77"/>
      <c r="T39" s="77"/>
      <c r="U39" s="77"/>
      <c r="V39" s="77"/>
      <c r="W39" s="77"/>
      <c r="X39" s="77"/>
      <c r="Y39" s="77">
        <v>215</v>
      </c>
      <c r="Z39" s="77">
        <v>163</v>
      </c>
      <c r="AA39" s="77"/>
      <c r="AB39" s="77"/>
      <c r="AC39" s="77"/>
      <c r="AD39" s="77"/>
      <c r="AE39" s="62"/>
      <c r="AF39" s="63" t="b">
        <v>1</v>
      </c>
      <c r="AG39" s="63" t="b">
        <v>0</v>
      </c>
      <c r="AH39" s="62"/>
      <c r="AI39" s="64">
        <f t="shared" si="7"/>
        <v>37652</v>
      </c>
      <c r="AJ39" s="65" t="str">
        <f t="shared" si="8"/>
        <v>LAB</v>
      </c>
      <c r="AK39" s="66" t="str">
        <f t="shared" si="9"/>
        <v>GAIN</v>
      </c>
      <c r="AL39" s="67" t="e">
        <f t="shared" ca="1" si="10"/>
        <v>#NAME?</v>
      </c>
      <c r="AM39" s="68">
        <f t="shared" si="11"/>
        <v>5389</v>
      </c>
      <c r="AN39" s="69">
        <f t="shared" si="12"/>
        <v>0.14312652714331248</v>
      </c>
      <c r="AO39" s="62"/>
      <c r="AP39" s="70">
        <f t="shared" ref="AP39:AT39" si="118">H39/$AI39</f>
        <v>0.39649952193774568</v>
      </c>
      <c r="AQ39" s="70">
        <f t="shared" si="118"/>
        <v>0.2533729947944332</v>
      </c>
      <c r="AR39" s="70">
        <f t="shared" si="118"/>
        <v>0.2096834165515776</v>
      </c>
      <c r="AS39" s="70">
        <f t="shared" si="118"/>
        <v>4.7567194305747372E-2</v>
      </c>
      <c r="AT39" s="70">
        <f t="shared" si="118"/>
        <v>7.4604270689472008E-2</v>
      </c>
      <c r="AU39" s="70"/>
      <c r="AV39" s="70"/>
      <c r="AW39" s="71">
        <f t="shared" si="14"/>
        <v>1.8272601721024184E-2</v>
      </c>
      <c r="AX39" s="70">
        <f t="shared" ref="AX39:BG39" si="119">O39/$AI39</f>
        <v>8.2332943801126102E-3</v>
      </c>
      <c r="AY39" s="70">
        <f t="shared" si="119"/>
        <v>0</v>
      </c>
      <c r="AZ39" s="70">
        <f t="shared" si="119"/>
        <v>0</v>
      </c>
      <c r="BA39" s="70">
        <f t="shared" si="119"/>
        <v>0</v>
      </c>
      <c r="BB39" s="70">
        <f t="shared" si="119"/>
        <v>0</v>
      </c>
      <c r="BC39" s="70">
        <f t="shared" si="119"/>
        <v>0</v>
      </c>
      <c r="BD39" s="70">
        <f t="shared" si="119"/>
        <v>0</v>
      </c>
      <c r="BE39" s="70">
        <f t="shared" si="119"/>
        <v>0</v>
      </c>
      <c r="BF39" s="70">
        <f t="shared" si="119"/>
        <v>0</v>
      </c>
      <c r="BG39" s="70">
        <f t="shared" si="119"/>
        <v>0</v>
      </c>
      <c r="BH39" s="70">
        <f t="shared" si="16"/>
        <v>1.0039307340911574E-2</v>
      </c>
      <c r="BI39" s="62"/>
      <c r="BJ39" s="69">
        <v>0.42699999999999999</v>
      </c>
      <c r="BK39" s="69">
        <v>0.46100000000000002</v>
      </c>
      <c r="BL39" s="69">
        <v>3.7999999999999999E-2</v>
      </c>
      <c r="BM39" s="69">
        <v>4.5999999999999999E-2</v>
      </c>
      <c r="BN39" s="69">
        <v>2.1999999999999999E-2</v>
      </c>
      <c r="BO39" s="69">
        <v>0</v>
      </c>
      <c r="BP39" s="69">
        <v>0</v>
      </c>
      <c r="BQ39" s="69">
        <v>6.0000000000000001E-3</v>
      </c>
      <c r="BR39" s="62"/>
      <c r="BS39" s="72">
        <f t="shared" ref="BS39:BW39" si="120">AP39-BJ39</f>
        <v>-3.050047806225431E-2</v>
      </c>
      <c r="BT39" s="72">
        <f t="shared" si="120"/>
        <v>-0.20762700520556682</v>
      </c>
      <c r="BU39" s="72">
        <f t="shared" si="120"/>
        <v>0.17168341655157759</v>
      </c>
      <c r="BV39" s="72">
        <f t="shared" si="120"/>
        <v>1.5671943057473728E-3</v>
      </c>
      <c r="BW39" s="72">
        <f t="shared" si="120"/>
        <v>5.2604270689472009E-2</v>
      </c>
      <c r="BX39" s="72"/>
      <c r="BY39" s="72"/>
      <c r="BZ39" s="72">
        <f t="shared" si="18"/>
        <v>1.2272601721024184E-2</v>
      </c>
    </row>
    <row r="40" spans="1:78" ht="13.15">
      <c r="A40" s="78" t="s">
        <v>5</v>
      </c>
      <c r="B40" s="74" t="s">
        <v>121</v>
      </c>
      <c r="C40" s="75" t="s">
        <v>122</v>
      </c>
      <c r="D40" s="75" t="s">
        <v>47</v>
      </c>
      <c r="E40" s="76">
        <v>76350</v>
      </c>
      <c r="F40" s="59">
        <f t="shared" si="6"/>
        <v>0.49084479371316309</v>
      </c>
      <c r="G40" s="60"/>
      <c r="H40" s="77">
        <v>12796</v>
      </c>
      <c r="I40" s="77">
        <v>4227</v>
      </c>
      <c r="J40" s="77">
        <v>2446</v>
      </c>
      <c r="K40" s="77">
        <v>1302</v>
      </c>
      <c r="L40" s="77">
        <v>2440</v>
      </c>
      <c r="M40" s="77"/>
      <c r="N40" s="77"/>
      <c r="O40" s="77">
        <v>13303</v>
      </c>
      <c r="P40" s="77"/>
      <c r="Q40" s="77"/>
      <c r="R40" s="77"/>
      <c r="S40" s="77"/>
      <c r="T40" s="77"/>
      <c r="U40" s="77"/>
      <c r="V40" s="77"/>
      <c r="W40" s="77"/>
      <c r="X40" s="77"/>
      <c r="Y40" s="77">
        <v>509</v>
      </c>
      <c r="Z40" s="77">
        <v>453</v>
      </c>
      <c r="AA40" s="77"/>
      <c r="AB40" s="77"/>
      <c r="AC40" s="77"/>
      <c r="AD40" s="77"/>
      <c r="AE40" s="62"/>
      <c r="AF40" s="63" t="b">
        <v>1</v>
      </c>
      <c r="AG40" s="63" t="b">
        <v>0</v>
      </c>
      <c r="AH40" s="62"/>
      <c r="AI40" s="64">
        <f t="shared" si="7"/>
        <v>37476</v>
      </c>
      <c r="AJ40" s="65" t="str">
        <f t="shared" si="8"/>
        <v>IND</v>
      </c>
      <c r="AK40" s="66" t="str">
        <f t="shared" si="9"/>
        <v>GAIN</v>
      </c>
      <c r="AL40" s="67" t="e">
        <f t="shared" ca="1" si="10"/>
        <v>#NAME?</v>
      </c>
      <c r="AM40" s="68">
        <f t="shared" si="11"/>
        <v>507</v>
      </c>
      <c r="AN40" s="69">
        <f t="shared" si="12"/>
        <v>1.3528658341338429E-2</v>
      </c>
      <c r="AO40" s="62"/>
      <c r="AP40" s="70">
        <f t="shared" ref="AP40:AT40" si="121">H40/$AI40</f>
        <v>0.34144519158928383</v>
      </c>
      <c r="AQ40" s="70">
        <f t="shared" si="121"/>
        <v>0.1127921869996798</v>
      </c>
      <c r="AR40" s="70">
        <f t="shared" si="121"/>
        <v>6.5268438467285736E-2</v>
      </c>
      <c r="AS40" s="70">
        <f t="shared" si="121"/>
        <v>3.4742235030419469E-2</v>
      </c>
      <c r="AT40" s="70">
        <f t="shared" si="121"/>
        <v>6.5108336001707762E-2</v>
      </c>
      <c r="AU40" s="70"/>
      <c r="AV40" s="70"/>
      <c r="AW40" s="71">
        <f t="shared" si="14"/>
        <v>0.38064361191162344</v>
      </c>
      <c r="AX40" s="70">
        <f t="shared" ref="AX40:BG40" si="122">O40/$AI40</f>
        <v>0.35497384993062225</v>
      </c>
      <c r="AY40" s="70">
        <f t="shared" si="122"/>
        <v>0</v>
      </c>
      <c r="AZ40" s="70">
        <f t="shared" si="122"/>
        <v>0</v>
      </c>
      <c r="BA40" s="70">
        <f t="shared" si="122"/>
        <v>0</v>
      </c>
      <c r="BB40" s="70">
        <f t="shared" si="122"/>
        <v>0</v>
      </c>
      <c r="BC40" s="70">
        <f t="shared" si="122"/>
        <v>0</v>
      </c>
      <c r="BD40" s="70">
        <f t="shared" si="122"/>
        <v>0</v>
      </c>
      <c r="BE40" s="70">
        <f t="shared" si="122"/>
        <v>0</v>
      </c>
      <c r="BF40" s="70">
        <f t="shared" si="122"/>
        <v>0</v>
      </c>
      <c r="BG40" s="70">
        <f t="shared" si="122"/>
        <v>0</v>
      </c>
      <c r="BH40" s="70">
        <f t="shared" si="16"/>
        <v>2.5669761981001182E-2</v>
      </c>
      <c r="BI40" s="62"/>
      <c r="BJ40" s="69">
        <v>0.68</v>
      </c>
      <c r="BK40" s="69">
        <v>0.20399999999999999</v>
      </c>
      <c r="BL40" s="69">
        <v>2.8000000000000001E-2</v>
      </c>
      <c r="BM40" s="69">
        <v>6.5000000000000002E-2</v>
      </c>
      <c r="BN40" s="69">
        <v>1.9E-2</v>
      </c>
      <c r="BO40" s="69">
        <v>0</v>
      </c>
      <c r="BP40" s="69">
        <v>0</v>
      </c>
      <c r="BQ40" s="69">
        <v>3.0000000000000001E-3</v>
      </c>
      <c r="BR40" s="62"/>
      <c r="BS40" s="72">
        <f t="shared" ref="BS40:BW40" si="123">AP40-BJ40</f>
        <v>-0.33855480841071622</v>
      </c>
      <c r="BT40" s="72">
        <f t="shared" si="123"/>
        <v>-9.1207813000320187E-2</v>
      </c>
      <c r="BU40" s="72">
        <f t="shared" si="123"/>
        <v>3.7268438467285739E-2</v>
      </c>
      <c r="BV40" s="72">
        <f t="shared" si="123"/>
        <v>-3.0257764969580533E-2</v>
      </c>
      <c r="BW40" s="72">
        <f t="shared" si="123"/>
        <v>4.6108336001707759E-2</v>
      </c>
      <c r="BX40" s="72"/>
      <c r="BY40" s="72"/>
      <c r="BZ40" s="72">
        <f t="shared" si="18"/>
        <v>0.37764361191162343</v>
      </c>
    </row>
    <row r="41" spans="1:78" ht="13.15">
      <c r="A41" s="78" t="s">
        <v>5</v>
      </c>
      <c r="B41" s="74" t="s">
        <v>123</v>
      </c>
      <c r="C41" s="75" t="s">
        <v>124</v>
      </c>
      <c r="D41" s="75" t="s">
        <v>47</v>
      </c>
      <c r="E41" s="76"/>
      <c r="F41" s="59"/>
      <c r="G41" s="60"/>
      <c r="H41" s="77">
        <v>17371</v>
      </c>
      <c r="I41" s="77">
        <v>5834</v>
      </c>
      <c r="J41" s="77">
        <v>5732</v>
      </c>
      <c r="K41" s="77">
        <v>2324</v>
      </c>
      <c r="L41" s="77">
        <v>4320</v>
      </c>
      <c r="M41" s="77"/>
      <c r="N41" s="77"/>
      <c r="O41" s="77">
        <v>2842</v>
      </c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62"/>
      <c r="AF41" s="63" t="b">
        <v>0</v>
      </c>
      <c r="AG41" s="63" t="b">
        <v>0</v>
      </c>
      <c r="AH41" s="62"/>
      <c r="AI41" s="64">
        <f t="shared" si="7"/>
        <v>38423</v>
      </c>
      <c r="AJ41" s="65" t="str">
        <f t="shared" si="8"/>
        <v>LAB</v>
      </c>
      <c r="AK41" s="66" t="str">
        <f t="shared" si="9"/>
        <v>HOLD</v>
      </c>
      <c r="AL41" s="67" t="e">
        <f t="shared" ca="1" si="10"/>
        <v>#NAME?</v>
      </c>
      <c r="AM41" s="68">
        <f t="shared" si="11"/>
        <v>11537</v>
      </c>
      <c r="AN41" s="69">
        <f t="shared" si="12"/>
        <v>0.3002628633891159</v>
      </c>
      <c r="AO41" s="62"/>
      <c r="AP41" s="70">
        <f t="shared" ref="AP41:AT41" si="124">H41/$AI41</f>
        <v>0.45209900320120761</v>
      </c>
      <c r="AQ41" s="70">
        <f t="shared" si="124"/>
        <v>0.15183613981209171</v>
      </c>
      <c r="AR41" s="70">
        <f t="shared" si="124"/>
        <v>0.1491814798428025</v>
      </c>
      <c r="AS41" s="70">
        <f t="shared" si="124"/>
        <v>6.0484605574785938E-2</v>
      </c>
      <c r="AT41" s="70">
        <f t="shared" si="124"/>
        <v>0.11243265752283789</v>
      </c>
      <c r="AU41" s="70"/>
      <c r="AV41" s="70"/>
      <c r="AW41" s="71">
        <f t="shared" si="14"/>
        <v>7.3966114046274289E-2</v>
      </c>
      <c r="AX41" s="70">
        <f t="shared" ref="AX41:BG41" si="125">O41/$AI41</f>
        <v>7.3966114046274373E-2</v>
      </c>
      <c r="AY41" s="70">
        <f t="shared" si="125"/>
        <v>0</v>
      </c>
      <c r="AZ41" s="70">
        <f t="shared" si="125"/>
        <v>0</v>
      </c>
      <c r="BA41" s="70">
        <f t="shared" si="125"/>
        <v>0</v>
      </c>
      <c r="BB41" s="70">
        <f t="shared" si="125"/>
        <v>0</v>
      </c>
      <c r="BC41" s="70">
        <f t="shared" si="125"/>
        <v>0</v>
      </c>
      <c r="BD41" s="70">
        <f t="shared" si="125"/>
        <v>0</v>
      </c>
      <c r="BE41" s="70">
        <f t="shared" si="125"/>
        <v>0</v>
      </c>
      <c r="BF41" s="70">
        <f t="shared" si="125"/>
        <v>0</v>
      </c>
      <c r="BG41" s="70">
        <f t="shared" si="125"/>
        <v>0</v>
      </c>
      <c r="BH41" s="70">
        <f t="shared" si="16"/>
        <v>0</v>
      </c>
      <c r="BI41" s="62"/>
      <c r="BJ41" s="69">
        <v>0.55700000000000005</v>
      </c>
      <c r="BK41" s="69">
        <v>0.316</v>
      </c>
      <c r="BL41" s="69">
        <v>2.7E-2</v>
      </c>
      <c r="BM41" s="69">
        <v>6.2E-2</v>
      </c>
      <c r="BN41" s="69">
        <v>3.6999999999999998E-2</v>
      </c>
      <c r="BO41" s="69">
        <v>0</v>
      </c>
      <c r="BP41" s="69">
        <v>0</v>
      </c>
      <c r="BQ41" s="69">
        <v>0</v>
      </c>
      <c r="BR41" s="62"/>
      <c r="BS41" s="72">
        <f t="shared" ref="BS41:BW41" si="126">AP41-BJ41</f>
        <v>-0.10490099679879245</v>
      </c>
      <c r="BT41" s="72">
        <f t="shared" si="126"/>
        <v>-0.16416386018790829</v>
      </c>
      <c r="BU41" s="72">
        <f t="shared" si="126"/>
        <v>0.1221814798428025</v>
      </c>
      <c r="BV41" s="72">
        <f t="shared" si="126"/>
        <v>-1.5153944252140616E-3</v>
      </c>
      <c r="BW41" s="72">
        <f t="shared" si="126"/>
        <v>7.5432657522837898E-2</v>
      </c>
      <c r="BX41" s="72"/>
      <c r="BY41" s="72"/>
      <c r="BZ41" s="72">
        <f t="shared" si="18"/>
        <v>7.3966114046274373E-2</v>
      </c>
    </row>
    <row r="42" spans="1:78" ht="13.15">
      <c r="A42" s="78" t="s">
        <v>5</v>
      </c>
      <c r="B42" s="74" t="s">
        <v>125</v>
      </c>
      <c r="C42" s="75" t="s">
        <v>126</v>
      </c>
      <c r="D42" s="75" t="s">
        <v>47</v>
      </c>
      <c r="E42" s="76"/>
      <c r="F42" s="59"/>
      <c r="G42" s="60"/>
      <c r="H42" s="77">
        <v>11275</v>
      </c>
      <c r="I42" s="77">
        <v>3634</v>
      </c>
      <c r="J42" s="77">
        <v>5061</v>
      </c>
      <c r="K42" s="77">
        <v>3634</v>
      </c>
      <c r="L42" s="77">
        <v>1958</v>
      </c>
      <c r="M42" s="77"/>
      <c r="N42" s="77"/>
      <c r="O42" s="77"/>
      <c r="P42" s="77">
        <v>10582</v>
      </c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7"/>
      <c r="AC42" s="77"/>
      <c r="AD42" s="77"/>
      <c r="AE42" s="62"/>
      <c r="AF42" s="63" t="b">
        <v>0</v>
      </c>
      <c r="AG42" s="63" t="b">
        <v>0</v>
      </c>
      <c r="AH42" s="62"/>
      <c r="AI42" s="64">
        <f t="shared" si="7"/>
        <v>36144</v>
      </c>
      <c r="AJ42" s="65" t="str">
        <f t="shared" si="8"/>
        <v>LAB</v>
      </c>
      <c r="AK42" s="66" t="str">
        <f t="shared" si="9"/>
        <v>HOLD</v>
      </c>
      <c r="AL42" s="67" t="e">
        <f t="shared" ca="1" si="10"/>
        <v>#NAME?</v>
      </c>
      <c r="AM42" s="68">
        <f t="shared" si="11"/>
        <v>693</v>
      </c>
      <c r="AN42" s="69">
        <f t="shared" si="12"/>
        <v>1.9173306772908405E-2</v>
      </c>
      <c r="AO42" s="62"/>
      <c r="AP42" s="70">
        <f t="shared" ref="AP42:AT42" si="127">H42/$AI42</f>
        <v>0.3119466578131917</v>
      </c>
      <c r="AQ42" s="70">
        <f t="shared" si="127"/>
        <v>0.10054227534307215</v>
      </c>
      <c r="AR42" s="70">
        <f t="shared" si="127"/>
        <v>0.14002324037184594</v>
      </c>
      <c r="AS42" s="70">
        <f t="shared" si="127"/>
        <v>0.10054227534307215</v>
      </c>
      <c r="AT42" s="70">
        <f t="shared" si="127"/>
        <v>5.4172200088534753E-2</v>
      </c>
      <c r="AU42" s="70"/>
      <c r="AV42" s="70"/>
      <c r="AW42" s="71">
        <f t="shared" si="14"/>
        <v>0.29277335104028335</v>
      </c>
      <c r="AX42" s="70">
        <f t="shared" ref="AX42:BG42" si="128">O42/$AI42</f>
        <v>0</v>
      </c>
      <c r="AY42" s="70">
        <f t="shared" si="128"/>
        <v>0.29277335104028329</v>
      </c>
      <c r="AZ42" s="70">
        <f t="shared" si="128"/>
        <v>0</v>
      </c>
      <c r="BA42" s="70">
        <f t="shared" si="128"/>
        <v>0</v>
      </c>
      <c r="BB42" s="70">
        <f t="shared" si="128"/>
        <v>0</v>
      </c>
      <c r="BC42" s="70">
        <f t="shared" si="128"/>
        <v>0</v>
      </c>
      <c r="BD42" s="70">
        <f t="shared" si="128"/>
        <v>0</v>
      </c>
      <c r="BE42" s="70">
        <f t="shared" si="128"/>
        <v>0</v>
      </c>
      <c r="BF42" s="70">
        <f t="shared" si="128"/>
        <v>0</v>
      </c>
      <c r="BG42" s="70">
        <f t="shared" si="128"/>
        <v>0</v>
      </c>
      <c r="BH42" s="70">
        <f t="shared" si="16"/>
        <v>0</v>
      </c>
      <c r="BI42" s="62"/>
      <c r="BJ42" s="69">
        <v>0.58099999999999996</v>
      </c>
      <c r="BK42" s="69">
        <v>0.26800000000000002</v>
      </c>
      <c r="BL42" s="69">
        <v>0.05</v>
      </c>
      <c r="BM42" s="69">
        <v>8.8999999999999996E-2</v>
      </c>
      <c r="BN42" s="69">
        <v>1.2E-2</v>
      </c>
      <c r="BO42" s="69">
        <v>0</v>
      </c>
      <c r="BP42" s="69">
        <v>0</v>
      </c>
      <c r="BQ42" s="69">
        <v>0</v>
      </c>
      <c r="BR42" s="62"/>
      <c r="BS42" s="72">
        <f t="shared" ref="BS42:BW42" si="129">AP42-BJ42</f>
        <v>-0.26905334218680826</v>
      </c>
      <c r="BT42" s="72">
        <f t="shared" si="129"/>
        <v>-0.16745772465692788</v>
      </c>
      <c r="BU42" s="72">
        <f t="shared" si="129"/>
        <v>9.0023240371845933E-2</v>
      </c>
      <c r="BV42" s="72">
        <f t="shared" si="129"/>
        <v>1.1542275343072159E-2</v>
      </c>
      <c r="BW42" s="72">
        <f t="shared" si="129"/>
        <v>4.2172200088534756E-2</v>
      </c>
      <c r="BX42" s="72"/>
      <c r="BY42" s="72"/>
      <c r="BZ42" s="72">
        <f t="shared" si="18"/>
        <v>0.29277335104028329</v>
      </c>
    </row>
    <row r="43" spans="1:78" ht="13.15">
      <c r="A43" s="73" t="s">
        <v>6</v>
      </c>
      <c r="B43" s="74" t="s">
        <v>127</v>
      </c>
      <c r="C43" s="75" t="s">
        <v>128</v>
      </c>
      <c r="D43" s="75" t="s">
        <v>129</v>
      </c>
      <c r="E43" s="76"/>
      <c r="F43" s="59"/>
      <c r="G43" s="60"/>
      <c r="H43" s="77">
        <v>17036</v>
      </c>
      <c r="I43" s="77">
        <v>10364</v>
      </c>
      <c r="J43" s="77">
        <v>9466</v>
      </c>
      <c r="K43" s="77">
        <v>1373</v>
      </c>
      <c r="L43" s="77">
        <v>1857</v>
      </c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>
        <v>331</v>
      </c>
      <c r="Z43" s="77"/>
      <c r="AA43" s="77"/>
      <c r="AB43" s="77"/>
      <c r="AC43" s="77"/>
      <c r="AD43" s="77"/>
      <c r="AE43" s="62"/>
      <c r="AF43" s="63" t="b">
        <v>0</v>
      </c>
      <c r="AG43" s="63" t="b">
        <v>0</v>
      </c>
      <c r="AH43" s="62"/>
      <c r="AI43" s="64">
        <f t="shared" si="7"/>
        <v>40427</v>
      </c>
      <c r="AJ43" s="65" t="str">
        <f t="shared" si="8"/>
        <v>LAB</v>
      </c>
      <c r="AK43" s="66" t="str">
        <f t="shared" si="9"/>
        <v>GAIN</v>
      </c>
      <c r="AL43" s="67" t="e">
        <f t="shared" ca="1" si="10"/>
        <v>#NAME?</v>
      </c>
      <c r="AM43" s="68">
        <f t="shared" si="11"/>
        <v>6672</v>
      </c>
      <c r="AN43" s="69">
        <f t="shared" si="12"/>
        <v>0.1650382170331709</v>
      </c>
      <c r="AO43" s="62"/>
      <c r="AP43" s="70">
        <f t="shared" ref="AP43:AT43" si="130">H43/$AI43</f>
        <v>0.42140153857570434</v>
      </c>
      <c r="AQ43" s="70">
        <f t="shared" si="130"/>
        <v>0.25636332154253344</v>
      </c>
      <c r="AR43" s="70">
        <f t="shared" si="130"/>
        <v>0.23415044401019122</v>
      </c>
      <c r="AS43" s="70">
        <f t="shared" si="130"/>
        <v>3.3962450837311697E-2</v>
      </c>
      <c r="AT43" s="70">
        <f t="shared" si="130"/>
        <v>4.5934647636480572E-2</v>
      </c>
      <c r="AU43" s="70"/>
      <c r="AV43" s="70"/>
      <c r="AW43" s="71">
        <f t="shared" si="14"/>
        <v>8.1875973977787453E-3</v>
      </c>
      <c r="AX43" s="70">
        <f t="shared" ref="AX43:BG43" si="131">O43/$AI43</f>
        <v>0</v>
      </c>
      <c r="AY43" s="70">
        <f t="shared" si="131"/>
        <v>0</v>
      </c>
      <c r="AZ43" s="70">
        <f t="shared" si="131"/>
        <v>0</v>
      </c>
      <c r="BA43" s="70">
        <f t="shared" si="131"/>
        <v>0</v>
      </c>
      <c r="BB43" s="70">
        <f t="shared" si="131"/>
        <v>0</v>
      </c>
      <c r="BC43" s="70">
        <f t="shared" si="131"/>
        <v>0</v>
      </c>
      <c r="BD43" s="70">
        <f t="shared" si="131"/>
        <v>0</v>
      </c>
      <c r="BE43" s="70">
        <f t="shared" si="131"/>
        <v>0</v>
      </c>
      <c r="BF43" s="70">
        <f t="shared" si="131"/>
        <v>0</v>
      </c>
      <c r="BG43" s="70">
        <f t="shared" si="131"/>
        <v>0</v>
      </c>
      <c r="BH43" s="70">
        <f t="shared" si="16"/>
        <v>8.1875973977787453E-3</v>
      </c>
      <c r="BI43" s="62"/>
      <c r="BJ43" s="69">
        <v>0.36599999999999999</v>
      </c>
      <c r="BK43" s="69">
        <v>0.53</v>
      </c>
      <c r="BL43" s="69">
        <v>5.5E-2</v>
      </c>
      <c r="BM43" s="69">
        <v>3.5999999999999997E-2</v>
      </c>
      <c r="BN43" s="69">
        <v>6.0000000000000001E-3</v>
      </c>
      <c r="BO43" s="69">
        <v>0</v>
      </c>
      <c r="BP43" s="69">
        <v>0</v>
      </c>
      <c r="BQ43" s="69">
        <v>7.0000000000000001E-3</v>
      </c>
      <c r="BR43" s="62"/>
      <c r="BS43" s="72">
        <f t="shared" ref="BS43:BW43" si="132">AP43-BJ43</f>
        <v>5.5401538575704345E-2</v>
      </c>
      <c r="BT43" s="72">
        <f t="shared" si="132"/>
        <v>-0.27363667845746659</v>
      </c>
      <c r="BU43" s="72">
        <f t="shared" si="132"/>
        <v>0.17915044401019123</v>
      </c>
      <c r="BV43" s="72">
        <f t="shared" si="132"/>
        <v>-2.0375491626882999E-3</v>
      </c>
      <c r="BW43" s="72">
        <f t="shared" si="132"/>
        <v>3.9934647636480573E-2</v>
      </c>
      <c r="BX43" s="72"/>
      <c r="BY43" s="72"/>
      <c r="BZ43" s="72">
        <f t="shared" si="18"/>
        <v>1.1875973977787451E-3</v>
      </c>
    </row>
    <row r="44" spans="1:78" ht="13.15">
      <c r="A44" s="78" t="s">
        <v>5</v>
      </c>
      <c r="B44" s="74" t="s">
        <v>130</v>
      </c>
      <c r="C44" s="75" t="s">
        <v>131</v>
      </c>
      <c r="D44" s="75" t="s">
        <v>50</v>
      </c>
      <c r="E44" s="76"/>
      <c r="F44" s="59"/>
      <c r="G44" s="60"/>
      <c r="H44" s="77">
        <v>10386</v>
      </c>
      <c r="I44" s="77">
        <v>3474</v>
      </c>
      <c r="J44" s="77">
        <v>4844</v>
      </c>
      <c r="K44" s="77">
        <v>689</v>
      </c>
      <c r="L44" s="77">
        <v>1416</v>
      </c>
      <c r="M44" s="77"/>
      <c r="N44" s="77"/>
      <c r="O44" s="77">
        <v>10518</v>
      </c>
      <c r="P44" s="77">
        <v>7105</v>
      </c>
      <c r="Q44" s="77"/>
      <c r="R44" s="77"/>
      <c r="S44" s="77"/>
      <c r="T44" s="77"/>
      <c r="U44" s="77"/>
      <c r="V44" s="77"/>
      <c r="W44" s="77"/>
      <c r="X44" s="77"/>
      <c r="Y44" s="77">
        <v>369</v>
      </c>
      <c r="Z44" s="77">
        <v>86</v>
      </c>
      <c r="AA44" s="77"/>
      <c r="AB44" s="77"/>
      <c r="AC44" s="77"/>
      <c r="AD44" s="77"/>
      <c r="AE44" s="62"/>
      <c r="AF44" s="63" t="b">
        <v>0</v>
      </c>
      <c r="AG44" s="63" t="b">
        <v>0</v>
      </c>
      <c r="AH44" s="62"/>
      <c r="AI44" s="64">
        <f t="shared" si="7"/>
        <v>38887</v>
      </c>
      <c r="AJ44" s="65" t="str">
        <f t="shared" si="8"/>
        <v>IND</v>
      </c>
      <c r="AK44" s="66" t="str">
        <f t="shared" si="9"/>
        <v>GAIN</v>
      </c>
      <c r="AL44" s="67" t="e">
        <f t="shared" ca="1" si="10"/>
        <v>#NAME?</v>
      </c>
      <c r="AM44" s="68">
        <f t="shared" si="11"/>
        <v>132</v>
      </c>
      <c r="AN44" s="69">
        <f t="shared" si="12"/>
        <v>3.394450587599962E-3</v>
      </c>
      <c r="AO44" s="62"/>
      <c r="AP44" s="70">
        <f t="shared" ref="AP44:AT44" si="133">H44/$AI44</f>
        <v>0.26708154396070666</v>
      </c>
      <c r="AQ44" s="70">
        <f t="shared" si="133"/>
        <v>8.93357677372901E-2</v>
      </c>
      <c r="AR44" s="70">
        <f t="shared" si="133"/>
        <v>0.12456605035101705</v>
      </c>
      <c r="AS44" s="70">
        <f t="shared" si="133"/>
        <v>1.7718003445881658E-2</v>
      </c>
      <c r="AT44" s="70">
        <f t="shared" si="133"/>
        <v>3.6413197212436035E-2</v>
      </c>
      <c r="AU44" s="70"/>
      <c r="AV44" s="70"/>
      <c r="AW44" s="71">
        <f t="shared" si="14"/>
        <v>0.46488543729266851</v>
      </c>
      <c r="AX44" s="70">
        <f t="shared" ref="AX44:BG44" si="134">O44/$AI44</f>
        <v>0.27047599454830662</v>
      </c>
      <c r="AY44" s="70">
        <f t="shared" si="134"/>
        <v>0.18270887443104381</v>
      </c>
      <c r="AZ44" s="70">
        <f t="shared" si="134"/>
        <v>0</v>
      </c>
      <c r="BA44" s="70">
        <f t="shared" si="134"/>
        <v>0</v>
      </c>
      <c r="BB44" s="70">
        <f t="shared" si="134"/>
        <v>0</v>
      </c>
      <c r="BC44" s="70">
        <f t="shared" si="134"/>
        <v>0</v>
      </c>
      <c r="BD44" s="70">
        <f t="shared" si="134"/>
        <v>0</v>
      </c>
      <c r="BE44" s="70">
        <f t="shared" si="134"/>
        <v>0</v>
      </c>
      <c r="BF44" s="70">
        <f t="shared" si="134"/>
        <v>0</v>
      </c>
      <c r="BG44" s="70">
        <f t="shared" si="134"/>
        <v>0</v>
      </c>
      <c r="BH44" s="70">
        <f t="shared" si="16"/>
        <v>1.1700568313318116E-2</v>
      </c>
      <c r="BI44" s="62"/>
      <c r="BJ44" s="69">
        <v>0.66</v>
      </c>
      <c r="BK44" s="69">
        <v>0.23300000000000001</v>
      </c>
      <c r="BL44" s="69">
        <v>5.8999999999999997E-2</v>
      </c>
      <c r="BM44" s="69">
        <v>2.4E-2</v>
      </c>
      <c r="BN44" s="69">
        <v>1.6E-2</v>
      </c>
      <c r="BO44" s="69">
        <v>0</v>
      </c>
      <c r="BP44" s="69">
        <v>0</v>
      </c>
      <c r="BQ44" s="69">
        <v>7.0000000000000001E-3</v>
      </c>
      <c r="BR44" s="62"/>
      <c r="BS44" s="72">
        <f t="shared" ref="BS44:BW44" si="135">AP44-BJ44</f>
        <v>-0.39291845603929337</v>
      </c>
      <c r="BT44" s="72">
        <f t="shared" si="135"/>
        <v>-0.14366423226270991</v>
      </c>
      <c r="BU44" s="72">
        <f t="shared" si="135"/>
        <v>6.5566050351017049E-2</v>
      </c>
      <c r="BV44" s="72">
        <f t="shared" si="135"/>
        <v>-6.281996554118343E-3</v>
      </c>
      <c r="BW44" s="72">
        <f t="shared" si="135"/>
        <v>2.0413197212436035E-2</v>
      </c>
      <c r="BX44" s="72"/>
      <c r="BY44" s="72"/>
      <c r="BZ44" s="72">
        <f t="shared" si="18"/>
        <v>0.45788543729266851</v>
      </c>
    </row>
    <row r="45" spans="1:78" ht="13.15">
      <c r="A45" s="78" t="s">
        <v>5</v>
      </c>
      <c r="B45" s="74" t="s">
        <v>132</v>
      </c>
      <c r="C45" s="75" t="s">
        <v>133</v>
      </c>
      <c r="D45" s="75" t="s">
        <v>50</v>
      </c>
      <c r="E45" s="76"/>
      <c r="F45" s="59"/>
      <c r="G45" s="60"/>
      <c r="H45" s="77">
        <v>16864</v>
      </c>
      <c r="I45" s="77">
        <v>3073</v>
      </c>
      <c r="J45" s="77">
        <v>6614</v>
      </c>
      <c r="K45" s="77">
        <v>1592</v>
      </c>
      <c r="L45" s="77">
        <v>3197</v>
      </c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7"/>
      <c r="AC45" s="77"/>
      <c r="AD45" s="77"/>
      <c r="AE45" s="62"/>
      <c r="AF45" s="63" t="b">
        <v>0</v>
      </c>
      <c r="AG45" s="63" t="b">
        <v>0</v>
      </c>
      <c r="AH45" s="62"/>
      <c r="AI45" s="64">
        <f t="shared" si="7"/>
        <v>31340</v>
      </c>
      <c r="AJ45" s="65" t="str">
        <f t="shared" si="8"/>
        <v>LAB</v>
      </c>
      <c r="AK45" s="66" t="str">
        <f t="shared" si="9"/>
        <v>HOLD</v>
      </c>
      <c r="AL45" s="67" t="e">
        <f t="shared" ca="1" si="10"/>
        <v>#NAME?</v>
      </c>
      <c r="AM45" s="68">
        <f t="shared" si="11"/>
        <v>10250</v>
      </c>
      <c r="AN45" s="69">
        <f t="shared" si="12"/>
        <v>0.32705807275047866</v>
      </c>
      <c r="AO45" s="62"/>
      <c r="AP45" s="70">
        <f t="shared" ref="AP45:AT45" si="136">H45/$AI45</f>
        <v>0.53809827696234847</v>
      </c>
      <c r="AQ45" s="70">
        <f t="shared" si="136"/>
        <v>9.805360561582642E-2</v>
      </c>
      <c r="AR45" s="70">
        <f t="shared" si="136"/>
        <v>0.21104020421186981</v>
      </c>
      <c r="AS45" s="70">
        <f t="shared" si="136"/>
        <v>5.0797702616464581E-2</v>
      </c>
      <c r="AT45" s="70">
        <f t="shared" si="136"/>
        <v>0.10201021059349075</v>
      </c>
      <c r="AU45" s="70"/>
      <c r="AV45" s="70"/>
      <c r="AW45" s="71">
        <f t="shared" si="14"/>
        <v>0</v>
      </c>
      <c r="AX45" s="70">
        <f t="shared" ref="AX45:BG45" si="137">O45/$AI45</f>
        <v>0</v>
      </c>
      <c r="AY45" s="70">
        <f t="shared" si="137"/>
        <v>0</v>
      </c>
      <c r="AZ45" s="70">
        <f t="shared" si="137"/>
        <v>0</v>
      </c>
      <c r="BA45" s="70">
        <f t="shared" si="137"/>
        <v>0</v>
      </c>
      <c r="BB45" s="70">
        <f t="shared" si="137"/>
        <v>0</v>
      </c>
      <c r="BC45" s="70">
        <f t="shared" si="137"/>
        <v>0</v>
      </c>
      <c r="BD45" s="70">
        <f t="shared" si="137"/>
        <v>0</v>
      </c>
      <c r="BE45" s="70">
        <f t="shared" si="137"/>
        <v>0</v>
      </c>
      <c r="BF45" s="70">
        <f t="shared" si="137"/>
        <v>0</v>
      </c>
      <c r="BG45" s="70">
        <f t="shared" si="137"/>
        <v>0</v>
      </c>
      <c r="BH45" s="70">
        <f t="shared" si="16"/>
        <v>0</v>
      </c>
      <c r="BI45" s="62"/>
      <c r="BJ45" s="69">
        <v>0.59</v>
      </c>
      <c r="BK45" s="69">
        <v>0.28199999999999997</v>
      </c>
      <c r="BL45" s="69">
        <v>7.6999999999999999E-2</v>
      </c>
      <c r="BM45" s="69">
        <v>0.03</v>
      </c>
      <c r="BN45" s="69">
        <v>0.02</v>
      </c>
      <c r="BO45" s="69">
        <v>0</v>
      </c>
      <c r="BP45" s="69">
        <v>0</v>
      </c>
      <c r="BQ45" s="69">
        <v>0</v>
      </c>
      <c r="BR45" s="62"/>
      <c r="BS45" s="72">
        <f t="shared" ref="BS45:BW45" si="138">AP45-BJ45</f>
        <v>-5.1901723037651504E-2</v>
      </c>
      <c r="BT45" s="72">
        <f t="shared" si="138"/>
        <v>-0.18394639438417354</v>
      </c>
      <c r="BU45" s="72">
        <f t="shared" si="138"/>
        <v>0.1340402042118698</v>
      </c>
      <c r="BV45" s="72">
        <f t="shared" si="138"/>
        <v>2.0797702616464582E-2</v>
      </c>
      <c r="BW45" s="72">
        <f t="shared" si="138"/>
        <v>8.2010210593490743E-2</v>
      </c>
      <c r="BX45" s="72"/>
      <c r="BY45" s="72"/>
      <c r="BZ45" s="72">
        <f t="shared" si="18"/>
        <v>0</v>
      </c>
    </row>
    <row r="46" spans="1:78" ht="13.15">
      <c r="A46" s="73" t="s">
        <v>6</v>
      </c>
      <c r="B46" s="74" t="s">
        <v>134</v>
      </c>
      <c r="C46" s="75" t="s">
        <v>135</v>
      </c>
      <c r="D46" s="75" t="s">
        <v>50</v>
      </c>
      <c r="E46" s="76"/>
      <c r="F46" s="59"/>
      <c r="G46" s="60"/>
      <c r="H46" s="77">
        <v>16744</v>
      </c>
      <c r="I46" s="77">
        <v>12097</v>
      </c>
      <c r="J46" s="77">
        <v>9913</v>
      </c>
      <c r="K46" s="77">
        <v>1318</v>
      </c>
      <c r="L46" s="77">
        <v>1269</v>
      </c>
      <c r="M46" s="77"/>
      <c r="N46" s="77"/>
      <c r="O46" s="77">
        <v>148</v>
      </c>
      <c r="P46" s="77">
        <v>147</v>
      </c>
      <c r="Q46" s="77"/>
      <c r="R46" s="77"/>
      <c r="S46" s="77"/>
      <c r="T46" s="77"/>
      <c r="U46" s="77"/>
      <c r="V46" s="77"/>
      <c r="W46" s="77"/>
      <c r="X46" s="77"/>
      <c r="Y46" s="77">
        <v>174</v>
      </c>
      <c r="Z46" s="77"/>
      <c r="AA46" s="77"/>
      <c r="AB46" s="77"/>
      <c r="AC46" s="77"/>
      <c r="AD46" s="77"/>
      <c r="AE46" s="62"/>
      <c r="AF46" s="63" t="b">
        <v>0</v>
      </c>
      <c r="AG46" s="63" t="b">
        <v>0</v>
      </c>
      <c r="AH46" s="62"/>
      <c r="AI46" s="64">
        <f t="shared" si="7"/>
        <v>41810</v>
      </c>
      <c r="AJ46" s="65" t="str">
        <f t="shared" si="8"/>
        <v>LAB</v>
      </c>
      <c r="AK46" s="66" t="str">
        <f t="shared" si="9"/>
        <v>GAIN</v>
      </c>
      <c r="AL46" s="67" t="e">
        <f t="shared" ca="1" si="10"/>
        <v>#NAME?</v>
      </c>
      <c r="AM46" s="68">
        <f t="shared" si="11"/>
        <v>4647</v>
      </c>
      <c r="AN46" s="69">
        <f t="shared" si="12"/>
        <v>0.11114565893326955</v>
      </c>
      <c r="AO46" s="62"/>
      <c r="AP46" s="70">
        <f t="shared" ref="AP46:AT46" si="139">H46/$AI46</f>
        <v>0.40047835446065533</v>
      </c>
      <c r="AQ46" s="70">
        <f t="shared" si="139"/>
        <v>0.28933269552738577</v>
      </c>
      <c r="AR46" s="70">
        <f t="shared" si="139"/>
        <v>0.23709638842382205</v>
      </c>
      <c r="AS46" s="70">
        <f t="shared" si="139"/>
        <v>3.1523558957187274E-2</v>
      </c>
      <c r="AT46" s="70">
        <f t="shared" si="139"/>
        <v>3.035159052858168E-2</v>
      </c>
      <c r="AU46" s="70"/>
      <c r="AV46" s="70"/>
      <c r="AW46" s="71">
        <f t="shared" si="14"/>
        <v>1.1217412102367819E-2</v>
      </c>
      <c r="AX46" s="70">
        <f t="shared" ref="AX46:BG46" si="140">O46/$AI46</f>
        <v>3.5398230088495575E-3</v>
      </c>
      <c r="AY46" s="70">
        <f t="shared" si="140"/>
        <v>3.5159052858167901E-3</v>
      </c>
      <c r="AZ46" s="70">
        <f t="shared" si="140"/>
        <v>0</v>
      </c>
      <c r="BA46" s="70">
        <f t="shared" si="140"/>
        <v>0</v>
      </c>
      <c r="BB46" s="70">
        <f t="shared" si="140"/>
        <v>0</v>
      </c>
      <c r="BC46" s="70">
        <f t="shared" si="140"/>
        <v>0</v>
      </c>
      <c r="BD46" s="70">
        <f t="shared" si="140"/>
        <v>0</v>
      </c>
      <c r="BE46" s="70">
        <f t="shared" si="140"/>
        <v>0</v>
      </c>
      <c r="BF46" s="70">
        <f t="shared" si="140"/>
        <v>0</v>
      </c>
      <c r="BG46" s="70">
        <f t="shared" si="140"/>
        <v>0</v>
      </c>
      <c r="BH46" s="70">
        <f t="shared" si="16"/>
        <v>4.161683807701471E-3</v>
      </c>
      <c r="BI46" s="62"/>
      <c r="BJ46" s="69">
        <v>0.35599999999999998</v>
      </c>
      <c r="BK46" s="69">
        <v>0.55800000000000005</v>
      </c>
      <c r="BL46" s="69">
        <v>1.7000000000000001E-2</v>
      </c>
      <c r="BM46" s="69">
        <v>0.04</v>
      </c>
      <c r="BN46" s="69">
        <v>1.9E-2</v>
      </c>
      <c r="BO46" s="69">
        <v>0</v>
      </c>
      <c r="BP46" s="69">
        <v>0</v>
      </c>
      <c r="BQ46" s="69">
        <v>8.9999999999999993E-3</v>
      </c>
      <c r="BR46" s="62"/>
      <c r="BS46" s="72">
        <f t="shared" ref="BS46:BW46" si="141">AP46-BJ46</f>
        <v>4.4478354460655345E-2</v>
      </c>
      <c r="BT46" s="72">
        <f t="shared" si="141"/>
        <v>-0.26866730447261428</v>
      </c>
      <c r="BU46" s="72">
        <f t="shared" si="141"/>
        <v>0.22009638842382206</v>
      </c>
      <c r="BV46" s="72">
        <f t="shared" si="141"/>
        <v>-8.4764410428127268E-3</v>
      </c>
      <c r="BW46" s="72">
        <f t="shared" si="141"/>
        <v>1.135159052858168E-2</v>
      </c>
      <c r="BX46" s="72"/>
      <c r="BY46" s="72"/>
      <c r="BZ46" s="72">
        <f t="shared" si="18"/>
        <v>2.2174121023678193E-3</v>
      </c>
    </row>
    <row r="47" spans="1:78" ht="13.15">
      <c r="A47" s="73" t="s">
        <v>6</v>
      </c>
      <c r="B47" s="74" t="s">
        <v>136</v>
      </c>
      <c r="C47" s="75" t="s">
        <v>137</v>
      </c>
      <c r="D47" s="75" t="s">
        <v>50</v>
      </c>
      <c r="E47" s="76">
        <v>77476</v>
      </c>
      <c r="F47" s="59">
        <v>0.45400000000000001</v>
      </c>
      <c r="G47" s="60"/>
      <c r="H47" s="77">
        <v>16916</v>
      </c>
      <c r="I47" s="77">
        <v>5504</v>
      </c>
      <c r="J47" s="77">
        <v>10068</v>
      </c>
      <c r="K47" s="77">
        <v>1041</v>
      </c>
      <c r="L47" s="77">
        <v>1207</v>
      </c>
      <c r="M47" s="77"/>
      <c r="N47" s="77"/>
      <c r="O47" s="77">
        <v>261</v>
      </c>
      <c r="P47" s="77"/>
      <c r="Q47" s="77"/>
      <c r="R47" s="77"/>
      <c r="S47" s="77"/>
      <c r="T47" s="77"/>
      <c r="U47" s="77"/>
      <c r="V47" s="77"/>
      <c r="W47" s="77"/>
      <c r="X47" s="77"/>
      <c r="Y47" s="77">
        <v>183</v>
      </c>
      <c r="Z47" s="77"/>
      <c r="AA47" s="77"/>
      <c r="AB47" s="77"/>
      <c r="AC47" s="77"/>
      <c r="AD47" s="77"/>
      <c r="AE47" s="62"/>
      <c r="AF47" s="63" t="b">
        <v>0</v>
      </c>
      <c r="AG47" s="63" t="b">
        <v>0</v>
      </c>
      <c r="AH47" s="62"/>
      <c r="AI47" s="64">
        <f t="shared" si="7"/>
        <v>35180</v>
      </c>
      <c r="AJ47" s="65" t="str">
        <f t="shared" si="8"/>
        <v>LAB</v>
      </c>
      <c r="AK47" s="66" t="str">
        <f t="shared" si="9"/>
        <v>GAIN</v>
      </c>
      <c r="AL47" s="67" t="e">
        <f t="shared" ca="1" si="10"/>
        <v>#NAME?</v>
      </c>
      <c r="AM47" s="68">
        <f t="shared" si="11"/>
        <v>6848</v>
      </c>
      <c r="AN47" s="69">
        <f t="shared" si="12"/>
        <v>0.1946560545764639</v>
      </c>
      <c r="AO47" s="62"/>
      <c r="AP47" s="70">
        <f t="shared" ref="AP47:AT47" si="142">H47/$AI47</f>
        <v>0.48084138715179081</v>
      </c>
      <c r="AQ47" s="70">
        <f t="shared" si="142"/>
        <v>0.15645252984650371</v>
      </c>
      <c r="AR47" s="70">
        <f t="shared" si="142"/>
        <v>0.28618533257532691</v>
      </c>
      <c r="AS47" s="70">
        <f t="shared" si="142"/>
        <v>2.9590676520750425E-2</v>
      </c>
      <c r="AT47" s="70">
        <f t="shared" si="142"/>
        <v>3.4309266628766343E-2</v>
      </c>
      <c r="AU47" s="70"/>
      <c r="AV47" s="70"/>
      <c r="AW47" s="71">
        <f t="shared" si="14"/>
        <v>1.2620807276861767E-2</v>
      </c>
      <c r="AX47" s="70">
        <f t="shared" ref="AX47:BG47" si="143">O47/$AI47</f>
        <v>7.4189880613985222E-3</v>
      </c>
      <c r="AY47" s="70">
        <f t="shared" si="143"/>
        <v>0</v>
      </c>
      <c r="AZ47" s="70">
        <f t="shared" si="143"/>
        <v>0</v>
      </c>
      <c r="BA47" s="70">
        <f t="shared" si="143"/>
        <v>0</v>
      </c>
      <c r="BB47" s="70">
        <f t="shared" si="143"/>
        <v>0</v>
      </c>
      <c r="BC47" s="70">
        <f t="shared" si="143"/>
        <v>0</v>
      </c>
      <c r="BD47" s="70">
        <f t="shared" si="143"/>
        <v>0</v>
      </c>
      <c r="BE47" s="70">
        <f t="shared" si="143"/>
        <v>0</v>
      </c>
      <c r="BF47" s="70">
        <f t="shared" si="143"/>
        <v>0</v>
      </c>
      <c r="BG47" s="70">
        <f t="shared" si="143"/>
        <v>0</v>
      </c>
      <c r="BH47" s="70">
        <f t="shared" si="16"/>
        <v>5.2018192154632452E-3</v>
      </c>
      <c r="BI47" s="62"/>
      <c r="BJ47" s="69">
        <v>0.40100000000000002</v>
      </c>
      <c r="BK47" s="69">
        <v>0.48799999999999999</v>
      </c>
      <c r="BL47" s="69">
        <v>4.7E-2</v>
      </c>
      <c r="BM47" s="69">
        <v>3.5000000000000003E-2</v>
      </c>
      <c r="BN47" s="69">
        <v>1.9E-2</v>
      </c>
      <c r="BO47" s="69">
        <v>0</v>
      </c>
      <c r="BP47" s="69">
        <v>0</v>
      </c>
      <c r="BQ47" s="69">
        <v>8.9999999999999993E-3</v>
      </c>
      <c r="BR47" s="62"/>
      <c r="BS47" s="72">
        <f t="shared" ref="BS47:BW47" si="144">AP47-BJ47</f>
        <v>7.9841387151790788E-2</v>
      </c>
      <c r="BT47" s="72">
        <f t="shared" si="144"/>
        <v>-0.33154747015349628</v>
      </c>
      <c r="BU47" s="72">
        <f t="shared" si="144"/>
        <v>0.23918533257532693</v>
      </c>
      <c r="BV47" s="72">
        <f t="shared" si="144"/>
        <v>-5.4093234792495781E-3</v>
      </c>
      <c r="BW47" s="72">
        <f t="shared" si="144"/>
        <v>1.5309266628766343E-2</v>
      </c>
      <c r="BX47" s="72"/>
      <c r="BY47" s="72"/>
      <c r="BZ47" s="72">
        <f t="shared" si="18"/>
        <v>3.6208072768617681E-3</v>
      </c>
    </row>
    <row r="48" spans="1:78" ht="13.15">
      <c r="A48" s="78" t="s">
        <v>5</v>
      </c>
      <c r="B48" s="74" t="s">
        <v>138</v>
      </c>
      <c r="C48" s="75" t="s">
        <v>139</v>
      </c>
      <c r="D48" s="75" t="s">
        <v>129</v>
      </c>
      <c r="E48" s="76"/>
      <c r="F48" s="59"/>
      <c r="G48" s="60"/>
      <c r="H48" s="77">
        <v>21160</v>
      </c>
      <c r="I48" s="77">
        <v>6052</v>
      </c>
      <c r="J48" s="77">
        <v>10007</v>
      </c>
      <c r="K48" s="77">
        <v>2273</v>
      </c>
      <c r="L48" s="77">
        <v>2589</v>
      </c>
      <c r="M48" s="77"/>
      <c r="N48" s="77"/>
      <c r="O48" s="77"/>
      <c r="P48" s="77"/>
      <c r="Q48" s="77">
        <v>135</v>
      </c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62"/>
      <c r="AF48" s="63" t="b">
        <v>0</v>
      </c>
      <c r="AG48" s="63" t="b">
        <v>0</v>
      </c>
      <c r="AH48" s="62"/>
      <c r="AI48" s="64">
        <f t="shared" si="7"/>
        <v>42216</v>
      </c>
      <c r="AJ48" s="65" t="str">
        <f t="shared" si="8"/>
        <v>LAB</v>
      </c>
      <c r="AK48" s="66" t="str">
        <f t="shared" si="9"/>
        <v>HOLD</v>
      </c>
      <c r="AL48" s="67" t="e">
        <f t="shared" ca="1" si="10"/>
        <v>#NAME?</v>
      </c>
      <c r="AM48" s="68">
        <f t="shared" si="11"/>
        <v>11153</v>
      </c>
      <c r="AN48" s="69">
        <f t="shared" si="12"/>
        <v>0.26418893310593139</v>
      </c>
      <c r="AO48" s="62"/>
      <c r="AP48" s="70">
        <f t="shared" ref="AP48:AT48" si="145">H48/$AI48</f>
        <v>0.50123176046996398</v>
      </c>
      <c r="AQ48" s="70">
        <f t="shared" si="145"/>
        <v>0.14335796854273261</v>
      </c>
      <c r="AR48" s="70">
        <f t="shared" si="145"/>
        <v>0.23704282736403259</v>
      </c>
      <c r="AS48" s="70">
        <f t="shared" si="145"/>
        <v>5.3842145158233844E-2</v>
      </c>
      <c r="AT48" s="70">
        <f t="shared" si="145"/>
        <v>6.1327458783399659E-2</v>
      </c>
      <c r="AU48" s="70"/>
      <c r="AV48" s="70"/>
      <c r="AW48" s="71">
        <f t="shared" si="14"/>
        <v>3.1978396816373378E-3</v>
      </c>
      <c r="AX48" s="70">
        <f t="shared" ref="AX48:BG48" si="146">O48/$AI48</f>
        <v>0</v>
      </c>
      <c r="AY48" s="70">
        <f t="shared" si="146"/>
        <v>0</v>
      </c>
      <c r="AZ48" s="70">
        <f t="shared" si="146"/>
        <v>3.197839681637294E-3</v>
      </c>
      <c r="BA48" s="70">
        <f t="shared" si="146"/>
        <v>0</v>
      </c>
      <c r="BB48" s="70">
        <f t="shared" si="146"/>
        <v>0</v>
      </c>
      <c r="BC48" s="70">
        <f t="shared" si="146"/>
        <v>0</v>
      </c>
      <c r="BD48" s="70">
        <f t="shared" si="146"/>
        <v>0</v>
      </c>
      <c r="BE48" s="70">
        <f t="shared" si="146"/>
        <v>0</v>
      </c>
      <c r="BF48" s="70">
        <f t="shared" si="146"/>
        <v>0</v>
      </c>
      <c r="BG48" s="70">
        <f t="shared" si="146"/>
        <v>0</v>
      </c>
      <c r="BH48" s="70">
        <f t="shared" si="16"/>
        <v>4.3801767768414379E-17</v>
      </c>
      <c r="BI48" s="62"/>
      <c r="BJ48" s="69">
        <v>0.44</v>
      </c>
      <c r="BK48" s="69">
        <v>0.34899999999999998</v>
      </c>
      <c r="BL48" s="69">
        <v>9.7000000000000003E-2</v>
      </c>
      <c r="BM48" s="69">
        <v>4.5999999999999999E-2</v>
      </c>
      <c r="BN48" s="69">
        <v>0.03</v>
      </c>
      <c r="BO48" s="69">
        <v>0</v>
      </c>
      <c r="BP48" s="69">
        <v>0</v>
      </c>
      <c r="BQ48" s="69">
        <v>3.9E-2</v>
      </c>
      <c r="BR48" s="62"/>
      <c r="BS48" s="72">
        <f t="shared" ref="BS48:BW48" si="147">AP48-BJ48</f>
        <v>6.1231760469963981E-2</v>
      </c>
      <c r="BT48" s="72">
        <f t="shared" si="147"/>
        <v>-0.20564203145726737</v>
      </c>
      <c r="BU48" s="72">
        <f t="shared" si="147"/>
        <v>0.14004282736403259</v>
      </c>
      <c r="BV48" s="72">
        <f t="shared" si="147"/>
        <v>7.8421451582338444E-3</v>
      </c>
      <c r="BW48" s="72">
        <f t="shared" si="147"/>
        <v>3.132745878339966E-2</v>
      </c>
      <c r="BX48" s="72"/>
      <c r="BY48" s="72"/>
      <c r="BZ48" s="72">
        <f t="shared" si="18"/>
        <v>-3.5802160318362662E-2</v>
      </c>
    </row>
    <row r="49" spans="1:78" ht="13.15">
      <c r="A49" s="78" t="s">
        <v>5</v>
      </c>
      <c r="B49" s="74" t="s">
        <v>140</v>
      </c>
      <c r="C49" s="75" t="s">
        <v>141</v>
      </c>
      <c r="D49" s="75" t="s">
        <v>129</v>
      </c>
      <c r="E49" s="76"/>
      <c r="F49" s="59">
        <v>0.53</v>
      </c>
      <c r="G49" s="60"/>
      <c r="H49" s="77">
        <v>20030</v>
      </c>
      <c r="I49" s="77">
        <v>6121</v>
      </c>
      <c r="J49" s="77">
        <v>10857</v>
      </c>
      <c r="K49" s="77">
        <v>1433</v>
      </c>
      <c r="L49" s="77">
        <v>1960</v>
      </c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62"/>
      <c r="AF49" s="63" t="b">
        <v>0</v>
      </c>
      <c r="AG49" s="63" t="b">
        <v>0</v>
      </c>
      <c r="AH49" s="62"/>
      <c r="AI49" s="64">
        <f t="shared" si="7"/>
        <v>40401</v>
      </c>
      <c r="AJ49" s="65" t="str">
        <f t="shared" si="8"/>
        <v>LAB</v>
      </c>
      <c r="AK49" s="66" t="str">
        <f t="shared" si="9"/>
        <v>HOLD</v>
      </c>
      <c r="AL49" s="67" t="e">
        <f t="shared" ca="1" si="10"/>
        <v>#NAME?</v>
      </c>
      <c r="AM49" s="68">
        <f t="shared" si="11"/>
        <v>9173</v>
      </c>
      <c r="AN49" s="69">
        <f t="shared" si="12"/>
        <v>0.2270488354248657</v>
      </c>
      <c r="AO49" s="62"/>
      <c r="AP49" s="70">
        <f t="shared" ref="AP49:AT49" si="148">H49/$AI49</f>
        <v>0.49577980743050915</v>
      </c>
      <c r="AQ49" s="70">
        <f t="shared" si="148"/>
        <v>0.15150615083785055</v>
      </c>
      <c r="AR49" s="70">
        <f t="shared" si="148"/>
        <v>0.26873097200564344</v>
      </c>
      <c r="AS49" s="70">
        <f t="shared" si="148"/>
        <v>3.5469419073785299E-2</v>
      </c>
      <c r="AT49" s="70">
        <f t="shared" si="148"/>
        <v>4.8513650652211582E-2</v>
      </c>
      <c r="AU49" s="70"/>
      <c r="AV49" s="70"/>
      <c r="AW49" s="71">
        <f t="shared" si="14"/>
        <v>0</v>
      </c>
      <c r="AX49" s="70">
        <f t="shared" ref="AX49:BG49" si="149">O49/$AI49</f>
        <v>0</v>
      </c>
      <c r="AY49" s="70">
        <f t="shared" si="149"/>
        <v>0</v>
      </c>
      <c r="AZ49" s="70">
        <f t="shared" si="149"/>
        <v>0</v>
      </c>
      <c r="BA49" s="70">
        <f t="shared" si="149"/>
        <v>0</v>
      </c>
      <c r="BB49" s="70">
        <f t="shared" si="149"/>
        <v>0</v>
      </c>
      <c r="BC49" s="70">
        <f t="shared" si="149"/>
        <v>0</v>
      </c>
      <c r="BD49" s="70">
        <f t="shared" si="149"/>
        <v>0</v>
      </c>
      <c r="BE49" s="70">
        <f t="shared" si="149"/>
        <v>0</v>
      </c>
      <c r="BF49" s="70">
        <f t="shared" si="149"/>
        <v>0</v>
      </c>
      <c r="BG49" s="70">
        <f t="shared" si="149"/>
        <v>0</v>
      </c>
      <c r="BH49" s="70">
        <f t="shared" si="16"/>
        <v>0</v>
      </c>
      <c r="BI49" s="62"/>
      <c r="BJ49" s="69">
        <v>0.47699999999999998</v>
      </c>
      <c r="BK49" s="69">
        <v>0.33500000000000002</v>
      </c>
      <c r="BL49" s="69">
        <v>9.0999999999999998E-2</v>
      </c>
      <c r="BM49" s="69">
        <v>6.4000000000000001E-2</v>
      </c>
      <c r="BN49" s="69">
        <v>2.9000000000000001E-2</v>
      </c>
      <c r="BO49" s="69">
        <v>0</v>
      </c>
      <c r="BP49" s="69">
        <v>0</v>
      </c>
      <c r="BQ49" s="69">
        <v>4.0000000000000001E-3</v>
      </c>
      <c r="BR49" s="62"/>
      <c r="BS49" s="72">
        <f t="shared" ref="BS49:BW49" si="150">AP49-BJ49</f>
        <v>1.8779807430509166E-2</v>
      </c>
      <c r="BT49" s="72">
        <f t="shared" si="150"/>
        <v>-0.18349384916214947</v>
      </c>
      <c r="BU49" s="72">
        <f t="shared" si="150"/>
        <v>0.17773097200564344</v>
      </c>
      <c r="BV49" s="72">
        <f t="shared" si="150"/>
        <v>-2.8530580926214702E-2</v>
      </c>
      <c r="BW49" s="72">
        <f t="shared" si="150"/>
        <v>1.951365065221158E-2</v>
      </c>
      <c r="BX49" s="72"/>
      <c r="BY49" s="72"/>
      <c r="BZ49" s="72">
        <f t="shared" si="18"/>
        <v>-4.0000000000000001E-3</v>
      </c>
    </row>
    <row r="50" spans="1:78" ht="13.15">
      <c r="A50" s="73" t="s">
        <v>6</v>
      </c>
      <c r="B50" s="74" t="s">
        <v>142</v>
      </c>
      <c r="C50" s="75" t="s">
        <v>143</v>
      </c>
      <c r="D50" s="75" t="s">
        <v>44</v>
      </c>
      <c r="E50" s="76"/>
      <c r="F50" s="59"/>
      <c r="G50" s="60"/>
      <c r="H50" s="77">
        <v>13913</v>
      </c>
      <c r="I50" s="77">
        <v>15678</v>
      </c>
      <c r="J50" s="77">
        <v>10262</v>
      </c>
      <c r="K50" s="77">
        <v>5081</v>
      </c>
      <c r="L50" s="77">
        <v>2185</v>
      </c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>
        <v>708</v>
      </c>
      <c r="Z50" s="77"/>
      <c r="AA50" s="77"/>
      <c r="AB50" s="77"/>
      <c r="AC50" s="77"/>
      <c r="AD50" s="77"/>
      <c r="AE50" s="62"/>
      <c r="AF50" s="63" t="b">
        <v>0</v>
      </c>
      <c r="AG50" s="63" t="b">
        <v>0</v>
      </c>
      <c r="AH50" s="62"/>
      <c r="AI50" s="64">
        <f t="shared" si="7"/>
        <v>47827</v>
      </c>
      <c r="AJ50" s="65" t="str">
        <f t="shared" si="8"/>
        <v>CON</v>
      </c>
      <c r="AK50" s="66" t="str">
        <f t="shared" si="9"/>
        <v>HOLD</v>
      </c>
      <c r="AL50" s="67" t="e">
        <f t="shared" ca="1" si="10"/>
        <v>#NAME?</v>
      </c>
      <c r="AM50" s="68">
        <f t="shared" si="11"/>
        <v>1765</v>
      </c>
      <c r="AN50" s="69">
        <f t="shared" si="12"/>
        <v>3.6903840926673204E-2</v>
      </c>
      <c r="AO50" s="62"/>
      <c r="AP50" s="70">
        <f t="shared" ref="AP50:AT50" si="151">H50/$AI50</f>
        <v>0.29090262822255214</v>
      </c>
      <c r="AQ50" s="70">
        <f t="shared" si="151"/>
        <v>0.32780646914922534</v>
      </c>
      <c r="AR50" s="70">
        <f t="shared" si="151"/>
        <v>0.2145649946682836</v>
      </c>
      <c r="AS50" s="70">
        <f t="shared" si="151"/>
        <v>0.10623706274698393</v>
      </c>
      <c r="AT50" s="70">
        <f t="shared" si="151"/>
        <v>4.5685491458799424E-2</v>
      </c>
      <c r="AU50" s="70"/>
      <c r="AV50" s="70"/>
      <c r="AW50" s="71">
        <f t="shared" si="14"/>
        <v>1.4803353754155535E-2</v>
      </c>
      <c r="AX50" s="70">
        <f t="shared" ref="AX50:BG50" si="152">O50/$AI50</f>
        <v>0</v>
      </c>
      <c r="AY50" s="70">
        <f t="shared" si="152"/>
        <v>0</v>
      </c>
      <c r="AZ50" s="70">
        <f t="shared" si="152"/>
        <v>0</v>
      </c>
      <c r="BA50" s="70">
        <f t="shared" si="152"/>
        <v>0</v>
      </c>
      <c r="BB50" s="70">
        <f t="shared" si="152"/>
        <v>0</v>
      </c>
      <c r="BC50" s="70">
        <f t="shared" si="152"/>
        <v>0</v>
      </c>
      <c r="BD50" s="70">
        <f t="shared" si="152"/>
        <v>0</v>
      </c>
      <c r="BE50" s="70">
        <f t="shared" si="152"/>
        <v>0</v>
      </c>
      <c r="BF50" s="70">
        <f t="shared" si="152"/>
        <v>0</v>
      </c>
      <c r="BG50" s="70">
        <f t="shared" si="152"/>
        <v>0</v>
      </c>
      <c r="BH50" s="70">
        <f t="shared" si="16"/>
        <v>1.4803353754155535E-2</v>
      </c>
      <c r="BI50" s="62"/>
      <c r="BJ50" s="69">
        <v>0.19</v>
      </c>
      <c r="BK50" s="69">
        <v>0.622</v>
      </c>
      <c r="BL50" s="69">
        <v>0</v>
      </c>
      <c r="BM50" s="69">
        <v>0.13300000000000001</v>
      </c>
      <c r="BN50" s="69">
        <v>3.3000000000000002E-2</v>
      </c>
      <c r="BO50" s="69">
        <v>0</v>
      </c>
      <c r="BP50" s="69">
        <v>0</v>
      </c>
      <c r="BQ50" s="69">
        <v>2.3E-2</v>
      </c>
      <c r="BR50" s="62"/>
      <c r="BS50" s="72">
        <f t="shared" ref="BS50:BW50" si="153">AP50-BJ50</f>
        <v>0.10090262822255214</v>
      </c>
      <c r="BT50" s="72">
        <f t="shared" si="153"/>
        <v>-0.29419353085077465</v>
      </c>
      <c r="BU50" s="72">
        <f t="shared" si="153"/>
        <v>0.2145649946682836</v>
      </c>
      <c r="BV50" s="72">
        <f t="shared" si="153"/>
        <v>-2.6762937253016081E-2</v>
      </c>
      <c r="BW50" s="72">
        <f t="shared" si="153"/>
        <v>1.2685491458799422E-2</v>
      </c>
      <c r="BX50" s="72"/>
      <c r="BY50" s="72"/>
      <c r="BZ50" s="72">
        <f t="shared" si="18"/>
        <v>-8.1966462458444647E-3</v>
      </c>
    </row>
    <row r="51" spans="1:78" ht="13.15">
      <c r="A51" s="73" t="s">
        <v>6</v>
      </c>
      <c r="B51" s="74" t="s">
        <v>144</v>
      </c>
      <c r="C51" s="75" t="s">
        <v>145</v>
      </c>
      <c r="D51" s="75" t="s">
        <v>53</v>
      </c>
      <c r="E51" s="76"/>
      <c r="F51" s="59"/>
      <c r="G51" s="60"/>
      <c r="H51" s="77">
        <v>17197</v>
      </c>
      <c r="I51" s="77">
        <v>10874</v>
      </c>
      <c r="J51" s="77">
        <v>9131</v>
      </c>
      <c r="K51" s="77">
        <v>1478</v>
      </c>
      <c r="L51" s="77">
        <v>3754</v>
      </c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62"/>
      <c r="AF51" s="63" t="b">
        <v>0</v>
      </c>
      <c r="AG51" s="63" t="b">
        <v>0</v>
      </c>
      <c r="AH51" s="62"/>
      <c r="AI51" s="64">
        <f t="shared" si="7"/>
        <v>42434</v>
      </c>
      <c r="AJ51" s="65" t="str">
        <f t="shared" si="8"/>
        <v>LAB</v>
      </c>
      <c r="AK51" s="66" t="str">
        <f t="shared" si="9"/>
        <v>GAIN</v>
      </c>
      <c r="AL51" s="67" t="e">
        <f t="shared" ca="1" si="10"/>
        <v>#NAME?</v>
      </c>
      <c r="AM51" s="68">
        <f t="shared" si="11"/>
        <v>6323</v>
      </c>
      <c r="AN51" s="69">
        <f t="shared" si="12"/>
        <v>0.14900787104680208</v>
      </c>
      <c r="AO51" s="62"/>
      <c r="AP51" s="70">
        <f t="shared" ref="AP51:AT51" si="154">H51/$AI51</f>
        <v>0.40526464627421405</v>
      </c>
      <c r="AQ51" s="70">
        <f t="shared" si="154"/>
        <v>0.25625677522741197</v>
      </c>
      <c r="AR51" s="70">
        <f t="shared" si="154"/>
        <v>0.21518122260451525</v>
      </c>
      <c r="AS51" s="70">
        <f t="shared" si="154"/>
        <v>3.4830560399679501E-2</v>
      </c>
      <c r="AT51" s="70">
        <f t="shared" si="154"/>
        <v>8.8466795494179198E-2</v>
      </c>
      <c r="AU51" s="70"/>
      <c r="AV51" s="70"/>
      <c r="AW51" s="71">
        <f t="shared" si="14"/>
        <v>0</v>
      </c>
      <c r="AX51" s="70">
        <f t="shared" ref="AX51:BG51" si="155">O51/$AI51</f>
        <v>0</v>
      </c>
      <c r="AY51" s="70">
        <f t="shared" si="155"/>
        <v>0</v>
      </c>
      <c r="AZ51" s="70">
        <f t="shared" si="155"/>
        <v>0</v>
      </c>
      <c r="BA51" s="70">
        <f t="shared" si="155"/>
        <v>0</v>
      </c>
      <c r="BB51" s="70">
        <f t="shared" si="155"/>
        <v>0</v>
      </c>
      <c r="BC51" s="70">
        <f t="shared" si="155"/>
        <v>0</v>
      </c>
      <c r="BD51" s="70">
        <f t="shared" si="155"/>
        <v>0</v>
      </c>
      <c r="BE51" s="70">
        <f t="shared" si="155"/>
        <v>0</v>
      </c>
      <c r="BF51" s="70">
        <f t="shared" si="155"/>
        <v>0</v>
      </c>
      <c r="BG51" s="70">
        <f t="shared" si="155"/>
        <v>0</v>
      </c>
      <c r="BH51" s="70">
        <f t="shared" si="16"/>
        <v>0</v>
      </c>
      <c r="BI51" s="62"/>
      <c r="BJ51" s="69">
        <v>0.36199999999999999</v>
      </c>
      <c r="BK51" s="69">
        <v>0.47699999999999998</v>
      </c>
      <c r="BL51" s="69">
        <v>8.5999999999999993E-2</v>
      </c>
      <c r="BM51" s="69">
        <v>3.7999999999999999E-2</v>
      </c>
      <c r="BN51" s="69">
        <v>1.6E-2</v>
      </c>
      <c r="BO51" s="69">
        <v>0</v>
      </c>
      <c r="BP51" s="69">
        <v>0</v>
      </c>
      <c r="BQ51" s="69">
        <v>2.1999999999999999E-2</v>
      </c>
      <c r="BR51" s="62"/>
      <c r="BS51" s="72">
        <f t="shared" ref="BS51:BW51" si="156">AP51-BJ51</f>
        <v>4.3264646274214058E-2</v>
      </c>
      <c r="BT51" s="72">
        <f t="shared" si="156"/>
        <v>-0.22074322477258801</v>
      </c>
      <c r="BU51" s="72">
        <f t="shared" si="156"/>
        <v>0.12918122260451526</v>
      </c>
      <c r="BV51" s="72">
        <f t="shared" si="156"/>
        <v>-3.1694396003204978E-3</v>
      </c>
      <c r="BW51" s="72">
        <f t="shared" si="156"/>
        <v>7.2466795494179198E-2</v>
      </c>
      <c r="BX51" s="72"/>
      <c r="BY51" s="72"/>
      <c r="BZ51" s="72">
        <f t="shared" si="18"/>
        <v>-2.1999999999999999E-2</v>
      </c>
    </row>
    <row r="52" spans="1:78" ht="13.15">
      <c r="A52" s="73" t="s">
        <v>6</v>
      </c>
      <c r="B52" s="74" t="s">
        <v>146</v>
      </c>
      <c r="C52" s="75" t="s">
        <v>147</v>
      </c>
      <c r="D52" s="75" t="s">
        <v>50</v>
      </c>
      <c r="E52" s="76"/>
      <c r="F52" s="59"/>
      <c r="G52" s="60"/>
      <c r="H52" s="77">
        <v>16166</v>
      </c>
      <c r="I52" s="77">
        <v>9513</v>
      </c>
      <c r="J52" s="77">
        <v>9427</v>
      </c>
      <c r="K52" s="77">
        <v>1507</v>
      </c>
      <c r="L52" s="77">
        <v>4683</v>
      </c>
      <c r="M52" s="77"/>
      <c r="N52" s="77"/>
      <c r="O52" s="77">
        <v>345</v>
      </c>
      <c r="P52" s="77">
        <v>1463</v>
      </c>
      <c r="Q52" s="77"/>
      <c r="R52" s="77"/>
      <c r="S52" s="77"/>
      <c r="T52" s="77"/>
      <c r="U52" s="77"/>
      <c r="V52" s="77"/>
      <c r="W52" s="77"/>
      <c r="X52" s="77"/>
      <c r="Y52" s="77">
        <v>254</v>
      </c>
      <c r="Z52" s="77"/>
      <c r="AA52" s="77"/>
      <c r="AB52" s="77"/>
      <c r="AC52" s="77"/>
      <c r="AD52" s="77"/>
      <c r="AE52" s="62"/>
      <c r="AF52" s="63" t="b">
        <v>0</v>
      </c>
      <c r="AG52" s="63" t="b">
        <v>0</v>
      </c>
      <c r="AH52" s="62"/>
      <c r="AI52" s="64">
        <f t="shared" si="7"/>
        <v>43358</v>
      </c>
      <c r="AJ52" s="65" t="str">
        <f t="shared" si="8"/>
        <v>LAB</v>
      </c>
      <c r="AK52" s="66" t="str">
        <f t="shared" si="9"/>
        <v>GAIN</v>
      </c>
      <c r="AL52" s="67" t="e">
        <f t="shared" ca="1" si="10"/>
        <v>#NAME?</v>
      </c>
      <c r="AM52" s="68">
        <f t="shared" si="11"/>
        <v>6653</v>
      </c>
      <c r="AN52" s="69">
        <f t="shared" si="12"/>
        <v>0.15344342451220078</v>
      </c>
      <c r="AO52" s="62"/>
      <c r="AP52" s="70">
        <f t="shared" ref="AP52:AT52" si="157">H52/$AI52</f>
        <v>0.37284930116702802</v>
      </c>
      <c r="AQ52" s="70">
        <f t="shared" si="157"/>
        <v>0.21940587665482725</v>
      </c>
      <c r="AR52" s="70">
        <f t="shared" si="157"/>
        <v>0.21742239033165736</v>
      </c>
      <c r="AS52" s="70">
        <f t="shared" si="157"/>
        <v>3.4757138244383964E-2</v>
      </c>
      <c r="AT52" s="70">
        <f t="shared" si="157"/>
        <v>0.10800774943493703</v>
      </c>
      <c r="AU52" s="70"/>
      <c r="AV52" s="70"/>
      <c r="AW52" s="71">
        <f t="shared" si="14"/>
        <v>4.7557544167166399E-2</v>
      </c>
      <c r="AX52" s="70">
        <f t="shared" ref="AX52:BG52" si="158">O52/$AI52</f>
        <v>7.9570090871350155E-3</v>
      </c>
      <c r="AY52" s="70">
        <f t="shared" si="158"/>
        <v>3.3742331288343558E-2</v>
      </c>
      <c r="AZ52" s="70">
        <f t="shared" si="158"/>
        <v>0</v>
      </c>
      <c r="BA52" s="70">
        <f t="shared" si="158"/>
        <v>0</v>
      </c>
      <c r="BB52" s="70">
        <f t="shared" si="158"/>
        <v>0</v>
      </c>
      <c r="BC52" s="70">
        <f t="shared" si="158"/>
        <v>0</v>
      </c>
      <c r="BD52" s="70">
        <f t="shared" si="158"/>
        <v>0</v>
      </c>
      <c r="BE52" s="70">
        <f t="shared" si="158"/>
        <v>0</v>
      </c>
      <c r="BF52" s="70">
        <f t="shared" si="158"/>
        <v>0</v>
      </c>
      <c r="BG52" s="70">
        <f t="shared" si="158"/>
        <v>0</v>
      </c>
      <c r="BH52" s="70">
        <f t="shared" si="16"/>
        <v>5.8582037916878257E-3</v>
      </c>
      <c r="BI52" s="62"/>
      <c r="BJ52" s="69">
        <v>0.42499999999999999</v>
      </c>
      <c r="BK52" s="69">
        <v>0.45</v>
      </c>
      <c r="BL52" s="69">
        <v>6.5000000000000002E-2</v>
      </c>
      <c r="BM52" s="69">
        <v>4.3999999999999997E-2</v>
      </c>
      <c r="BN52" s="69">
        <v>1.6E-2</v>
      </c>
      <c r="BO52" s="69">
        <v>0</v>
      </c>
      <c r="BP52" s="69">
        <v>0</v>
      </c>
      <c r="BQ52" s="69">
        <v>0</v>
      </c>
      <c r="BR52" s="62"/>
      <c r="BS52" s="72">
        <f t="shared" ref="BS52:BW52" si="159">AP52-BJ52</f>
        <v>-5.2150698832971965E-2</v>
      </c>
      <c r="BT52" s="72">
        <f t="shared" si="159"/>
        <v>-0.23059412334517276</v>
      </c>
      <c r="BU52" s="72">
        <f t="shared" si="159"/>
        <v>0.15242239033165736</v>
      </c>
      <c r="BV52" s="72">
        <f t="shared" si="159"/>
        <v>-9.2428617556160331E-3</v>
      </c>
      <c r="BW52" s="72">
        <f t="shared" si="159"/>
        <v>9.2007749434937031E-2</v>
      </c>
      <c r="BX52" s="72"/>
      <c r="BY52" s="72"/>
      <c r="BZ52" s="72">
        <f t="shared" si="18"/>
        <v>4.7557544167166399E-2</v>
      </c>
    </row>
    <row r="53" spans="1:78" ht="13.15">
      <c r="A53" s="78" t="s">
        <v>5</v>
      </c>
      <c r="B53" s="74" t="s">
        <v>148</v>
      </c>
      <c r="C53" s="75" t="s">
        <v>149</v>
      </c>
      <c r="D53" s="75" t="s">
        <v>50</v>
      </c>
      <c r="E53" s="76"/>
      <c r="F53" s="59"/>
      <c r="G53" s="60"/>
      <c r="H53" s="77">
        <v>15093</v>
      </c>
      <c r="I53" s="77">
        <v>4170</v>
      </c>
      <c r="J53" s="77">
        <v>8350</v>
      </c>
      <c r="K53" s="77">
        <v>1384</v>
      </c>
      <c r="L53" s="77">
        <v>2827</v>
      </c>
      <c r="M53" s="77"/>
      <c r="N53" s="77"/>
      <c r="O53" s="77">
        <v>433</v>
      </c>
      <c r="P53" s="77">
        <v>4673</v>
      </c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62"/>
      <c r="AF53" s="63" t="b">
        <v>0</v>
      </c>
      <c r="AG53" s="63" t="b">
        <v>0</v>
      </c>
      <c r="AH53" s="62"/>
      <c r="AI53" s="64">
        <f t="shared" si="7"/>
        <v>36930</v>
      </c>
      <c r="AJ53" s="65" t="str">
        <f t="shared" si="8"/>
        <v>LAB</v>
      </c>
      <c r="AK53" s="66" t="str">
        <f t="shared" si="9"/>
        <v>HOLD</v>
      </c>
      <c r="AL53" s="67" t="e">
        <f t="shared" ca="1" si="10"/>
        <v>#NAME?</v>
      </c>
      <c r="AM53" s="68">
        <f t="shared" si="11"/>
        <v>6743</v>
      </c>
      <c r="AN53" s="69">
        <f t="shared" si="12"/>
        <v>0.18258868128892503</v>
      </c>
      <c r="AO53" s="62"/>
      <c r="AP53" s="70">
        <f t="shared" ref="AP53:AT53" si="160">H53/$AI53</f>
        <v>0.40869212022745738</v>
      </c>
      <c r="AQ53" s="70">
        <f t="shared" si="160"/>
        <v>0.11291632818846466</v>
      </c>
      <c r="AR53" s="70">
        <f t="shared" si="160"/>
        <v>0.22610343893853235</v>
      </c>
      <c r="AS53" s="70">
        <f t="shared" si="160"/>
        <v>3.7476306525859732E-2</v>
      </c>
      <c r="AT53" s="70">
        <f t="shared" si="160"/>
        <v>7.6550230165177369E-2</v>
      </c>
      <c r="AU53" s="70"/>
      <c r="AV53" s="70"/>
      <c r="AW53" s="71">
        <f t="shared" si="14"/>
        <v>0.1382615759545085</v>
      </c>
      <c r="AX53" s="70">
        <f t="shared" ref="AX53:BG53" si="161">O53/$AI53</f>
        <v>1.1724884917411318E-2</v>
      </c>
      <c r="AY53" s="70">
        <f t="shared" si="161"/>
        <v>0.12653669103709722</v>
      </c>
      <c r="AZ53" s="70">
        <f t="shared" si="161"/>
        <v>0</v>
      </c>
      <c r="BA53" s="70">
        <f t="shared" si="161"/>
        <v>0</v>
      </c>
      <c r="BB53" s="70">
        <f t="shared" si="161"/>
        <v>0</v>
      </c>
      <c r="BC53" s="70">
        <f t="shared" si="161"/>
        <v>0</v>
      </c>
      <c r="BD53" s="70">
        <f t="shared" si="161"/>
        <v>0</v>
      </c>
      <c r="BE53" s="70">
        <f t="shared" si="161"/>
        <v>0</v>
      </c>
      <c r="BF53" s="70">
        <f t="shared" si="161"/>
        <v>0</v>
      </c>
      <c r="BG53" s="70">
        <f t="shared" si="161"/>
        <v>0</v>
      </c>
      <c r="BH53" s="70">
        <f t="shared" si="16"/>
        <v>0</v>
      </c>
      <c r="BI53" s="62"/>
      <c r="BJ53" s="69">
        <v>0.56599999999999995</v>
      </c>
      <c r="BK53" s="69">
        <v>0.317</v>
      </c>
      <c r="BL53" s="69">
        <v>5.3999999999999999E-2</v>
      </c>
      <c r="BM53" s="69">
        <v>3.9E-2</v>
      </c>
      <c r="BN53" s="69">
        <v>2.5000000000000001E-2</v>
      </c>
      <c r="BO53" s="69">
        <v>0</v>
      </c>
      <c r="BP53" s="69">
        <v>0</v>
      </c>
      <c r="BQ53" s="69">
        <v>0</v>
      </c>
      <c r="BR53" s="62"/>
      <c r="BS53" s="72">
        <f t="shared" ref="BS53:BW53" si="162">AP53-BJ53</f>
        <v>-0.15730787977254257</v>
      </c>
      <c r="BT53" s="72">
        <f t="shared" si="162"/>
        <v>-0.20408367181153536</v>
      </c>
      <c r="BU53" s="72">
        <f t="shared" si="162"/>
        <v>0.17210343893853236</v>
      </c>
      <c r="BV53" s="72">
        <f t="shared" si="162"/>
        <v>-1.5236934741402683E-3</v>
      </c>
      <c r="BW53" s="72">
        <f t="shared" si="162"/>
        <v>5.1550230165177367E-2</v>
      </c>
      <c r="BX53" s="72"/>
      <c r="BY53" s="72"/>
      <c r="BZ53" s="72">
        <f t="shared" si="18"/>
        <v>0.13826157595450855</v>
      </c>
    </row>
    <row r="54" spans="1:78" ht="13.15">
      <c r="A54" s="73" t="s">
        <v>6</v>
      </c>
      <c r="B54" s="74" t="s">
        <v>150</v>
      </c>
      <c r="C54" s="75" t="s">
        <v>151</v>
      </c>
      <c r="D54" s="75" t="s">
        <v>50</v>
      </c>
      <c r="E54" s="76"/>
      <c r="F54" s="59"/>
      <c r="G54" s="60"/>
      <c r="H54" s="77">
        <v>17363</v>
      </c>
      <c r="I54" s="77">
        <v>12418</v>
      </c>
      <c r="J54" s="77">
        <v>8517</v>
      </c>
      <c r="K54" s="77">
        <v>4132</v>
      </c>
      <c r="L54" s="77">
        <v>1966</v>
      </c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>
        <v>202</v>
      </c>
      <c r="Z54" s="77"/>
      <c r="AA54" s="77"/>
      <c r="AB54" s="77"/>
      <c r="AC54" s="77"/>
      <c r="AD54" s="77"/>
      <c r="AE54" s="62"/>
      <c r="AF54" s="63" t="b">
        <v>0</v>
      </c>
      <c r="AG54" s="63" t="b">
        <v>0</v>
      </c>
      <c r="AH54" s="62"/>
      <c r="AI54" s="64">
        <f t="shared" si="7"/>
        <v>44598</v>
      </c>
      <c r="AJ54" s="65" t="str">
        <f t="shared" si="8"/>
        <v>LAB</v>
      </c>
      <c r="AK54" s="66" t="str">
        <f t="shared" si="9"/>
        <v>GAIN</v>
      </c>
      <c r="AL54" s="67" t="e">
        <f t="shared" ca="1" si="10"/>
        <v>#NAME?</v>
      </c>
      <c r="AM54" s="68">
        <f t="shared" si="11"/>
        <v>4945</v>
      </c>
      <c r="AN54" s="69">
        <f t="shared" si="12"/>
        <v>0.11087941163280868</v>
      </c>
      <c r="AO54" s="62"/>
      <c r="AP54" s="70">
        <f t="shared" ref="AP54:AT54" si="163">H54/$AI54</f>
        <v>0.38932239113861611</v>
      </c>
      <c r="AQ54" s="70">
        <f t="shared" si="163"/>
        <v>0.27844297950580743</v>
      </c>
      <c r="AR54" s="70">
        <f t="shared" si="163"/>
        <v>0.19097268935826719</v>
      </c>
      <c r="AS54" s="70">
        <f t="shared" si="163"/>
        <v>9.2649894614108261E-2</v>
      </c>
      <c r="AT54" s="70">
        <f t="shared" si="163"/>
        <v>4.4082694291223821E-2</v>
      </c>
      <c r="AU54" s="70"/>
      <c r="AV54" s="70"/>
      <c r="AW54" s="71">
        <f t="shared" si="14"/>
        <v>4.5293510919772739E-3</v>
      </c>
      <c r="AX54" s="70">
        <f t="shared" ref="AX54:BG54" si="164">O54/$AI54</f>
        <v>0</v>
      </c>
      <c r="AY54" s="70">
        <f t="shared" si="164"/>
        <v>0</v>
      </c>
      <c r="AZ54" s="70">
        <f t="shared" si="164"/>
        <v>0</v>
      </c>
      <c r="BA54" s="70">
        <f t="shared" si="164"/>
        <v>0</v>
      </c>
      <c r="BB54" s="70">
        <f t="shared" si="164"/>
        <v>0</v>
      </c>
      <c r="BC54" s="70">
        <f t="shared" si="164"/>
        <v>0</v>
      </c>
      <c r="BD54" s="70">
        <f t="shared" si="164"/>
        <v>0</v>
      </c>
      <c r="BE54" s="70">
        <f t="shared" si="164"/>
        <v>0</v>
      </c>
      <c r="BF54" s="70">
        <f t="shared" si="164"/>
        <v>0</v>
      </c>
      <c r="BG54" s="70">
        <f t="shared" si="164"/>
        <v>0</v>
      </c>
      <c r="BH54" s="70">
        <f t="shared" si="16"/>
        <v>4.5293510919772739E-3</v>
      </c>
      <c r="BI54" s="62"/>
      <c r="BJ54" s="69">
        <v>0.35299999999999998</v>
      </c>
      <c r="BK54" s="69">
        <v>0.56499999999999995</v>
      </c>
      <c r="BL54" s="69">
        <v>8.0000000000000002E-3</v>
      </c>
      <c r="BM54" s="69">
        <v>5.6000000000000001E-2</v>
      </c>
      <c r="BN54" s="69">
        <v>1.7999999999999999E-2</v>
      </c>
      <c r="BO54" s="69">
        <v>0</v>
      </c>
      <c r="BP54" s="69">
        <v>0</v>
      </c>
      <c r="BQ54" s="69">
        <v>0</v>
      </c>
      <c r="BR54" s="62"/>
      <c r="BS54" s="72">
        <f t="shared" ref="BS54:BW54" si="165">AP54-BJ54</f>
        <v>3.6322391138616128E-2</v>
      </c>
      <c r="BT54" s="72">
        <f t="shared" si="165"/>
        <v>-0.28655702049419252</v>
      </c>
      <c r="BU54" s="72">
        <f t="shared" si="165"/>
        <v>0.18297268935826719</v>
      </c>
      <c r="BV54" s="72">
        <f t="shared" si="165"/>
        <v>3.664989461410826E-2</v>
      </c>
      <c r="BW54" s="72">
        <f t="shared" si="165"/>
        <v>2.6082694291223823E-2</v>
      </c>
      <c r="BX54" s="72"/>
      <c r="BY54" s="72"/>
      <c r="BZ54" s="72">
        <f t="shared" si="18"/>
        <v>4.5293510919772739E-3</v>
      </c>
    </row>
    <row r="55" spans="1:78" ht="13.15">
      <c r="A55" s="78" t="s">
        <v>5</v>
      </c>
      <c r="B55" s="74" t="s">
        <v>152</v>
      </c>
      <c r="C55" s="75" t="s">
        <v>153</v>
      </c>
      <c r="D55" s="75" t="s">
        <v>50</v>
      </c>
      <c r="E55" s="76">
        <v>74832</v>
      </c>
      <c r="F55" s="59">
        <v>0.52</v>
      </c>
      <c r="G55" s="60"/>
      <c r="H55" s="77">
        <v>26729</v>
      </c>
      <c r="I55" s="77">
        <v>1674</v>
      </c>
      <c r="J55" s="77">
        <v>4746</v>
      </c>
      <c r="K55" s="77">
        <v>1301</v>
      </c>
      <c r="L55" s="77">
        <v>3904</v>
      </c>
      <c r="M55" s="77"/>
      <c r="N55" s="77"/>
      <c r="O55" s="77"/>
      <c r="P55" s="77">
        <v>526</v>
      </c>
      <c r="Q55" s="77"/>
      <c r="R55" s="77"/>
      <c r="S55" s="77"/>
      <c r="T55" s="77"/>
      <c r="U55" s="77"/>
      <c r="V55" s="77"/>
      <c r="W55" s="77"/>
      <c r="X55" s="77"/>
      <c r="Y55" s="77"/>
      <c r="Z55" s="77"/>
      <c r="AA55" s="77"/>
      <c r="AB55" s="77"/>
      <c r="AC55" s="77"/>
      <c r="AD55" s="77"/>
      <c r="AE55" s="62"/>
      <c r="AF55" s="63" t="b">
        <v>0</v>
      </c>
      <c r="AG55" s="63" t="b">
        <v>0</v>
      </c>
      <c r="AH55" s="62"/>
      <c r="AI55" s="64">
        <f t="shared" si="7"/>
        <v>38880</v>
      </c>
      <c r="AJ55" s="65" t="str">
        <f t="shared" si="8"/>
        <v>LAB</v>
      </c>
      <c r="AK55" s="66" t="str">
        <f t="shared" si="9"/>
        <v>HOLD</v>
      </c>
      <c r="AL55" s="67" t="e">
        <f t="shared" ca="1" si="10"/>
        <v>#NAME?</v>
      </c>
      <c r="AM55" s="68">
        <f t="shared" si="11"/>
        <v>21983</v>
      </c>
      <c r="AN55" s="69">
        <f t="shared" si="12"/>
        <v>0.5654063786008231</v>
      </c>
      <c r="AO55" s="62"/>
      <c r="AP55" s="70">
        <f t="shared" ref="AP55:AT55" si="166">H55/$AI55</f>
        <v>0.687474279835391</v>
      </c>
      <c r="AQ55" s="70">
        <f t="shared" si="166"/>
        <v>4.3055555555555555E-2</v>
      </c>
      <c r="AR55" s="70">
        <f t="shared" si="166"/>
        <v>0.1220679012345679</v>
      </c>
      <c r="AS55" s="70">
        <f t="shared" si="166"/>
        <v>3.3461934156378603E-2</v>
      </c>
      <c r="AT55" s="70">
        <f t="shared" si="166"/>
        <v>0.10041152263374485</v>
      </c>
      <c r="AU55" s="70"/>
      <c r="AV55" s="70"/>
      <c r="AW55" s="71">
        <f t="shared" si="14"/>
        <v>1.3528806584362063E-2</v>
      </c>
      <c r="AX55" s="70">
        <f t="shared" ref="AX55:BG55" si="167">O55/$AI55</f>
        <v>0</v>
      </c>
      <c r="AY55" s="70">
        <f t="shared" si="167"/>
        <v>1.3528806584362139E-2</v>
      </c>
      <c r="AZ55" s="70">
        <f t="shared" si="167"/>
        <v>0</v>
      </c>
      <c r="BA55" s="70">
        <f t="shared" si="167"/>
        <v>0</v>
      </c>
      <c r="BB55" s="70">
        <f t="shared" si="167"/>
        <v>0</v>
      </c>
      <c r="BC55" s="70">
        <f t="shared" si="167"/>
        <v>0</v>
      </c>
      <c r="BD55" s="70">
        <f t="shared" si="167"/>
        <v>0</v>
      </c>
      <c r="BE55" s="70">
        <f t="shared" si="167"/>
        <v>0</v>
      </c>
      <c r="BF55" s="70">
        <f t="shared" si="167"/>
        <v>0</v>
      </c>
      <c r="BG55" s="70">
        <f t="shared" si="167"/>
        <v>0</v>
      </c>
      <c r="BH55" s="70">
        <f t="shared" si="16"/>
        <v>-7.6327832942979512E-17</v>
      </c>
      <c r="BI55" s="62"/>
      <c r="BJ55" s="69">
        <v>0.79400000000000004</v>
      </c>
      <c r="BK55" s="69">
        <v>9.1999999999999998E-2</v>
      </c>
      <c r="BL55" s="69">
        <v>5.2999999999999999E-2</v>
      </c>
      <c r="BM55" s="69">
        <v>3.6999999999999998E-2</v>
      </c>
      <c r="BN55" s="69">
        <v>2.4E-2</v>
      </c>
      <c r="BO55" s="69">
        <v>0</v>
      </c>
      <c r="BP55" s="69">
        <v>0</v>
      </c>
      <c r="BQ55" s="69">
        <v>0</v>
      </c>
      <c r="BR55" s="62"/>
      <c r="BS55" s="72">
        <f t="shared" ref="BS55:BW55" si="168">AP55-BJ55</f>
        <v>-0.10652572016460904</v>
      </c>
      <c r="BT55" s="72">
        <f t="shared" si="168"/>
        <v>-4.8944444444444443E-2</v>
      </c>
      <c r="BU55" s="72">
        <f t="shared" si="168"/>
        <v>6.9067901234567908E-2</v>
      </c>
      <c r="BV55" s="72">
        <f t="shared" si="168"/>
        <v>-3.5380658436213949E-3</v>
      </c>
      <c r="BW55" s="72">
        <f t="shared" si="168"/>
        <v>7.6411522633744844E-2</v>
      </c>
      <c r="BX55" s="72"/>
      <c r="BY55" s="72"/>
      <c r="BZ55" s="72">
        <f t="shared" si="18"/>
        <v>1.3528806584362063E-2</v>
      </c>
    </row>
    <row r="56" spans="1:78" ht="13.15">
      <c r="A56" s="73" t="s">
        <v>6</v>
      </c>
      <c r="B56" s="74" t="s">
        <v>154</v>
      </c>
      <c r="C56" s="75" t="s">
        <v>155</v>
      </c>
      <c r="D56" s="75" t="s">
        <v>53</v>
      </c>
      <c r="E56" s="76"/>
      <c r="F56" s="59"/>
      <c r="G56" s="60"/>
      <c r="H56" s="77">
        <v>7629</v>
      </c>
      <c r="I56" s="77">
        <v>13510</v>
      </c>
      <c r="J56" s="77">
        <v>15520</v>
      </c>
      <c r="K56" s="77">
        <v>1375</v>
      </c>
      <c r="L56" s="77">
        <v>1506</v>
      </c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>
        <v>518</v>
      </c>
      <c r="Z56" s="77">
        <v>397</v>
      </c>
      <c r="AA56" s="77"/>
      <c r="AB56" s="77"/>
      <c r="AC56" s="77"/>
      <c r="AD56" s="77"/>
      <c r="AE56" s="62"/>
      <c r="AF56" s="63" t="b">
        <v>0</v>
      </c>
      <c r="AG56" s="63" t="b">
        <v>0</v>
      </c>
      <c r="AH56" s="62"/>
      <c r="AI56" s="64">
        <f t="shared" si="7"/>
        <v>40455</v>
      </c>
      <c r="AJ56" s="65" t="str">
        <f t="shared" si="8"/>
        <v>RFM</v>
      </c>
      <c r="AK56" s="66" t="str">
        <f t="shared" si="9"/>
        <v>GAIN</v>
      </c>
      <c r="AL56" s="67" t="e">
        <f t="shared" ca="1" si="10"/>
        <v>#NAME?</v>
      </c>
      <c r="AM56" s="68">
        <f t="shared" si="11"/>
        <v>2010</v>
      </c>
      <c r="AN56" s="69">
        <f t="shared" si="12"/>
        <v>4.9684835001853944E-2</v>
      </c>
      <c r="AO56" s="62"/>
      <c r="AP56" s="70">
        <f t="shared" ref="AP56:AT56" si="169">H56/$AI56</f>
        <v>0.1885799035965888</v>
      </c>
      <c r="AQ56" s="70">
        <f t="shared" si="169"/>
        <v>0.33395130391793348</v>
      </c>
      <c r="AR56" s="70">
        <f t="shared" si="169"/>
        <v>0.38363613891978743</v>
      </c>
      <c r="AS56" s="70">
        <f t="shared" si="169"/>
        <v>3.3988382153009519E-2</v>
      </c>
      <c r="AT56" s="70">
        <f t="shared" si="169"/>
        <v>3.722654801631442E-2</v>
      </c>
      <c r="AU56" s="70"/>
      <c r="AV56" s="70"/>
      <c r="AW56" s="71">
        <f t="shared" si="14"/>
        <v>2.2617723396366363E-2</v>
      </c>
      <c r="AX56" s="70">
        <f t="shared" ref="AX56:BG56" si="170">O56/$AI56</f>
        <v>0</v>
      </c>
      <c r="AY56" s="70">
        <f t="shared" si="170"/>
        <v>0</v>
      </c>
      <c r="AZ56" s="70">
        <f t="shared" si="170"/>
        <v>0</v>
      </c>
      <c r="BA56" s="70">
        <f t="shared" si="170"/>
        <v>0</v>
      </c>
      <c r="BB56" s="70">
        <f t="shared" si="170"/>
        <v>0</v>
      </c>
      <c r="BC56" s="70">
        <f t="shared" si="170"/>
        <v>0</v>
      </c>
      <c r="BD56" s="70">
        <f t="shared" si="170"/>
        <v>0</v>
      </c>
      <c r="BE56" s="70">
        <f t="shared" si="170"/>
        <v>0</v>
      </c>
      <c r="BF56" s="70">
        <f t="shared" si="170"/>
        <v>0</v>
      </c>
      <c r="BG56" s="70">
        <f t="shared" si="170"/>
        <v>0</v>
      </c>
      <c r="BH56" s="70">
        <f t="shared" si="16"/>
        <v>2.2617723396366363E-2</v>
      </c>
      <c r="BI56" s="62"/>
      <c r="BJ56" s="69">
        <v>0.156</v>
      </c>
      <c r="BK56" s="69">
        <v>0.76400000000000001</v>
      </c>
      <c r="BL56" s="69">
        <v>0</v>
      </c>
      <c r="BM56" s="69">
        <v>4.8000000000000001E-2</v>
      </c>
      <c r="BN56" s="69">
        <v>0</v>
      </c>
      <c r="BO56" s="69">
        <v>0</v>
      </c>
      <c r="BP56" s="69">
        <v>0</v>
      </c>
      <c r="BQ56" s="69">
        <v>3.2000000000000001E-2</v>
      </c>
      <c r="BR56" s="62"/>
      <c r="BS56" s="72">
        <f t="shared" ref="BS56:BW56" si="171">AP56-BJ56</f>
        <v>3.25799035965888E-2</v>
      </c>
      <c r="BT56" s="72">
        <f t="shared" si="171"/>
        <v>-0.43004869608206653</v>
      </c>
      <c r="BU56" s="72">
        <f t="shared" si="171"/>
        <v>0.38363613891978743</v>
      </c>
      <c r="BV56" s="72">
        <f t="shared" si="171"/>
        <v>-1.4011617846990482E-2</v>
      </c>
      <c r="BW56" s="72">
        <f t="shared" si="171"/>
        <v>3.722654801631442E-2</v>
      </c>
      <c r="BX56" s="72"/>
      <c r="BY56" s="72"/>
      <c r="BZ56" s="72">
        <f t="shared" si="18"/>
        <v>-9.382276603633638E-3</v>
      </c>
    </row>
    <row r="57" spans="1:78" ht="13.15">
      <c r="A57" s="73" t="s">
        <v>6</v>
      </c>
      <c r="B57" s="74" t="s">
        <v>156</v>
      </c>
      <c r="C57" s="75" t="s">
        <v>157</v>
      </c>
      <c r="D57" s="75" t="s">
        <v>85</v>
      </c>
      <c r="E57" s="76"/>
      <c r="F57" s="59"/>
      <c r="G57" s="60"/>
      <c r="H57" s="77">
        <v>18316</v>
      </c>
      <c r="I57" s="77">
        <v>12837</v>
      </c>
      <c r="J57" s="77">
        <v>6268</v>
      </c>
      <c r="K57" s="77">
        <v>3082</v>
      </c>
      <c r="L57" s="77">
        <v>2790</v>
      </c>
      <c r="M57" s="77"/>
      <c r="N57" s="77"/>
      <c r="O57" s="77">
        <v>1529</v>
      </c>
      <c r="P57" s="77"/>
      <c r="Q57" s="77">
        <v>88</v>
      </c>
      <c r="R57" s="77"/>
      <c r="S57" s="77"/>
      <c r="T57" s="77"/>
      <c r="U57" s="77"/>
      <c r="V57" s="77"/>
      <c r="W57" s="77"/>
      <c r="X57" s="77"/>
      <c r="Y57" s="77"/>
      <c r="Z57" s="77"/>
      <c r="AA57" s="77"/>
      <c r="AB57" s="77"/>
      <c r="AC57" s="77"/>
      <c r="AD57" s="77"/>
      <c r="AE57" s="62"/>
      <c r="AF57" s="63" t="b">
        <v>0</v>
      </c>
      <c r="AG57" s="63" t="b">
        <v>0</v>
      </c>
      <c r="AH57" s="62"/>
      <c r="AI57" s="64">
        <f t="shared" si="7"/>
        <v>44910</v>
      </c>
      <c r="AJ57" s="65" t="str">
        <f t="shared" si="8"/>
        <v>LAB</v>
      </c>
      <c r="AK57" s="66" t="str">
        <f t="shared" si="9"/>
        <v>GAIN</v>
      </c>
      <c r="AL57" s="67" t="e">
        <f t="shared" ca="1" si="10"/>
        <v>#NAME?</v>
      </c>
      <c r="AM57" s="68">
        <f t="shared" si="11"/>
        <v>5479</v>
      </c>
      <c r="AN57" s="69">
        <f t="shared" si="12"/>
        <v>0.12199955466488532</v>
      </c>
      <c r="AO57" s="62"/>
      <c r="AP57" s="70">
        <f t="shared" ref="AP57:AT57" si="172">H57/$AI57</f>
        <v>0.40783789801825876</v>
      </c>
      <c r="AQ57" s="70">
        <f t="shared" si="172"/>
        <v>0.28583834335337344</v>
      </c>
      <c r="AR57" s="70">
        <f t="shared" si="172"/>
        <v>0.13956802493876641</v>
      </c>
      <c r="AS57" s="70">
        <f t="shared" si="172"/>
        <v>6.862614117123135E-2</v>
      </c>
      <c r="AT57" s="70">
        <f t="shared" si="172"/>
        <v>6.2124248496993988E-2</v>
      </c>
      <c r="AU57" s="70"/>
      <c r="AV57" s="70"/>
      <c r="AW57" s="71">
        <f t="shared" si="14"/>
        <v>3.6005344021376118E-2</v>
      </c>
      <c r="AX57" s="70">
        <f t="shared" ref="AX57:BG57" si="173">O57/$AI57</f>
        <v>3.4045869516811399E-2</v>
      </c>
      <c r="AY57" s="70">
        <f t="shared" si="173"/>
        <v>0</v>
      </c>
      <c r="AZ57" s="70">
        <f t="shared" si="173"/>
        <v>1.9594745045646848E-3</v>
      </c>
      <c r="BA57" s="70">
        <f t="shared" si="173"/>
        <v>0</v>
      </c>
      <c r="BB57" s="70">
        <f t="shared" si="173"/>
        <v>0</v>
      </c>
      <c r="BC57" s="70">
        <f t="shared" si="173"/>
        <v>0</v>
      </c>
      <c r="BD57" s="70">
        <f t="shared" si="173"/>
        <v>0</v>
      </c>
      <c r="BE57" s="70">
        <f t="shared" si="173"/>
        <v>0</v>
      </c>
      <c r="BF57" s="70">
        <f t="shared" si="173"/>
        <v>0</v>
      </c>
      <c r="BG57" s="70">
        <f t="shared" si="173"/>
        <v>0</v>
      </c>
      <c r="BH57" s="70">
        <f t="shared" si="16"/>
        <v>0</v>
      </c>
      <c r="BI57" s="62"/>
      <c r="BJ57" s="69">
        <v>0.32700000000000001</v>
      </c>
      <c r="BK57" s="69">
        <v>0.50600000000000001</v>
      </c>
      <c r="BL57" s="69">
        <v>0</v>
      </c>
      <c r="BM57" s="69">
        <v>0.11</v>
      </c>
      <c r="BN57" s="69">
        <v>4.2000000000000003E-2</v>
      </c>
      <c r="BO57" s="69">
        <v>0</v>
      </c>
      <c r="BP57" s="69">
        <v>0</v>
      </c>
      <c r="BQ57" s="69">
        <v>1.4999999999999999E-2</v>
      </c>
      <c r="BR57" s="62"/>
      <c r="BS57" s="72">
        <f t="shared" ref="BS57:BW57" si="174">AP57-BJ57</f>
        <v>8.0837898018258747E-2</v>
      </c>
      <c r="BT57" s="72">
        <f t="shared" si="174"/>
        <v>-0.22016165664662657</v>
      </c>
      <c r="BU57" s="72">
        <f t="shared" si="174"/>
        <v>0.13956802493876641</v>
      </c>
      <c r="BV57" s="72">
        <f t="shared" si="174"/>
        <v>-4.137385882876865E-2</v>
      </c>
      <c r="BW57" s="72">
        <f t="shared" si="174"/>
        <v>2.0124248496993985E-2</v>
      </c>
      <c r="BX57" s="72"/>
      <c r="BY57" s="72"/>
      <c r="BZ57" s="72">
        <f t="shared" si="18"/>
        <v>2.1005344021376084E-2</v>
      </c>
    </row>
    <row r="58" spans="1:78" ht="13.15">
      <c r="A58" s="73" t="s">
        <v>6</v>
      </c>
      <c r="B58" s="74" t="s">
        <v>158</v>
      </c>
      <c r="C58" s="75" t="s">
        <v>159</v>
      </c>
      <c r="D58" s="75" t="s">
        <v>85</v>
      </c>
      <c r="E58" s="76"/>
      <c r="F58" s="59"/>
      <c r="G58" s="60"/>
      <c r="H58" s="77">
        <v>14365</v>
      </c>
      <c r="I58" s="77">
        <v>11141</v>
      </c>
      <c r="J58" s="77">
        <v>6647</v>
      </c>
      <c r="K58" s="77">
        <v>4311</v>
      </c>
      <c r="L58" s="77">
        <v>2614</v>
      </c>
      <c r="M58" s="77"/>
      <c r="N58" s="77"/>
      <c r="O58" s="77"/>
      <c r="P58" s="77"/>
      <c r="Q58" s="77">
        <v>139</v>
      </c>
      <c r="R58" s="77"/>
      <c r="S58" s="77"/>
      <c r="T58" s="77"/>
      <c r="U58" s="77"/>
      <c r="V58" s="77"/>
      <c r="W58" s="77"/>
      <c r="X58" s="77"/>
      <c r="Y58" s="77">
        <v>201</v>
      </c>
      <c r="Z58" s="77"/>
      <c r="AA58" s="77"/>
      <c r="AB58" s="77"/>
      <c r="AC58" s="77"/>
      <c r="AD58" s="77"/>
      <c r="AE58" s="62"/>
      <c r="AF58" s="63" t="b">
        <v>0</v>
      </c>
      <c r="AG58" s="63" t="b">
        <v>0</v>
      </c>
      <c r="AH58" s="62"/>
      <c r="AI58" s="64">
        <f t="shared" si="7"/>
        <v>39418</v>
      </c>
      <c r="AJ58" s="65" t="str">
        <f t="shared" si="8"/>
        <v>LAB</v>
      </c>
      <c r="AK58" s="66" t="str">
        <f t="shared" si="9"/>
        <v>GAIN</v>
      </c>
      <c r="AL58" s="67" t="e">
        <f t="shared" ca="1" si="10"/>
        <v>#NAME?</v>
      </c>
      <c r="AM58" s="68">
        <f t="shared" si="11"/>
        <v>3224</v>
      </c>
      <c r="AN58" s="69">
        <f t="shared" si="12"/>
        <v>8.1790045157034863E-2</v>
      </c>
      <c r="AO58" s="62"/>
      <c r="AP58" s="70">
        <f t="shared" ref="AP58:AT58" si="175">H58/$AI58</f>
        <v>0.36442741894565933</v>
      </c>
      <c r="AQ58" s="70">
        <f t="shared" si="175"/>
        <v>0.28263737378862447</v>
      </c>
      <c r="AR58" s="70">
        <f t="shared" si="175"/>
        <v>0.16862854533461871</v>
      </c>
      <c r="AS58" s="70">
        <f t="shared" si="175"/>
        <v>0.10936627936475722</v>
      </c>
      <c r="AT58" s="70">
        <f t="shared" si="175"/>
        <v>6.6314881526206307E-2</v>
      </c>
      <c r="AU58" s="70"/>
      <c r="AV58" s="70"/>
      <c r="AW58" s="71">
        <f t="shared" si="14"/>
        <v>8.6255010401339316E-3</v>
      </c>
      <c r="AX58" s="70">
        <f t="shared" ref="AX58:BG58" si="176">O58/$AI58</f>
        <v>0</v>
      </c>
      <c r="AY58" s="70">
        <f t="shared" si="176"/>
        <v>0</v>
      </c>
      <c r="AZ58" s="70">
        <f t="shared" si="176"/>
        <v>3.5263077781724087E-3</v>
      </c>
      <c r="BA58" s="70">
        <f t="shared" si="176"/>
        <v>0</v>
      </c>
      <c r="BB58" s="70">
        <f t="shared" si="176"/>
        <v>0</v>
      </c>
      <c r="BC58" s="70">
        <f t="shared" si="176"/>
        <v>0</v>
      </c>
      <c r="BD58" s="70">
        <f t="shared" si="176"/>
        <v>0</v>
      </c>
      <c r="BE58" s="70">
        <f t="shared" si="176"/>
        <v>0</v>
      </c>
      <c r="BF58" s="70">
        <f t="shared" si="176"/>
        <v>0</v>
      </c>
      <c r="BG58" s="70">
        <f t="shared" si="176"/>
        <v>0</v>
      </c>
      <c r="BH58" s="70">
        <f t="shared" si="16"/>
        <v>5.0991932619615229E-3</v>
      </c>
      <c r="BI58" s="62"/>
      <c r="BJ58" s="69">
        <v>0.31900000000000001</v>
      </c>
      <c r="BK58" s="69">
        <v>0.53600000000000003</v>
      </c>
      <c r="BL58" s="69">
        <v>0</v>
      </c>
      <c r="BM58" s="69">
        <v>0.10100000000000001</v>
      </c>
      <c r="BN58" s="69">
        <v>4.4999999999999998E-2</v>
      </c>
      <c r="BO58" s="69">
        <v>0</v>
      </c>
      <c r="BP58" s="69">
        <v>0</v>
      </c>
      <c r="BQ58" s="69">
        <v>0</v>
      </c>
      <c r="BR58" s="62"/>
      <c r="BS58" s="72">
        <f t="shared" ref="BS58:BW58" si="177">AP58-BJ58</f>
        <v>4.5427418945659326E-2</v>
      </c>
      <c r="BT58" s="72">
        <f t="shared" si="177"/>
        <v>-0.25336262621137556</v>
      </c>
      <c r="BU58" s="72">
        <f t="shared" si="177"/>
        <v>0.16862854533461871</v>
      </c>
      <c r="BV58" s="72">
        <f t="shared" si="177"/>
        <v>8.3662793647572148E-3</v>
      </c>
      <c r="BW58" s="72">
        <f t="shared" si="177"/>
        <v>2.1314881526206308E-2</v>
      </c>
      <c r="BX58" s="72"/>
      <c r="BY58" s="72"/>
      <c r="BZ58" s="72">
        <f t="shared" si="18"/>
        <v>8.6255010401339316E-3</v>
      </c>
    </row>
    <row r="59" spans="1:78" ht="13.15">
      <c r="A59" s="73" t="s">
        <v>6</v>
      </c>
      <c r="B59" s="74" t="s">
        <v>160</v>
      </c>
      <c r="C59" s="75" t="s">
        <v>161</v>
      </c>
      <c r="D59" s="75" t="s">
        <v>44</v>
      </c>
      <c r="E59" s="76"/>
      <c r="F59" s="59"/>
      <c r="G59" s="60"/>
      <c r="H59" s="77">
        <v>14783</v>
      </c>
      <c r="I59" s="77">
        <v>13999</v>
      </c>
      <c r="J59" s="77">
        <v>7445</v>
      </c>
      <c r="K59" s="77">
        <v>4768</v>
      </c>
      <c r="L59" s="77">
        <v>2166</v>
      </c>
      <c r="M59" s="77"/>
      <c r="N59" s="77"/>
      <c r="O59" s="77">
        <v>480</v>
      </c>
      <c r="P59" s="77"/>
      <c r="Q59" s="77"/>
      <c r="R59" s="77"/>
      <c r="S59" s="77"/>
      <c r="T59" s="77"/>
      <c r="U59" s="77"/>
      <c r="V59" s="77"/>
      <c r="W59" s="77"/>
      <c r="X59" s="77"/>
      <c r="Y59" s="77">
        <v>196</v>
      </c>
      <c r="Z59" s="77"/>
      <c r="AA59" s="77"/>
      <c r="AB59" s="77"/>
      <c r="AC59" s="77"/>
      <c r="AD59" s="77"/>
      <c r="AE59" s="62"/>
      <c r="AF59" s="63" t="b">
        <v>0</v>
      </c>
      <c r="AG59" s="63" t="b">
        <v>0</v>
      </c>
      <c r="AH59" s="62"/>
      <c r="AI59" s="64">
        <f t="shared" si="7"/>
        <v>43837</v>
      </c>
      <c r="AJ59" s="65" t="str">
        <f t="shared" si="8"/>
        <v>LAB</v>
      </c>
      <c r="AK59" s="66" t="str">
        <f t="shared" si="9"/>
        <v>GAIN</v>
      </c>
      <c r="AL59" s="67" t="e">
        <f t="shared" ca="1" si="10"/>
        <v>#NAME?</v>
      </c>
      <c r="AM59" s="68">
        <f t="shared" si="11"/>
        <v>784</v>
      </c>
      <c r="AN59" s="69">
        <f t="shared" si="12"/>
        <v>1.788443552250385E-2</v>
      </c>
      <c r="AO59" s="62"/>
      <c r="AP59" s="70">
        <f t="shared" ref="AP59:AT59" si="178">H59/$AI59</f>
        <v>0.33722654378721173</v>
      </c>
      <c r="AQ59" s="70">
        <f t="shared" si="178"/>
        <v>0.31934210826470788</v>
      </c>
      <c r="AR59" s="70">
        <f t="shared" si="178"/>
        <v>0.16983370212377671</v>
      </c>
      <c r="AS59" s="70">
        <f t="shared" si="178"/>
        <v>0.10876656705522732</v>
      </c>
      <c r="AT59" s="70">
        <f t="shared" si="178"/>
        <v>4.9410315486917447E-2</v>
      </c>
      <c r="AU59" s="70"/>
      <c r="AV59" s="70"/>
      <c r="AW59" s="71">
        <f t="shared" si="14"/>
        <v>1.5420763282158911E-2</v>
      </c>
      <c r="AX59" s="70">
        <f t="shared" ref="AX59:BG59" si="179">O59/$AI59</f>
        <v>1.0949654401532952E-2</v>
      </c>
      <c r="AY59" s="70">
        <f t="shared" si="179"/>
        <v>0</v>
      </c>
      <c r="AZ59" s="70">
        <f t="shared" si="179"/>
        <v>0</v>
      </c>
      <c r="BA59" s="70">
        <f t="shared" si="179"/>
        <v>0</v>
      </c>
      <c r="BB59" s="70">
        <f t="shared" si="179"/>
        <v>0</v>
      </c>
      <c r="BC59" s="70">
        <f t="shared" si="179"/>
        <v>0</v>
      </c>
      <c r="BD59" s="70">
        <f t="shared" si="179"/>
        <v>0</v>
      </c>
      <c r="BE59" s="70">
        <f t="shared" si="179"/>
        <v>0</v>
      </c>
      <c r="BF59" s="70">
        <f t="shared" si="179"/>
        <v>0</v>
      </c>
      <c r="BG59" s="70">
        <f t="shared" si="179"/>
        <v>0</v>
      </c>
      <c r="BH59" s="70">
        <f t="shared" si="16"/>
        <v>4.471108880625959E-3</v>
      </c>
      <c r="BI59" s="62"/>
      <c r="BJ59" s="69">
        <v>0.254</v>
      </c>
      <c r="BK59" s="69">
        <v>0.55500000000000005</v>
      </c>
      <c r="BL59" s="69">
        <v>0</v>
      </c>
      <c r="BM59" s="69">
        <v>0.14000000000000001</v>
      </c>
      <c r="BN59" s="69">
        <v>0.04</v>
      </c>
      <c r="BO59" s="69">
        <v>0</v>
      </c>
      <c r="BP59" s="69">
        <v>0</v>
      </c>
      <c r="BQ59" s="69">
        <v>1.2E-2</v>
      </c>
      <c r="BR59" s="62"/>
      <c r="BS59" s="72">
        <f t="shared" ref="BS59:BW59" si="180">AP59-BJ59</f>
        <v>8.3226543787211726E-2</v>
      </c>
      <c r="BT59" s="72">
        <f t="shared" si="180"/>
        <v>-0.23565789173529217</v>
      </c>
      <c r="BU59" s="72">
        <f t="shared" si="180"/>
        <v>0.16983370212377671</v>
      </c>
      <c r="BV59" s="72">
        <f t="shared" si="180"/>
        <v>-3.1233432944772696E-2</v>
      </c>
      <c r="BW59" s="72">
        <f t="shared" si="180"/>
        <v>9.4103154869174463E-3</v>
      </c>
      <c r="BX59" s="72"/>
      <c r="BY59" s="72"/>
      <c r="BZ59" s="72">
        <f t="shared" si="18"/>
        <v>3.4207632821589111E-3</v>
      </c>
    </row>
    <row r="60" spans="1:78" ht="13.15">
      <c r="A60" s="78" t="s">
        <v>5</v>
      </c>
      <c r="B60" s="74" t="s">
        <v>162</v>
      </c>
      <c r="C60" s="75" t="s">
        <v>163</v>
      </c>
      <c r="D60" s="75" t="s">
        <v>71</v>
      </c>
      <c r="E60" s="76"/>
      <c r="F60" s="59"/>
      <c r="G60" s="60"/>
      <c r="H60" s="77">
        <v>14098</v>
      </c>
      <c r="I60" s="77">
        <v>3450</v>
      </c>
      <c r="J60" s="77">
        <v>4952</v>
      </c>
      <c r="K60" s="77">
        <v>1910</v>
      </c>
      <c r="L60" s="77">
        <v>2571</v>
      </c>
      <c r="M60" s="77"/>
      <c r="N60" s="77"/>
      <c r="O60" s="77">
        <v>7909</v>
      </c>
      <c r="P60" s="77"/>
      <c r="Q60" s="77">
        <v>65</v>
      </c>
      <c r="R60" s="77"/>
      <c r="S60" s="77"/>
      <c r="T60" s="77"/>
      <c r="U60" s="77"/>
      <c r="V60" s="77"/>
      <c r="W60" s="77"/>
      <c r="X60" s="77"/>
      <c r="Y60" s="77">
        <v>817</v>
      </c>
      <c r="Z60" s="77">
        <v>761</v>
      </c>
      <c r="AA60" s="77">
        <v>683</v>
      </c>
      <c r="AB60" s="77"/>
      <c r="AC60" s="77"/>
      <c r="AD60" s="77"/>
      <c r="AE60" s="62"/>
      <c r="AF60" s="63" t="b">
        <v>0</v>
      </c>
      <c r="AG60" s="63" t="b">
        <v>0</v>
      </c>
      <c r="AH60" s="62"/>
      <c r="AI60" s="64">
        <f t="shared" si="7"/>
        <v>37216</v>
      </c>
      <c r="AJ60" s="65" t="str">
        <f t="shared" si="8"/>
        <v>LAB</v>
      </c>
      <c r="AK60" s="66" t="str">
        <f t="shared" si="9"/>
        <v>HOLD</v>
      </c>
      <c r="AL60" s="67" t="e">
        <f t="shared" ca="1" si="10"/>
        <v>#NAME?</v>
      </c>
      <c r="AM60" s="68">
        <f t="shared" si="11"/>
        <v>6189</v>
      </c>
      <c r="AN60" s="69">
        <f t="shared" si="12"/>
        <v>0.16629944110060188</v>
      </c>
      <c r="AO60" s="62"/>
      <c r="AP60" s="70">
        <f t="shared" ref="AP60:AT60" si="181">H60/$AI60</f>
        <v>0.37881556319862425</v>
      </c>
      <c r="AQ60" s="70">
        <f t="shared" si="181"/>
        <v>9.2702063628546855E-2</v>
      </c>
      <c r="AR60" s="70">
        <f t="shared" si="181"/>
        <v>0.13306104901117799</v>
      </c>
      <c r="AS60" s="70">
        <f t="shared" si="181"/>
        <v>5.1322012037833188E-2</v>
      </c>
      <c r="AT60" s="70">
        <f t="shared" si="181"/>
        <v>6.9083190025795355E-2</v>
      </c>
      <c r="AU60" s="70"/>
      <c r="AV60" s="70"/>
      <c r="AW60" s="71">
        <f t="shared" si="14"/>
        <v>0.2750161220980224</v>
      </c>
      <c r="AX60" s="70">
        <f t="shared" ref="AX60:BG60" si="182">O60/$AI60</f>
        <v>0.21251612209802237</v>
      </c>
      <c r="AY60" s="70">
        <f t="shared" si="182"/>
        <v>0</v>
      </c>
      <c r="AZ60" s="70">
        <f t="shared" si="182"/>
        <v>1.7465606190885641E-3</v>
      </c>
      <c r="BA60" s="70">
        <f t="shared" si="182"/>
        <v>0</v>
      </c>
      <c r="BB60" s="70">
        <f t="shared" si="182"/>
        <v>0</v>
      </c>
      <c r="BC60" s="70">
        <f t="shared" si="182"/>
        <v>0</v>
      </c>
      <c r="BD60" s="70">
        <f t="shared" si="182"/>
        <v>0</v>
      </c>
      <c r="BE60" s="70">
        <f t="shared" si="182"/>
        <v>0</v>
      </c>
      <c r="BF60" s="70">
        <f t="shared" si="182"/>
        <v>0</v>
      </c>
      <c r="BG60" s="70">
        <f t="shared" si="182"/>
        <v>0</v>
      </c>
      <c r="BH60" s="70">
        <f t="shared" si="16"/>
        <v>6.0753439380911461E-2</v>
      </c>
      <c r="BI60" s="62"/>
      <c r="BJ60" s="69">
        <v>0.63</v>
      </c>
      <c r="BK60" s="69">
        <v>0.217</v>
      </c>
      <c r="BL60" s="69">
        <v>6.2E-2</v>
      </c>
      <c r="BM60" s="69">
        <v>7.6999999999999999E-2</v>
      </c>
      <c r="BN60" s="69">
        <v>1.4999999999999999E-2</v>
      </c>
      <c r="BO60" s="69">
        <v>0</v>
      </c>
      <c r="BP60" s="69">
        <v>0</v>
      </c>
      <c r="BQ60" s="69">
        <v>0</v>
      </c>
      <c r="BR60" s="62"/>
      <c r="BS60" s="72">
        <f t="shared" ref="BS60:BW60" si="183">AP60-BJ60</f>
        <v>-0.25118443680137575</v>
      </c>
      <c r="BT60" s="72">
        <f t="shared" si="183"/>
        <v>-0.12429793637145314</v>
      </c>
      <c r="BU60" s="72">
        <f t="shared" si="183"/>
        <v>7.106104901117799E-2</v>
      </c>
      <c r="BV60" s="72">
        <f t="shared" si="183"/>
        <v>-2.5677987962166811E-2</v>
      </c>
      <c r="BW60" s="72">
        <f t="shared" si="183"/>
        <v>5.4083190025795355E-2</v>
      </c>
      <c r="BX60" s="72"/>
      <c r="BY60" s="72"/>
      <c r="BZ60" s="72">
        <f t="shared" si="18"/>
        <v>0.2750161220980224</v>
      </c>
    </row>
    <row r="61" spans="1:78" ht="13.15">
      <c r="A61" s="78" t="s">
        <v>5</v>
      </c>
      <c r="B61" s="74" t="s">
        <v>164</v>
      </c>
      <c r="C61" s="75" t="s">
        <v>165</v>
      </c>
      <c r="D61" s="75" t="s">
        <v>71</v>
      </c>
      <c r="E61" s="76"/>
      <c r="F61" s="59"/>
      <c r="G61" s="60"/>
      <c r="H61" s="77">
        <v>11833</v>
      </c>
      <c r="I61" s="77">
        <v>4853</v>
      </c>
      <c r="J61" s="77">
        <v>7441</v>
      </c>
      <c r="K61" s="77">
        <v>954</v>
      </c>
      <c r="L61" s="77">
        <v>3366</v>
      </c>
      <c r="M61" s="77"/>
      <c r="N61" s="77"/>
      <c r="O61" s="77">
        <v>3345</v>
      </c>
      <c r="P61" s="77">
        <v>513</v>
      </c>
      <c r="Q61" s="77"/>
      <c r="R61" s="77"/>
      <c r="S61" s="77"/>
      <c r="T61" s="77"/>
      <c r="U61" s="77"/>
      <c r="V61" s="77"/>
      <c r="W61" s="77"/>
      <c r="X61" s="77"/>
      <c r="Y61" s="77">
        <v>489</v>
      </c>
      <c r="Z61" s="77">
        <v>248</v>
      </c>
      <c r="AA61" s="77"/>
      <c r="AB61" s="77"/>
      <c r="AC61" s="77"/>
      <c r="AD61" s="77"/>
      <c r="AE61" s="62"/>
      <c r="AF61" s="63" t="b">
        <v>0</v>
      </c>
      <c r="AG61" s="63" t="b">
        <v>0</v>
      </c>
      <c r="AH61" s="62"/>
      <c r="AI61" s="64">
        <f t="shared" si="7"/>
        <v>33042</v>
      </c>
      <c r="AJ61" s="65" t="str">
        <f t="shared" si="8"/>
        <v>LAB</v>
      </c>
      <c r="AK61" s="66" t="str">
        <f t="shared" si="9"/>
        <v>HOLD</v>
      </c>
      <c r="AL61" s="67" t="e">
        <f t="shared" ca="1" si="10"/>
        <v>#NAME?</v>
      </c>
      <c r="AM61" s="68">
        <f t="shared" si="11"/>
        <v>4392</v>
      </c>
      <c r="AN61" s="69">
        <f t="shared" si="12"/>
        <v>0.13292173597239876</v>
      </c>
      <c r="AO61" s="62"/>
      <c r="AP61" s="70">
        <f t="shared" ref="AP61:AT61" si="184">H61/$AI61</f>
        <v>0.35811996852490768</v>
      </c>
      <c r="AQ61" s="70">
        <f t="shared" si="184"/>
        <v>0.14687367592760728</v>
      </c>
      <c r="AR61" s="70">
        <f t="shared" si="184"/>
        <v>0.22519823255250893</v>
      </c>
      <c r="AS61" s="70">
        <f t="shared" si="184"/>
        <v>2.8872344289086617E-2</v>
      </c>
      <c r="AT61" s="70">
        <f t="shared" si="184"/>
        <v>0.10187034683130561</v>
      </c>
      <c r="AU61" s="70"/>
      <c r="AV61" s="70"/>
      <c r="AW61" s="71">
        <f t="shared" si="14"/>
        <v>0.13906543187458398</v>
      </c>
      <c r="AX61" s="70">
        <f t="shared" ref="AX61:BG61" si="185">O61/$AI61</f>
        <v>0.1012347920828037</v>
      </c>
      <c r="AY61" s="70">
        <f t="shared" si="185"/>
        <v>1.5525694570546577E-2</v>
      </c>
      <c r="AZ61" s="70">
        <f t="shared" si="185"/>
        <v>0</v>
      </c>
      <c r="BA61" s="70">
        <f t="shared" si="185"/>
        <v>0</v>
      </c>
      <c r="BB61" s="70">
        <f t="shared" si="185"/>
        <v>0</v>
      </c>
      <c r="BC61" s="70">
        <f t="shared" si="185"/>
        <v>0</v>
      </c>
      <c r="BD61" s="70">
        <f t="shared" si="185"/>
        <v>0</v>
      </c>
      <c r="BE61" s="70">
        <f t="shared" si="185"/>
        <v>0</v>
      </c>
      <c r="BF61" s="70">
        <f t="shared" si="185"/>
        <v>0</v>
      </c>
      <c r="BG61" s="70">
        <f t="shared" si="185"/>
        <v>0</v>
      </c>
      <c r="BH61" s="70">
        <f t="shared" si="16"/>
        <v>2.2304945221233705E-2</v>
      </c>
      <c r="BI61" s="62"/>
      <c r="BJ61" s="69">
        <v>0.46700000000000003</v>
      </c>
      <c r="BK61" s="69">
        <v>0.40100000000000002</v>
      </c>
      <c r="BL61" s="69">
        <v>7.0000000000000007E-2</v>
      </c>
      <c r="BM61" s="69">
        <v>3.6999999999999998E-2</v>
      </c>
      <c r="BN61" s="69">
        <v>2.5000000000000001E-2</v>
      </c>
      <c r="BO61" s="69">
        <v>0</v>
      </c>
      <c r="BP61" s="69">
        <v>0</v>
      </c>
      <c r="BQ61" s="69">
        <v>0</v>
      </c>
      <c r="BR61" s="62"/>
      <c r="BS61" s="72">
        <f t="shared" ref="BS61:BW61" si="186">AP61-BJ61</f>
        <v>-0.10888003147509234</v>
      </c>
      <c r="BT61" s="72">
        <f t="shared" si="186"/>
        <v>-0.25412632407239277</v>
      </c>
      <c r="BU61" s="72">
        <f t="shared" si="186"/>
        <v>0.15519823255250892</v>
      </c>
      <c r="BV61" s="72">
        <f t="shared" si="186"/>
        <v>-8.1276557109133812E-3</v>
      </c>
      <c r="BW61" s="72">
        <f t="shared" si="186"/>
        <v>7.6870346831305614E-2</v>
      </c>
      <c r="BX61" s="72"/>
      <c r="BY61" s="72"/>
      <c r="BZ61" s="72">
        <f t="shared" si="18"/>
        <v>0.13906543187458398</v>
      </c>
    </row>
    <row r="62" spans="1:78" ht="13.15">
      <c r="A62" s="78" t="s">
        <v>5</v>
      </c>
      <c r="B62" s="74" t="s">
        <v>166</v>
      </c>
      <c r="C62" s="75" t="s">
        <v>167</v>
      </c>
      <c r="D62" s="75" t="s">
        <v>71</v>
      </c>
      <c r="E62" s="76"/>
      <c r="F62" s="59"/>
      <c r="G62" s="60"/>
      <c r="H62" s="77">
        <v>11724</v>
      </c>
      <c r="I62" s="77">
        <v>3055</v>
      </c>
      <c r="J62" s="77">
        <v>2958</v>
      </c>
      <c r="K62" s="77">
        <v>756</v>
      </c>
      <c r="L62" s="77">
        <v>3690</v>
      </c>
      <c r="M62" s="77"/>
      <c r="N62" s="77"/>
      <c r="O62" s="77">
        <v>11017</v>
      </c>
      <c r="P62" s="77"/>
      <c r="Q62" s="77"/>
      <c r="R62" s="77"/>
      <c r="S62" s="77"/>
      <c r="T62" s="77"/>
      <c r="U62" s="77"/>
      <c r="V62" s="77"/>
      <c r="W62" s="77"/>
      <c r="X62" s="77"/>
      <c r="Y62" s="77">
        <v>3547</v>
      </c>
      <c r="Z62" s="77">
        <v>334</v>
      </c>
      <c r="AA62" s="77"/>
      <c r="AB62" s="77"/>
      <c r="AC62" s="77"/>
      <c r="AD62" s="77"/>
      <c r="AE62" s="62"/>
      <c r="AF62" s="63" t="b">
        <v>0</v>
      </c>
      <c r="AG62" s="63" t="b">
        <v>0</v>
      </c>
      <c r="AH62" s="62"/>
      <c r="AI62" s="64">
        <f t="shared" si="7"/>
        <v>37081</v>
      </c>
      <c r="AJ62" s="65" t="str">
        <f t="shared" si="8"/>
        <v>LAB</v>
      </c>
      <c r="AK62" s="66" t="str">
        <f t="shared" si="9"/>
        <v>HOLD</v>
      </c>
      <c r="AL62" s="67" t="e">
        <f t="shared" ca="1" si="10"/>
        <v>#NAME?</v>
      </c>
      <c r="AM62" s="68">
        <f t="shared" si="11"/>
        <v>707</v>
      </c>
      <c r="AN62" s="69">
        <f t="shared" si="12"/>
        <v>1.9066368220921726E-2</v>
      </c>
      <c r="AO62" s="62"/>
      <c r="AP62" s="70">
        <f t="shared" ref="AP62:AT62" si="187">H62/$AI62</f>
        <v>0.31617270300153716</v>
      </c>
      <c r="AQ62" s="70">
        <f t="shared" si="187"/>
        <v>8.238720638601979E-2</v>
      </c>
      <c r="AR62" s="70">
        <f t="shared" si="187"/>
        <v>7.9771311453304933E-2</v>
      </c>
      <c r="AS62" s="70">
        <f t="shared" si="187"/>
        <v>2.038779968177773E-2</v>
      </c>
      <c r="AT62" s="70">
        <f t="shared" si="187"/>
        <v>9.9511879399153208E-2</v>
      </c>
      <c r="AU62" s="70"/>
      <c r="AV62" s="70"/>
      <c r="AW62" s="71">
        <f t="shared" si="14"/>
        <v>0.40176910007820721</v>
      </c>
      <c r="AX62" s="70">
        <f t="shared" ref="AX62:BG62" si="188">O62/$AI62</f>
        <v>0.29710633478061543</v>
      </c>
      <c r="AY62" s="70">
        <f t="shared" si="188"/>
        <v>0</v>
      </c>
      <c r="AZ62" s="70">
        <f t="shared" si="188"/>
        <v>0</v>
      </c>
      <c r="BA62" s="70">
        <f t="shared" si="188"/>
        <v>0</v>
      </c>
      <c r="BB62" s="70">
        <f t="shared" si="188"/>
        <v>0</v>
      </c>
      <c r="BC62" s="70">
        <f t="shared" si="188"/>
        <v>0</v>
      </c>
      <c r="BD62" s="70">
        <f t="shared" si="188"/>
        <v>0</v>
      </c>
      <c r="BE62" s="70">
        <f t="shared" si="188"/>
        <v>0</v>
      </c>
      <c r="BF62" s="70">
        <f t="shared" si="188"/>
        <v>0</v>
      </c>
      <c r="BG62" s="70">
        <f t="shared" si="188"/>
        <v>0</v>
      </c>
      <c r="BH62" s="70">
        <f t="shared" si="16"/>
        <v>0.10466276529759178</v>
      </c>
      <c r="BI62" s="62"/>
      <c r="BJ62" s="69">
        <v>0.76200000000000001</v>
      </c>
      <c r="BK62" s="69">
        <v>0.152</v>
      </c>
      <c r="BL62" s="69">
        <v>3.5000000000000003E-2</v>
      </c>
      <c r="BM62" s="69">
        <v>3.1E-2</v>
      </c>
      <c r="BN62" s="69">
        <v>1.7999999999999999E-2</v>
      </c>
      <c r="BO62" s="69">
        <v>0</v>
      </c>
      <c r="BP62" s="69">
        <v>0</v>
      </c>
      <c r="BQ62" s="69">
        <v>2E-3</v>
      </c>
      <c r="BR62" s="62"/>
      <c r="BS62" s="72">
        <f t="shared" ref="BS62:BW62" si="189">AP62-BJ62</f>
        <v>-0.44582729699846285</v>
      </c>
      <c r="BT62" s="72">
        <f t="shared" si="189"/>
        <v>-6.9612793613980206E-2</v>
      </c>
      <c r="BU62" s="72">
        <f t="shared" si="189"/>
        <v>4.4771311453304929E-2</v>
      </c>
      <c r="BV62" s="72">
        <f t="shared" si="189"/>
        <v>-1.061220031822227E-2</v>
      </c>
      <c r="BW62" s="72">
        <f t="shared" si="189"/>
        <v>8.1511879399153206E-2</v>
      </c>
      <c r="BX62" s="72"/>
      <c r="BY62" s="72"/>
      <c r="BZ62" s="72">
        <f t="shared" si="18"/>
        <v>0.39976910007820721</v>
      </c>
    </row>
    <row r="63" spans="1:78" ht="13.15">
      <c r="A63" s="73" t="s">
        <v>6</v>
      </c>
      <c r="B63" s="74" t="s">
        <v>168</v>
      </c>
      <c r="C63" s="75" t="s">
        <v>169</v>
      </c>
      <c r="D63" s="75" t="s">
        <v>78</v>
      </c>
      <c r="E63" s="76"/>
      <c r="F63" s="59"/>
      <c r="G63" s="60"/>
      <c r="H63" s="77">
        <v>13744</v>
      </c>
      <c r="I63" s="77">
        <v>17414</v>
      </c>
      <c r="J63" s="77">
        <v>11346</v>
      </c>
      <c r="K63" s="77">
        <v>2879</v>
      </c>
      <c r="L63" s="77">
        <v>2878</v>
      </c>
      <c r="M63" s="77"/>
      <c r="N63" s="77"/>
      <c r="O63" s="77">
        <v>767</v>
      </c>
      <c r="P63" s="77"/>
      <c r="Q63" s="77"/>
      <c r="R63" s="77"/>
      <c r="S63" s="77"/>
      <c r="T63" s="77"/>
      <c r="U63" s="77"/>
      <c r="V63" s="77"/>
      <c r="W63" s="77"/>
      <c r="X63" s="77"/>
      <c r="Y63" s="77"/>
      <c r="Z63" s="77"/>
      <c r="AA63" s="77"/>
      <c r="AB63" s="77"/>
      <c r="AC63" s="77"/>
      <c r="AD63" s="77"/>
      <c r="AE63" s="62"/>
      <c r="AF63" s="63" t="b">
        <v>0</v>
      </c>
      <c r="AG63" s="63" t="b">
        <v>0</v>
      </c>
      <c r="AH63" s="62"/>
      <c r="AI63" s="64">
        <f t="shared" si="7"/>
        <v>49028</v>
      </c>
      <c r="AJ63" s="65" t="str">
        <f t="shared" si="8"/>
        <v>CON</v>
      </c>
      <c r="AK63" s="66" t="str">
        <f t="shared" si="9"/>
        <v>HOLD</v>
      </c>
      <c r="AL63" s="67" t="e">
        <f t="shared" ca="1" si="10"/>
        <v>#NAME?</v>
      </c>
      <c r="AM63" s="68">
        <f t="shared" si="11"/>
        <v>3670</v>
      </c>
      <c r="AN63" s="69">
        <f t="shared" si="12"/>
        <v>7.4855184792363583E-2</v>
      </c>
      <c r="AO63" s="62"/>
      <c r="AP63" s="70">
        <f t="shared" ref="AP63:AT63" si="190">H63/$AI63</f>
        <v>0.2803296075711838</v>
      </c>
      <c r="AQ63" s="70">
        <f t="shared" si="190"/>
        <v>0.35518479236354739</v>
      </c>
      <c r="AR63" s="70">
        <f t="shared" si="190"/>
        <v>0.23141878110467487</v>
      </c>
      <c r="AS63" s="70">
        <f t="shared" si="190"/>
        <v>5.8721546871175652E-2</v>
      </c>
      <c r="AT63" s="70">
        <f t="shared" si="190"/>
        <v>5.8701150363057841E-2</v>
      </c>
      <c r="AU63" s="70"/>
      <c r="AV63" s="70"/>
      <c r="AW63" s="71">
        <f t="shared" si="14"/>
        <v>1.5644121726360316E-2</v>
      </c>
      <c r="AX63" s="70">
        <f t="shared" ref="AX63:BG63" si="191">O63/$AI63</f>
        <v>1.5644121726360448E-2</v>
      </c>
      <c r="AY63" s="70">
        <f t="shared" si="191"/>
        <v>0</v>
      </c>
      <c r="AZ63" s="70">
        <f t="shared" si="191"/>
        <v>0</v>
      </c>
      <c r="BA63" s="70">
        <f t="shared" si="191"/>
        <v>0</v>
      </c>
      <c r="BB63" s="70">
        <f t="shared" si="191"/>
        <v>0</v>
      </c>
      <c r="BC63" s="70">
        <f t="shared" si="191"/>
        <v>0</v>
      </c>
      <c r="BD63" s="70">
        <f t="shared" si="191"/>
        <v>0</v>
      </c>
      <c r="BE63" s="70">
        <f t="shared" si="191"/>
        <v>0</v>
      </c>
      <c r="BF63" s="70">
        <f t="shared" si="191"/>
        <v>0</v>
      </c>
      <c r="BG63" s="70">
        <f t="shared" si="191"/>
        <v>0</v>
      </c>
      <c r="BH63" s="70">
        <f t="shared" si="16"/>
        <v>-1.3183898417423734E-16</v>
      </c>
      <c r="BI63" s="62"/>
      <c r="BJ63" s="69">
        <v>0.182</v>
      </c>
      <c r="BK63" s="69">
        <v>0.67500000000000004</v>
      </c>
      <c r="BL63" s="69">
        <v>0</v>
      </c>
      <c r="BM63" s="69">
        <v>9.7000000000000003E-2</v>
      </c>
      <c r="BN63" s="69">
        <v>5.0000000000000001E-3</v>
      </c>
      <c r="BO63" s="69">
        <v>0</v>
      </c>
      <c r="BP63" s="69">
        <v>0</v>
      </c>
      <c r="BQ63" s="69">
        <v>4.2000000000000003E-2</v>
      </c>
      <c r="BR63" s="62"/>
      <c r="BS63" s="72">
        <f t="shared" ref="BS63:BW63" si="192">AP63-BJ63</f>
        <v>9.8329607571183808E-2</v>
      </c>
      <c r="BT63" s="72">
        <f t="shared" si="192"/>
        <v>-0.31981520763645266</v>
      </c>
      <c r="BU63" s="72">
        <f t="shared" si="192"/>
        <v>0.23141878110467487</v>
      </c>
      <c r="BV63" s="72">
        <f t="shared" si="192"/>
        <v>-3.8278453128824351E-2</v>
      </c>
      <c r="BW63" s="72">
        <f t="shared" si="192"/>
        <v>5.3701150363057844E-2</v>
      </c>
      <c r="BX63" s="72"/>
      <c r="BY63" s="72"/>
      <c r="BZ63" s="72">
        <f t="shared" si="18"/>
        <v>-2.6355878273639687E-2</v>
      </c>
    </row>
    <row r="64" spans="1:78" ht="13.15">
      <c r="A64" s="78" t="s">
        <v>5</v>
      </c>
      <c r="B64" s="74" t="s">
        <v>170</v>
      </c>
      <c r="C64" s="75" t="s">
        <v>171</v>
      </c>
      <c r="D64" s="75" t="s">
        <v>68</v>
      </c>
      <c r="E64" s="76"/>
      <c r="F64" s="59"/>
      <c r="G64" s="60"/>
      <c r="H64" s="77">
        <v>19370</v>
      </c>
      <c r="I64" s="77">
        <v>6323</v>
      </c>
      <c r="J64" s="77">
        <v>2024</v>
      </c>
      <c r="K64" s="77">
        <v>2635</v>
      </c>
      <c r="L64" s="77">
        <v>3729</v>
      </c>
      <c r="M64" s="77"/>
      <c r="N64" s="77"/>
      <c r="O64" s="77">
        <v>1846</v>
      </c>
      <c r="P64" s="77">
        <v>1052</v>
      </c>
      <c r="Q64" s="77"/>
      <c r="R64" s="77"/>
      <c r="S64" s="77"/>
      <c r="T64" s="77"/>
      <c r="U64" s="77"/>
      <c r="V64" s="77"/>
      <c r="W64" s="77"/>
      <c r="X64" s="77"/>
      <c r="Y64" s="77">
        <v>654</v>
      </c>
      <c r="Z64" s="77">
        <v>169</v>
      </c>
      <c r="AA64" s="77"/>
      <c r="AB64" s="77"/>
      <c r="AC64" s="77"/>
      <c r="AD64" s="77"/>
      <c r="AE64" s="62"/>
      <c r="AF64" s="63" t="b">
        <v>0</v>
      </c>
      <c r="AG64" s="63" t="b">
        <v>0</v>
      </c>
      <c r="AH64" s="62"/>
      <c r="AI64" s="64">
        <f t="shared" si="7"/>
        <v>37802</v>
      </c>
      <c r="AJ64" s="65" t="str">
        <f t="shared" si="8"/>
        <v>LAB</v>
      </c>
      <c r="AK64" s="66" t="str">
        <f t="shared" si="9"/>
        <v>HOLD</v>
      </c>
      <c r="AL64" s="67" t="e">
        <f t="shared" ca="1" si="10"/>
        <v>#NAME?</v>
      </c>
      <c r="AM64" s="68">
        <f t="shared" si="11"/>
        <v>13047</v>
      </c>
      <c r="AN64" s="69">
        <f t="shared" si="12"/>
        <v>0.34514046875826671</v>
      </c>
      <c r="AO64" s="62"/>
      <c r="AP64" s="70">
        <f t="shared" ref="AP64:AT64" si="193">H64/$AI64</f>
        <v>0.51240675096555732</v>
      </c>
      <c r="AQ64" s="70">
        <f t="shared" si="193"/>
        <v>0.16726628220729062</v>
      </c>
      <c r="AR64" s="70">
        <f t="shared" si="193"/>
        <v>5.3542140627480028E-2</v>
      </c>
      <c r="AS64" s="70">
        <f t="shared" si="193"/>
        <v>6.9705306597534517E-2</v>
      </c>
      <c r="AT64" s="70">
        <f t="shared" si="193"/>
        <v>9.8645574308237657E-2</v>
      </c>
      <c r="AU64" s="70"/>
      <c r="AV64" s="70"/>
      <c r="AW64" s="71">
        <f t="shared" si="14"/>
        <v>9.8433945293899816E-2</v>
      </c>
      <c r="AX64" s="70">
        <f t="shared" ref="AX64:BG64" si="194">O64/$AI64</f>
        <v>4.8833395058462514E-2</v>
      </c>
      <c r="AY64" s="70">
        <f t="shared" si="194"/>
        <v>2.7829215385429342E-2</v>
      </c>
      <c r="AZ64" s="70">
        <f t="shared" si="194"/>
        <v>0</v>
      </c>
      <c r="BA64" s="70">
        <f t="shared" si="194"/>
        <v>0</v>
      </c>
      <c r="BB64" s="70">
        <f t="shared" si="194"/>
        <v>0</v>
      </c>
      <c r="BC64" s="70">
        <f t="shared" si="194"/>
        <v>0</v>
      </c>
      <c r="BD64" s="70">
        <f t="shared" si="194"/>
        <v>0</v>
      </c>
      <c r="BE64" s="70">
        <f t="shared" si="194"/>
        <v>0</v>
      </c>
      <c r="BF64" s="70">
        <f t="shared" si="194"/>
        <v>0</v>
      </c>
      <c r="BG64" s="70">
        <f t="shared" si="194"/>
        <v>0</v>
      </c>
      <c r="BH64" s="70">
        <f t="shared" si="16"/>
        <v>2.1771334850007956E-2</v>
      </c>
      <c r="BI64" s="62"/>
      <c r="BJ64" s="69">
        <v>0.63800000000000001</v>
      </c>
      <c r="BK64" s="69">
        <v>0.23499999999999999</v>
      </c>
      <c r="BL64" s="69">
        <v>4.0000000000000001E-3</v>
      </c>
      <c r="BM64" s="69">
        <v>0.09</v>
      </c>
      <c r="BN64" s="69">
        <v>3.2000000000000001E-2</v>
      </c>
      <c r="BO64" s="69">
        <v>0</v>
      </c>
      <c r="BP64" s="69">
        <v>0</v>
      </c>
      <c r="BQ64" s="69">
        <v>0</v>
      </c>
      <c r="BR64" s="62"/>
      <c r="BS64" s="72">
        <f t="shared" ref="BS64:BW64" si="195">AP64-BJ64</f>
        <v>-0.12559324903444269</v>
      </c>
      <c r="BT64" s="72">
        <f t="shared" si="195"/>
        <v>-6.7733717792709369E-2</v>
      </c>
      <c r="BU64" s="72">
        <f t="shared" si="195"/>
        <v>4.9542140627480025E-2</v>
      </c>
      <c r="BV64" s="72">
        <f t="shared" si="195"/>
        <v>-2.029469340246548E-2</v>
      </c>
      <c r="BW64" s="72">
        <f t="shared" si="195"/>
        <v>6.6645574308237657E-2</v>
      </c>
      <c r="BX64" s="72"/>
      <c r="BY64" s="72"/>
      <c r="BZ64" s="72">
        <f t="shared" si="18"/>
        <v>9.8433945293899816E-2</v>
      </c>
    </row>
    <row r="65" spans="1:78" ht="13.15">
      <c r="A65" s="78" t="s">
        <v>5</v>
      </c>
      <c r="B65" s="74" t="s">
        <v>172</v>
      </c>
      <c r="C65" s="75" t="s">
        <v>173</v>
      </c>
      <c r="D65" s="75" t="s">
        <v>68</v>
      </c>
      <c r="E65" s="76"/>
      <c r="F65" s="59"/>
      <c r="G65" s="60"/>
      <c r="H65" s="77">
        <v>17258</v>
      </c>
      <c r="I65" s="77">
        <v>13465</v>
      </c>
      <c r="J65" s="77">
        <v>2061</v>
      </c>
      <c r="K65" s="77">
        <v>3013</v>
      </c>
      <c r="L65" s="77">
        <v>2805</v>
      </c>
      <c r="M65" s="77"/>
      <c r="N65" s="77"/>
      <c r="O65" s="77"/>
      <c r="P65" s="77">
        <v>2774</v>
      </c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62"/>
      <c r="AF65" s="63" t="b">
        <v>0</v>
      </c>
      <c r="AG65" s="63" t="b">
        <v>0</v>
      </c>
      <c r="AH65" s="62"/>
      <c r="AI65" s="64">
        <f t="shared" si="7"/>
        <v>41376</v>
      </c>
      <c r="AJ65" s="65" t="str">
        <f t="shared" si="8"/>
        <v>LAB</v>
      </c>
      <c r="AK65" s="66" t="str">
        <f t="shared" si="9"/>
        <v>HOLD</v>
      </c>
      <c r="AL65" s="67" t="e">
        <f t="shared" ca="1" si="10"/>
        <v>#NAME?</v>
      </c>
      <c r="AM65" s="68">
        <f t="shared" si="11"/>
        <v>3793</v>
      </c>
      <c r="AN65" s="69">
        <f t="shared" si="12"/>
        <v>9.1671500386697635E-2</v>
      </c>
      <c r="AO65" s="62"/>
      <c r="AP65" s="70">
        <f t="shared" ref="AP65:AT65" si="196">H65/$AI65</f>
        <v>0.41710170146945091</v>
      </c>
      <c r="AQ65" s="70">
        <f t="shared" si="196"/>
        <v>0.32543020108275328</v>
      </c>
      <c r="AR65" s="70">
        <f t="shared" si="196"/>
        <v>4.9811484918793503E-2</v>
      </c>
      <c r="AS65" s="70">
        <f t="shared" si="196"/>
        <v>7.2819992266047948E-2</v>
      </c>
      <c r="AT65" s="70">
        <f t="shared" si="196"/>
        <v>6.7792923433874705E-2</v>
      </c>
      <c r="AU65" s="70"/>
      <c r="AV65" s="70"/>
      <c r="AW65" s="71">
        <f t="shared" si="14"/>
        <v>6.7043696829079735E-2</v>
      </c>
      <c r="AX65" s="70">
        <f t="shared" ref="AX65:BG65" si="197">O65/$AI65</f>
        <v>0</v>
      </c>
      <c r="AY65" s="70">
        <f t="shared" si="197"/>
        <v>6.7043696829079666E-2</v>
      </c>
      <c r="AZ65" s="70">
        <f t="shared" si="197"/>
        <v>0</v>
      </c>
      <c r="BA65" s="70">
        <f t="shared" si="197"/>
        <v>0</v>
      </c>
      <c r="BB65" s="70">
        <f t="shared" si="197"/>
        <v>0</v>
      </c>
      <c r="BC65" s="70">
        <f t="shared" si="197"/>
        <v>0</v>
      </c>
      <c r="BD65" s="70">
        <f t="shared" si="197"/>
        <v>0</v>
      </c>
      <c r="BE65" s="70">
        <f t="shared" si="197"/>
        <v>0</v>
      </c>
      <c r="BF65" s="70">
        <f t="shared" si="197"/>
        <v>0</v>
      </c>
      <c r="BG65" s="70">
        <f t="shared" si="197"/>
        <v>0</v>
      </c>
      <c r="BH65" s="70">
        <f t="shared" si="16"/>
        <v>0</v>
      </c>
      <c r="BI65" s="62"/>
      <c r="BJ65" s="69">
        <v>0.53300000000000003</v>
      </c>
      <c r="BK65" s="69">
        <v>0.33800000000000002</v>
      </c>
      <c r="BL65" s="69">
        <v>1.6E-2</v>
      </c>
      <c r="BM65" s="69">
        <v>9.0999999999999998E-2</v>
      </c>
      <c r="BN65" s="69">
        <v>1.7000000000000001E-2</v>
      </c>
      <c r="BO65" s="69">
        <v>0</v>
      </c>
      <c r="BP65" s="69">
        <v>0</v>
      </c>
      <c r="BQ65" s="69">
        <v>6.0000000000000001E-3</v>
      </c>
      <c r="BR65" s="62"/>
      <c r="BS65" s="72">
        <f t="shared" ref="BS65:BW65" si="198">AP65-BJ65</f>
        <v>-0.11589829853054912</v>
      </c>
      <c r="BT65" s="72">
        <f t="shared" si="198"/>
        <v>-1.2569798917246744E-2</v>
      </c>
      <c r="BU65" s="72">
        <f t="shared" si="198"/>
        <v>3.3811484918793502E-2</v>
      </c>
      <c r="BV65" s="72">
        <f t="shared" si="198"/>
        <v>-1.818000773395205E-2</v>
      </c>
      <c r="BW65" s="72">
        <f t="shared" si="198"/>
        <v>5.0792923433874704E-2</v>
      </c>
      <c r="BX65" s="72"/>
      <c r="BY65" s="72"/>
      <c r="BZ65" s="72">
        <f t="shared" si="18"/>
        <v>6.1043696829079667E-2</v>
      </c>
    </row>
    <row r="66" spans="1:78" ht="13.15">
      <c r="A66" s="78" t="s">
        <v>5</v>
      </c>
      <c r="B66" s="74" t="s">
        <v>174</v>
      </c>
      <c r="C66" s="75" t="s">
        <v>175</v>
      </c>
      <c r="D66" s="75" t="s">
        <v>68</v>
      </c>
      <c r="E66" s="76"/>
      <c r="F66" s="59"/>
      <c r="G66" s="60"/>
      <c r="H66" s="77">
        <v>20007</v>
      </c>
      <c r="I66" s="77">
        <v>10183</v>
      </c>
      <c r="J66" s="77">
        <v>3940</v>
      </c>
      <c r="K66" s="77">
        <v>3863</v>
      </c>
      <c r="L66" s="77">
        <v>4029</v>
      </c>
      <c r="M66" s="77"/>
      <c r="N66" s="77"/>
      <c r="O66" s="77">
        <v>486</v>
      </c>
      <c r="P66" s="77">
        <v>2746</v>
      </c>
      <c r="Q66" s="77"/>
      <c r="R66" s="77"/>
      <c r="S66" s="77"/>
      <c r="T66" s="77"/>
      <c r="U66" s="77"/>
      <c r="V66" s="77"/>
      <c r="W66" s="77"/>
      <c r="X66" s="77"/>
      <c r="Y66" s="77"/>
      <c r="Z66" s="77"/>
      <c r="AA66" s="77"/>
      <c r="AB66" s="77"/>
      <c r="AC66" s="77"/>
      <c r="AD66" s="77"/>
      <c r="AE66" s="62"/>
      <c r="AF66" s="63" t="b">
        <v>0</v>
      </c>
      <c r="AG66" s="63" t="b">
        <v>0</v>
      </c>
      <c r="AH66" s="62"/>
      <c r="AI66" s="64">
        <f t="shared" si="7"/>
        <v>45254</v>
      </c>
      <c r="AJ66" s="65" t="str">
        <f t="shared" si="8"/>
        <v>LAB</v>
      </c>
      <c r="AK66" s="66" t="str">
        <f t="shared" si="9"/>
        <v>HOLD</v>
      </c>
      <c r="AL66" s="67" t="e">
        <f t="shared" ca="1" si="10"/>
        <v>#NAME?</v>
      </c>
      <c r="AM66" s="68">
        <f t="shared" si="11"/>
        <v>9824</v>
      </c>
      <c r="AN66" s="69">
        <f t="shared" si="12"/>
        <v>0.21708578247226767</v>
      </c>
      <c r="AO66" s="62"/>
      <c r="AP66" s="70">
        <f t="shared" ref="AP66:AT66" si="199">H66/$AI66</f>
        <v>0.4421045653422902</v>
      </c>
      <c r="AQ66" s="70">
        <f t="shared" si="199"/>
        <v>0.22501878287002253</v>
      </c>
      <c r="AR66" s="70">
        <f t="shared" si="199"/>
        <v>8.7064126928006358E-2</v>
      </c>
      <c r="AS66" s="70">
        <f t="shared" si="199"/>
        <v>8.5362619878905727E-2</v>
      </c>
      <c r="AT66" s="70">
        <f t="shared" si="199"/>
        <v>8.9030803906836958E-2</v>
      </c>
      <c r="AU66" s="70"/>
      <c r="AV66" s="70"/>
      <c r="AW66" s="71">
        <f t="shared" si="14"/>
        <v>7.141910107393834E-2</v>
      </c>
      <c r="AX66" s="70">
        <f t="shared" ref="AX66:BG66" si="200">O66/$AI66</f>
        <v>1.0739382154063729E-2</v>
      </c>
      <c r="AY66" s="70">
        <f t="shared" si="200"/>
        <v>6.067971891987449E-2</v>
      </c>
      <c r="AZ66" s="70">
        <f t="shared" si="200"/>
        <v>0</v>
      </c>
      <c r="BA66" s="70">
        <f t="shared" si="200"/>
        <v>0</v>
      </c>
      <c r="BB66" s="70">
        <f t="shared" si="200"/>
        <v>0</v>
      </c>
      <c r="BC66" s="70">
        <f t="shared" si="200"/>
        <v>0</v>
      </c>
      <c r="BD66" s="70">
        <f t="shared" si="200"/>
        <v>0</v>
      </c>
      <c r="BE66" s="70">
        <f t="shared" si="200"/>
        <v>0</v>
      </c>
      <c r="BF66" s="70">
        <f t="shared" si="200"/>
        <v>0</v>
      </c>
      <c r="BG66" s="70">
        <f t="shared" si="200"/>
        <v>0</v>
      </c>
      <c r="BH66" s="70">
        <f t="shared" si="16"/>
        <v>1.2490009027033011E-16</v>
      </c>
      <c r="BI66" s="62"/>
      <c r="BJ66" s="69">
        <v>0.503</v>
      </c>
      <c r="BK66" s="69">
        <v>0.28299999999999997</v>
      </c>
      <c r="BL66" s="69">
        <v>2.1000000000000001E-2</v>
      </c>
      <c r="BM66" s="69">
        <v>0.16300000000000001</v>
      </c>
      <c r="BN66" s="69">
        <v>0.03</v>
      </c>
      <c r="BO66" s="69">
        <v>0</v>
      </c>
      <c r="BP66" s="69">
        <v>0</v>
      </c>
      <c r="BQ66" s="69">
        <v>0</v>
      </c>
      <c r="BR66" s="62"/>
      <c r="BS66" s="72">
        <f t="shared" ref="BS66:BW66" si="201">AP66-BJ66</f>
        <v>-6.0895434657709802E-2</v>
      </c>
      <c r="BT66" s="72">
        <f t="shared" si="201"/>
        <v>-5.7981217129977447E-2</v>
      </c>
      <c r="BU66" s="72">
        <f t="shared" si="201"/>
        <v>6.6064126928006353E-2</v>
      </c>
      <c r="BV66" s="72">
        <f t="shared" si="201"/>
        <v>-7.7637380121094279E-2</v>
      </c>
      <c r="BW66" s="72">
        <f t="shared" si="201"/>
        <v>5.9030803906836959E-2</v>
      </c>
      <c r="BX66" s="72"/>
      <c r="BY66" s="72"/>
      <c r="BZ66" s="72">
        <f t="shared" si="18"/>
        <v>7.141910107393834E-2</v>
      </c>
    </row>
    <row r="67" spans="1:78" ht="13.15">
      <c r="A67" s="73" t="s">
        <v>6</v>
      </c>
      <c r="B67" s="74" t="s">
        <v>176</v>
      </c>
      <c r="C67" s="75" t="s">
        <v>177</v>
      </c>
      <c r="D67" s="75" t="s">
        <v>78</v>
      </c>
      <c r="E67" s="76"/>
      <c r="F67" s="59"/>
      <c r="G67" s="60"/>
      <c r="H67" s="77">
        <v>11082</v>
      </c>
      <c r="I67" s="77">
        <v>17731</v>
      </c>
      <c r="J67" s="77">
        <v>11751</v>
      </c>
      <c r="K67" s="77">
        <v>5809</v>
      </c>
      <c r="L67" s="77">
        <v>1770</v>
      </c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>
        <v>189</v>
      </c>
      <c r="Z67" s="77"/>
      <c r="AA67" s="77"/>
      <c r="AB67" s="77"/>
      <c r="AC67" s="77"/>
      <c r="AD67" s="77"/>
      <c r="AE67" s="62"/>
      <c r="AF67" s="63" t="b">
        <v>0</v>
      </c>
      <c r="AG67" s="63" t="b">
        <v>0</v>
      </c>
      <c r="AH67" s="62"/>
      <c r="AI67" s="64">
        <f t="shared" si="7"/>
        <v>48332</v>
      </c>
      <c r="AJ67" s="65" t="str">
        <f t="shared" si="8"/>
        <v>CON</v>
      </c>
      <c r="AK67" s="66" t="str">
        <f t="shared" si="9"/>
        <v>HOLD</v>
      </c>
      <c r="AL67" s="67" t="e">
        <f t="shared" ca="1" si="10"/>
        <v>#NAME?</v>
      </c>
      <c r="AM67" s="68">
        <f t="shared" si="11"/>
        <v>5980</v>
      </c>
      <c r="AN67" s="69">
        <f t="shared" si="12"/>
        <v>0.12372755110485809</v>
      </c>
      <c r="AO67" s="62"/>
      <c r="AP67" s="70">
        <f t="shared" ref="AP67:AT67" si="202">H67/$AI67</f>
        <v>0.2292890838367955</v>
      </c>
      <c r="AQ67" s="70">
        <f t="shared" si="202"/>
        <v>0.36685839609368537</v>
      </c>
      <c r="AR67" s="70">
        <f t="shared" si="202"/>
        <v>0.24313084498882728</v>
      </c>
      <c r="AS67" s="70">
        <f t="shared" si="202"/>
        <v>0.12018952246958536</v>
      </c>
      <c r="AT67" s="70">
        <f t="shared" si="202"/>
        <v>3.6621699908963003E-2</v>
      </c>
      <c r="AU67" s="70"/>
      <c r="AV67" s="70"/>
      <c r="AW67" s="81">
        <f t="shared" si="14"/>
        <v>3.9104527021434077E-3</v>
      </c>
      <c r="AX67" s="70">
        <f t="shared" ref="AX67:BG67" si="203">O67/$AI67</f>
        <v>0</v>
      </c>
      <c r="AY67" s="70">
        <f t="shared" si="203"/>
        <v>0</v>
      </c>
      <c r="AZ67" s="70">
        <f t="shared" si="203"/>
        <v>0</v>
      </c>
      <c r="BA67" s="70">
        <f t="shared" si="203"/>
        <v>0</v>
      </c>
      <c r="BB67" s="70">
        <f t="shared" si="203"/>
        <v>0</v>
      </c>
      <c r="BC67" s="70">
        <f t="shared" si="203"/>
        <v>0</v>
      </c>
      <c r="BD67" s="70">
        <f t="shared" si="203"/>
        <v>0</v>
      </c>
      <c r="BE67" s="70">
        <f t="shared" si="203"/>
        <v>0</v>
      </c>
      <c r="BF67" s="70">
        <f t="shared" si="203"/>
        <v>0</v>
      </c>
      <c r="BG67" s="70">
        <f t="shared" si="203"/>
        <v>0</v>
      </c>
      <c r="BH67" s="70">
        <f t="shared" si="16"/>
        <v>3.9104527021434077E-3</v>
      </c>
      <c r="BI67" s="62"/>
      <c r="BJ67" s="69">
        <v>0.13700000000000001</v>
      </c>
      <c r="BK67" s="69">
        <v>0.68500000000000005</v>
      </c>
      <c r="BL67" s="69">
        <v>0</v>
      </c>
      <c r="BM67" s="69">
        <v>0.13600000000000001</v>
      </c>
      <c r="BN67" s="69">
        <v>3.2000000000000001E-2</v>
      </c>
      <c r="BO67" s="69">
        <v>0</v>
      </c>
      <c r="BP67" s="69">
        <v>0</v>
      </c>
      <c r="BQ67" s="69">
        <v>0.01</v>
      </c>
      <c r="BR67" s="62"/>
      <c r="BS67" s="72">
        <f t="shared" ref="BS67:BW67" si="204">AP67-BJ67</f>
        <v>9.2289083836795488E-2</v>
      </c>
      <c r="BT67" s="72">
        <f t="shared" si="204"/>
        <v>-0.31814160390631469</v>
      </c>
      <c r="BU67" s="72">
        <f t="shared" si="204"/>
        <v>0.24313084498882728</v>
      </c>
      <c r="BV67" s="72">
        <f t="shared" si="204"/>
        <v>-1.5810477530414646E-2</v>
      </c>
      <c r="BW67" s="72">
        <f t="shared" si="204"/>
        <v>4.621699908963002E-3</v>
      </c>
      <c r="BX67" s="72"/>
      <c r="BY67" s="72"/>
      <c r="BZ67" s="72">
        <f t="shared" si="18"/>
        <v>-6.0895472978565925E-3</v>
      </c>
    </row>
    <row r="68" spans="1:78" ht="13.15">
      <c r="A68" s="73" t="s">
        <v>6</v>
      </c>
      <c r="B68" s="74" t="s">
        <v>178</v>
      </c>
      <c r="C68" s="75" t="s">
        <v>179</v>
      </c>
      <c r="D68" s="75" t="s">
        <v>85</v>
      </c>
      <c r="E68" s="76"/>
      <c r="F68" s="59"/>
      <c r="G68" s="60"/>
      <c r="H68" s="77">
        <v>10932</v>
      </c>
      <c r="I68" s="77">
        <v>12281</v>
      </c>
      <c r="J68" s="77">
        <v>8913</v>
      </c>
      <c r="K68" s="77">
        <v>5781</v>
      </c>
      <c r="L68" s="77">
        <v>1720</v>
      </c>
      <c r="M68" s="77"/>
      <c r="N68" s="77"/>
      <c r="O68" s="77">
        <v>334</v>
      </c>
      <c r="P68" s="77">
        <v>168</v>
      </c>
      <c r="Q68" s="77"/>
      <c r="R68" s="77"/>
      <c r="S68" s="77"/>
      <c r="T68" s="77"/>
      <c r="U68" s="77"/>
      <c r="V68" s="77"/>
      <c r="W68" s="77"/>
      <c r="X68" s="77"/>
      <c r="Y68" s="77"/>
      <c r="Z68" s="77"/>
      <c r="AA68" s="77"/>
      <c r="AB68" s="77"/>
      <c r="AC68" s="77"/>
      <c r="AD68" s="77"/>
      <c r="AE68" s="62"/>
      <c r="AF68" s="63" t="b">
        <v>0</v>
      </c>
      <c r="AG68" s="63" t="b">
        <v>0</v>
      </c>
      <c r="AH68" s="62"/>
      <c r="AI68" s="64">
        <f t="shared" si="7"/>
        <v>40129</v>
      </c>
      <c r="AJ68" s="65" t="str">
        <f t="shared" si="8"/>
        <v>CON</v>
      </c>
      <c r="AK68" s="66" t="str">
        <f t="shared" si="9"/>
        <v>HOLD</v>
      </c>
      <c r="AL68" s="67" t="e">
        <f t="shared" ca="1" si="10"/>
        <v>#NAME?</v>
      </c>
      <c r="AM68" s="68">
        <f t="shared" si="11"/>
        <v>1349</v>
      </c>
      <c r="AN68" s="69">
        <f t="shared" si="12"/>
        <v>3.3616586508510071E-2</v>
      </c>
      <c r="AO68" s="62"/>
      <c r="AP68" s="70">
        <f t="shared" ref="AP68:AT68" si="205">H68/$AI68</f>
        <v>0.27242144085324826</v>
      </c>
      <c r="AQ68" s="70">
        <f t="shared" si="205"/>
        <v>0.30603802736175834</v>
      </c>
      <c r="AR68" s="70">
        <f t="shared" si="205"/>
        <v>0.22210869944429215</v>
      </c>
      <c r="AS68" s="70">
        <f t="shared" si="205"/>
        <v>0.14406040519325175</v>
      </c>
      <c r="AT68" s="70">
        <f t="shared" si="205"/>
        <v>4.2861770789204813E-2</v>
      </c>
      <c r="AU68" s="70"/>
      <c r="AV68" s="70"/>
      <c r="AW68" s="81">
        <f t="shared" si="14"/>
        <v>1.2509656358244636E-2</v>
      </c>
      <c r="AX68" s="70">
        <f t="shared" ref="AX68:BG68" si="206">O68/$AI68</f>
        <v>8.3231578160432602E-3</v>
      </c>
      <c r="AY68" s="70">
        <f t="shared" si="206"/>
        <v>4.1864985422014004E-3</v>
      </c>
      <c r="AZ68" s="70">
        <f t="shared" si="206"/>
        <v>0</v>
      </c>
      <c r="BA68" s="70">
        <f t="shared" si="206"/>
        <v>0</v>
      </c>
      <c r="BB68" s="70">
        <f t="shared" si="206"/>
        <v>0</v>
      </c>
      <c r="BC68" s="70">
        <f t="shared" si="206"/>
        <v>0</v>
      </c>
      <c r="BD68" s="70">
        <f t="shared" si="206"/>
        <v>0</v>
      </c>
      <c r="BE68" s="70">
        <f t="shared" si="206"/>
        <v>0</v>
      </c>
      <c r="BF68" s="70">
        <f t="shared" si="206"/>
        <v>0</v>
      </c>
      <c r="BG68" s="70">
        <f t="shared" si="206"/>
        <v>0</v>
      </c>
      <c r="BH68" s="70">
        <f t="shared" si="16"/>
        <v>-2.4286128663675299E-17</v>
      </c>
      <c r="BI68" s="62"/>
      <c r="BJ68" s="69">
        <v>0.20699999999999999</v>
      </c>
      <c r="BK68" s="69">
        <v>0.57899999999999996</v>
      </c>
      <c r="BL68" s="69">
        <v>0</v>
      </c>
      <c r="BM68" s="69">
        <v>0.17599999999999999</v>
      </c>
      <c r="BN68" s="69">
        <v>2.1000000000000001E-2</v>
      </c>
      <c r="BO68" s="69">
        <v>0</v>
      </c>
      <c r="BP68" s="69">
        <v>0</v>
      </c>
      <c r="BQ68" s="69">
        <v>1.7000000000000001E-2</v>
      </c>
      <c r="BR68" s="62"/>
      <c r="BS68" s="72">
        <f t="shared" ref="BS68:BW68" si="207">AP68-BJ68</f>
        <v>6.5421440853248275E-2</v>
      </c>
      <c r="BT68" s="72">
        <f t="shared" si="207"/>
        <v>-0.27296197263824162</v>
      </c>
      <c r="BU68" s="72">
        <f t="shared" si="207"/>
        <v>0.22210869944429215</v>
      </c>
      <c r="BV68" s="72">
        <f t="shared" si="207"/>
        <v>-3.1939594806748239E-2</v>
      </c>
      <c r="BW68" s="72">
        <f t="shared" si="207"/>
        <v>2.1861770789204812E-2</v>
      </c>
      <c r="BX68" s="72"/>
      <c r="BY68" s="72"/>
      <c r="BZ68" s="72">
        <f t="shared" si="18"/>
        <v>-4.4903436417553649E-3</v>
      </c>
    </row>
    <row r="69" spans="1:78" ht="13.15">
      <c r="A69" s="73" t="s">
        <v>6</v>
      </c>
      <c r="B69" s="74" t="s">
        <v>180</v>
      </c>
      <c r="C69" s="75" t="s">
        <v>181</v>
      </c>
      <c r="D69" s="75" t="s">
        <v>71</v>
      </c>
      <c r="E69" s="76"/>
      <c r="F69" s="59"/>
      <c r="G69" s="60"/>
      <c r="H69" s="77">
        <v>11721</v>
      </c>
      <c r="I69" s="77">
        <v>14846</v>
      </c>
      <c r="J69" s="77">
        <v>10350</v>
      </c>
      <c r="K69" s="77">
        <v>3097</v>
      </c>
      <c r="L69" s="77">
        <v>1595</v>
      </c>
      <c r="M69" s="77"/>
      <c r="N69" s="77"/>
      <c r="O69" s="77">
        <v>309</v>
      </c>
      <c r="P69" s="77"/>
      <c r="Q69" s="77">
        <v>104</v>
      </c>
      <c r="R69" s="77">
        <v>915</v>
      </c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62"/>
      <c r="AF69" s="63" t="b">
        <v>0</v>
      </c>
      <c r="AG69" s="63" t="b">
        <v>0</v>
      </c>
      <c r="AH69" s="62"/>
      <c r="AI69" s="64">
        <f t="shared" si="7"/>
        <v>42937</v>
      </c>
      <c r="AJ69" s="65" t="str">
        <f t="shared" si="8"/>
        <v>CON</v>
      </c>
      <c r="AK69" s="66" t="str">
        <f t="shared" si="9"/>
        <v>HOLD</v>
      </c>
      <c r="AL69" s="67" t="e">
        <f t="shared" ca="1" si="10"/>
        <v>#NAME?</v>
      </c>
      <c r="AM69" s="68">
        <f t="shared" si="11"/>
        <v>3125</v>
      </c>
      <c r="AN69" s="69">
        <f t="shared" si="12"/>
        <v>7.2781051307729938E-2</v>
      </c>
      <c r="AO69" s="62"/>
      <c r="AP69" s="70">
        <f t="shared" ref="AP69:AT69" si="208">H69/$AI69</f>
        <v>0.27298134476092878</v>
      </c>
      <c r="AQ69" s="70">
        <f t="shared" si="208"/>
        <v>0.34576239606865872</v>
      </c>
      <c r="AR69" s="70">
        <f t="shared" si="208"/>
        <v>0.24105084193120152</v>
      </c>
      <c r="AS69" s="70">
        <f t="shared" si="208"/>
        <v>7.2128933088012673E-2</v>
      </c>
      <c r="AT69" s="70">
        <f t="shared" si="208"/>
        <v>3.7147448587465354E-2</v>
      </c>
      <c r="AU69" s="70"/>
      <c r="AV69" s="70"/>
      <c r="AW69" s="81">
        <f t="shared" si="14"/>
        <v>3.0929035563732943E-2</v>
      </c>
      <c r="AX69" s="70">
        <f t="shared" ref="AX69:BG69" si="209">O69/$AI69</f>
        <v>7.1965903533083358E-3</v>
      </c>
      <c r="AY69" s="70">
        <f t="shared" si="209"/>
        <v>0</v>
      </c>
      <c r="AZ69" s="70">
        <f t="shared" si="209"/>
        <v>2.4221533875212519E-3</v>
      </c>
      <c r="BA69" s="70">
        <f t="shared" si="209"/>
        <v>2.1310291822903324E-2</v>
      </c>
      <c r="BB69" s="70">
        <f t="shared" si="209"/>
        <v>0</v>
      </c>
      <c r="BC69" s="70">
        <f t="shared" si="209"/>
        <v>0</v>
      </c>
      <c r="BD69" s="70">
        <f t="shared" si="209"/>
        <v>0</v>
      </c>
      <c r="BE69" s="70">
        <f t="shared" si="209"/>
        <v>0</v>
      </c>
      <c r="BF69" s="70">
        <f t="shared" si="209"/>
        <v>0</v>
      </c>
      <c r="BG69" s="70">
        <f t="shared" si="209"/>
        <v>0</v>
      </c>
      <c r="BH69" s="70">
        <f t="shared" si="16"/>
        <v>3.1225022567582528E-17</v>
      </c>
      <c r="BI69" s="62"/>
      <c r="BJ69" s="69">
        <v>0.19900000000000001</v>
      </c>
      <c r="BK69" s="69">
        <v>0.66600000000000004</v>
      </c>
      <c r="BL69" s="69">
        <v>0</v>
      </c>
      <c r="BM69" s="69">
        <v>7.4999999999999997E-2</v>
      </c>
      <c r="BN69" s="69">
        <v>2.9000000000000001E-2</v>
      </c>
      <c r="BO69" s="69">
        <v>0</v>
      </c>
      <c r="BP69" s="69">
        <v>0</v>
      </c>
      <c r="BQ69" s="69">
        <v>3.2000000000000001E-2</v>
      </c>
      <c r="BR69" s="62"/>
      <c r="BS69" s="72">
        <f t="shared" ref="BS69:BW69" si="210">AP69-BJ69</f>
        <v>7.3981344760928769E-2</v>
      </c>
      <c r="BT69" s="72">
        <f t="shared" si="210"/>
        <v>-0.32023760393134132</v>
      </c>
      <c r="BU69" s="72">
        <f t="shared" si="210"/>
        <v>0.24105084193120152</v>
      </c>
      <c r="BV69" s="72">
        <f t="shared" si="210"/>
        <v>-2.8710669119873244E-3</v>
      </c>
      <c r="BW69" s="72">
        <f t="shared" si="210"/>
        <v>8.1474485874653522E-3</v>
      </c>
      <c r="BX69" s="72"/>
      <c r="BY69" s="72"/>
      <c r="BZ69" s="72">
        <f t="shared" si="18"/>
        <v>-1.0709644362670578E-3</v>
      </c>
    </row>
    <row r="70" spans="1:78" ht="13.15">
      <c r="A70" s="73" t="s">
        <v>6</v>
      </c>
      <c r="B70" s="74" t="s">
        <v>182</v>
      </c>
      <c r="C70" s="75" t="s">
        <v>183</v>
      </c>
      <c r="D70" s="75" t="s">
        <v>71</v>
      </c>
      <c r="E70" s="76"/>
      <c r="F70" s="59"/>
      <c r="G70" s="60"/>
      <c r="H70" s="77">
        <v>12662</v>
      </c>
      <c r="I70" s="77">
        <v>15905</v>
      </c>
      <c r="J70" s="77">
        <v>10594</v>
      </c>
      <c r="K70" s="77">
        <v>1442</v>
      </c>
      <c r="L70" s="77">
        <v>1905</v>
      </c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  <c r="Z70" s="77"/>
      <c r="AA70" s="77"/>
      <c r="AB70" s="77"/>
      <c r="AC70" s="77"/>
      <c r="AD70" s="77"/>
      <c r="AE70" s="62"/>
      <c r="AF70" s="63" t="b">
        <v>0</v>
      </c>
      <c r="AG70" s="63" t="b">
        <v>0</v>
      </c>
      <c r="AH70" s="62"/>
      <c r="AI70" s="64">
        <f t="shared" si="7"/>
        <v>42508</v>
      </c>
      <c r="AJ70" s="65" t="str">
        <f t="shared" si="8"/>
        <v>CON</v>
      </c>
      <c r="AK70" s="66" t="str">
        <f t="shared" si="9"/>
        <v>HOLD</v>
      </c>
      <c r="AL70" s="67" t="e">
        <f t="shared" ca="1" si="10"/>
        <v>#NAME?</v>
      </c>
      <c r="AM70" s="68">
        <f t="shared" si="11"/>
        <v>3243</v>
      </c>
      <c r="AN70" s="69">
        <f t="shared" si="12"/>
        <v>7.6291521595934886E-2</v>
      </c>
      <c r="AO70" s="62"/>
      <c r="AP70" s="70">
        <f t="shared" ref="AP70:AT70" si="211">H70/$AI70</f>
        <v>0.29787334148866096</v>
      </c>
      <c r="AQ70" s="70">
        <f t="shared" si="211"/>
        <v>0.37416486308459584</v>
      </c>
      <c r="AR70" s="70">
        <f t="shared" si="211"/>
        <v>0.24922367554342711</v>
      </c>
      <c r="AS70" s="70">
        <f t="shared" si="211"/>
        <v>3.3923026253881619E-2</v>
      </c>
      <c r="AT70" s="70">
        <f t="shared" si="211"/>
        <v>4.4815093629434456E-2</v>
      </c>
      <c r="AU70" s="70"/>
      <c r="AV70" s="70"/>
      <c r="AW70" s="81">
        <f t="shared" si="14"/>
        <v>0</v>
      </c>
      <c r="AX70" s="70">
        <f t="shared" ref="AX70:BG70" si="212">O70/$AI70</f>
        <v>0</v>
      </c>
      <c r="AY70" s="70">
        <f t="shared" si="212"/>
        <v>0</v>
      </c>
      <c r="AZ70" s="70">
        <f t="shared" si="212"/>
        <v>0</v>
      </c>
      <c r="BA70" s="70">
        <f t="shared" si="212"/>
        <v>0</v>
      </c>
      <c r="BB70" s="70">
        <f t="shared" si="212"/>
        <v>0</v>
      </c>
      <c r="BC70" s="70">
        <f t="shared" si="212"/>
        <v>0</v>
      </c>
      <c r="BD70" s="70">
        <f t="shared" si="212"/>
        <v>0</v>
      </c>
      <c r="BE70" s="70">
        <f t="shared" si="212"/>
        <v>0</v>
      </c>
      <c r="BF70" s="70">
        <f t="shared" si="212"/>
        <v>0</v>
      </c>
      <c r="BG70" s="70">
        <f t="shared" si="212"/>
        <v>0</v>
      </c>
      <c r="BH70" s="70">
        <f t="shared" si="16"/>
        <v>0</v>
      </c>
      <c r="BI70" s="62"/>
      <c r="BJ70" s="69">
        <v>0.20200000000000001</v>
      </c>
      <c r="BK70" s="69">
        <v>0.71899999999999997</v>
      </c>
      <c r="BL70" s="69">
        <v>7.0000000000000001E-3</v>
      </c>
      <c r="BM70" s="69">
        <v>4.3999999999999997E-2</v>
      </c>
      <c r="BN70" s="69">
        <v>2.8000000000000001E-2</v>
      </c>
      <c r="BO70" s="69">
        <v>0</v>
      </c>
      <c r="BP70" s="69">
        <v>0</v>
      </c>
      <c r="BQ70" s="69">
        <v>0</v>
      </c>
      <c r="BR70" s="62"/>
      <c r="BS70" s="72">
        <f t="shared" ref="BS70:BW70" si="213">AP70-BJ70</f>
        <v>9.5873341488660946E-2</v>
      </c>
      <c r="BT70" s="72">
        <f t="shared" si="213"/>
        <v>-0.34483513691540413</v>
      </c>
      <c r="BU70" s="72">
        <f t="shared" si="213"/>
        <v>0.24222367554342711</v>
      </c>
      <c r="BV70" s="72">
        <f t="shared" si="213"/>
        <v>-1.0076973746118378E-2</v>
      </c>
      <c r="BW70" s="72">
        <f t="shared" si="213"/>
        <v>1.6815093629434456E-2</v>
      </c>
      <c r="BX70" s="72"/>
      <c r="BY70" s="72"/>
      <c r="BZ70" s="72">
        <f t="shared" si="18"/>
        <v>0</v>
      </c>
    </row>
    <row r="71" spans="1:78" ht="13.15">
      <c r="A71" s="78" t="s">
        <v>5</v>
      </c>
      <c r="B71" s="74" t="s">
        <v>184</v>
      </c>
      <c r="C71" s="75" t="s">
        <v>185</v>
      </c>
      <c r="D71" s="75" t="s">
        <v>44</v>
      </c>
      <c r="E71" s="76"/>
      <c r="F71" s="59"/>
      <c r="G71" s="60"/>
      <c r="H71" s="77">
        <v>17893</v>
      </c>
      <c r="I71" s="77">
        <v>8230</v>
      </c>
      <c r="J71" s="77"/>
      <c r="K71" s="77">
        <v>3949</v>
      </c>
      <c r="L71" s="77">
        <v>7997</v>
      </c>
      <c r="M71" s="77"/>
      <c r="N71" s="77"/>
      <c r="O71" s="77">
        <v>1833</v>
      </c>
      <c r="P71" s="77"/>
      <c r="Q71" s="77">
        <v>784</v>
      </c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77"/>
      <c r="AE71" s="62"/>
      <c r="AF71" s="63" t="b">
        <v>0</v>
      </c>
      <c r="AG71" s="63" t="b">
        <v>0</v>
      </c>
      <c r="AH71" s="62"/>
      <c r="AI71" s="64">
        <f t="shared" si="7"/>
        <v>40686</v>
      </c>
      <c r="AJ71" s="65" t="str">
        <f t="shared" si="8"/>
        <v>LAB</v>
      </c>
      <c r="AK71" s="66" t="str">
        <f t="shared" si="9"/>
        <v>HOLD</v>
      </c>
      <c r="AL71" s="67" t="e">
        <f t="shared" ca="1" si="10"/>
        <v>#NAME?</v>
      </c>
      <c r="AM71" s="68">
        <f t="shared" si="11"/>
        <v>9663</v>
      </c>
      <c r="AN71" s="69">
        <f t="shared" si="12"/>
        <v>0.23750184338593125</v>
      </c>
      <c r="AO71" s="62"/>
      <c r="AP71" s="70">
        <f t="shared" ref="AP71:AT71" si="214">H71/$AI71</f>
        <v>0.43978272624489995</v>
      </c>
      <c r="AQ71" s="70">
        <f t="shared" si="214"/>
        <v>0.2022808828589687</v>
      </c>
      <c r="AR71" s="70">
        <f t="shared" si="214"/>
        <v>0</v>
      </c>
      <c r="AS71" s="70">
        <f t="shared" si="214"/>
        <v>9.7060413901587775E-2</v>
      </c>
      <c r="AT71" s="70">
        <f t="shared" si="214"/>
        <v>0.19655409723246325</v>
      </c>
      <c r="AU71" s="70"/>
      <c r="AV71" s="70"/>
      <c r="AW71" s="81">
        <f t="shared" si="14"/>
        <v>6.432187976208037E-2</v>
      </c>
      <c r="AX71" s="70">
        <f t="shared" ref="AX71:BG71" si="215">O71/$AI71</f>
        <v>4.5052352160448311E-2</v>
      </c>
      <c r="AY71" s="70">
        <f t="shared" si="215"/>
        <v>0</v>
      </c>
      <c r="AZ71" s="70">
        <f t="shared" si="215"/>
        <v>1.926952760163201E-2</v>
      </c>
      <c r="BA71" s="70">
        <f t="shared" si="215"/>
        <v>0</v>
      </c>
      <c r="BB71" s="70">
        <f t="shared" si="215"/>
        <v>0</v>
      </c>
      <c r="BC71" s="70">
        <f t="shared" si="215"/>
        <v>0</v>
      </c>
      <c r="BD71" s="70">
        <f t="shared" si="215"/>
        <v>0</v>
      </c>
      <c r="BE71" s="70">
        <f t="shared" si="215"/>
        <v>0</v>
      </c>
      <c r="BF71" s="70">
        <f t="shared" si="215"/>
        <v>0</v>
      </c>
      <c r="BG71" s="70">
        <f t="shared" si="215"/>
        <v>0</v>
      </c>
      <c r="BH71" s="70">
        <f t="shared" si="16"/>
        <v>0</v>
      </c>
      <c r="BI71" s="62"/>
      <c r="BJ71" s="69">
        <v>0.51200000000000001</v>
      </c>
      <c r="BK71" s="69">
        <v>0.34399999999999997</v>
      </c>
      <c r="BL71" s="69">
        <v>2.7E-2</v>
      </c>
      <c r="BM71" s="69">
        <v>0.06</v>
      </c>
      <c r="BN71" s="69">
        <v>5.7000000000000002E-2</v>
      </c>
      <c r="BO71" s="69">
        <v>0</v>
      </c>
      <c r="BP71" s="69">
        <v>0</v>
      </c>
      <c r="BQ71" s="69">
        <v>0</v>
      </c>
      <c r="BR71" s="62"/>
      <c r="BS71" s="72">
        <f t="shared" ref="BS71:BW71" si="216">AP71-BJ71</f>
        <v>-7.2217273755100064E-2</v>
      </c>
      <c r="BT71" s="72">
        <f t="shared" si="216"/>
        <v>-0.14171911714103128</v>
      </c>
      <c r="BU71" s="72">
        <f t="shared" si="216"/>
        <v>-2.7E-2</v>
      </c>
      <c r="BV71" s="72">
        <f t="shared" si="216"/>
        <v>3.7060413901587777E-2</v>
      </c>
      <c r="BW71" s="72">
        <f t="shared" si="216"/>
        <v>0.13955409723246326</v>
      </c>
      <c r="BX71" s="72"/>
      <c r="BY71" s="72"/>
      <c r="BZ71" s="72">
        <f t="shared" si="18"/>
        <v>6.4321879762080314E-2</v>
      </c>
    </row>
    <row r="72" spans="1:78" ht="13.15">
      <c r="A72" s="82" t="s">
        <v>9</v>
      </c>
      <c r="B72" s="74" t="s">
        <v>186</v>
      </c>
      <c r="C72" s="75" t="s">
        <v>187</v>
      </c>
      <c r="D72" s="75" t="s">
        <v>44</v>
      </c>
      <c r="E72" s="76"/>
      <c r="F72" s="59"/>
      <c r="G72" s="60"/>
      <c r="H72" s="77">
        <v>14519</v>
      </c>
      <c r="I72" s="77">
        <v>3975</v>
      </c>
      <c r="J72" s="77">
        <v>2836</v>
      </c>
      <c r="K72" s="77">
        <v>1604</v>
      </c>
      <c r="L72" s="77">
        <v>28809</v>
      </c>
      <c r="M72" s="77"/>
      <c r="N72" s="77"/>
      <c r="O72" s="77">
        <v>179</v>
      </c>
      <c r="P72" s="77"/>
      <c r="Q72" s="77">
        <v>184</v>
      </c>
      <c r="R72" s="77"/>
      <c r="S72" s="77"/>
      <c r="T72" s="77"/>
      <c r="U72" s="77"/>
      <c r="V72" s="77"/>
      <c r="W72" s="77"/>
      <c r="X72" s="77"/>
      <c r="Y72" s="77">
        <v>257</v>
      </c>
      <c r="Z72" s="77"/>
      <c r="AA72" s="77"/>
      <c r="AB72" s="77"/>
      <c r="AC72" s="77"/>
      <c r="AD72" s="77"/>
      <c r="AE72" s="62"/>
      <c r="AF72" s="63" t="b">
        <v>0</v>
      </c>
      <c r="AG72" s="63" t="b">
        <v>0</v>
      </c>
      <c r="AH72" s="62"/>
      <c r="AI72" s="64">
        <f t="shared" si="7"/>
        <v>52363</v>
      </c>
      <c r="AJ72" s="65" t="str">
        <f t="shared" si="8"/>
        <v>GRN</v>
      </c>
      <c r="AK72" s="66" t="str">
        <f t="shared" si="9"/>
        <v>HOLD</v>
      </c>
      <c r="AL72" s="67" t="e">
        <f t="shared" ca="1" si="10"/>
        <v>#NAME?</v>
      </c>
      <c r="AM72" s="68">
        <f t="shared" si="11"/>
        <v>14290</v>
      </c>
      <c r="AN72" s="69">
        <f t="shared" si="12"/>
        <v>0.27290262208047661</v>
      </c>
      <c r="AO72" s="62"/>
      <c r="AP72" s="70">
        <f t="shared" ref="AP72:AT72" si="217">H72/$AI72</f>
        <v>0.27727593911731568</v>
      </c>
      <c r="AQ72" s="70">
        <f t="shared" si="217"/>
        <v>7.5912380879628746E-2</v>
      </c>
      <c r="AR72" s="70">
        <f t="shared" si="217"/>
        <v>5.4160380421289844E-2</v>
      </c>
      <c r="AS72" s="70">
        <f t="shared" si="217"/>
        <v>3.0632316712182268E-2</v>
      </c>
      <c r="AT72" s="70">
        <f t="shared" si="217"/>
        <v>0.55017856119779229</v>
      </c>
      <c r="AU72" s="70"/>
      <c r="AV72" s="70"/>
      <c r="AW72" s="81">
        <f t="shared" si="14"/>
        <v>1.1840421671791113E-2</v>
      </c>
      <c r="AX72" s="70">
        <f t="shared" ref="AX72:BG72" si="218">O72/$AI72</f>
        <v>3.4184443213719612E-3</v>
      </c>
      <c r="AY72" s="70">
        <f t="shared" si="218"/>
        <v>0</v>
      </c>
      <c r="AZ72" s="70">
        <f t="shared" si="218"/>
        <v>3.5139315929186639E-3</v>
      </c>
      <c r="BA72" s="70">
        <f t="shared" si="218"/>
        <v>0</v>
      </c>
      <c r="BB72" s="70">
        <f t="shared" si="218"/>
        <v>0</v>
      </c>
      <c r="BC72" s="70">
        <f t="shared" si="218"/>
        <v>0</v>
      </c>
      <c r="BD72" s="70">
        <f t="shared" si="218"/>
        <v>0</v>
      </c>
      <c r="BE72" s="70">
        <f t="shared" si="218"/>
        <v>0</v>
      </c>
      <c r="BF72" s="70">
        <f t="shared" si="218"/>
        <v>0</v>
      </c>
      <c r="BG72" s="70">
        <f t="shared" si="218"/>
        <v>0</v>
      </c>
      <c r="BH72" s="70">
        <f t="shared" si="16"/>
        <v>4.9080457575004875E-3</v>
      </c>
      <c r="BI72" s="62"/>
      <c r="BJ72" s="69">
        <v>0.22700000000000001</v>
      </c>
      <c r="BK72" s="69">
        <v>0.17699999999999999</v>
      </c>
      <c r="BL72" s="69">
        <v>1.2999999999999999E-2</v>
      </c>
      <c r="BM72" s="69">
        <v>0</v>
      </c>
      <c r="BN72" s="69">
        <v>0.57099999999999995</v>
      </c>
      <c r="BO72" s="69">
        <v>0</v>
      </c>
      <c r="BP72" s="69">
        <v>0</v>
      </c>
      <c r="BQ72" s="69">
        <v>1.2E-2</v>
      </c>
      <c r="BR72" s="62"/>
      <c r="BS72" s="72">
        <f t="shared" ref="BS72:BW72" si="219">AP72-BJ72</f>
        <v>5.0275939117315677E-2</v>
      </c>
      <c r="BT72" s="72">
        <f t="shared" si="219"/>
        <v>-0.10108761912037124</v>
      </c>
      <c r="BU72" s="72">
        <f t="shared" si="219"/>
        <v>4.1160380421289847E-2</v>
      </c>
      <c r="BV72" s="72">
        <f t="shared" si="219"/>
        <v>3.0632316712182268E-2</v>
      </c>
      <c r="BW72" s="72">
        <f t="shared" si="219"/>
        <v>-2.0821438802207659E-2</v>
      </c>
      <c r="BX72" s="72"/>
      <c r="BY72" s="72"/>
      <c r="BZ72" s="72">
        <f t="shared" si="18"/>
        <v>-1.5957832820888765E-4</v>
      </c>
    </row>
    <row r="73" spans="1:78" ht="13.15">
      <c r="A73" s="78" t="s">
        <v>5</v>
      </c>
      <c r="B73" s="74" t="s">
        <v>188</v>
      </c>
      <c r="C73" s="75" t="s">
        <v>189</v>
      </c>
      <c r="D73" s="75" t="s">
        <v>85</v>
      </c>
      <c r="E73" s="76"/>
      <c r="F73" s="59"/>
      <c r="G73" s="60"/>
      <c r="H73" s="77">
        <v>14132</v>
      </c>
      <c r="I73" s="77">
        <v>1998</v>
      </c>
      <c r="J73" s="77">
        <v>1338</v>
      </c>
      <c r="K73" s="77">
        <v>1162</v>
      </c>
      <c r="L73" s="77">
        <v>24539</v>
      </c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>
        <v>196</v>
      </c>
      <c r="Z73" s="77"/>
      <c r="AA73" s="77"/>
      <c r="AB73" s="77"/>
      <c r="AC73" s="77"/>
      <c r="AD73" s="77"/>
      <c r="AE73" s="62"/>
      <c r="AF73" s="63" t="b">
        <v>0</v>
      </c>
      <c r="AG73" s="63" t="b">
        <v>0</v>
      </c>
      <c r="AH73" s="62"/>
      <c r="AI73" s="64">
        <f t="shared" si="7"/>
        <v>43365</v>
      </c>
      <c r="AJ73" s="65" t="str">
        <f t="shared" si="8"/>
        <v>GRN</v>
      </c>
      <c r="AK73" s="66" t="str">
        <f t="shared" si="9"/>
        <v>GAIN</v>
      </c>
      <c r="AL73" s="67" t="e">
        <f t="shared" ca="1" si="10"/>
        <v>#NAME?</v>
      </c>
      <c r="AM73" s="68">
        <f t="shared" si="11"/>
        <v>10407</v>
      </c>
      <c r="AN73" s="69">
        <f t="shared" si="12"/>
        <v>0.23998616395710831</v>
      </c>
      <c r="AO73" s="62"/>
      <c r="AP73" s="70">
        <f t="shared" ref="AP73:AT73" si="220">H73/$AI73</f>
        <v>0.32588493024328374</v>
      </c>
      <c r="AQ73" s="70">
        <f t="shared" si="220"/>
        <v>4.6074022829470769E-2</v>
      </c>
      <c r="AR73" s="70">
        <f t="shared" si="220"/>
        <v>3.0854375648564511E-2</v>
      </c>
      <c r="AS73" s="70">
        <f t="shared" si="220"/>
        <v>2.6795803066989508E-2</v>
      </c>
      <c r="AT73" s="70">
        <f t="shared" si="220"/>
        <v>0.56587109420039206</v>
      </c>
      <c r="AU73" s="70"/>
      <c r="AV73" s="70"/>
      <c r="AW73" s="81">
        <f t="shared" si="14"/>
        <v>4.5197740112994378E-3</v>
      </c>
      <c r="AX73" s="70">
        <f t="shared" ref="AX73:BG73" si="221">O73/$AI73</f>
        <v>0</v>
      </c>
      <c r="AY73" s="70">
        <f t="shared" si="221"/>
        <v>0</v>
      </c>
      <c r="AZ73" s="70">
        <f t="shared" si="221"/>
        <v>0</v>
      </c>
      <c r="BA73" s="70">
        <f t="shared" si="221"/>
        <v>0</v>
      </c>
      <c r="BB73" s="70">
        <f t="shared" si="221"/>
        <v>0</v>
      </c>
      <c r="BC73" s="70">
        <f t="shared" si="221"/>
        <v>0</v>
      </c>
      <c r="BD73" s="70">
        <f t="shared" si="221"/>
        <v>0</v>
      </c>
      <c r="BE73" s="70">
        <f t="shared" si="221"/>
        <v>0</v>
      </c>
      <c r="BF73" s="70">
        <f t="shared" si="221"/>
        <v>0</v>
      </c>
      <c r="BG73" s="70">
        <f t="shared" si="221"/>
        <v>0</v>
      </c>
      <c r="BH73" s="70">
        <f t="shared" si="16"/>
        <v>4.5197740112994378E-3</v>
      </c>
      <c r="BI73" s="62"/>
      <c r="BJ73" s="69">
        <v>0.58499999999999996</v>
      </c>
      <c r="BK73" s="69">
        <v>0.14299999999999999</v>
      </c>
      <c r="BL73" s="69">
        <v>1.2E-2</v>
      </c>
      <c r="BM73" s="69">
        <v>0</v>
      </c>
      <c r="BN73" s="69">
        <v>0.26</v>
      </c>
      <c r="BO73" s="69">
        <v>0</v>
      </c>
      <c r="BP73" s="69">
        <v>0</v>
      </c>
      <c r="BQ73" s="69">
        <v>0</v>
      </c>
      <c r="BR73" s="62"/>
      <c r="BS73" s="72">
        <f t="shared" ref="BS73:BW73" si="222">AP73-BJ73</f>
        <v>-0.25911506975671622</v>
      </c>
      <c r="BT73" s="72">
        <f t="shared" si="222"/>
        <v>-9.6925977170529226E-2</v>
      </c>
      <c r="BU73" s="72">
        <f t="shared" si="222"/>
        <v>1.8854375648564511E-2</v>
      </c>
      <c r="BV73" s="72">
        <f t="shared" si="222"/>
        <v>2.6795803066989508E-2</v>
      </c>
      <c r="BW73" s="72">
        <f t="shared" si="222"/>
        <v>0.30587109420039205</v>
      </c>
      <c r="BX73" s="72"/>
      <c r="BY73" s="72"/>
      <c r="BZ73" s="72">
        <f t="shared" si="18"/>
        <v>4.5197740112994378E-3</v>
      </c>
    </row>
    <row r="74" spans="1:78" ht="13.15">
      <c r="A74" s="78" t="s">
        <v>5</v>
      </c>
      <c r="B74" s="74" t="s">
        <v>190</v>
      </c>
      <c r="C74" s="75" t="s">
        <v>191</v>
      </c>
      <c r="D74" s="75" t="s">
        <v>85</v>
      </c>
      <c r="E74" s="76"/>
      <c r="F74" s="59"/>
      <c r="G74" s="60"/>
      <c r="H74" s="77">
        <v>20748</v>
      </c>
      <c r="I74" s="77">
        <v>6435</v>
      </c>
      <c r="J74" s="77"/>
      <c r="K74" s="77">
        <v>2713</v>
      </c>
      <c r="L74" s="77">
        <v>14142</v>
      </c>
      <c r="M74" s="77"/>
      <c r="N74" s="77"/>
      <c r="O74" s="77">
        <v>1259</v>
      </c>
      <c r="P74" s="77"/>
      <c r="Q74" s="77">
        <v>555</v>
      </c>
      <c r="R74" s="77"/>
      <c r="S74" s="77"/>
      <c r="T74" s="77"/>
      <c r="U74" s="77"/>
      <c r="V74" s="77"/>
      <c r="W74" s="77"/>
      <c r="X74" s="77"/>
      <c r="Y74" s="77">
        <v>257</v>
      </c>
      <c r="Z74" s="77"/>
      <c r="AA74" s="77"/>
      <c r="AB74" s="77"/>
      <c r="AC74" s="77"/>
      <c r="AD74" s="77"/>
      <c r="AE74" s="62"/>
      <c r="AF74" s="63" t="b">
        <v>0</v>
      </c>
      <c r="AG74" s="63" t="b">
        <v>0</v>
      </c>
      <c r="AH74" s="62"/>
      <c r="AI74" s="64">
        <f t="shared" si="7"/>
        <v>46109</v>
      </c>
      <c r="AJ74" s="65" t="str">
        <f t="shared" si="8"/>
        <v>LAB</v>
      </c>
      <c r="AK74" s="66" t="str">
        <f t="shared" si="9"/>
        <v>HOLD</v>
      </c>
      <c r="AL74" s="67" t="e">
        <f t="shared" ca="1" si="10"/>
        <v>#NAME?</v>
      </c>
      <c r="AM74" s="68">
        <f t="shared" si="11"/>
        <v>6606</v>
      </c>
      <c r="AN74" s="69">
        <f t="shared" si="12"/>
        <v>0.14326920991563469</v>
      </c>
      <c r="AO74" s="62"/>
      <c r="AP74" s="70">
        <f t="shared" ref="AP74:AT74" si="223">H74/$AI74</f>
        <v>0.44997722787308336</v>
      </c>
      <c r="AQ74" s="70">
        <f t="shared" si="223"/>
        <v>0.13956060638920817</v>
      </c>
      <c r="AR74" s="70">
        <f t="shared" si="223"/>
        <v>0</v>
      </c>
      <c r="AS74" s="70">
        <f t="shared" si="223"/>
        <v>5.8838838404649853E-2</v>
      </c>
      <c r="AT74" s="70">
        <f t="shared" si="223"/>
        <v>0.30670801795744868</v>
      </c>
      <c r="AU74" s="70"/>
      <c r="AV74" s="70"/>
      <c r="AW74" s="81">
        <f t="shared" si="14"/>
        <v>4.4915309375609835E-2</v>
      </c>
      <c r="AX74" s="70">
        <f t="shared" ref="AX74:BG74" si="224">O74/$AI74</f>
        <v>2.7304864560064195E-2</v>
      </c>
      <c r="AY74" s="70">
        <f t="shared" si="224"/>
        <v>0</v>
      </c>
      <c r="AZ74" s="70">
        <f t="shared" si="224"/>
        <v>1.2036695655945694E-2</v>
      </c>
      <c r="BA74" s="70">
        <f t="shared" si="224"/>
        <v>0</v>
      </c>
      <c r="BB74" s="70">
        <f t="shared" si="224"/>
        <v>0</v>
      </c>
      <c r="BC74" s="70">
        <f t="shared" si="224"/>
        <v>0</v>
      </c>
      <c r="BD74" s="70">
        <f t="shared" si="224"/>
        <v>0</v>
      </c>
      <c r="BE74" s="70">
        <f t="shared" si="224"/>
        <v>0</v>
      </c>
      <c r="BF74" s="70">
        <f t="shared" si="224"/>
        <v>0</v>
      </c>
      <c r="BG74" s="70">
        <f t="shared" si="224"/>
        <v>0</v>
      </c>
      <c r="BH74" s="70">
        <f t="shared" si="16"/>
        <v>5.5737491595999472E-3</v>
      </c>
      <c r="BI74" s="62"/>
      <c r="BJ74" s="69">
        <v>0.58399999999999996</v>
      </c>
      <c r="BK74" s="69">
        <v>0.23300000000000001</v>
      </c>
      <c r="BL74" s="69">
        <v>2.9000000000000001E-2</v>
      </c>
      <c r="BM74" s="69">
        <v>7.0000000000000007E-2</v>
      </c>
      <c r="BN74" s="69">
        <v>8.4000000000000005E-2</v>
      </c>
      <c r="BO74" s="69">
        <v>0</v>
      </c>
      <c r="BP74" s="69">
        <v>0</v>
      </c>
      <c r="BQ74" s="69">
        <v>0</v>
      </c>
      <c r="BR74" s="62"/>
      <c r="BS74" s="72">
        <f t="shared" ref="BS74:BW74" si="225">AP74-BJ74</f>
        <v>-0.1340227721269166</v>
      </c>
      <c r="BT74" s="72">
        <f t="shared" si="225"/>
        <v>-9.3439393610791843E-2</v>
      </c>
      <c r="BU74" s="72">
        <f t="shared" si="225"/>
        <v>-2.9000000000000001E-2</v>
      </c>
      <c r="BV74" s="72">
        <f t="shared" si="225"/>
        <v>-1.1161161595350154E-2</v>
      </c>
      <c r="BW74" s="72">
        <f t="shared" si="225"/>
        <v>0.22270801795744866</v>
      </c>
      <c r="BX74" s="72"/>
      <c r="BY74" s="72"/>
      <c r="BZ74" s="72">
        <f t="shared" si="18"/>
        <v>4.4915309375609835E-2</v>
      </c>
    </row>
    <row r="75" spans="1:78" ht="13.15">
      <c r="A75" s="78" t="s">
        <v>5</v>
      </c>
      <c r="B75" s="74" t="s">
        <v>192</v>
      </c>
      <c r="C75" s="75" t="s">
        <v>193</v>
      </c>
      <c r="D75" s="75" t="s">
        <v>85</v>
      </c>
      <c r="E75" s="76"/>
      <c r="F75" s="59"/>
      <c r="G75" s="60"/>
      <c r="H75" s="77">
        <v>19004</v>
      </c>
      <c r="I75" s="77">
        <v>6216</v>
      </c>
      <c r="J75" s="77">
        <v>5418</v>
      </c>
      <c r="K75" s="77">
        <v>1964</v>
      </c>
      <c r="L75" s="77">
        <v>7837</v>
      </c>
      <c r="M75" s="77"/>
      <c r="N75" s="77"/>
      <c r="O75" s="77">
        <v>1029</v>
      </c>
      <c r="P75" s="77"/>
      <c r="Q75" s="77"/>
      <c r="R75" s="77"/>
      <c r="S75" s="77"/>
      <c r="T75" s="77"/>
      <c r="U75" s="77"/>
      <c r="V75" s="77"/>
      <c r="W75" s="77"/>
      <c r="X75" s="77"/>
      <c r="Y75" s="77">
        <v>399</v>
      </c>
      <c r="Z75" s="77">
        <v>122</v>
      </c>
      <c r="AA75" s="77"/>
      <c r="AB75" s="77"/>
      <c r="AC75" s="77"/>
      <c r="AD75" s="77"/>
      <c r="AE75" s="62"/>
      <c r="AF75" s="63" t="b">
        <v>0</v>
      </c>
      <c r="AG75" s="63" t="b">
        <v>0</v>
      </c>
      <c r="AH75" s="62"/>
      <c r="AI75" s="64">
        <f t="shared" si="7"/>
        <v>41989</v>
      </c>
      <c r="AJ75" s="65" t="str">
        <f t="shared" si="8"/>
        <v>LAB</v>
      </c>
      <c r="AK75" s="66" t="str">
        <f t="shared" si="9"/>
        <v>HOLD</v>
      </c>
      <c r="AL75" s="67" t="e">
        <f t="shared" ca="1" si="10"/>
        <v>#NAME?</v>
      </c>
      <c r="AM75" s="68">
        <f t="shared" si="11"/>
        <v>11167</v>
      </c>
      <c r="AN75" s="69">
        <f t="shared" si="12"/>
        <v>0.26595060611112431</v>
      </c>
      <c r="AO75" s="62"/>
      <c r="AP75" s="70">
        <f t="shared" ref="AP75:AT75" si="226">H75/$AI75</f>
        <v>0.45259472719045463</v>
      </c>
      <c r="AQ75" s="70">
        <f t="shared" si="226"/>
        <v>0.14803877205934887</v>
      </c>
      <c r="AR75" s="70">
        <f t="shared" si="226"/>
        <v>0.12903379456524328</v>
      </c>
      <c r="AS75" s="70">
        <f t="shared" si="226"/>
        <v>4.6774155135868918E-2</v>
      </c>
      <c r="AT75" s="70">
        <f t="shared" si="226"/>
        <v>0.18664412107933029</v>
      </c>
      <c r="AU75" s="70"/>
      <c r="AV75" s="70"/>
      <c r="AW75" s="81">
        <f t="shared" si="14"/>
        <v>3.6914429969754026E-2</v>
      </c>
      <c r="AX75" s="70">
        <f t="shared" ref="AX75:BG75" si="227">O75/$AI75</f>
        <v>2.4506418347662484E-2</v>
      </c>
      <c r="AY75" s="70">
        <f t="shared" si="227"/>
        <v>0</v>
      </c>
      <c r="AZ75" s="70">
        <f t="shared" si="227"/>
        <v>0</v>
      </c>
      <c r="BA75" s="70">
        <f t="shared" si="227"/>
        <v>0</v>
      </c>
      <c r="BB75" s="70">
        <f t="shared" si="227"/>
        <v>0</v>
      </c>
      <c r="BC75" s="70">
        <f t="shared" si="227"/>
        <v>0</v>
      </c>
      <c r="BD75" s="70">
        <f t="shared" si="227"/>
        <v>0</v>
      </c>
      <c r="BE75" s="70">
        <f t="shared" si="227"/>
        <v>0</v>
      </c>
      <c r="BF75" s="70">
        <f t="shared" si="227"/>
        <v>0</v>
      </c>
      <c r="BG75" s="70">
        <f t="shared" si="227"/>
        <v>0</v>
      </c>
      <c r="BH75" s="70">
        <f t="shared" si="16"/>
        <v>1.2408011622091542E-2</v>
      </c>
      <c r="BI75" s="62"/>
      <c r="BJ75" s="69">
        <v>0.503</v>
      </c>
      <c r="BK75" s="69">
        <v>0.39100000000000001</v>
      </c>
      <c r="BL75" s="69">
        <v>1.4999999999999999E-2</v>
      </c>
      <c r="BM75" s="69">
        <v>5.0999999999999997E-2</v>
      </c>
      <c r="BN75" s="69">
        <v>0.04</v>
      </c>
      <c r="BO75" s="69">
        <v>0</v>
      </c>
      <c r="BP75" s="69">
        <v>0</v>
      </c>
      <c r="BQ75" s="69">
        <v>0</v>
      </c>
      <c r="BR75" s="62"/>
      <c r="BS75" s="72">
        <f t="shared" ref="BS75:BW75" si="228">AP75-BJ75</f>
        <v>-5.0405272809545376E-2</v>
      </c>
      <c r="BT75" s="72">
        <f t="shared" si="228"/>
        <v>-0.24296122794065114</v>
      </c>
      <c r="BU75" s="72">
        <f t="shared" si="228"/>
        <v>0.11403379456524328</v>
      </c>
      <c r="BV75" s="72">
        <f t="shared" si="228"/>
        <v>-4.2258448641310786E-3</v>
      </c>
      <c r="BW75" s="72">
        <f t="shared" si="228"/>
        <v>0.14664412107933028</v>
      </c>
      <c r="BX75" s="72"/>
      <c r="BY75" s="72"/>
      <c r="BZ75" s="72">
        <f t="shared" si="18"/>
        <v>3.6914429969754026E-2</v>
      </c>
    </row>
    <row r="76" spans="1:78" ht="13.15">
      <c r="A76" s="78" t="s">
        <v>5</v>
      </c>
      <c r="B76" s="74" t="s">
        <v>194</v>
      </c>
      <c r="C76" s="75" t="s">
        <v>195</v>
      </c>
      <c r="D76" s="75" t="s">
        <v>85</v>
      </c>
      <c r="E76" s="76"/>
      <c r="F76" s="59"/>
      <c r="G76" s="60"/>
      <c r="H76" s="77">
        <v>24058</v>
      </c>
      <c r="I76" s="77">
        <v>6773</v>
      </c>
      <c r="J76" s="77">
        <v>4863</v>
      </c>
      <c r="K76" s="77">
        <v>4159</v>
      </c>
      <c r="L76" s="77">
        <v>8389</v>
      </c>
      <c r="M76" s="77"/>
      <c r="N76" s="77"/>
      <c r="O76" s="77"/>
      <c r="P76" s="77"/>
      <c r="Q76" s="77">
        <v>222</v>
      </c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77"/>
      <c r="AD76" s="77"/>
      <c r="AE76" s="62"/>
      <c r="AF76" s="63" t="b">
        <v>0</v>
      </c>
      <c r="AG76" s="63" t="b">
        <v>0</v>
      </c>
      <c r="AH76" s="62"/>
      <c r="AI76" s="64">
        <f t="shared" si="7"/>
        <v>48464</v>
      </c>
      <c r="AJ76" s="65" t="str">
        <f t="shared" si="8"/>
        <v>LAB</v>
      </c>
      <c r="AK76" s="66" t="str">
        <f t="shared" si="9"/>
        <v>HOLD</v>
      </c>
      <c r="AL76" s="67" t="e">
        <f t="shared" ca="1" si="10"/>
        <v>#NAME?</v>
      </c>
      <c r="AM76" s="68">
        <f t="shared" si="11"/>
        <v>15669</v>
      </c>
      <c r="AN76" s="69">
        <f t="shared" si="12"/>
        <v>0.3233121492241664</v>
      </c>
      <c r="AO76" s="62"/>
      <c r="AP76" s="70">
        <f t="shared" ref="AP76:AT76" si="229">H76/$AI76</f>
        <v>0.49640970617365465</v>
      </c>
      <c r="AQ76" s="70">
        <f t="shared" si="229"/>
        <v>0.13975321888412018</v>
      </c>
      <c r="AR76" s="70">
        <f t="shared" si="229"/>
        <v>0.10034252228458237</v>
      </c>
      <c r="AS76" s="70">
        <f t="shared" si="229"/>
        <v>8.5816275998679428E-2</v>
      </c>
      <c r="AT76" s="70">
        <f t="shared" si="229"/>
        <v>0.17309755694948828</v>
      </c>
      <c r="AU76" s="70"/>
      <c r="AV76" s="70"/>
      <c r="AW76" s="81">
        <f t="shared" si="14"/>
        <v>4.5807197094750451E-3</v>
      </c>
      <c r="AX76" s="70">
        <f t="shared" ref="AX76:BG76" si="230">O76/$AI76</f>
        <v>0</v>
      </c>
      <c r="AY76" s="70">
        <f t="shared" si="230"/>
        <v>0</v>
      </c>
      <c r="AZ76" s="70">
        <f t="shared" si="230"/>
        <v>4.5807197094750746E-3</v>
      </c>
      <c r="BA76" s="70">
        <f t="shared" si="230"/>
        <v>0</v>
      </c>
      <c r="BB76" s="70">
        <f t="shared" si="230"/>
        <v>0</v>
      </c>
      <c r="BC76" s="70">
        <f t="shared" si="230"/>
        <v>0</v>
      </c>
      <c r="BD76" s="70">
        <f t="shared" si="230"/>
        <v>0</v>
      </c>
      <c r="BE76" s="70">
        <f t="shared" si="230"/>
        <v>0</v>
      </c>
      <c r="BF76" s="70">
        <f t="shared" si="230"/>
        <v>0</v>
      </c>
      <c r="BG76" s="70">
        <f t="shared" si="230"/>
        <v>0</v>
      </c>
      <c r="BH76" s="70">
        <f t="shared" si="16"/>
        <v>-2.9490299091605721E-17</v>
      </c>
      <c r="BI76" s="62"/>
      <c r="BJ76" s="69">
        <v>0.48899999999999999</v>
      </c>
      <c r="BK76" s="69">
        <v>0.36499999999999999</v>
      </c>
      <c r="BL76" s="69">
        <v>1E-3</v>
      </c>
      <c r="BM76" s="69">
        <v>8.1000000000000003E-2</v>
      </c>
      <c r="BN76" s="69">
        <v>6.4000000000000001E-2</v>
      </c>
      <c r="BO76" s="69">
        <v>0</v>
      </c>
      <c r="BP76" s="69">
        <v>0</v>
      </c>
      <c r="BQ76" s="69">
        <v>0</v>
      </c>
      <c r="BR76" s="62"/>
      <c r="BS76" s="72">
        <f t="shared" ref="BS76:BW76" si="231">AP76-BJ76</f>
        <v>7.4097061736546621E-3</v>
      </c>
      <c r="BT76" s="72">
        <f t="shared" si="231"/>
        <v>-0.22524678111587981</v>
      </c>
      <c r="BU76" s="72">
        <f t="shared" si="231"/>
        <v>9.9342522284582374E-2</v>
      </c>
      <c r="BV76" s="72">
        <f t="shared" si="231"/>
        <v>4.8162759986794257E-3</v>
      </c>
      <c r="BW76" s="72">
        <f t="shared" si="231"/>
        <v>0.10909755694948828</v>
      </c>
      <c r="BX76" s="72"/>
      <c r="BY76" s="72"/>
      <c r="BZ76" s="72">
        <f t="shared" si="18"/>
        <v>4.5807197094750451E-3</v>
      </c>
    </row>
    <row r="77" spans="1:78" ht="13.15">
      <c r="A77" s="78" t="s">
        <v>5</v>
      </c>
      <c r="B77" s="74" t="s">
        <v>196</v>
      </c>
      <c r="C77" s="75" t="s">
        <v>197</v>
      </c>
      <c r="D77" s="75" t="s">
        <v>85</v>
      </c>
      <c r="E77" s="76"/>
      <c r="F77" s="59"/>
      <c r="G77" s="60"/>
      <c r="H77" s="77">
        <v>18521</v>
      </c>
      <c r="I77" s="77">
        <v>4947</v>
      </c>
      <c r="J77" s="77">
        <v>6195</v>
      </c>
      <c r="K77" s="77">
        <v>2721</v>
      </c>
      <c r="L77" s="77">
        <v>10855</v>
      </c>
      <c r="M77" s="77"/>
      <c r="N77" s="77"/>
      <c r="O77" s="77"/>
      <c r="P77" s="77"/>
      <c r="Q77" s="77">
        <v>164</v>
      </c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62"/>
      <c r="AF77" s="63" t="b">
        <v>0</v>
      </c>
      <c r="AG77" s="63" t="b">
        <v>0</v>
      </c>
      <c r="AH77" s="62"/>
      <c r="AI77" s="64">
        <f t="shared" si="7"/>
        <v>43403</v>
      </c>
      <c r="AJ77" s="65" t="str">
        <f t="shared" si="8"/>
        <v>LAB</v>
      </c>
      <c r="AK77" s="66" t="str">
        <f t="shared" si="9"/>
        <v>HOLD</v>
      </c>
      <c r="AL77" s="67" t="e">
        <f t="shared" ca="1" si="10"/>
        <v>#NAME?</v>
      </c>
      <c r="AM77" s="68">
        <f t="shared" si="11"/>
        <v>7666</v>
      </c>
      <c r="AN77" s="69">
        <f t="shared" si="12"/>
        <v>0.17662373568647327</v>
      </c>
      <c r="AO77" s="62"/>
      <c r="AP77" s="70">
        <f t="shared" ref="AP77:AT77" si="232">H77/$AI77</f>
        <v>0.42672165518512545</v>
      </c>
      <c r="AQ77" s="70">
        <f t="shared" si="232"/>
        <v>0.11397829643112227</v>
      </c>
      <c r="AR77" s="70">
        <f t="shared" si="232"/>
        <v>0.14273206921180565</v>
      </c>
      <c r="AS77" s="70">
        <f t="shared" si="232"/>
        <v>6.2691519019422617E-2</v>
      </c>
      <c r="AT77" s="70">
        <f t="shared" si="232"/>
        <v>0.25009791949865218</v>
      </c>
      <c r="AU77" s="70"/>
      <c r="AV77" s="70"/>
      <c r="AW77" s="81">
        <f t="shared" si="14"/>
        <v>3.7785406538719535E-3</v>
      </c>
      <c r="AX77" s="70">
        <f t="shared" ref="AX77:BG77" si="233">O77/$AI77</f>
        <v>0</v>
      </c>
      <c r="AY77" s="70">
        <f t="shared" si="233"/>
        <v>0</v>
      </c>
      <c r="AZ77" s="70">
        <f t="shared" si="233"/>
        <v>3.778540653871852E-3</v>
      </c>
      <c r="BA77" s="70">
        <f t="shared" si="233"/>
        <v>0</v>
      </c>
      <c r="BB77" s="70">
        <f t="shared" si="233"/>
        <v>0</v>
      </c>
      <c r="BC77" s="70">
        <f t="shared" si="233"/>
        <v>0</v>
      </c>
      <c r="BD77" s="70">
        <f t="shared" si="233"/>
        <v>0</v>
      </c>
      <c r="BE77" s="70">
        <f t="shared" si="233"/>
        <v>0</v>
      </c>
      <c r="BF77" s="70">
        <f t="shared" si="233"/>
        <v>0</v>
      </c>
      <c r="BG77" s="70">
        <f t="shared" si="233"/>
        <v>0</v>
      </c>
      <c r="BH77" s="70">
        <f t="shared" si="16"/>
        <v>1.0148132334464322E-16</v>
      </c>
      <c r="BI77" s="62"/>
      <c r="BJ77" s="69">
        <v>0.51600000000000001</v>
      </c>
      <c r="BK77" s="69">
        <v>0.32800000000000001</v>
      </c>
      <c r="BL77" s="69">
        <v>4.2999999999999997E-2</v>
      </c>
      <c r="BM77" s="69">
        <v>6.2E-2</v>
      </c>
      <c r="BN77" s="69">
        <v>5.0999999999999997E-2</v>
      </c>
      <c r="BO77" s="69">
        <v>0</v>
      </c>
      <c r="BP77" s="69">
        <v>0</v>
      </c>
      <c r="BQ77" s="69">
        <v>0</v>
      </c>
      <c r="BR77" s="62"/>
      <c r="BS77" s="72">
        <f t="shared" ref="BS77:BW77" si="234">AP77-BJ77</f>
        <v>-8.9278344814874566E-2</v>
      </c>
      <c r="BT77" s="72">
        <f t="shared" si="234"/>
        <v>-0.21402170356887773</v>
      </c>
      <c r="BU77" s="72">
        <f t="shared" si="234"/>
        <v>9.9732069211805649E-2</v>
      </c>
      <c r="BV77" s="72">
        <f t="shared" si="234"/>
        <v>6.9151901942261784E-4</v>
      </c>
      <c r="BW77" s="72">
        <f t="shared" si="234"/>
        <v>0.19909791949865219</v>
      </c>
      <c r="BX77" s="72"/>
      <c r="BY77" s="72"/>
      <c r="BZ77" s="72">
        <f t="shared" si="18"/>
        <v>3.7785406538719535E-3</v>
      </c>
    </row>
    <row r="78" spans="1:78" ht="13.15">
      <c r="A78" s="73" t="s">
        <v>6</v>
      </c>
      <c r="B78" s="74" t="s">
        <v>198</v>
      </c>
      <c r="C78" s="75" t="s">
        <v>199</v>
      </c>
      <c r="D78" s="75" t="s">
        <v>78</v>
      </c>
      <c r="E78" s="76"/>
      <c r="F78" s="59"/>
      <c r="G78" s="60"/>
      <c r="H78" s="77">
        <v>15603</v>
      </c>
      <c r="I78" s="77">
        <v>16322</v>
      </c>
      <c r="J78" s="77">
        <v>8859</v>
      </c>
      <c r="K78" s="77">
        <v>5526</v>
      </c>
      <c r="L78" s="77">
        <v>3202</v>
      </c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  <c r="Z78" s="77"/>
      <c r="AA78" s="77"/>
      <c r="AB78" s="77"/>
      <c r="AC78" s="77"/>
      <c r="AD78" s="77"/>
      <c r="AE78" s="62"/>
      <c r="AF78" s="63" t="b">
        <v>0</v>
      </c>
      <c r="AG78" s="63" t="b">
        <v>0</v>
      </c>
      <c r="AH78" s="62"/>
      <c r="AI78" s="64">
        <f t="shared" si="7"/>
        <v>49512</v>
      </c>
      <c r="AJ78" s="65" t="str">
        <f t="shared" si="8"/>
        <v>CON</v>
      </c>
      <c r="AK78" s="66" t="str">
        <f t="shared" si="9"/>
        <v>HOLD</v>
      </c>
      <c r="AL78" s="67" t="e">
        <f t="shared" ca="1" si="10"/>
        <v>#NAME?</v>
      </c>
      <c r="AM78" s="68">
        <f t="shared" si="11"/>
        <v>719</v>
      </c>
      <c r="AN78" s="69">
        <f t="shared" si="12"/>
        <v>1.4521732105348184E-2</v>
      </c>
      <c r="AO78" s="62"/>
      <c r="AP78" s="70">
        <f t="shared" ref="AP78:AT78" si="235">H78/$AI78</f>
        <v>0.31513572467280659</v>
      </c>
      <c r="AQ78" s="70">
        <f t="shared" si="235"/>
        <v>0.32965745677815478</v>
      </c>
      <c r="AR78" s="70">
        <f t="shared" si="235"/>
        <v>0.17892632089190499</v>
      </c>
      <c r="AS78" s="70">
        <f t="shared" si="235"/>
        <v>0.11160930683470674</v>
      </c>
      <c r="AT78" s="70">
        <f t="shared" si="235"/>
        <v>6.467119082242688E-2</v>
      </c>
      <c r="AU78" s="70"/>
      <c r="AV78" s="70"/>
      <c r="AW78" s="81">
        <f t="shared" si="14"/>
        <v>0</v>
      </c>
      <c r="AX78" s="70">
        <f t="shared" ref="AX78:BG78" si="236">O78/$AI78</f>
        <v>0</v>
      </c>
      <c r="AY78" s="70">
        <f t="shared" si="236"/>
        <v>0</v>
      </c>
      <c r="AZ78" s="70">
        <f t="shared" si="236"/>
        <v>0</v>
      </c>
      <c r="BA78" s="70">
        <f t="shared" si="236"/>
        <v>0</v>
      </c>
      <c r="BB78" s="70">
        <f t="shared" si="236"/>
        <v>0</v>
      </c>
      <c r="BC78" s="70">
        <f t="shared" si="236"/>
        <v>0</v>
      </c>
      <c r="BD78" s="70">
        <f t="shared" si="236"/>
        <v>0</v>
      </c>
      <c r="BE78" s="70">
        <f t="shared" si="236"/>
        <v>0</v>
      </c>
      <c r="BF78" s="70">
        <f t="shared" si="236"/>
        <v>0</v>
      </c>
      <c r="BG78" s="70">
        <f t="shared" si="236"/>
        <v>0</v>
      </c>
      <c r="BH78" s="70">
        <f t="shared" si="16"/>
        <v>1.1102230246251565E-16</v>
      </c>
      <c r="BI78" s="62"/>
      <c r="BJ78" s="69">
        <v>0.216</v>
      </c>
      <c r="BK78" s="69">
        <v>0.59199999999999997</v>
      </c>
      <c r="BL78" s="69">
        <v>0</v>
      </c>
      <c r="BM78" s="69">
        <v>0.161</v>
      </c>
      <c r="BN78" s="69">
        <v>2.5000000000000001E-2</v>
      </c>
      <c r="BO78" s="69">
        <v>0</v>
      </c>
      <c r="BP78" s="69">
        <v>0</v>
      </c>
      <c r="BQ78" s="69">
        <v>7.0000000000000001E-3</v>
      </c>
      <c r="BR78" s="62"/>
      <c r="BS78" s="72">
        <f t="shared" ref="BS78:BW78" si="237">AP78-BJ78</f>
        <v>9.9135724672806597E-2</v>
      </c>
      <c r="BT78" s="72">
        <f t="shared" si="237"/>
        <v>-0.26234254322184519</v>
      </c>
      <c r="BU78" s="72">
        <f t="shared" si="237"/>
        <v>0.17892632089190499</v>
      </c>
      <c r="BV78" s="72">
        <f t="shared" si="237"/>
        <v>-4.9390693165293265E-2</v>
      </c>
      <c r="BW78" s="72">
        <f t="shared" si="237"/>
        <v>3.9671190822426879E-2</v>
      </c>
      <c r="BX78" s="72"/>
      <c r="BY78" s="72"/>
      <c r="BZ78" s="72">
        <f t="shared" si="18"/>
        <v>-6.9999999999998891E-3</v>
      </c>
    </row>
    <row r="79" spans="1:78" ht="13.15">
      <c r="A79" s="73" t="s">
        <v>6</v>
      </c>
      <c r="B79" s="74" t="s">
        <v>200</v>
      </c>
      <c r="C79" s="75" t="s">
        <v>201</v>
      </c>
      <c r="D79" s="75" t="s">
        <v>68</v>
      </c>
      <c r="E79" s="76"/>
      <c r="F79" s="59"/>
      <c r="G79" s="60"/>
      <c r="H79" s="77">
        <v>15627</v>
      </c>
      <c r="I79" s="77">
        <v>15929</v>
      </c>
      <c r="J79" s="77">
        <v>8203</v>
      </c>
      <c r="K79" s="77">
        <v>4352</v>
      </c>
      <c r="L79" s="77">
        <v>2583</v>
      </c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>
        <v>94</v>
      </c>
      <c r="Z79" s="77"/>
      <c r="AA79" s="77"/>
      <c r="AB79" s="77"/>
      <c r="AC79" s="77"/>
      <c r="AD79" s="77"/>
      <c r="AE79" s="62"/>
      <c r="AF79" s="63" t="b">
        <v>0</v>
      </c>
      <c r="AG79" s="63" t="b">
        <v>0</v>
      </c>
      <c r="AH79" s="62"/>
      <c r="AI79" s="64">
        <f t="shared" si="7"/>
        <v>46788</v>
      </c>
      <c r="AJ79" s="65" t="str">
        <f t="shared" si="8"/>
        <v>CON</v>
      </c>
      <c r="AK79" s="66" t="str">
        <f t="shared" si="9"/>
        <v>HOLD</v>
      </c>
      <c r="AL79" s="67" t="e">
        <f t="shared" ca="1" si="10"/>
        <v>#NAME?</v>
      </c>
      <c r="AM79" s="68">
        <f t="shared" si="11"/>
        <v>302</v>
      </c>
      <c r="AN79" s="69">
        <f t="shared" si="12"/>
        <v>6.4546464905531065E-3</v>
      </c>
      <c r="AO79" s="62"/>
      <c r="AP79" s="70">
        <f t="shared" ref="AP79:AT79" si="238">H79/$AI79</f>
        <v>0.33399589638368815</v>
      </c>
      <c r="AQ79" s="70">
        <f t="shared" si="238"/>
        <v>0.34045054287424126</v>
      </c>
      <c r="AR79" s="70">
        <f t="shared" si="238"/>
        <v>0.17532273232452766</v>
      </c>
      <c r="AS79" s="70">
        <f t="shared" si="238"/>
        <v>9.301530306916303E-2</v>
      </c>
      <c r="AT79" s="70">
        <f t="shared" si="238"/>
        <v>5.5206463195691204E-2</v>
      </c>
      <c r="AU79" s="70"/>
      <c r="AV79" s="70"/>
      <c r="AW79" s="81">
        <f t="shared" si="14"/>
        <v>2.0090621526885899E-3</v>
      </c>
      <c r="AX79" s="70">
        <f t="shared" ref="AX79:BG79" si="239">O79/$AI79</f>
        <v>0</v>
      </c>
      <c r="AY79" s="70">
        <f t="shared" si="239"/>
        <v>0</v>
      </c>
      <c r="AZ79" s="70">
        <f t="shared" si="239"/>
        <v>0</v>
      </c>
      <c r="BA79" s="70">
        <f t="shared" si="239"/>
        <v>0</v>
      </c>
      <c r="BB79" s="70">
        <f t="shared" si="239"/>
        <v>0</v>
      </c>
      <c r="BC79" s="70">
        <f t="shared" si="239"/>
        <v>0</v>
      </c>
      <c r="BD79" s="70">
        <f t="shared" si="239"/>
        <v>0</v>
      </c>
      <c r="BE79" s="70">
        <f t="shared" si="239"/>
        <v>0</v>
      </c>
      <c r="BF79" s="70">
        <f t="shared" si="239"/>
        <v>0</v>
      </c>
      <c r="BG79" s="70">
        <f t="shared" si="239"/>
        <v>0</v>
      </c>
      <c r="BH79" s="70">
        <f t="shared" si="16"/>
        <v>2.0090621526885899E-3</v>
      </c>
      <c r="BI79" s="62"/>
      <c r="BJ79" s="69">
        <v>0.251</v>
      </c>
      <c r="BK79" s="69">
        <v>0.54500000000000004</v>
      </c>
      <c r="BL79" s="69">
        <v>0</v>
      </c>
      <c r="BM79" s="69">
        <v>0.16</v>
      </c>
      <c r="BN79" s="69">
        <v>3.6999999999999998E-2</v>
      </c>
      <c r="BO79" s="69">
        <v>0</v>
      </c>
      <c r="BP79" s="69">
        <v>0</v>
      </c>
      <c r="BQ79" s="69">
        <v>8.0000000000000002E-3</v>
      </c>
      <c r="BR79" s="62"/>
      <c r="BS79" s="72">
        <f t="shared" ref="BS79:BW79" si="240">AP79-BJ79</f>
        <v>8.299589638368815E-2</v>
      </c>
      <c r="BT79" s="72">
        <f t="shared" si="240"/>
        <v>-0.20454945712575878</v>
      </c>
      <c r="BU79" s="72">
        <f t="shared" si="240"/>
        <v>0.17532273232452766</v>
      </c>
      <c r="BV79" s="72">
        <f t="shared" si="240"/>
        <v>-6.6984696930836973E-2</v>
      </c>
      <c r="BW79" s="72">
        <f t="shared" si="240"/>
        <v>1.8206463195691205E-2</v>
      </c>
      <c r="BX79" s="72"/>
      <c r="BY79" s="72"/>
      <c r="BZ79" s="72">
        <f t="shared" si="18"/>
        <v>-5.9909378473114103E-3</v>
      </c>
    </row>
    <row r="80" spans="1:78" ht="13.15">
      <c r="A80" s="73" t="s">
        <v>6</v>
      </c>
      <c r="B80" s="74" t="s">
        <v>202</v>
      </c>
      <c r="C80" s="75" t="s">
        <v>203</v>
      </c>
      <c r="D80" s="75" t="s">
        <v>47</v>
      </c>
      <c r="E80" s="76"/>
      <c r="F80" s="59"/>
      <c r="G80" s="60"/>
      <c r="H80" s="77">
        <v>13517</v>
      </c>
      <c r="I80" s="77">
        <v>16533</v>
      </c>
      <c r="J80" s="77">
        <v>9584</v>
      </c>
      <c r="K80" s="77">
        <v>7391</v>
      </c>
      <c r="L80" s="77">
        <v>1675</v>
      </c>
      <c r="M80" s="77"/>
      <c r="N80" s="77"/>
      <c r="O80" s="77">
        <v>1561</v>
      </c>
      <c r="P80" s="77">
        <v>144</v>
      </c>
      <c r="Q80" s="77"/>
      <c r="R80" s="77"/>
      <c r="S80" s="77"/>
      <c r="T80" s="77"/>
      <c r="U80" s="77"/>
      <c r="V80" s="77"/>
      <c r="W80" s="77"/>
      <c r="X80" s="77"/>
      <c r="Y80" s="77"/>
      <c r="Z80" s="77"/>
      <c r="AA80" s="77"/>
      <c r="AB80" s="77"/>
      <c r="AC80" s="77"/>
      <c r="AD80" s="77"/>
      <c r="AE80" s="62"/>
      <c r="AF80" s="63" t="b">
        <v>0</v>
      </c>
      <c r="AG80" s="63" t="b">
        <v>0</v>
      </c>
      <c r="AH80" s="62"/>
      <c r="AI80" s="64">
        <f t="shared" si="7"/>
        <v>50405</v>
      </c>
      <c r="AJ80" s="65" t="str">
        <f t="shared" si="8"/>
        <v>CON</v>
      </c>
      <c r="AK80" s="66" t="str">
        <f t="shared" si="9"/>
        <v>HOLD</v>
      </c>
      <c r="AL80" s="67" t="e">
        <f t="shared" ca="1" si="10"/>
        <v>#NAME?</v>
      </c>
      <c r="AM80" s="68">
        <f t="shared" si="11"/>
        <v>3016</v>
      </c>
      <c r="AN80" s="69">
        <f t="shared" si="12"/>
        <v>5.9835333796250334E-2</v>
      </c>
      <c r="AO80" s="62"/>
      <c r="AP80" s="70">
        <f t="shared" ref="AP80:AT80" si="241">H80/$AI80</f>
        <v>0.2681678404920147</v>
      </c>
      <c r="AQ80" s="70">
        <f t="shared" si="241"/>
        <v>0.32800317428826503</v>
      </c>
      <c r="AR80" s="70">
        <f t="shared" si="241"/>
        <v>0.1901398670766789</v>
      </c>
      <c r="AS80" s="70">
        <f t="shared" si="241"/>
        <v>0.14663227854379526</v>
      </c>
      <c r="AT80" s="70">
        <f t="shared" si="241"/>
        <v>3.3230830274774331E-2</v>
      </c>
      <c r="AU80" s="70"/>
      <c r="AV80" s="70"/>
      <c r="AW80" s="81">
        <f t="shared" si="14"/>
        <v>3.3826009324471773E-2</v>
      </c>
      <c r="AX80" s="70">
        <f t="shared" ref="AX80:BG80" si="242">O80/$AI80</f>
        <v>3.0969149885924016E-2</v>
      </c>
      <c r="AY80" s="70">
        <f t="shared" si="242"/>
        <v>2.856859438547763E-3</v>
      </c>
      <c r="AZ80" s="70">
        <f t="shared" si="242"/>
        <v>0</v>
      </c>
      <c r="BA80" s="70">
        <f t="shared" si="242"/>
        <v>0</v>
      </c>
      <c r="BB80" s="70">
        <f t="shared" si="242"/>
        <v>0</v>
      </c>
      <c r="BC80" s="70">
        <f t="shared" si="242"/>
        <v>0</v>
      </c>
      <c r="BD80" s="70">
        <f t="shared" si="242"/>
        <v>0</v>
      </c>
      <c r="BE80" s="70">
        <f t="shared" si="242"/>
        <v>0</v>
      </c>
      <c r="BF80" s="70">
        <f t="shared" si="242"/>
        <v>0</v>
      </c>
      <c r="BG80" s="70">
        <f t="shared" si="242"/>
        <v>0</v>
      </c>
      <c r="BH80" s="70">
        <f t="shared" si="16"/>
        <v>0</v>
      </c>
      <c r="BI80" s="62"/>
      <c r="BJ80" s="69">
        <v>0.20799999999999999</v>
      </c>
      <c r="BK80" s="69">
        <v>0.63400000000000001</v>
      </c>
      <c r="BL80" s="69">
        <v>0</v>
      </c>
      <c r="BM80" s="69">
        <v>0.125</v>
      </c>
      <c r="BN80" s="69">
        <v>3.3000000000000002E-2</v>
      </c>
      <c r="BO80" s="69">
        <v>0</v>
      </c>
      <c r="BP80" s="69">
        <v>0</v>
      </c>
      <c r="BQ80" s="69">
        <v>0</v>
      </c>
      <c r="BR80" s="62"/>
      <c r="BS80" s="72">
        <f t="shared" ref="BS80:BW80" si="243">AP80-BJ80</f>
        <v>6.0167840492014707E-2</v>
      </c>
      <c r="BT80" s="72">
        <f t="shared" si="243"/>
        <v>-0.30599682571173498</v>
      </c>
      <c r="BU80" s="72">
        <f t="shared" si="243"/>
        <v>0.1901398670766789</v>
      </c>
      <c r="BV80" s="72">
        <f t="shared" si="243"/>
        <v>2.1632278543795264E-2</v>
      </c>
      <c r="BW80" s="72">
        <f t="shared" si="243"/>
        <v>2.308302747743296E-4</v>
      </c>
      <c r="BX80" s="72"/>
      <c r="BY80" s="72"/>
      <c r="BZ80" s="72">
        <f t="shared" si="18"/>
        <v>3.382600932447178E-2</v>
      </c>
    </row>
    <row r="81" spans="1:78" ht="13.15">
      <c r="A81" s="73" t="s">
        <v>6</v>
      </c>
      <c r="B81" s="74" t="s">
        <v>204</v>
      </c>
      <c r="C81" s="75" t="s">
        <v>205</v>
      </c>
      <c r="D81" s="75" t="s">
        <v>78</v>
      </c>
      <c r="E81" s="76">
        <v>75187</v>
      </c>
      <c r="F81" s="59">
        <v>0.57099999999999995</v>
      </c>
      <c r="G81" s="60"/>
      <c r="H81" s="77">
        <v>12952</v>
      </c>
      <c r="I81" s="77">
        <v>15810</v>
      </c>
      <c r="J81" s="77">
        <v>8782</v>
      </c>
      <c r="K81" s="77">
        <v>2688</v>
      </c>
      <c r="L81" s="77">
        <v>2461</v>
      </c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>
        <v>172</v>
      </c>
      <c r="Z81" s="77">
        <v>87</v>
      </c>
      <c r="AA81" s="77"/>
      <c r="AB81" s="77"/>
      <c r="AC81" s="77"/>
      <c r="AD81" s="77"/>
      <c r="AE81" s="62"/>
      <c r="AF81" s="63" t="b">
        <v>0</v>
      </c>
      <c r="AG81" s="63" t="b">
        <v>0</v>
      </c>
      <c r="AH81" s="62"/>
      <c r="AI81" s="64">
        <f t="shared" si="7"/>
        <v>42952</v>
      </c>
      <c r="AJ81" s="65" t="str">
        <f t="shared" si="8"/>
        <v>CON</v>
      </c>
      <c r="AK81" s="66" t="str">
        <f t="shared" si="9"/>
        <v>HOLD</v>
      </c>
      <c r="AL81" s="67" t="e">
        <f t="shared" ca="1" si="10"/>
        <v>#NAME?</v>
      </c>
      <c r="AM81" s="68">
        <f t="shared" si="11"/>
        <v>2858</v>
      </c>
      <c r="AN81" s="69">
        <f t="shared" si="12"/>
        <v>6.6539392810579245E-2</v>
      </c>
      <c r="AO81" s="62"/>
      <c r="AP81" s="70">
        <f t="shared" ref="AP81:AT81" si="244">H81/$AI81</f>
        <v>0.30154591171540324</v>
      </c>
      <c r="AQ81" s="70">
        <f t="shared" si="244"/>
        <v>0.36808530452598248</v>
      </c>
      <c r="AR81" s="70">
        <f t="shared" si="244"/>
        <v>0.2044607934438443</v>
      </c>
      <c r="AS81" s="70">
        <f t="shared" si="244"/>
        <v>6.2581486310299875E-2</v>
      </c>
      <c r="AT81" s="70">
        <f t="shared" si="244"/>
        <v>5.7296517042279754E-2</v>
      </c>
      <c r="AU81" s="70"/>
      <c r="AV81" s="70"/>
      <c r="AW81" s="81">
        <f t="shared" si="14"/>
        <v>6.0299869621902591E-3</v>
      </c>
      <c r="AX81" s="70">
        <f t="shared" ref="AX81:BG81" si="245">O81/$AI81</f>
        <v>0</v>
      </c>
      <c r="AY81" s="70">
        <f t="shared" si="245"/>
        <v>0</v>
      </c>
      <c r="AZ81" s="70">
        <f t="shared" si="245"/>
        <v>0</v>
      </c>
      <c r="BA81" s="70">
        <f t="shared" si="245"/>
        <v>0</v>
      </c>
      <c r="BB81" s="70">
        <f t="shared" si="245"/>
        <v>0</v>
      </c>
      <c r="BC81" s="70">
        <f t="shared" si="245"/>
        <v>0</v>
      </c>
      <c r="BD81" s="70">
        <f t="shared" si="245"/>
        <v>0</v>
      </c>
      <c r="BE81" s="70">
        <f t="shared" si="245"/>
        <v>0</v>
      </c>
      <c r="BF81" s="70">
        <f t="shared" si="245"/>
        <v>0</v>
      </c>
      <c r="BG81" s="70">
        <f t="shared" si="245"/>
        <v>0</v>
      </c>
      <c r="BH81" s="70">
        <f t="shared" si="16"/>
        <v>6.0299869621902591E-3</v>
      </c>
      <c r="BI81" s="62"/>
      <c r="BJ81" s="69">
        <v>0.24</v>
      </c>
      <c r="BK81" s="69">
        <v>0.64200000000000002</v>
      </c>
      <c r="BL81" s="69">
        <v>0</v>
      </c>
      <c r="BM81" s="69">
        <v>0.09</v>
      </c>
      <c r="BN81" s="69">
        <v>2.8000000000000001E-2</v>
      </c>
      <c r="BO81" s="69">
        <v>0</v>
      </c>
      <c r="BP81" s="69">
        <v>0</v>
      </c>
      <c r="BQ81" s="69">
        <v>0</v>
      </c>
      <c r="BR81" s="62"/>
      <c r="BS81" s="72">
        <f t="shared" ref="BS81:BW81" si="246">AP81-BJ81</f>
        <v>6.1545911715403245E-2</v>
      </c>
      <c r="BT81" s="72">
        <f t="shared" si="246"/>
        <v>-0.27391469547401753</v>
      </c>
      <c r="BU81" s="72">
        <f t="shared" si="246"/>
        <v>0.2044607934438443</v>
      </c>
      <c r="BV81" s="72">
        <f t="shared" si="246"/>
        <v>-2.7418513689700122E-2</v>
      </c>
      <c r="BW81" s="72">
        <f t="shared" si="246"/>
        <v>2.9296517042279754E-2</v>
      </c>
      <c r="BX81" s="72"/>
      <c r="BY81" s="72"/>
      <c r="BZ81" s="72">
        <f t="shared" si="18"/>
        <v>6.0299869621902591E-3</v>
      </c>
    </row>
    <row r="82" spans="1:78" ht="13.15">
      <c r="A82" s="73" t="s">
        <v>6</v>
      </c>
      <c r="B82" s="74" t="s">
        <v>206</v>
      </c>
      <c r="C82" s="75" t="s">
        <v>207</v>
      </c>
      <c r="D82" s="75" t="s">
        <v>53</v>
      </c>
      <c r="E82" s="76"/>
      <c r="F82" s="59"/>
      <c r="G82" s="60"/>
      <c r="H82" s="77">
        <v>19561</v>
      </c>
      <c r="I82" s="77">
        <v>11158</v>
      </c>
      <c r="J82" s="77">
        <v>8402</v>
      </c>
      <c r="K82" s="77">
        <v>3807</v>
      </c>
      <c r="L82" s="77">
        <v>3488</v>
      </c>
      <c r="M82" s="77"/>
      <c r="N82" s="77"/>
      <c r="O82" s="77">
        <v>1034</v>
      </c>
      <c r="P82" s="77">
        <v>388</v>
      </c>
      <c r="Q82" s="77"/>
      <c r="R82" s="77"/>
      <c r="S82" s="77"/>
      <c r="T82" s="77"/>
      <c r="U82" s="77"/>
      <c r="V82" s="77"/>
      <c r="W82" s="77"/>
      <c r="X82" s="77"/>
      <c r="Y82" s="77"/>
      <c r="Z82" s="77"/>
      <c r="AA82" s="77"/>
      <c r="AB82" s="77"/>
      <c r="AC82" s="77"/>
      <c r="AD82" s="77"/>
      <c r="AE82" s="62"/>
      <c r="AF82" s="63" t="b">
        <v>0</v>
      </c>
      <c r="AG82" s="63" t="b">
        <v>0</v>
      </c>
      <c r="AH82" s="62"/>
      <c r="AI82" s="64">
        <f t="shared" si="7"/>
        <v>47838</v>
      </c>
      <c r="AJ82" s="65" t="str">
        <f t="shared" si="8"/>
        <v>LAB</v>
      </c>
      <c r="AK82" s="66" t="str">
        <f t="shared" si="9"/>
        <v>GAIN</v>
      </c>
      <c r="AL82" s="67" t="e">
        <f t="shared" ca="1" si="10"/>
        <v>#NAME?</v>
      </c>
      <c r="AM82" s="68">
        <f t="shared" si="11"/>
        <v>8403</v>
      </c>
      <c r="AN82" s="69">
        <f t="shared" si="12"/>
        <v>0.17565533676157027</v>
      </c>
      <c r="AO82" s="62"/>
      <c r="AP82" s="70">
        <f t="shared" ref="AP82:AT82" si="247">H82/$AI82</f>
        <v>0.40890087378234874</v>
      </c>
      <c r="AQ82" s="70">
        <f t="shared" si="247"/>
        <v>0.23324553702077847</v>
      </c>
      <c r="AR82" s="70">
        <f t="shared" si="247"/>
        <v>0.17563443287762867</v>
      </c>
      <c r="AS82" s="70">
        <f t="shared" si="247"/>
        <v>7.9581086165809611E-2</v>
      </c>
      <c r="AT82" s="70">
        <f t="shared" si="247"/>
        <v>7.2912747188427607E-2</v>
      </c>
      <c r="AU82" s="70"/>
      <c r="AV82" s="70"/>
      <c r="AW82" s="81">
        <f t="shared" si="14"/>
        <v>2.9725322965006962E-2</v>
      </c>
      <c r="AX82" s="70">
        <f t="shared" ref="AX82:BG82" si="248">O82/$AI82</f>
        <v>2.1614615995651992E-2</v>
      </c>
      <c r="AY82" s="70">
        <f t="shared" si="248"/>
        <v>8.1107069693549059E-3</v>
      </c>
      <c r="AZ82" s="70">
        <f t="shared" si="248"/>
        <v>0</v>
      </c>
      <c r="BA82" s="70">
        <f t="shared" si="248"/>
        <v>0</v>
      </c>
      <c r="BB82" s="70">
        <f t="shared" si="248"/>
        <v>0</v>
      </c>
      <c r="BC82" s="70">
        <f t="shared" si="248"/>
        <v>0</v>
      </c>
      <c r="BD82" s="70">
        <f t="shared" si="248"/>
        <v>0</v>
      </c>
      <c r="BE82" s="70">
        <f t="shared" si="248"/>
        <v>0</v>
      </c>
      <c r="BF82" s="70">
        <f t="shared" si="248"/>
        <v>0</v>
      </c>
      <c r="BG82" s="70">
        <f t="shared" si="248"/>
        <v>0</v>
      </c>
      <c r="BH82" s="70">
        <f t="shared" si="16"/>
        <v>6.2450045135165055E-17</v>
      </c>
      <c r="BI82" s="62"/>
      <c r="BJ82" s="69">
        <v>0.38</v>
      </c>
      <c r="BK82" s="69">
        <v>0.45200000000000001</v>
      </c>
      <c r="BL82" s="69">
        <v>7.0000000000000001E-3</v>
      </c>
      <c r="BM82" s="69">
        <v>5.0000000000000001E-3</v>
      </c>
      <c r="BN82" s="69">
        <v>0.03</v>
      </c>
      <c r="BO82" s="69">
        <v>0</v>
      </c>
      <c r="BP82" s="69">
        <v>0</v>
      </c>
      <c r="BQ82" s="69">
        <v>0.126</v>
      </c>
      <c r="BR82" s="62"/>
      <c r="BS82" s="72">
        <f t="shared" ref="BS82:BW82" si="249">AP82-BJ82</f>
        <v>2.8900873782348735E-2</v>
      </c>
      <c r="BT82" s="72">
        <f t="shared" si="249"/>
        <v>-0.21875446297922155</v>
      </c>
      <c r="BU82" s="72">
        <f t="shared" si="249"/>
        <v>0.16863443287762866</v>
      </c>
      <c r="BV82" s="72">
        <f t="shared" si="249"/>
        <v>7.4581086165809607E-2</v>
      </c>
      <c r="BW82" s="72">
        <f t="shared" si="249"/>
        <v>4.2912747188427608E-2</v>
      </c>
      <c r="BX82" s="72"/>
      <c r="BY82" s="72"/>
      <c r="BZ82" s="72">
        <f t="shared" si="18"/>
        <v>-9.6274677034993039E-2</v>
      </c>
    </row>
    <row r="83" spans="1:78" ht="13.15">
      <c r="A83" s="73" t="s">
        <v>6</v>
      </c>
      <c r="B83" s="74" t="s">
        <v>208</v>
      </c>
      <c r="C83" s="75" t="s">
        <v>209</v>
      </c>
      <c r="D83" s="75" t="s">
        <v>44</v>
      </c>
      <c r="E83" s="76"/>
      <c r="F83" s="59"/>
      <c r="G83" s="60"/>
      <c r="H83" s="77">
        <v>17602</v>
      </c>
      <c r="I83" s="77">
        <v>15181</v>
      </c>
      <c r="J83" s="77">
        <v>7468</v>
      </c>
      <c r="K83" s="77">
        <v>4300</v>
      </c>
      <c r="L83" s="77">
        <v>2590</v>
      </c>
      <c r="M83" s="77"/>
      <c r="N83" s="77"/>
      <c r="O83" s="77">
        <v>500</v>
      </c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/>
      <c r="AD83" s="77"/>
      <c r="AE83" s="62"/>
      <c r="AF83" s="63" t="b">
        <v>0</v>
      </c>
      <c r="AG83" s="63" t="b">
        <v>0</v>
      </c>
      <c r="AH83" s="62"/>
      <c r="AI83" s="64">
        <f t="shared" si="7"/>
        <v>47641</v>
      </c>
      <c r="AJ83" s="65" t="str">
        <f t="shared" si="8"/>
        <v>LAB</v>
      </c>
      <c r="AK83" s="66" t="str">
        <f t="shared" si="9"/>
        <v>GAIN</v>
      </c>
      <c r="AL83" s="67" t="e">
        <f t="shared" ca="1" si="10"/>
        <v>#NAME?</v>
      </c>
      <c r="AM83" s="68">
        <f t="shared" si="11"/>
        <v>2421</v>
      </c>
      <c r="AN83" s="69">
        <f t="shared" si="12"/>
        <v>5.0817573098801472E-2</v>
      </c>
      <c r="AO83" s="62"/>
      <c r="AP83" s="70">
        <f t="shared" ref="AP83:AT83" si="250">H83/$AI83</f>
        <v>0.36947167355848953</v>
      </c>
      <c r="AQ83" s="70">
        <f t="shared" si="250"/>
        <v>0.31865410045968806</v>
      </c>
      <c r="AR83" s="70">
        <f t="shared" si="250"/>
        <v>0.15675573560588568</v>
      </c>
      <c r="AS83" s="70">
        <f t="shared" si="250"/>
        <v>9.0258390881803485E-2</v>
      </c>
      <c r="AT83" s="70">
        <f t="shared" si="250"/>
        <v>5.4364937763690939E-2</v>
      </c>
      <c r="AU83" s="70"/>
      <c r="AV83" s="70"/>
      <c r="AW83" s="81">
        <f t="shared" si="14"/>
        <v>1.0495161730442182E-2</v>
      </c>
      <c r="AX83" s="70">
        <f t="shared" ref="AX83:BG83" si="251">O83/$AI83</f>
        <v>1.0495161730442267E-2</v>
      </c>
      <c r="AY83" s="70">
        <f t="shared" si="251"/>
        <v>0</v>
      </c>
      <c r="AZ83" s="70">
        <f t="shared" si="251"/>
        <v>0</v>
      </c>
      <c r="BA83" s="70">
        <f t="shared" si="251"/>
        <v>0</v>
      </c>
      <c r="BB83" s="70">
        <f t="shared" si="251"/>
        <v>0</v>
      </c>
      <c r="BC83" s="70">
        <f t="shared" si="251"/>
        <v>0</v>
      </c>
      <c r="BD83" s="70">
        <f t="shared" si="251"/>
        <v>0</v>
      </c>
      <c r="BE83" s="70">
        <f t="shared" si="251"/>
        <v>0</v>
      </c>
      <c r="BF83" s="70">
        <f t="shared" si="251"/>
        <v>0</v>
      </c>
      <c r="BG83" s="70">
        <f t="shared" si="251"/>
        <v>0</v>
      </c>
      <c r="BH83" s="70">
        <f t="shared" si="16"/>
        <v>-8.5001450322863548E-17</v>
      </c>
      <c r="BI83" s="62"/>
      <c r="BJ83" s="69">
        <v>0.27700000000000002</v>
      </c>
      <c r="BK83" s="69">
        <v>0.53100000000000003</v>
      </c>
      <c r="BL83" s="69">
        <v>0.01</v>
      </c>
      <c r="BM83" s="69">
        <v>0.154</v>
      </c>
      <c r="BN83" s="69">
        <v>1.2E-2</v>
      </c>
      <c r="BO83" s="69">
        <v>0</v>
      </c>
      <c r="BP83" s="69">
        <v>0</v>
      </c>
      <c r="BQ83" s="69">
        <v>1.7000000000000001E-2</v>
      </c>
      <c r="BR83" s="62"/>
      <c r="BS83" s="72">
        <f t="shared" ref="BS83:BW83" si="252">AP83-BJ83</f>
        <v>9.2471673558489509E-2</v>
      </c>
      <c r="BT83" s="72">
        <f t="shared" si="252"/>
        <v>-0.21234589954031197</v>
      </c>
      <c r="BU83" s="72">
        <f t="shared" si="252"/>
        <v>0.14675573560588567</v>
      </c>
      <c r="BV83" s="72">
        <f t="shared" si="252"/>
        <v>-6.3741609118196513E-2</v>
      </c>
      <c r="BW83" s="72">
        <f t="shared" si="252"/>
        <v>4.2364937763690935E-2</v>
      </c>
      <c r="BX83" s="72"/>
      <c r="BY83" s="72"/>
      <c r="BZ83" s="72">
        <f t="shared" si="18"/>
        <v>-6.5048382695578194E-3</v>
      </c>
    </row>
    <row r="84" spans="1:78" ht="13.15">
      <c r="A84" s="73" t="s">
        <v>6</v>
      </c>
      <c r="B84" s="74" t="s">
        <v>210</v>
      </c>
      <c r="C84" s="75" t="s">
        <v>211</v>
      </c>
      <c r="D84" s="75" t="s">
        <v>50</v>
      </c>
      <c r="E84" s="76"/>
      <c r="F84" s="59"/>
      <c r="G84" s="60"/>
      <c r="H84" s="77">
        <v>12598</v>
      </c>
      <c r="I84" s="77">
        <v>8058</v>
      </c>
      <c r="J84" s="77">
        <v>7755</v>
      </c>
      <c r="K84" s="77">
        <v>9178</v>
      </c>
      <c r="L84" s="77">
        <v>1518</v>
      </c>
      <c r="M84" s="77"/>
      <c r="N84" s="77"/>
      <c r="O84" s="77">
        <v>292</v>
      </c>
      <c r="P84" s="77"/>
      <c r="Q84" s="77"/>
      <c r="R84" s="77"/>
      <c r="S84" s="77"/>
      <c r="T84" s="77"/>
      <c r="U84" s="77"/>
      <c r="V84" s="77"/>
      <c r="W84" s="77"/>
      <c r="X84" s="77"/>
      <c r="Y84" s="77">
        <v>169</v>
      </c>
      <c r="Z84" s="77">
        <v>151</v>
      </c>
      <c r="AA84" s="77"/>
      <c r="AB84" s="77"/>
      <c r="AC84" s="77"/>
      <c r="AD84" s="77"/>
      <c r="AE84" s="62"/>
      <c r="AF84" s="63" t="b">
        <v>0</v>
      </c>
      <c r="AG84" s="63" t="b">
        <v>0</v>
      </c>
      <c r="AH84" s="62"/>
      <c r="AI84" s="64">
        <f t="shared" si="7"/>
        <v>39719</v>
      </c>
      <c r="AJ84" s="65" t="str">
        <f t="shared" si="8"/>
        <v>LAB</v>
      </c>
      <c r="AK84" s="66" t="str">
        <f t="shared" si="9"/>
        <v>GAIN</v>
      </c>
      <c r="AL84" s="67" t="e">
        <f t="shared" ca="1" si="10"/>
        <v>#NAME?</v>
      </c>
      <c r="AM84" s="68">
        <f t="shared" si="11"/>
        <v>3420</v>
      </c>
      <c r="AN84" s="69">
        <f t="shared" si="12"/>
        <v>8.6104886829980631E-2</v>
      </c>
      <c r="AO84" s="62"/>
      <c r="AP84" s="70">
        <f t="shared" ref="AP84:AT84" si="253">H84/$AI84</f>
        <v>0.31717817669125609</v>
      </c>
      <c r="AQ84" s="70">
        <f t="shared" si="253"/>
        <v>0.20287519826783151</v>
      </c>
      <c r="AR84" s="70">
        <f t="shared" si="253"/>
        <v>0.19524660741710517</v>
      </c>
      <c r="AS84" s="70">
        <f t="shared" si="253"/>
        <v>0.23107328986127545</v>
      </c>
      <c r="AT84" s="70">
        <f t="shared" si="253"/>
        <v>3.8218484856114204E-2</v>
      </c>
      <c r="AU84" s="70"/>
      <c r="AV84" s="70"/>
      <c r="AW84" s="81">
        <f t="shared" si="14"/>
        <v>1.5408242906417513E-2</v>
      </c>
      <c r="AX84" s="70">
        <f t="shared" ref="AX84:BG84" si="254">O84/$AI84</f>
        <v>7.3516453082907423E-3</v>
      </c>
      <c r="AY84" s="70">
        <f t="shared" si="254"/>
        <v>0</v>
      </c>
      <c r="AZ84" s="70">
        <f t="shared" si="254"/>
        <v>0</v>
      </c>
      <c r="BA84" s="70">
        <f t="shared" si="254"/>
        <v>0</v>
      </c>
      <c r="BB84" s="70">
        <f t="shared" si="254"/>
        <v>0</v>
      </c>
      <c r="BC84" s="70">
        <f t="shared" si="254"/>
        <v>0</v>
      </c>
      <c r="BD84" s="70">
        <f t="shared" si="254"/>
        <v>0</v>
      </c>
      <c r="BE84" s="70">
        <f t="shared" si="254"/>
        <v>0</v>
      </c>
      <c r="BF84" s="70">
        <f t="shared" si="254"/>
        <v>0</v>
      </c>
      <c r="BG84" s="70">
        <f t="shared" si="254"/>
        <v>0</v>
      </c>
      <c r="BH84" s="70">
        <f t="shared" si="16"/>
        <v>8.0565975981267707E-3</v>
      </c>
      <c r="BI84" s="62"/>
      <c r="BJ84" s="69">
        <v>0.40200000000000002</v>
      </c>
      <c r="BK84" s="69">
        <v>0.40500000000000003</v>
      </c>
      <c r="BL84" s="69">
        <v>7.0999999999999994E-2</v>
      </c>
      <c r="BM84" s="69">
        <v>7.6999999999999999E-2</v>
      </c>
      <c r="BN84" s="69">
        <v>1.7999999999999999E-2</v>
      </c>
      <c r="BO84" s="69">
        <v>0</v>
      </c>
      <c r="BP84" s="69">
        <v>0</v>
      </c>
      <c r="BQ84" s="69">
        <v>2.8000000000000001E-2</v>
      </c>
      <c r="BR84" s="62"/>
      <c r="BS84" s="72">
        <f t="shared" ref="BS84:BW84" si="255">AP84-BJ84</f>
        <v>-8.4821823308743938E-2</v>
      </c>
      <c r="BT84" s="72">
        <f t="shared" si="255"/>
        <v>-0.20212480173216851</v>
      </c>
      <c r="BU84" s="72">
        <f t="shared" si="255"/>
        <v>0.12424660741710518</v>
      </c>
      <c r="BV84" s="72">
        <f t="shared" si="255"/>
        <v>0.15407328986127544</v>
      </c>
      <c r="BW84" s="72">
        <f t="shared" si="255"/>
        <v>2.0218484856114206E-2</v>
      </c>
      <c r="BX84" s="72"/>
      <c r="BY84" s="72"/>
      <c r="BZ84" s="72">
        <f t="shared" si="18"/>
        <v>-1.2591757093582488E-2</v>
      </c>
    </row>
    <row r="85" spans="1:78" ht="13.15">
      <c r="A85" s="73" t="s">
        <v>6</v>
      </c>
      <c r="B85" s="74" t="s">
        <v>212</v>
      </c>
      <c r="C85" s="75" t="s">
        <v>213</v>
      </c>
      <c r="D85" s="75" t="s">
        <v>47</v>
      </c>
      <c r="E85" s="76"/>
      <c r="F85" s="59"/>
      <c r="G85" s="60"/>
      <c r="H85" s="77">
        <v>16222</v>
      </c>
      <c r="I85" s="77">
        <v>13956</v>
      </c>
      <c r="J85" s="77">
        <v>9611</v>
      </c>
      <c r="K85" s="77">
        <v>1663</v>
      </c>
      <c r="L85" s="77">
        <v>2119</v>
      </c>
      <c r="M85" s="77"/>
      <c r="N85" s="77"/>
      <c r="O85" s="77"/>
      <c r="P85" s="77">
        <v>2056</v>
      </c>
      <c r="Q85" s="77"/>
      <c r="R85" s="77"/>
      <c r="S85" s="77"/>
      <c r="T85" s="77"/>
      <c r="U85" s="77"/>
      <c r="V85" s="77"/>
      <c r="W85" s="77"/>
      <c r="X85" s="77"/>
      <c r="Y85" s="77"/>
      <c r="Z85" s="77"/>
      <c r="AA85" s="77"/>
      <c r="AB85" s="77"/>
      <c r="AC85" s="77"/>
      <c r="AD85" s="77"/>
      <c r="AE85" s="62"/>
      <c r="AF85" s="63" t="b">
        <v>0</v>
      </c>
      <c r="AG85" s="63" t="b">
        <v>0</v>
      </c>
      <c r="AH85" s="62"/>
      <c r="AI85" s="64">
        <f t="shared" si="7"/>
        <v>45627</v>
      </c>
      <c r="AJ85" s="65" t="str">
        <f t="shared" si="8"/>
        <v>LAB</v>
      </c>
      <c r="AK85" s="66" t="str">
        <f t="shared" si="9"/>
        <v>GAIN</v>
      </c>
      <c r="AL85" s="67" t="e">
        <f t="shared" ca="1" si="10"/>
        <v>#NAME?</v>
      </c>
      <c r="AM85" s="68">
        <f t="shared" si="11"/>
        <v>2266</v>
      </c>
      <c r="AN85" s="69">
        <f t="shared" si="12"/>
        <v>4.966357639117186E-2</v>
      </c>
      <c r="AO85" s="62"/>
      <c r="AP85" s="70">
        <f t="shared" ref="AP85:AT85" si="256">H85/$AI85</f>
        <v>0.35553509983124026</v>
      </c>
      <c r="AQ85" s="70">
        <f t="shared" si="256"/>
        <v>0.3058715234400684</v>
      </c>
      <c r="AR85" s="70">
        <f t="shared" si="256"/>
        <v>0.21064282113660771</v>
      </c>
      <c r="AS85" s="70">
        <f t="shared" si="256"/>
        <v>3.6447717360334891E-2</v>
      </c>
      <c r="AT85" s="70">
        <f t="shared" si="256"/>
        <v>4.6441799811515111E-2</v>
      </c>
      <c r="AU85" s="70"/>
      <c r="AV85" s="70"/>
      <c r="AW85" s="81">
        <f t="shared" si="14"/>
        <v>4.5061038420233568E-2</v>
      </c>
      <c r="AX85" s="70">
        <f t="shared" ref="AX85:BG85" si="257">O85/$AI85</f>
        <v>0</v>
      </c>
      <c r="AY85" s="70">
        <f t="shared" si="257"/>
        <v>4.506103842023363E-2</v>
      </c>
      <c r="AZ85" s="70">
        <f t="shared" si="257"/>
        <v>0</v>
      </c>
      <c r="BA85" s="70">
        <f t="shared" si="257"/>
        <v>0</v>
      </c>
      <c r="BB85" s="70">
        <f t="shared" si="257"/>
        <v>0</v>
      </c>
      <c r="BC85" s="70">
        <f t="shared" si="257"/>
        <v>0</v>
      </c>
      <c r="BD85" s="70">
        <f t="shared" si="257"/>
        <v>0</v>
      </c>
      <c r="BE85" s="70">
        <f t="shared" si="257"/>
        <v>0</v>
      </c>
      <c r="BF85" s="70">
        <f t="shared" si="257"/>
        <v>0</v>
      </c>
      <c r="BG85" s="70">
        <f t="shared" si="257"/>
        <v>0</v>
      </c>
      <c r="BH85" s="70">
        <f t="shared" si="16"/>
        <v>-6.2450045135165055E-17</v>
      </c>
      <c r="BI85" s="62"/>
      <c r="BJ85" s="69">
        <v>0.309</v>
      </c>
      <c r="BK85" s="69">
        <v>0.60699999999999998</v>
      </c>
      <c r="BL85" s="69">
        <v>0</v>
      </c>
      <c r="BM85" s="69">
        <v>5.5E-2</v>
      </c>
      <c r="BN85" s="69">
        <v>2.9000000000000001E-2</v>
      </c>
      <c r="BO85" s="69">
        <v>0</v>
      </c>
      <c r="BP85" s="69">
        <v>0</v>
      </c>
      <c r="BQ85" s="69">
        <v>0</v>
      </c>
      <c r="BR85" s="62"/>
      <c r="BS85" s="72">
        <f t="shared" ref="BS85:BW85" si="258">AP85-BJ85</f>
        <v>4.6535099831240267E-2</v>
      </c>
      <c r="BT85" s="72">
        <f t="shared" si="258"/>
        <v>-0.30112847655993158</v>
      </c>
      <c r="BU85" s="72">
        <f t="shared" si="258"/>
        <v>0.21064282113660771</v>
      </c>
      <c r="BV85" s="72">
        <f t="shared" si="258"/>
        <v>-1.8552282639665109E-2</v>
      </c>
      <c r="BW85" s="72">
        <f t="shared" si="258"/>
        <v>1.7441799811515109E-2</v>
      </c>
      <c r="BX85" s="72"/>
      <c r="BY85" s="72"/>
      <c r="BZ85" s="72">
        <f t="shared" si="18"/>
        <v>4.5061038420233568E-2</v>
      </c>
    </row>
    <row r="86" spans="1:78" ht="13.15">
      <c r="A86" s="73" t="s">
        <v>6</v>
      </c>
      <c r="B86" s="74" t="s">
        <v>214</v>
      </c>
      <c r="C86" s="75" t="s">
        <v>215</v>
      </c>
      <c r="D86" s="75" t="s">
        <v>50</v>
      </c>
      <c r="E86" s="76"/>
      <c r="F86" s="59"/>
      <c r="G86" s="60"/>
      <c r="H86" s="77">
        <v>19625</v>
      </c>
      <c r="I86" s="77">
        <v>12681</v>
      </c>
      <c r="J86" s="77">
        <v>7385</v>
      </c>
      <c r="K86" s="77">
        <v>1317</v>
      </c>
      <c r="L86" s="77">
        <v>1747</v>
      </c>
      <c r="M86" s="77"/>
      <c r="N86" s="77"/>
      <c r="O86" s="77">
        <v>571</v>
      </c>
      <c r="P86" s="77">
        <v>1917</v>
      </c>
      <c r="Q86" s="77"/>
      <c r="R86" s="77"/>
      <c r="S86" s="77"/>
      <c r="T86" s="77"/>
      <c r="U86" s="77"/>
      <c r="V86" s="77"/>
      <c r="W86" s="77"/>
      <c r="X86" s="77"/>
      <c r="Y86" s="77">
        <v>277</v>
      </c>
      <c r="Z86" s="77"/>
      <c r="AA86" s="77"/>
      <c r="AB86" s="77"/>
      <c r="AC86" s="77"/>
      <c r="AD86" s="77"/>
      <c r="AE86" s="62"/>
      <c r="AF86" s="63" t="b">
        <v>0</v>
      </c>
      <c r="AG86" s="63" t="b">
        <v>0</v>
      </c>
      <c r="AH86" s="62"/>
      <c r="AI86" s="64">
        <f t="shared" si="7"/>
        <v>45520</v>
      </c>
      <c r="AJ86" s="65" t="str">
        <f t="shared" si="8"/>
        <v>LAB</v>
      </c>
      <c r="AK86" s="66" t="str">
        <f t="shared" si="9"/>
        <v>GAIN</v>
      </c>
      <c r="AL86" s="67" t="e">
        <f t="shared" ca="1" si="10"/>
        <v>#NAME?</v>
      </c>
      <c r="AM86" s="68">
        <f t="shared" si="11"/>
        <v>6944</v>
      </c>
      <c r="AN86" s="69">
        <f t="shared" si="12"/>
        <v>0.15254833040421789</v>
      </c>
      <c r="AO86" s="62"/>
      <c r="AP86" s="70">
        <f t="shared" ref="AP86:AT86" si="259">H86/$AI86</f>
        <v>0.43112917398945516</v>
      </c>
      <c r="AQ86" s="70">
        <f t="shared" si="259"/>
        <v>0.27858084358523727</v>
      </c>
      <c r="AR86" s="70">
        <f t="shared" si="259"/>
        <v>0.16223637961335677</v>
      </c>
      <c r="AS86" s="70">
        <f t="shared" si="259"/>
        <v>2.8932337434094905E-2</v>
      </c>
      <c r="AT86" s="70">
        <f t="shared" si="259"/>
        <v>3.8378734622144112E-2</v>
      </c>
      <c r="AU86" s="70"/>
      <c r="AV86" s="70"/>
      <c r="AW86" s="81">
        <f t="shared" si="14"/>
        <v>6.0742530755711677E-2</v>
      </c>
      <c r="AX86" s="70">
        <f t="shared" ref="AX86:BG86" si="260">O86/$AI86</f>
        <v>1.2543936731107206E-2</v>
      </c>
      <c r="AY86" s="70">
        <f t="shared" si="260"/>
        <v>4.2113356766256591E-2</v>
      </c>
      <c r="AZ86" s="70">
        <f t="shared" si="260"/>
        <v>0</v>
      </c>
      <c r="BA86" s="70">
        <f t="shared" si="260"/>
        <v>0</v>
      </c>
      <c r="BB86" s="70">
        <f t="shared" si="260"/>
        <v>0</v>
      </c>
      <c r="BC86" s="70">
        <f t="shared" si="260"/>
        <v>0</v>
      </c>
      <c r="BD86" s="70">
        <f t="shared" si="260"/>
        <v>0</v>
      </c>
      <c r="BE86" s="70">
        <f t="shared" si="260"/>
        <v>0</v>
      </c>
      <c r="BF86" s="70">
        <f t="shared" si="260"/>
        <v>0</v>
      </c>
      <c r="BG86" s="70">
        <f t="shared" si="260"/>
        <v>0</v>
      </c>
      <c r="BH86" s="70">
        <f t="shared" si="16"/>
        <v>6.0852372583478781E-3</v>
      </c>
      <c r="BI86" s="62"/>
      <c r="BJ86" s="69">
        <v>0.44900000000000001</v>
      </c>
      <c r="BK86" s="69">
        <v>0.47299999999999998</v>
      </c>
      <c r="BL86" s="69">
        <v>2.7E-2</v>
      </c>
      <c r="BM86" s="69">
        <v>3.1E-2</v>
      </c>
      <c r="BN86" s="69">
        <v>1.7999999999999999E-2</v>
      </c>
      <c r="BO86" s="69">
        <v>0</v>
      </c>
      <c r="BP86" s="69">
        <v>0</v>
      </c>
      <c r="BQ86" s="69">
        <v>3.0000000000000001E-3</v>
      </c>
      <c r="BR86" s="62"/>
      <c r="BS86" s="72">
        <f t="shared" ref="BS86:BW86" si="261">AP86-BJ86</f>
        <v>-1.7870826010544849E-2</v>
      </c>
      <c r="BT86" s="72">
        <f t="shared" si="261"/>
        <v>-0.19441915641476271</v>
      </c>
      <c r="BU86" s="72">
        <f t="shared" si="261"/>
        <v>0.13523637961335677</v>
      </c>
      <c r="BV86" s="72">
        <f t="shared" si="261"/>
        <v>-2.067662565905095E-3</v>
      </c>
      <c r="BW86" s="72">
        <f t="shared" si="261"/>
        <v>2.0378734622144113E-2</v>
      </c>
      <c r="BX86" s="72"/>
      <c r="BY86" s="72"/>
      <c r="BZ86" s="72">
        <f t="shared" si="18"/>
        <v>5.7742530755711674E-2</v>
      </c>
    </row>
    <row r="87" spans="1:78" ht="13.15">
      <c r="A87" s="73" t="s">
        <v>6</v>
      </c>
      <c r="B87" s="74" t="s">
        <v>216</v>
      </c>
      <c r="C87" s="75" t="s">
        <v>217</v>
      </c>
      <c r="D87" s="75" t="s">
        <v>50</v>
      </c>
      <c r="E87" s="76"/>
      <c r="F87" s="59"/>
      <c r="G87" s="60"/>
      <c r="H87" s="77">
        <v>19247</v>
      </c>
      <c r="I87" s="77">
        <v>9886</v>
      </c>
      <c r="J87" s="77">
        <v>6865</v>
      </c>
      <c r="K87" s="77">
        <v>1796</v>
      </c>
      <c r="L87" s="77">
        <v>2715</v>
      </c>
      <c r="M87" s="77"/>
      <c r="N87" s="77"/>
      <c r="O87" s="77">
        <v>277</v>
      </c>
      <c r="P87" s="77">
        <v>1023</v>
      </c>
      <c r="Q87" s="77"/>
      <c r="R87" s="77"/>
      <c r="S87" s="77"/>
      <c r="T87" s="77"/>
      <c r="U87" s="77"/>
      <c r="V87" s="77"/>
      <c r="W87" s="77"/>
      <c r="X87" s="77"/>
      <c r="Y87" s="77">
        <v>224</v>
      </c>
      <c r="Z87" s="77">
        <v>181</v>
      </c>
      <c r="AA87" s="77"/>
      <c r="AB87" s="77"/>
      <c r="AC87" s="77"/>
      <c r="AD87" s="77"/>
      <c r="AE87" s="62"/>
      <c r="AF87" s="63" t="b">
        <v>0</v>
      </c>
      <c r="AG87" s="63" t="b">
        <v>0</v>
      </c>
      <c r="AH87" s="62"/>
      <c r="AI87" s="64">
        <f t="shared" si="7"/>
        <v>42214</v>
      </c>
      <c r="AJ87" s="65" t="str">
        <f t="shared" si="8"/>
        <v>LAB</v>
      </c>
      <c r="AK87" s="66" t="str">
        <f t="shared" si="9"/>
        <v>GAIN</v>
      </c>
      <c r="AL87" s="67" t="e">
        <f t="shared" ca="1" si="10"/>
        <v>#NAME?</v>
      </c>
      <c r="AM87" s="68">
        <f t="shared" si="11"/>
        <v>9361</v>
      </c>
      <c r="AN87" s="69">
        <f t="shared" si="12"/>
        <v>0.22175107784147438</v>
      </c>
      <c r="AO87" s="62"/>
      <c r="AP87" s="70">
        <f t="shared" ref="AP87:AT87" si="262">H87/$AI87</f>
        <v>0.45593878807978394</v>
      </c>
      <c r="AQ87" s="70">
        <f t="shared" si="262"/>
        <v>0.23418771023830956</v>
      </c>
      <c r="AR87" s="70">
        <f t="shared" si="262"/>
        <v>0.16262377410337803</v>
      </c>
      <c r="AS87" s="70">
        <f t="shared" si="262"/>
        <v>4.2545127208982805E-2</v>
      </c>
      <c r="AT87" s="70">
        <f t="shared" si="262"/>
        <v>6.4315156109347613E-2</v>
      </c>
      <c r="AU87" s="70"/>
      <c r="AV87" s="70"/>
      <c r="AW87" s="81">
        <f t="shared" si="14"/>
        <v>4.0389444260198082E-2</v>
      </c>
      <c r="AX87" s="70">
        <f t="shared" ref="AX87:BG87" si="263">O87/$AI87</f>
        <v>6.5618041408063675E-3</v>
      </c>
      <c r="AY87" s="70">
        <f t="shared" si="263"/>
        <v>2.4233666556118822E-2</v>
      </c>
      <c r="AZ87" s="70">
        <f t="shared" si="263"/>
        <v>0</v>
      </c>
      <c r="BA87" s="70">
        <f t="shared" si="263"/>
        <v>0</v>
      </c>
      <c r="BB87" s="70">
        <f t="shared" si="263"/>
        <v>0</v>
      </c>
      <c r="BC87" s="70">
        <f t="shared" si="263"/>
        <v>0</v>
      </c>
      <c r="BD87" s="70">
        <f t="shared" si="263"/>
        <v>0</v>
      </c>
      <c r="BE87" s="70">
        <f t="shared" si="263"/>
        <v>0</v>
      </c>
      <c r="BF87" s="70">
        <f t="shared" si="263"/>
        <v>0</v>
      </c>
      <c r="BG87" s="70">
        <f t="shared" si="263"/>
        <v>0</v>
      </c>
      <c r="BH87" s="70">
        <f t="shared" si="16"/>
        <v>9.5939735632728923E-3</v>
      </c>
      <c r="BI87" s="62"/>
      <c r="BJ87" s="69">
        <v>0.41599999999999998</v>
      </c>
      <c r="BK87" s="69">
        <v>0.435</v>
      </c>
      <c r="BL87" s="69">
        <v>3.6999999999999998E-2</v>
      </c>
      <c r="BM87" s="69">
        <v>6.2E-2</v>
      </c>
      <c r="BN87" s="69">
        <v>1.7999999999999999E-2</v>
      </c>
      <c r="BO87" s="69">
        <v>0</v>
      </c>
      <c r="BP87" s="69">
        <v>0</v>
      </c>
      <c r="BQ87" s="69">
        <v>3.3000000000000002E-2</v>
      </c>
      <c r="BR87" s="62"/>
      <c r="BS87" s="72">
        <f t="shared" ref="BS87:BW87" si="264">AP87-BJ87</f>
        <v>3.993878807978396E-2</v>
      </c>
      <c r="BT87" s="72">
        <f t="shared" si="264"/>
        <v>-0.20081228976169044</v>
      </c>
      <c r="BU87" s="72">
        <f t="shared" si="264"/>
        <v>0.12562377410337802</v>
      </c>
      <c r="BV87" s="72">
        <f t="shared" si="264"/>
        <v>-1.9454872791017194E-2</v>
      </c>
      <c r="BW87" s="72">
        <f t="shared" si="264"/>
        <v>4.6315156109347611E-2</v>
      </c>
      <c r="BX87" s="72"/>
      <c r="BY87" s="72"/>
      <c r="BZ87" s="72">
        <f t="shared" si="18"/>
        <v>7.3894442601980803E-3</v>
      </c>
    </row>
    <row r="88" spans="1:78" ht="13.15">
      <c r="A88" s="73" t="s">
        <v>6</v>
      </c>
      <c r="B88" s="74" t="s">
        <v>218</v>
      </c>
      <c r="C88" s="75" t="s">
        <v>219</v>
      </c>
      <c r="D88" s="75" t="s">
        <v>78</v>
      </c>
      <c r="E88" s="76"/>
      <c r="F88" s="59"/>
      <c r="G88" s="60"/>
      <c r="H88" s="77">
        <v>16745</v>
      </c>
      <c r="I88" s="77">
        <v>15293</v>
      </c>
      <c r="J88" s="77">
        <v>8595</v>
      </c>
      <c r="K88" s="77">
        <v>3154</v>
      </c>
      <c r="L88" s="77">
        <v>5761</v>
      </c>
      <c r="M88" s="77"/>
      <c r="N88" s="77"/>
      <c r="O88" s="77">
        <v>819</v>
      </c>
      <c r="P88" s="77"/>
      <c r="Q88" s="77"/>
      <c r="R88" s="77"/>
      <c r="S88" s="77"/>
      <c r="T88" s="77"/>
      <c r="U88" s="77"/>
      <c r="V88" s="77"/>
      <c r="W88" s="77"/>
      <c r="X88" s="77"/>
      <c r="Y88" s="77">
        <v>350</v>
      </c>
      <c r="Z88" s="77">
        <v>176</v>
      </c>
      <c r="AA88" s="77"/>
      <c r="AB88" s="77"/>
      <c r="AC88" s="77"/>
      <c r="AD88" s="77"/>
      <c r="AE88" s="62"/>
      <c r="AF88" s="63" t="b">
        <v>0</v>
      </c>
      <c r="AG88" s="63" t="b">
        <v>0</v>
      </c>
      <c r="AH88" s="62"/>
      <c r="AI88" s="64">
        <f t="shared" si="7"/>
        <v>50893</v>
      </c>
      <c r="AJ88" s="65" t="str">
        <f t="shared" si="8"/>
        <v>LAB</v>
      </c>
      <c r="AK88" s="66" t="str">
        <f t="shared" si="9"/>
        <v>GAIN</v>
      </c>
      <c r="AL88" s="67" t="e">
        <f t="shared" ca="1" si="10"/>
        <v>#NAME?</v>
      </c>
      <c r="AM88" s="68">
        <f t="shared" si="11"/>
        <v>1452</v>
      </c>
      <c r="AN88" s="69">
        <f t="shared" si="12"/>
        <v>2.8530446230326412E-2</v>
      </c>
      <c r="AO88" s="62"/>
      <c r="AP88" s="70">
        <f t="shared" ref="AP88:AT88" si="265">H88/$AI88</f>
        <v>0.32902363782838506</v>
      </c>
      <c r="AQ88" s="70">
        <f t="shared" si="265"/>
        <v>0.30049319159805865</v>
      </c>
      <c r="AR88" s="70">
        <f t="shared" si="265"/>
        <v>0.16888373646670465</v>
      </c>
      <c r="AS88" s="70">
        <f t="shared" si="265"/>
        <v>6.1973159373587723E-2</v>
      </c>
      <c r="AT88" s="70">
        <f t="shared" si="265"/>
        <v>0.11319827874167371</v>
      </c>
      <c r="AU88" s="70"/>
      <c r="AV88" s="70"/>
      <c r="AW88" s="81">
        <f t="shared" si="14"/>
        <v>2.6427995991590292E-2</v>
      </c>
      <c r="AX88" s="70">
        <f t="shared" ref="AX88:BG88" si="266">O88/$AI88</f>
        <v>1.6092586406774998E-2</v>
      </c>
      <c r="AY88" s="70">
        <f t="shared" si="266"/>
        <v>0</v>
      </c>
      <c r="AZ88" s="70">
        <f t="shared" si="266"/>
        <v>0</v>
      </c>
      <c r="BA88" s="70">
        <f t="shared" si="266"/>
        <v>0</v>
      </c>
      <c r="BB88" s="70">
        <f t="shared" si="266"/>
        <v>0</v>
      </c>
      <c r="BC88" s="70">
        <f t="shared" si="266"/>
        <v>0</v>
      </c>
      <c r="BD88" s="70">
        <f t="shared" si="266"/>
        <v>0</v>
      </c>
      <c r="BE88" s="70">
        <f t="shared" si="266"/>
        <v>0</v>
      </c>
      <c r="BF88" s="70">
        <f t="shared" si="266"/>
        <v>0</v>
      </c>
      <c r="BG88" s="70">
        <f t="shared" si="266"/>
        <v>0</v>
      </c>
      <c r="BH88" s="70">
        <f t="shared" si="16"/>
        <v>1.0335409584815294E-2</v>
      </c>
      <c r="BI88" s="62"/>
      <c r="BJ88" s="69">
        <v>0.20799999999999999</v>
      </c>
      <c r="BK88" s="69">
        <v>0.629</v>
      </c>
      <c r="BL88" s="69">
        <v>0</v>
      </c>
      <c r="BM88" s="69">
        <v>1.0999999999999999E-2</v>
      </c>
      <c r="BN88" s="69">
        <v>0.124</v>
      </c>
      <c r="BO88" s="69">
        <v>0</v>
      </c>
      <c r="BP88" s="69">
        <v>0</v>
      </c>
      <c r="BQ88" s="69">
        <v>2.7E-2</v>
      </c>
      <c r="BR88" s="62"/>
      <c r="BS88" s="72">
        <f t="shared" ref="BS88:BW88" si="267">AP88-BJ88</f>
        <v>0.12102363782838507</v>
      </c>
      <c r="BT88" s="72">
        <f t="shared" si="267"/>
        <v>-0.32850680840194135</v>
      </c>
      <c r="BU88" s="72">
        <f t="shared" si="267"/>
        <v>0.16888373646670465</v>
      </c>
      <c r="BV88" s="72">
        <f t="shared" si="267"/>
        <v>5.097315937358772E-2</v>
      </c>
      <c r="BW88" s="72">
        <f t="shared" si="267"/>
        <v>-1.0801721258326291E-2</v>
      </c>
      <c r="BX88" s="72"/>
      <c r="BY88" s="72"/>
      <c r="BZ88" s="72">
        <f t="shared" si="18"/>
        <v>-5.7200400840970791E-4</v>
      </c>
    </row>
    <row r="89" spans="1:78" ht="13.15">
      <c r="A89" s="73" t="s">
        <v>6</v>
      </c>
      <c r="B89" s="74" t="s">
        <v>220</v>
      </c>
      <c r="C89" s="75" t="s">
        <v>221</v>
      </c>
      <c r="D89" s="75" t="s">
        <v>71</v>
      </c>
      <c r="E89" s="76"/>
      <c r="F89" s="59"/>
      <c r="G89" s="60"/>
      <c r="H89" s="77">
        <v>22046</v>
      </c>
      <c r="I89" s="77">
        <v>13055</v>
      </c>
      <c r="J89" s="77">
        <v>7644</v>
      </c>
      <c r="K89" s="77">
        <v>2587</v>
      </c>
      <c r="L89" s="77">
        <v>3701</v>
      </c>
      <c r="M89" s="77"/>
      <c r="N89" s="77"/>
      <c r="O89" s="77"/>
      <c r="P89" s="77"/>
      <c r="Q89" s="77">
        <v>171</v>
      </c>
      <c r="R89" s="77"/>
      <c r="S89" s="77"/>
      <c r="T89" s="77"/>
      <c r="U89" s="77"/>
      <c r="V89" s="77"/>
      <c r="W89" s="77"/>
      <c r="X89" s="77"/>
      <c r="Y89" s="77">
        <v>404</v>
      </c>
      <c r="Z89" s="77"/>
      <c r="AA89" s="77"/>
      <c r="AB89" s="77"/>
      <c r="AC89" s="77"/>
      <c r="AD89" s="77"/>
      <c r="AE89" s="62"/>
      <c r="AF89" s="63" t="b">
        <v>0</v>
      </c>
      <c r="AG89" s="63" t="b">
        <v>0</v>
      </c>
      <c r="AH89" s="62"/>
      <c r="AI89" s="64">
        <f t="shared" si="7"/>
        <v>49608</v>
      </c>
      <c r="AJ89" s="65" t="str">
        <f t="shared" si="8"/>
        <v>LAB</v>
      </c>
      <c r="AK89" s="66" t="str">
        <f t="shared" si="9"/>
        <v>GAIN</v>
      </c>
      <c r="AL89" s="67" t="e">
        <f t="shared" ca="1" si="10"/>
        <v>#NAME?</v>
      </c>
      <c r="AM89" s="68">
        <f t="shared" si="11"/>
        <v>8991</v>
      </c>
      <c r="AN89" s="69">
        <f t="shared" si="12"/>
        <v>0.18124092888243831</v>
      </c>
      <c r="AO89" s="62"/>
      <c r="AP89" s="70">
        <f t="shared" ref="AP89:AT89" si="268">H89/$AI89</f>
        <v>0.44440412836639254</v>
      </c>
      <c r="AQ89" s="70">
        <f t="shared" si="268"/>
        <v>0.26316319948395422</v>
      </c>
      <c r="AR89" s="70">
        <f t="shared" si="268"/>
        <v>0.1540880503144654</v>
      </c>
      <c r="AS89" s="70">
        <f t="shared" si="268"/>
        <v>5.2148846960167715E-2</v>
      </c>
      <c r="AT89" s="70">
        <f t="shared" si="268"/>
        <v>7.4604902435091117E-2</v>
      </c>
      <c r="AU89" s="70"/>
      <c r="AV89" s="70"/>
      <c r="AW89" s="81">
        <f t="shared" si="14"/>
        <v>1.1590872439929067E-2</v>
      </c>
      <c r="AX89" s="70">
        <f t="shared" ref="AX89:BG89" si="269">O89/$AI89</f>
        <v>0</v>
      </c>
      <c r="AY89" s="70">
        <f t="shared" si="269"/>
        <v>0</v>
      </c>
      <c r="AZ89" s="70">
        <f t="shared" si="269"/>
        <v>3.4470246734397678E-3</v>
      </c>
      <c r="BA89" s="70">
        <f t="shared" si="269"/>
        <v>0</v>
      </c>
      <c r="BB89" s="70">
        <f t="shared" si="269"/>
        <v>0</v>
      </c>
      <c r="BC89" s="70">
        <f t="shared" si="269"/>
        <v>0</v>
      </c>
      <c r="BD89" s="70">
        <f t="shared" si="269"/>
        <v>0</v>
      </c>
      <c r="BE89" s="70">
        <f t="shared" si="269"/>
        <v>0</v>
      </c>
      <c r="BF89" s="70">
        <f t="shared" si="269"/>
        <v>0</v>
      </c>
      <c r="BG89" s="70">
        <f t="shared" si="269"/>
        <v>0</v>
      </c>
      <c r="BH89" s="70">
        <f t="shared" si="16"/>
        <v>8.1438477664893E-3</v>
      </c>
      <c r="BI89" s="62"/>
      <c r="BJ89" s="69">
        <v>0.42299999999999999</v>
      </c>
      <c r="BK89" s="69">
        <v>0.51400000000000001</v>
      </c>
      <c r="BL89" s="69">
        <v>0</v>
      </c>
      <c r="BM89" s="69">
        <v>5.0999999999999997E-2</v>
      </c>
      <c r="BN89" s="69">
        <v>0</v>
      </c>
      <c r="BO89" s="69">
        <v>0</v>
      </c>
      <c r="BP89" s="69">
        <v>0</v>
      </c>
      <c r="BQ89" s="69">
        <v>1.2999999999999999E-2</v>
      </c>
      <c r="BR89" s="62"/>
      <c r="BS89" s="72">
        <f t="shared" ref="BS89:BW89" si="270">AP89-BJ89</f>
        <v>2.140412836639255E-2</v>
      </c>
      <c r="BT89" s="72">
        <f t="shared" si="270"/>
        <v>-0.25083680051604579</v>
      </c>
      <c r="BU89" s="72">
        <f t="shared" si="270"/>
        <v>0.1540880503144654</v>
      </c>
      <c r="BV89" s="72">
        <f t="shared" si="270"/>
        <v>1.1488469601677181E-3</v>
      </c>
      <c r="BW89" s="72">
        <f t="shared" si="270"/>
        <v>7.4604902435091117E-2</v>
      </c>
      <c r="BX89" s="72"/>
      <c r="BY89" s="72"/>
      <c r="BZ89" s="72">
        <f t="shared" si="18"/>
        <v>-1.4091275600709319E-3</v>
      </c>
    </row>
    <row r="90" spans="1:78" ht="13.15">
      <c r="A90" s="73" t="s">
        <v>6</v>
      </c>
      <c r="B90" s="74" t="s">
        <v>222</v>
      </c>
      <c r="C90" s="75" t="s">
        <v>223</v>
      </c>
      <c r="D90" s="75" t="s">
        <v>85</v>
      </c>
      <c r="E90" s="76"/>
      <c r="F90" s="59"/>
      <c r="G90" s="60"/>
      <c r="H90" s="77">
        <v>19360</v>
      </c>
      <c r="I90" s="77">
        <v>11554</v>
      </c>
      <c r="J90" s="77">
        <v>8952</v>
      </c>
      <c r="K90" s="77">
        <v>4113</v>
      </c>
      <c r="L90" s="77">
        <v>2840</v>
      </c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>
        <v>624</v>
      </c>
      <c r="Z90" s="77">
        <v>342</v>
      </c>
      <c r="AA90" s="77"/>
      <c r="AB90" s="77"/>
      <c r="AC90" s="77"/>
      <c r="AD90" s="77"/>
      <c r="AE90" s="62"/>
      <c r="AF90" s="63" t="b">
        <v>0</v>
      </c>
      <c r="AG90" s="63" t="b">
        <v>0</v>
      </c>
      <c r="AH90" s="62"/>
      <c r="AI90" s="64">
        <f t="shared" si="7"/>
        <v>47785</v>
      </c>
      <c r="AJ90" s="65" t="str">
        <f t="shared" si="8"/>
        <v>LAB</v>
      </c>
      <c r="AK90" s="66" t="str">
        <f t="shared" si="9"/>
        <v>GAIN</v>
      </c>
      <c r="AL90" s="67" t="e">
        <f t="shared" ca="1" si="10"/>
        <v>#NAME?</v>
      </c>
      <c r="AM90" s="68">
        <f t="shared" si="11"/>
        <v>7806</v>
      </c>
      <c r="AN90" s="69">
        <f t="shared" si="12"/>
        <v>0.16335670189389975</v>
      </c>
      <c r="AO90" s="62"/>
      <c r="AP90" s="70">
        <f t="shared" ref="AP90:AT90" si="271">H90/$AI90</f>
        <v>0.40514805901433504</v>
      </c>
      <c r="AQ90" s="70">
        <f t="shared" si="271"/>
        <v>0.24179135712043529</v>
      </c>
      <c r="AR90" s="70">
        <f t="shared" si="271"/>
        <v>0.18733912315580203</v>
      </c>
      <c r="AS90" s="70">
        <f t="shared" si="271"/>
        <v>8.6073035471382231E-2</v>
      </c>
      <c r="AT90" s="70">
        <f t="shared" si="271"/>
        <v>5.9432876425656589E-2</v>
      </c>
      <c r="AU90" s="70"/>
      <c r="AV90" s="70"/>
      <c r="AW90" s="81">
        <f t="shared" si="14"/>
        <v>2.0215548812388739E-2</v>
      </c>
      <c r="AX90" s="70">
        <f t="shared" ref="AX90:BG90" si="272">O90/$AI90</f>
        <v>0</v>
      </c>
      <c r="AY90" s="70">
        <f t="shared" si="272"/>
        <v>0</v>
      </c>
      <c r="AZ90" s="70">
        <f t="shared" si="272"/>
        <v>0</v>
      </c>
      <c r="BA90" s="70">
        <f t="shared" si="272"/>
        <v>0</v>
      </c>
      <c r="BB90" s="70">
        <f t="shared" si="272"/>
        <v>0</v>
      </c>
      <c r="BC90" s="70">
        <f t="shared" si="272"/>
        <v>0</v>
      </c>
      <c r="BD90" s="70">
        <f t="shared" si="272"/>
        <v>0</v>
      </c>
      <c r="BE90" s="70">
        <f t="shared" si="272"/>
        <v>0</v>
      </c>
      <c r="BF90" s="70">
        <f t="shared" si="272"/>
        <v>0</v>
      </c>
      <c r="BG90" s="70">
        <f t="shared" si="272"/>
        <v>0</v>
      </c>
      <c r="BH90" s="70">
        <f t="shared" si="16"/>
        <v>2.0215548812388739E-2</v>
      </c>
      <c r="BI90" s="62"/>
      <c r="BJ90" s="69">
        <v>0.34200000000000003</v>
      </c>
      <c r="BK90" s="69">
        <v>0.53300000000000003</v>
      </c>
      <c r="BL90" s="69">
        <v>0</v>
      </c>
      <c r="BM90" s="69">
        <v>8.5000000000000006E-2</v>
      </c>
      <c r="BN90" s="69">
        <v>2.8000000000000001E-2</v>
      </c>
      <c r="BO90" s="69">
        <v>0</v>
      </c>
      <c r="BP90" s="69">
        <v>0</v>
      </c>
      <c r="BQ90" s="69">
        <v>1.2999999999999999E-2</v>
      </c>
      <c r="BR90" s="62"/>
      <c r="BS90" s="72">
        <f t="shared" ref="BS90:BW90" si="273">AP90-BJ90</f>
        <v>6.3148059014335012E-2</v>
      </c>
      <c r="BT90" s="72">
        <f t="shared" si="273"/>
        <v>-0.29120864287956472</v>
      </c>
      <c r="BU90" s="72">
        <f t="shared" si="273"/>
        <v>0.18733912315580203</v>
      </c>
      <c r="BV90" s="72">
        <f t="shared" si="273"/>
        <v>1.0730354713822249E-3</v>
      </c>
      <c r="BW90" s="72">
        <f t="shared" si="273"/>
        <v>3.1432876425656592E-2</v>
      </c>
      <c r="BX90" s="72"/>
      <c r="BY90" s="72"/>
      <c r="BZ90" s="72">
        <f t="shared" si="18"/>
        <v>7.2155488123887401E-3</v>
      </c>
    </row>
    <row r="91" spans="1:78" ht="13.15">
      <c r="A91" s="78" t="s">
        <v>5</v>
      </c>
      <c r="B91" s="74" t="s">
        <v>224</v>
      </c>
      <c r="C91" s="75" t="s">
        <v>225</v>
      </c>
      <c r="D91" s="75" t="s">
        <v>78</v>
      </c>
      <c r="E91" s="76"/>
      <c r="F91" s="59"/>
      <c r="G91" s="60"/>
      <c r="H91" s="77">
        <v>19614</v>
      </c>
      <c r="I91" s="77">
        <v>5073</v>
      </c>
      <c r="J91" s="77"/>
      <c r="K91" s="77">
        <v>8536</v>
      </c>
      <c r="L91" s="77">
        <v>6842</v>
      </c>
      <c r="M91" s="77"/>
      <c r="N91" s="77"/>
      <c r="O91" s="77">
        <v>819</v>
      </c>
      <c r="P91" s="77">
        <v>951</v>
      </c>
      <c r="Q91" s="77"/>
      <c r="R91" s="77"/>
      <c r="S91" s="77"/>
      <c r="T91" s="77"/>
      <c r="U91" s="77"/>
      <c r="V91" s="77"/>
      <c r="W91" s="77"/>
      <c r="X91" s="77"/>
      <c r="Y91" s="77">
        <v>265</v>
      </c>
      <c r="Z91" s="77"/>
      <c r="AA91" s="77"/>
      <c r="AB91" s="77"/>
      <c r="AC91" s="77"/>
      <c r="AD91" s="77"/>
      <c r="AE91" s="62"/>
      <c r="AF91" s="63" t="b">
        <v>0</v>
      </c>
      <c r="AG91" s="63" t="b">
        <v>0</v>
      </c>
      <c r="AH91" s="62"/>
      <c r="AI91" s="64">
        <f t="shared" si="7"/>
        <v>42100</v>
      </c>
      <c r="AJ91" s="65" t="str">
        <f t="shared" si="8"/>
        <v>LAB</v>
      </c>
      <c r="AK91" s="66" t="str">
        <f t="shared" si="9"/>
        <v>HOLD</v>
      </c>
      <c r="AL91" s="67" t="e">
        <f t="shared" ca="1" si="10"/>
        <v>#NAME?</v>
      </c>
      <c r="AM91" s="68">
        <f t="shared" si="11"/>
        <v>11078</v>
      </c>
      <c r="AN91" s="69">
        <f t="shared" si="12"/>
        <v>0.26313539192399049</v>
      </c>
      <c r="AO91" s="62"/>
      <c r="AP91" s="70">
        <f t="shared" ref="AP91:AT91" si="274">H91/$AI91</f>
        <v>0.46589073634204275</v>
      </c>
      <c r="AQ91" s="70">
        <f t="shared" si="274"/>
        <v>0.12049881235154394</v>
      </c>
      <c r="AR91" s="70">
        <f t="shared" si="274"/>
        <v>0</v>
      </c>
      <c r="AS91" s="70">
        <f t="shared" si="274"/>
        <v>0.20275534441805226</v>
      </c>
      <c r="AT91" s="70">
        <f t="shared" si="274"/>
        <v>0.16251781472684085</v>
      </c>
      <c r="AU91" s="70"/>
      <c r="AV91" s="70"/>
      <c r="AW91" s="81">
        <f t="shared" si="14"/>
        <v>4.8337292161520162E-2</v>
      </c>
      <c r="AX91" s="70">
        <f t="shared" ref="AX91:BG91" si="275">O91/$AI91</f>
        <v>1.9453681710213777E-2</v>
      </c>
      <c r="AY91" s="70">
        <f t="shared" si="275"/>
        <v>2.2589073634204277E-2</v>
      </c>
      <c r="AZ91" s="70">
        <f t="shared" si="275"/>
        <v>0</v>
      </c>
      <c r="BA91" s="70">
        <f t="shared" si="275"/>
        <v>0</v>
      </c>
      <c r="BB91" s="70">
        <f t="shared" si="275"/>
        <v>0</v>
      </c>
      <c r="BC91" s="70">
        <f t="shared" si="275"/>
        <v>0</v>
      </c>
      <c r="BD91" s="70">
        <f t="shared" si="275"/>
        <v>0</v>
      </c>
      <c r="BE91" s="70">
        <f t="shared" si="275"/>
        <v>0</v>
      </c>
      <c r="BF91" s="70">
        <f t="shared" si="275"/>
        <v>0</v>
      </c>
      <c r="BG91" s="70">
        <f t="shared" si="275"/>
        <v>0</v>
      </c>
      <c r="BH91" s="70">
        <f t="shared" si="16"/>
        <v>6.2945368171021115E-3</v>
      </c>
      <c r="BI91" s="62"/>
      <c r="BJ91" s="69">
        <v>0.47499999999999998</v>
      </c>
      <c r="BK91" s="69">
        <v>0.14799999999999999</v>
      </c>
      <c r="BL91" s="69">
        <v>1.9E-2</v>
      </c>
      <c r="BM91" s="69">
        <v>0.312</v>
      </c>
      <c r="BN91" s="69">
        <v>4.2000000000000003E-2</v>
      </c>
      <c r="BO91" s="69">
        <v>0</v>
      </c>
      <c r="BP91" s="69">
        <v>0</v>
      </c>
      <c r="BQ91" s="69">
        <v>5.0000000000000001E-3</v>
      </c>
      <c r="BR91" s="62"/>
      <c r="BS91" s="72">
        <f t="shared" ref="BS91:BW91" si="276">AP91-BJ91</f>
        <v>-9.1092636579572228E-3</v>
      </c>
      <c r="BT91" s="72">
        <f t="shared" si="276"/>
        <v>-2.7501187648456049E-2</v>
      </c>
      <c r="BU91" s="72">
        <f t="shared" si="276"/>
        <v>-1.9E-2</v>
      </c>
      <c r="BV91" s="72">
        <f t="shared" si="276"/>
        <v>-0.10924465558194774</v>
      </c>
      <c r="BW91" s="72">
        <f t="shared" si="276"/>
        <v>0.12051781472684084</v>
      </c>
      <c r="BX91" s="72"/>
      <c r="BY91" s="72"/>
      <c r="BZ91" s="72">
        <f t="shared" si="18"/>
        <v>4.3337292161520165E-2</v>
      </c>
    </row>
    <row r="92" spans="1:78" ht="13.15">
      <c r="A92" s="73" t="s">
        <v>6</v>
      </c>
      <c r="B92" s="74" t="s">
        <v>226</v>
      </c>
      <c r="C92" s="75" t="s">
        <v>227</v>
      </c>
      <c r="D92" s="75" t="s">
        <v>47</v>
      </c>
      <c r="E92" s="76"/>
      <c r="F92" s="59"/>
      <c r="G92" s="60"/>
      <c r="H92" s="77">
        <v>15670</v>
      </c>
      <c r="I92" s="77">
        <v>12046</v>
      </c>
      <c r="J92" s="77">
        <v>11570</v>
      </c>
      <c r="K92" s="77">
        <v>1029</v>
      </c>
      <c r="L92" s="77">
        <v>2137</v>
      </c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7"/>
      <c r="AC92" s="77"/>
      <c r="AD92" s="77"/>
      <c r="AE92" s="62"/>
      <c r="AF92" s="63" t="b">
        <v>0</v>
      </c>
      <c r="AG92" s="63" t="b">
        <v>0</v>
      </c>
      <c r="AH92" s="62"/>
      <c r="AI92" s="64">
        <f t="shared" si="7"/>
        <v>42452</v>
      </c>
      <c r="AJ92" s="65" t="str">
        <f t="shared" si="8"/>
        <v>LAB</v>
      </c>
      <c r="AK92" s="66" t="str">
        <f t="shared" si="9"/>
        <v>GAIN</v>
      </c>
      <c r="AL92" s="67" t="e">
        <f t="shared" ca="1" si="10"/>
        <v>#NAME?</v>
      </c>
      <c r="AM92" s="68">
        <f t="shared" si="11"/>
        <v>3624</v>
      </c>
      <c r="AN92" s="69">
        <f t="shared" si="12"/>
        <v>8.5367002732497865E-2</v>
      </c>
      <c r="AO92" s="62"/>
      <c r="AP92" s="70">
        <f t="shared" ref="AP92:AT92" si="277">H92/$AI92</f>
        <v>0.36912277395646848</v>
      </c>
      <c r="AQ92" s="70">
        <f t="shared" si="277"/>
        <v>0.28375577122397061</v>
      </c>
      <c r="AR92" s="70">
        <f t="shared" si="277"/>
        <v>0.27254310750965799</v>
      </c>
      <c r="AS92" s="70">
        <f t="shared" si="277"/>
        <v>2.4239140676528787E-2</v>
      </c>
      <c r="AT92" s="70">
        <f t="shared" si="277"/>
        <v>5.0339206633374163E-2</v>
      </c>
      <c r="AU92" s="70"/>
      <c r="AV92" s="70"/>
      <c r="AW92" s="81">
        <f t="shared" si="14"/>
        <v>0</v>
      </c>
      <c r="AX92" s="70">
        <f t="shared" ref="AX92:BG92" si="278">O92/$AI92</f>
        <v>0</v>
      </c>
      <c r="AY92" s="70">
        <f t="shared" si="278"/>
        <v>0</v>
      </c>
      <c r="AZ92" s="70">
        <f t="shared" si="278"/>
        <v>0</v>
      </c>
      <c r="BA92" s="70">
        <f t="shared" si="278"/>
        <v>0</v>
      </c>
      <c r="BB92" s="70">
        <f t="shared" si="278"/>
        <v>0</v>
      </c>
      <c r="BC92" s="70">
        <f t="shared" si="278"/>
        <v>0</v>
      </c>
      <c r="BD92" s="70">
        <f t="shared" si="278"/>
        <v>0</v>
      </c>
      <c r="BE92" s="70">
        <f t="shared" si="278"/>
        <v>0</v>
      </c>
      <c r="BF92" s="70">
        <f t="shared" si="278"/>
        <v>0</v>
      </c>
      <c r="BG92" s="70">
        <f t="shared" si="278"/>
        <v>0</v>
      </c>
      <c r="BH92" s="70">
        <f t="shared" si="16"/>
        <v>0</v>
      </c>
      <c r="BI92" s="62"/>
      <c r="BJ92" s="69">
        <v>0.254</v>
      </c>
      <c r="BK92" s="69">
        <v>0.68300000000000005</v>
      </c>
      <c r="BL92" s="69">
        <v>0</v>
      </c>
      <c r="BM92" s="69">
        <v>0</v>
      </c>
      <c r="BN92" s="69">
        <v>6.3E-2</v>
      </c>
      <c r="BO92" s="69">
        <v>0</v>
      </c>
      <c r="BP92" s="69">
        <v>0</v>
      </c>
      <c r="BQ92" s="69">
        <v>0</v>
      </c>
      <c r="BR92" s="62"/>
      <c r="BS92" s="72">
        <f t="shared" ref="BS92:BW92" si="279">AP92-BJ92</f>
        <v>0.11512277395646847</v>
      </c>
      <c r="BT92" s="72">
        <f t="shared" si="279"/>
        <v>-0.39924422877602944</v>
      </c>
      <c r="BU92" s="72">
        <f t="shared" si="279"/>
        <v>0.27254310750965799</v>
      </c>
      <c r="BV92" s="72">
        <f t="shared" si="279"/>
        <v>2.4239140676528787E-2</v>
      </c>
      <c r="BW92" s="72">
        <f t="shared" si="279"/>
        <v>-1.2660793366625837E-2</v>
      </c>
      <c r="BX92" s="72"/>
      <c r="BY92" s="72"/>
      <c r="BZ92" s="72">
        <f t="shared" si="18"/>
        <v>0</v>
      </c>
    </row>
    <row r="93" spans="1:78" ht="13.15">
      <c r="A93" s="78" t="s">
        <v>5</v>
      </c>
      <c r="B93" s="74" t="s">
        <v>228</v>
      </c>
      <c r="C93" s="75" t="s">
        <v>229</v>
      </c>
      <c r="D93" s="75" t="s">
        <v>44</v>
      </c>
      <c r="E93" s="76"/>
      <c r="F93" s="59"/>
      <c r="G93" s="60"/>
      <c r="H93" s="77">
        <v>19531</v>
      </c>
      <c r="I93" s="77">
        <v>10878</v>
      </c>
      <c r="J93" s="77">
        <v>6805</v>
      </c>
      <c r="K93" s="77">
        <v>3812</v>
      </c>
      <c r="L93" s="77">
        <v>5920</v>
      </c>
      <c r="M93" s="77"/>
      <c r="N93" s="77"/>
      <c r="O93" s="77"/>
      <c r="P93" s="77"/>
      <c r="Q93" s="77">
        <v>285</v>
      </c>
      <c r="R93" s="77"/>
      <c r="S93" s="77"/>
      <c r="T93" s="77"/>
      <c r="U93" s="77"/>
      <c r="V93" s="77"/>
      <c r="W93" s="77"/>
      <c r="X93" s="77"/>
      <c r="Y93" s="77"/>
      <c r="Z93" s="77"/>
      <c r="AA93" s="77"/>
      <c r="AB93" s="77"/>
      <c r="AC93" s="77"/>
      <c r="AD93" s="77"/>
      <c r="AE93" s="62"/>
      <c r="AF93" s="63" t="b">
        <v>0</v>
      </c>
      <c r="AG93" s="63" t="b">
        <v>0</v>
      </c>
      <c r="AH93" s="62"/>
      <c r="AI93" s="64">
        <f t="shared" si="7"/>
        <v>47231</v>
      </c>
      <c r="AJ93" s="65" t="str">
        <f t="shared" si="8"/>
        <v>LAB</v>
      </c>
      <c r="AK93" s="66" t="str">
        <f t="shared" si="9"/>
        <v>HOLD</v>
      </c>
      <c r="AL93" s="67" t="e">
        <f t="shared" ca="1" si="10"/>
        <v>#NAME?</v>
      </c>
      <c r="AM93" s="68">
        <f t="shared" si="11"/>
        <v>8653</v>
      </c>
      <c r="AN93" s="69">
        <f t="shared" si="12"/>
        <v>0.18320594524782452</v>
      </c>
      <c r="AO93" s="62"/>
      <c r="AP93" s="70">
        <f t="shared" ref="AP93:AT93" si="280">H93/$AI93</f>
        <v>0.41352078084309035</v>
      </c>
      <c r="AQ93" s="70">
        <f t="shared" si="280"/>
        <v>0.23031483559526583</v>
      </c>
      <c r="AR93" s="70">
        <f t="shared" si="280"/>
        <v>0.14407910059071372</v>
      </c>
      <c r="AS93" s="70">
        <f t="shared" si="280"/>
        <v>8.0709703372784825E-2</v>
      </c>
      <c r="AT93" s="70">
        <f t="shared" si="280"/>
        <v>0.12534140712667527</v>
      </c>
      <c r="AU93" s="70"/>
      <c r="AV93" s="70"/>
      <c r="AW93" s="81">
        <f t="shared" si="14"/>
        <v>6.0341724714699785E-3</v>
      </c>
      <c r="AX93" s="70">
        <f t="shared" ref="AX93:BG93" si="281">O93/$AI93</f>
        <v>0</v>
      </c>
      <c r="AY93" s="70">
        <f t="shared" si="281"/>
        <v>0</v>
      </c>
      <c r="AZ93" s="70">
        <f t="shared" si="281"/>
        <v>6.0341724714700088E-3</v>
      </c>
      <c r="BA93" s="70">
        <f t="shared" si="281"/>
        <v>0</v>
      </c>
      <c r="BB93" s="70">
        <f t="shared" si="281"/>
        <v>0</v>
      </c>
      <c r="BC93" s="70">
        <f t="shared" si="281"/>
        <v>0</v>
      </c>
      <c r="BD93" s="70">
        <f t="shared" si="281"/>
        <v>0</v>
      </c>
      <c r="BE93" s="70">
        <f t="shared" si="281"/>
        <v>0</v>
      </c>
      <c r="BF93" s="70">
        <f t="shared" si="281"/>
        <v>0</v>
      </c>
      <c r="BG93" s="70">
        <f t="shared" si="281"/>
        <v>0</v>
      </c>
      <c r="BH93" s="70">
        <f t="shared" si="16"/>
        <v>-3.0357660829594124E-17</v>
      </c>
      <c r="BI93" s="62"/>
      <c r="BJ93" s="69">
        <v>0.48599999999999999</v>
      </c>
      <c r="BK93" s="69">
        <v>0.44800000000000001</v>
      </c>
      <c r="BL93" s="69">
        <v>0</v>
      </c>
      <c r="BM93" s="69">
        <v>5.7000000000000002E-2</v>
      </c>
      <c r="BN93" s="69">
        <v>0</v>
      </c>
      <c r="BO93" s="69">
        <v>0</v>
      </c>
      <c r="BP93" s="69">
        <v>0</v>
      </c>
      <c r="BQ93" s="69">
        <v>8.9999999999999993E-3</v>
      </c>
      <c r="BR93" s="62"/>
      <c r="BS93" s="72">
        <f t="shared" ref="BS93:BW93" si="282">AP93-BJ93</f>
        <v>-7.2479219156909636E-2</v>
      </c>
      <c r="BT93" s="72">
        <f t="shared" si="282"/>
        <v>-0.21768516440473418</v>
      </c>
      <c r="BU93" s="72">
        <f t="shared" si="282"/>
        <v>0.14407910059071372</v>
      </c>
      <c r="BV93" s="72">
        <f t="shared" si="282"/>
        <v>2.3709703372784822E-2</v>
      </c>
      <c r="BW93" s="72">
        <f t="shared" si="282"/>
        <v>0.12534140712667527</v>
      </c>
      <c r="BX93" s="72"/>
      <c r="BY93" s="72"/>
      <c r="BZ93" s="72">
        <f t="shared" si="18"/>
        <v>-2.9658275285300208E-3</v>
      </c>
    </row>
    <row r="94" spans="1:78" ht="13.15">
      <c r="A94" s="73" t="s">
        <v>6</v>
      </c>
      <c r="B94" s="74" t="s">
        <v>230</v>
      </c>
      <c r="C94" s="75" t="s">
        <v>231</v>
      </c>
      <c r="D94" s="75" t="s">
        <v>50</v>
      </c>
      <c r="E94" s="76"/>
      <c r="F94" s="59"/>
      <c r="G94" s="60"/>
      <c r="H94" s="77">
        <v>18129</v>
      </c>
      <c r="I94" s="77">
        <v>12929</v>
      </c>
      <c r="J94" s="77">
        <v>9295</v>
      </c>
      <c r="K94" s="77">
        <v>2982</v>
      </c>
      <c r="L94" s="77">
        <v>1922</v>
      </c>
      <c r="M94" s="77"/>
      <c r="N94" s="77"/>
      <c r="O94" s="77">
        <v>303</v>
      </c>
      <c r="P94" s="77"/>
      <c r="Q94" s="77">
        <v>244</v>
      </c>
      <c r="R94" s="77"/>
      <c r="S94" s="77"/>
      <c r="T94" s="77"/>
      <c r="U94" s="77"/>
      <c r="V94" s="77"/>
      <c r="W94" s="77"/>
      <c r="X94" s="77"/>
      <c r="Y94" s="77">
        <v>175</v>
      </c>
      <c r="Z94" s="77"/>
      <c r="AA94" s="77"/>
      <c r="AB94" s="77"/>
      <c r="AC94" s="77"/>
      <c r="AD94" s="77"/>
      <c r="AE94" s="62"/>
      <c r="AF94" s="63" t="b">
        <v>0</v>
      </c>
      <c r="AG94" s="63" t="b">
        <v>0</v>
      </c>
      <c r="AH94" s="62"/>
      <c r="AI94" s="64">
        <f t="shared" si="7"/>
        <v>45979</v>
      </c>
      <c r="AJ94" s="65" t="str">
        <f t="shared" si="8"/>
        <v>LAB</v>
      </c>
      <c r="AK94" s="66" t="str">
        <f t="shared" si="9"/>
        <v>GAIN</v>
      </c>
      <c r="AL94" s="67" t="e">
        <f t="shared" ca="1" si="10"/>
        <v>#NAME?</v>
      </c>
      <c r="AM94" s="68">
        <f t="shared" si="11"/>
        <v>5200</v>
      </c>
      <c r="AN94" s="69">
        <f t="shared" si="12"/>
        <v>0.11309510863655148</v>
      </c>
      <c r="AO94" s="62"/>
      <c r="AP94" s="70">
        <f t="shared" ref="AP94:AT94" si="283">H94/$AI94</f>
        <v>0.39428869701385416</v>
      </c>
      <c r="AQ94" s="70">
        <f t="shared" si="283"/>
        <v>0.28119358837730268</v>
      </c>
      <c r="AR94" s="70">
        <f t="shared" si="283"/>
        <v>0.20215750668783575</v>
      </c>
      <c r="AS94" s="70">
        <f t="shared" si="283"/>
        <v>6.4855694991191634E-2</v>
      </c>
      <c r="AT94" s="70">
        <f t="shared" si="283"/>
        <v>4.1801692076817679E-2</v>
      </c>
      <c r="AU94" s="70"/>
      <c r="AV94" s="70"/>
      <c r="AW94" s="81">
        <f t="shared" si="14"/>
        <v>1.5702820852998123E-2</v>
      </c>
      <c r="AX94" s="70">
        <f t="shared" ref="AX94:BG94" si="284">O94/$AI94</f>
        <v>6.5899649840144413E-3</v>
      </c>
      <c r="AY94" s="70">
        <f t="shared" si="284"/>
        <v>0</v>
      </c>
      <c r="AZ94" s="70">
        <f t="shared" si="284"/>
        <v>5.3067704821766455E-3</v>
      </c>
      <c r="BA94" s="70">
        <f t="shared" si="284"/>
        <v>0</v>
      </c>
      <c r="BB94" s="70">
        <f t="shared" si="284"/>
        <v>0</v>
      </c>
      <c r="BC94" s="70">
        <f t="shared" si="284"/>
        <v>0</v>
      </c>
      <c r="BD94" s="70">
        <f t="shared" si="284"/>
        <v>0</v>
      </c>
      <c r="BE94" s="70">
        <f t="shared" si="284"/>
        <v>0</v>
      </c>
      <c r="BF94" s="70">
        <f t="shared" si="284"/>
        <v>0</v>
      </c>
      <c r="BG94" s="70">
        <f t="shared" si="284"/>
        <v>0</v>
      </c>
      <c r="BH94" s="70">
        <f t="shared" si="16"/>
        <v>3.806085386807035E-3</v>
      </c>
      <c r="BI94" s="62"/>
      <c r="BJ94" s="69">
        <v>0.34499999999999997</v>
      </c>
      <c r="BK94" s="69">
        <v>0.56499999999999995</v>
      </c>
      <c r="BL94" s="69">
        <v>0</v>
      </c>
      <c r="BM94" s="69">
        <v>0.05</v>
      </c>
      <c r="BN94" s="69">
        <v>1.6E-2</v>
      </c>
      <c r="BO94" s="69">
        <v>0</v>
      </c>
      <c r="BP94" s="69">
        <v>0</v>
      </c>
      <c r="BQ94" s="69">
        <v>2.4E-2</v>
      </c>
      <c r="BR94" s="62"/>
      <c r="BS94" s="72">
        <f t="shared" ref="BS94:BW94" si="285">AP94-BJ94</f>
        <v>4.9288697013854188E-2</v>
      </c>
      <c r="BT94" s="72">
        <f t="shared" si="285"/>
        <v>-0.28380641162269726</v>
      </c>
      <c r="BU94" s="72">
        <f t="shared" si="285"/>
        <v>0.20215750668783575</v>
      </c>
      <c r="BV94" s="72">
        <f t="shared" si="285"/>
        <v>1.4855694991191631E-2</v>
      </c>
      <c r="BW94" s="72">
        <f t="shared" si="285"/>
        <v>2.5801692076817678E-2</v>
      </c>
      <c r="BX94" s="72"/>
      <c r="BY94" s="72"/>
      <c r="BZ94" s="72">
        <f t="shared" si="18"/>
        <v>-8.2971791470018777E-3</v>
      </c>
    </row>
    <row r="95" spans="1:78" ht="13.15">
      <c r="A95" s="73" t="s">
        <v>6</v>
      </c>
      <c r="B95" s="74" t="s">
        <v>232</v>
      </c>
      <c r="C95" s="75" t="s">
        <v>233</v>
      </c>
      <c r="D95" s="75" t="s">
        <v>68</v>
      </c>
      <c r="E95" s="76"/>
      <c r="F95" s="59"/>
      <c r="G95" s="60"/>
      <c r="H95" s="77">
        <v>6108</v>
      </c>
      <c r="I95" s="77">
        <v>12221</v>
      </c>
      <c r="J95" s="77">
        <v>5941</v>
      </c>
      <c r="K95" s="77">
        <v>20126</v>
      </c>
      <c r="L95" s="77">
        <v>1517</v>
      </c>
      <c r="M95" s="77"/>
      <c r="N95" s="77"/>
      <c r="O95" s="77"/>
      <c r="P95" s="77">
        <v>441</v>
      </c>
      <c r="Q95" s="77"/>
      <c r="R95" s="77"/>
      <c r="S95" s="77"/>
      <c r="T95" s="77"/>
      <c r="U95" s="77"/>
      <c r="V95" s="77"/>
      <c r="W95" s="77"/>
      <c r="X95" s="77"/>
      <c r="Y95" s="77">
        <v>231</v>
      </c>
      <c r="Z95" s="77">
        <v>85</v>
      </c>
      <c r="AA95" s="77"/>
      <c r="AB95" s="77"/>
      <c r="AC95" s="77"/>
      <c r="AD95" s="77"/>
      <c r="AE95" s="62"/>
      <c r="AF95" s="63" t="b">
        <v>0</v>
      </c>
      <c r="AG95" s="63" t="b">
        <v>0</v>
      </c>
      <c r="AH95" s="62"/>
      <c r="AI95" s="64">
        <f t="shared" si="7"/>
        <v>46670</v>
      </c>
      <c r="AJ95" s="65" t="str">
        <f t="shared" si="8"/>
        <v>LDM</v>
      </c>
      <c r="AK95" s="66" t="str">
        <f t="shared" si="9"/>
        <v>GAIN</v>
      </c>
      <c r="AL95" s="67" t="e">
        <f t="shared" ca="1" si="10"/>
        <v>#NAME?</v>
      </c>
      <c r="AM95" s="68">
        <f t="shared" si="11"/>
        <v>7905</v>
      </c>
      <c r="AN95" s="69">
        <f t="shared" si="12"/>
        <v>0.16938075851724876</v>
      </c>
      <c r="AO95" s="62"/>
      <c r="AP95" s="70">
        <f t="shared" ref="AP95:AT95" si="286">H95/$AI95</f>
        <v>0.13087636597385902</v>
      </c>
      <c r="AQ95" s="70">
        <f t="shared" si="286"/>
        <v>0.26185986715234627</v>
      </c>
      <c r="AR95" s="70">
        <f t="shared" si="286"/>
        <v>0.12729805013927575</v>
      </c>
      <c r="AS95" s="70">
        <f t="shared" si="286"/>
        <v>0.43124062566959503</v>
      </c>
      <c r="AT95" s="70">
        <f t="shared" si="286"/>
        <v>3.2504821084208269E-2</v>
      </c>
      <c r="AU95" s="70"/>
      <c r="AV95" s="70"/>
      <c r="AW95" s="81">
        <f t="shared" si="14"/>
        <v>1.6220269980715685E-2</v>
      </c>
      <c r="AX95" s="70">
        <f t="shared" ref="AX95:BG95" si="287">O95/$AI95</f>
        <v>0</v>
      </c>
      <c r="AY95" s="70">
        <f t="shared" si="287"/>
        <v>9.4493250482108413E-3</v>
      </c>
      <c r="AZ95" s="70">
        <f t="shared" si="287"/>
        <v>0</v>
      </c>
      <c r="BA95" s="70">
        <f t="shared" si="287"/>
        <v>0</v>
      </c>
      <c r="BB95" s="70">
        <f t="shared" si="287"/>
        <v>0</v>
      </c>
      <c r="BC95" s="70">
        <f t="shared" si="287"/>
        <v>0</v>
      </c>
      <c r="BD95" s="70">
        <f t="shared" si="287"/>
        <v>0</v>
      </c>
      <c r="BE95" s="70">
        <f t="shared" si="287"/>
        <v>0</v>
      </c>
      <c r="BF95" s="70">
        <f t="shared" si="287"/>
        <v>0</v>
      </c>
      <c r="BG95" s="70">
        <f t="shared" si="287"/>
        <v>0</v>
      </c>
      <c r="BH95" s="70">
        <f t="shared" si="16"/>
        <v>6.7709449325048434E-3</v>
      </c>
      <c r="BI95" s="62"/>
      <c r="BJ95" s="69">
        <v>0.124</v>
      </c>
      <c r="BK95" s="69">
        <v>0.42399999999999999</v>
      </c>
      <c r="BL95" s="69">
        <v>2.1000000000000001E-2</v>
      </c>
      <c r="BM95" s="69">
        <v>0.41099999999999998</v>
      </c>
      <c r="BN95" s="69">
        <v>1.6E-2</v>
      </c>
      <c r="BO95" s="69">
        <v>0</v>
      </c>
      <c r="BP95" s="69">
        <v>0</v>
      </c>
      <c r="BQ95" s="69">
        <v>4.0000000000000001E-3</v>
      </c>
      <c r="BR95" s="62"/>
      <c r="BS95" s="72">
        <f t="shared" ref="BS95:BW95" si="288">AP95-BJ95</f>
        <v>6.8763659738590166E-3</v>
      </c>
      <c r="BT95" s="72">
        <f t="shared" si="288"/>
        <v>-0.16214013284765372</v>
      </c>
      <c r="BU95" s="72">
        <f t="shared" si="288"/>
        <v>0.10629805013927575</v>
      </c>
      <c r="BV95" s="72">
        <f t="shared" si="288"/>
        <v>2.0240625669595058E-2</v>
      </c>
      <c r="BW95" s="72">
        <f t="shared" si="288"/>
        <v>1.6504821084208268E-2</v>
      </c>
      <c r="BX95" s="72"/>
      <c r="BY95" s="72"/>
      <c r="BZ95" s="72">
        <f t="shared" si="18"/>
        <v>1.2220269980715685E-2</v>
      </c>
    </row>
    <row r="96" spans="1:78" ht="13.15">
      <c r="A96" s="73" t="s">
        <v>6</v>
      </c>
      <c r="B96" s="74" t="s">
        <v>234</v>
      </c>
      <c r="C96" s="75" t="s">
        <v>235</v>
      </c>
      <c r="D96" s="75" t="s">
        <v>78</v>
      </c>
      <c r="E96" s="76">
        <v>70923</v>
      </c>
      <c r="F96" s="59">
        <v>0.57299999999999995</v>
      </c>
      <c r="G96" s="60"/>
      <c r="H96" s="77">
        <v>9455</v>
      </c>
      <c r="I96" s="77">
        <v>15485</v>
      </c>
      <c r="J96" s="77">
        <v>12234</v>
      </c>
      <c r="K96" s="77">
        <v>1341</v>
      </c>
      <c r="L96" s="77">
        <v>2118</v>
      </c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  <c r="Z96" s="77"/>
      <c r="AA96" s="77"/>
      <c r="AB96" s="77"/>
      <c r="AC96" s="77"/>
      <c r="AD96" s="77"/>
      <c r="AE96" s="62"/>
      <c r="AF96" s="63" t="b">
        <v>0</v>
      </c>
      <c r="AG96" s="63" t="b">
        <v>0</v>
      </c>
      <c r="AH96" s="62"/>
      <c r="AI96" s="64">
        <f t="shared" si="7"/>
        <v>40633</v>
      </c>
      <c r="AJ96" s="65" t="str">
        <f t="shared" si="8"/>
        <v>CON</v>
      </c>
      <c r="AK96" s="66" t="str">
        <f t="shared" si="9"/>
        <v>HOLD</v>
      </c>
      <c r="AL96" s="67" t="e">
        <f t="shared" ca="1" si="10"/>
        <v>#NAME?</v>
      </c>
      <c r="AM96" s="68">
        <f t="shared" si="11"/>
        <v>3251</v>
      </c>
      <c r="AN96" s="69">
        <f t="shared" si="12"/>
        <v>8.0008859793763709E-2</v>
      </c>
      <c r="AO96" s="62"/>
      <c r="AP96" s="70">
        <f t="shared" ref="AP96:AT96" si="289">H96/$AI96</f>
        <v>0.23269263898801468</v>
      </c>
      <c r="AQ96" s="70">
        <f t="shared" si="289"/>
        <v>0.38109418452981569</v>
      </c>
      <c r="AR96" s="70">
        <f t="shared" si="289"/>
        <v>0.30108532473605198</v>
      </c>
      <c r="AS96" s="70">
        <f t="shared" si="289"/>
        <v>3.3002731769743804E-2</v>
      </c>
      <c r="AT96" s="70">
        <f t="shared" si="289"/>
        <v>5.2125119976373882E-2</v>
      </c>
      <c r="AU96" s="70"/>
      <c r="AV96" s="70"/>
      <c r="AW96" s="81">
        <f t="shared" si="14"/>
        <v>0</v>
      </c>
      <c r="AX96" s="70">
        <f t="shared" ref="AX96:BG96" si="290">O96/$AI96</f>
        <v>0</v>
      </c>
      <c r="AY96" s="70">
        <f t="shared" si="290"/>
        <v>0</v>
      </c>
      <c r="AZ96" s="70">
        <f t="shared" si="290"/>
        <v>0</v>
      </c>
      <c r="BA96" s="70">
        <f t="shared" si="290"/>
        <v>0</v>
      </c>
      <c r="BB96" s="70">
        <f t="shared" si="290"/>
        <v>0</v>
      </c>
      <c r="BC96" s="70">
        <f t="shared" si="290"/>
        <v>0</v>
      </c>
      <c r="BD96" s="70">
        <f t="shared" si="290"/>
        <v>0</v>
      </c>
      <c r="BE96" s="70">
        <f t="shared" si="290"/>
        <v>0</v>
      </c>
      <c r="BF96" s="70">
        <f t="shared" si="290"/>
        <v>0</v>
      </c>
      <c r="BG96" s="70">
        <f t="shared" si="290"/>
        <v>0</v>
      </c>
      <c r="BH96" s="70">
        <f t="shared" si="16"/>
        <v>0</v>
      </c>
      <c r="BI96" s="62"/>
      <c r="BJ96" s="69">
        <v>0.16800000000000001</v>
      </c>
      <c r="BK96" s="69">
        <v>0.76500000000000001</v>
      </c>
      <c r="BL96" s="69">
        <v>0</v>
      </c>
      <c r="BM96" s="69">
        <v>6.6000000000000003E-2</v>
      </c>
      <c r="BN96" s="69">
        <v>0</v>
      </c>
      <c r="BO96" s="69">
        <v>0</v>
      </c>
      <c r="BP96" s="69">
        <v>0</v>
      </c>
      <c r="BQ96" s="69">
        <v>0</v>
      </c>
      <c r="BR96" s="62"/>
      <c r="BS96" s="72">
        <f t="shared" ref="BS96:BW96" si="291">AP96-BJ96</f>
        <v>6.4692638988014667E-2</v>
      </c>
      <c r="BT96" s="72">
        <f t="shared" si="291"/>
        <v>-0.38390581547018432</v>
      </c>
      <c r="BU96" s="72">
        <f t="shared" si="291"/>
        <v>0.30108532473605198</v>
      </c>
      <c r="BV96" s="72">
        <f t="shared" si="291"/>
        <v>-3.2997268230256199E-2</v>
      </c>
      <c r="BW96" s="72">
        <f t="shared" si="291"/>
        <v>5.2125119976373882E-2</v>
      </c>
      <c r="BX96" s="72"/>
      <c r="BY96" s="72"/>
      <c r="BZ96" s="72">
        <f t="shared" si="18"/>
        <v>0</v>
      </c>
    </row>
    <row r="97" spans="1:78" ht="13.15">
      <c r="A97" s="73" t="s">
        <v>6</v>
      </c>
      <c r="B97" s="74" t="s">
        <v>236</v>
      </c>
      <c r="C97" s="75" t="s">
        <v>237</v>
      </c>
      <c r="D97" s="75" t="s">
        <v>85</v>
      </c>
      <c r="E97" s="76"/>
      <c r="F97" s="59"/>
      <c r="G97" s="60"/>
      <c r="H97" s="77">
        <v>16770</v>
      </c>
      <c r="I97" s="77">
        <v>16831</v>
      </c>
      <c r="J97" s="77">
        <v>7784</v>
      </c>
      <c r="K97" s="77">
        <v>8232</v>
      </c>
      <c r="L97" s="77">
        <v>3338</v>
      </c>
      <c r="M97" s="77"/>
      <c r="N97" s="77"/>
      <c r="O97" s="77"/>
      <c r="P97" s="77"/>
      <c r="Q97" s="77"/>
      <c r="R97" s="77">
        <v>477</v>
      </c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62"/>
      <c r="AF97" s="63" t="b">
        <v>0</v>
      </c>
      <c r="AG97" s="63" t="b">
        <v>0</v>
      </c>
      <c r="AH97" s="62"/>
      <c r="AI97" s="64">
        <f t="shared" si="7"/>
        <v>53432</v>
      </c>
      <c r="AJ97" s="65" t="str">
        <f t="shared" si="8"/>
        <v>CON</v>
      </c>
      <c r="AK97" s="66" t="str">
        <f t="shared" si="9"/>
        <v>HOLD</v>
      </c>
      <c r="AL97" s="67" t="e">
        <f t="shared" ca="1" si="10"/>
        <v>#NAME?</v>
      </c>
      <c r="AM97" s="68">
        <f t="shared" si="11"/>
        <v>61</v>
      </c>
      <c r="AN97" s="69">
        <f t="shared" si="12"/>
        <v>1.1416379697559709E-3</v>
      </c>
      <c r="AO97" s="62"/>
      <c r="AP97" s="70">
        <f t="shared" ref="AP97:AT97" si="292">H97/$AI97</f>
        <v>0.31385686480011976</v>
      </c>
      <c r="AQ97" s="70">
        <f t="shared" si="292"/>
        <v>0.31499850276987573</v>
      </c>
      <c r="AR97" s="70">
        <f t="shared" si="292"/>
        <v>0.14568049109148076</v>
      </c>
      <c r="AS97" s="70">
        <f t="shared" si="292"/>
        <v>0.15406497978739334</v>
      </c>
      <c r="AT97" s="70">
        <f t="shared" si="292"/>
        <v>6.2471926935169939E-2</v>
      </c>
      <c r="AU97" s="70"/>
      <c r="AV97" s="70"/>
      <c r="AW97" s="81">
        <f t="shared" si="14"/>
        <v>8.9272346159605664E-3</v>
      </c>
      <c r="AX97" s="70">
        <f t="shared" ref="AX97:BG97" si="293">O97/$AI97</f>
        <v>0</v>
      </c>
      <c r="AY97" s="70">
        <f t="shared" si="293"/>
        <v>0</v>
      </c>
      <c r="AZ97" s="70">
        <f t="shared" si="293"/>
        <v>0</v>
      </c>
      <c r="BA97" s="70">
        <f t="shared" si="293"/>
        <v>8.9272346159604728E-3</v>
      </c>
      <c r="BB97" s="70">
        <f t="shared" si="293"/>
        <v>0</v>
      </c>
      <c r="BC97" s="70">
        <f t="shared" si="293"/>
        <v>0</v>
      </c>
      <c r="BD97" s="70">
        <f t="shared" si="293"/>
        <v>0</v>
      </c>
      <c r="BE97" s="70">
        <f t="shared" si="293"/>
        <v>0</v>
      </c>
      <c r="BF97" s="70">
        <f t="shared" si="293"/>
        <v>0</v>
      </c>
      <c r="BG97" s="70">
        <f t="shared" si="293"/>
        <v>0</v>
      </c>
      <c r="BH97" s="70">
        <f t="shared" si="16"/>
        <v>9.3675067702747583E-17</v>
      </c>
      <c r="BI97" s="62"/>
      <c r="BJ97" s="69">
        <v>0.248</v>
      </c>
      <c r="BK97" s="69">
        <v>0.55300000000000005</v>
      </c>
      <c r="BL97" s="69">
        <v>0</v>
      </c>
      <c r="BM97" s="69">
        <v>0.15</v>
      </c>
      <c r="BN97" s="69">
        <v>4.9000000000000002E-2</v>
      </c>
      <c r="BO97" s="69">
        <v>0</v>
      </c>
      <c r="BP97" s="69">
        <v>0</v>
      </c>
      <c r="BQ97" s="69">
        <v>0</v>
      </c>
      <c r="BR97" s="62"/>
      <c r="BS97" s="72">
        <f t="shared" ref="BS97:BW97" si="294">AP97-BJ97</f>
        <v>6.5856864800119763E-2</v>
      </c>
      <c r="BT97" s="72">
        <f t="shared" si="294"/>
        <v>-0.23800149723012431</v>
      </c>
      <c r="BU97" s="72">
        <f t="shared" si="294"/>
        <v>0.14568049109148076</v>
      </c>
      <c r="BV97" s="72">
        <f t="shared" si="294"/>
        <v>4.0649797873933413E-3</v>
      </c>
      <c r="BW97" s="72">
        <f t="shared" si="294"/>
        <v>1.3471926935169937E-2</v>
      </c>
      <c r="BX97" s="72"/>
      <c r="BY97" s="72"/>
      <c r="BZ97" s="72">
        <f t="shared" si="18"/>
        <v>8.9272346159605664E-3</v>
      </c>
    </row>
    <row r="98" spans="1:78" ht="13.15">
      <c r="A98" s="73" t="s">
        <v>6</v>
      </c>
      <c r="B98" s="74" t="s">
        <v>238</v>
      </c>
      <c r="C98" s="75" t="s">
        <v>239</v>
      </c>
      <c r="D98" s="75" t="s">
        <v>78</v>
      </c>
      <c r="E98" s="76"/>
      <c r="F98" s="59"/>
      <c r="G98" s="60"/>
      <c r="H98" s="77">
        <v>10854</v>
      </c>
      <c r="I98" s="77">
        <v>15144</v>
      </c>
      <c r="J98" s="77">
        <v>8806</v>
      </c>
      <c r="K98" s="77">
        <v>5407</v>
      </c>
      <c r="L98" s="77">
        <v>5652</v>
      </c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>
        <v>366</v>
      </c>
      <c r="Z98" s="77">
        <v>194</v>
      </c>
      <c r="AA98" s="77"/>
      <c r="AB98" s="77"/>
      <c r="AC98" s="77"/>
      <c r="AD98" s="77"/>
      <c r="AE98" s="62"/>
      <c r="AF98" s="63" t="b">
        <v>0</v>
      </c>
      <c r="AG98" s="63" t="b">
        <v>0</v>
      </c>
      <c r="AH98" s="62"/>
      <c r="AI98" s="64">
        <f t="shared" si="7"/>
        <v>46423</v>
      </c>
      <c r="AJ98" s="65" t="str">
        <f t="shared" si="8"/>
        <v>CON</v>
      </c>
      <c r="AK98" s="66" t="str">
        <f t="shared" si="9"/>
        <v>HOLD</v>
      </c>
      <c r="AL98" s="67" t="e">
        <f t="shared" ca="1" si="10"/>
        <v>#NAME?</v>
      </c>
      <c r="AM98" s="68">
        <f t="shared" si="11"/>
        <v>4290</v>
      </c>
      <c r="AN98" s="69">
        <f t="shared" si="12"/>
        <v>9.2411089330719676E-2</v>
      </c>
      <c r="AO98" s="62"/>
      <c r="AP98" s="70">
        <f t="shared" ref="AP98:AT98" si="295">H98/$AI98</f>
        <v>0.23380651832066002</v>
      </c>
      <c r="AQ98" s="70">
        <f t="shared" si="295"/>
        <v>0.32621760765137969</v>
      </c>
      <c r="AR98" s="70">
        <f t="shared" si="295"/>
        <v>0.18969045516231178</v>
      </c>
      <c r="AS98" s="70">
        <f t="shared" si="295"/>
        <v>0.11647243823104926</v>
      </c>
      <c r="AT98" s="70">
        <f t="shared" si="295"/>
        <v>0.12174999461473839</v>
      </c>
      <c r="AU98" s="70"/>
      <c r="AV98" s="70"/>
      <c r="AW98" s="81">
        <f t="shared" si="14"/>
        <v>1.2062986019860888E-2</v>
      </c>
      <c r="AX98" s="70">
        <f t="shared" ref="AX98:BG98" si="296">O98/$AI98</f>
        <v>0</v>
      </c>
      <c r="AY98" s="70">
        <f t="shared" si="296"/>
        <v>0</v>
      </c>
      <c r="AZ98" s="70">
        <f t="shared" si="296"/>
        <v>0</v>
      </c>
      <c r="BA98" s="70">
        <f t="shared" si="296"/>
        <v>0</v>
      </c>
      <c r="BB98" s="70">
        <f t="shared" si="296"/>
        <v>0</v>
      </c>
      <c r="BC98" s="70">
        <f t="shared" si="296"/>
        <v>0</v>
      </c>
      <c r="BD98" s="70">
        <f t="shared" si="296"/>
        <v>0</v>
      </c>
      <c r="BE98" s="70">
        <f t="shared" si="296"/>
        <v>0</v>
      </c>
      <c r="BF98" s="70">
        <f t="shared" si="296"/>
        <v>0</v>
      </c>
      <c r="BG98" s="70">
        <f t="shared" si="296"/>
        <v>0</v>
      </c>
      <c r="BH98" s="70">
        <f t="shared" si="16"/>
        <v>1.2062986019860888E-2</v>
      </c>
      <c r="BI98" s="62"/>
      <c r="BJ98" s="69">
        <v>0.218</v>
      </c>
      <c r="BK98" s="69">
        <v>0.61899999999999999</v>
      </c>
      <c r="BL98" s="69">
        <v>0</v>
      </c>
      <c r="BM98" s="69">
        <v>0.106</v>
      </c>
      <c r="BN98" s="69">
        <v>5.6000000000000001E-2</v>
      </c>
      <c r="BO98" s="69">
        <v>0</v>
      </c>
      <c r="BP98" s="69">
        <v>0</v>
      </c>
      <c r="BQ98" s="69">
        <v>0</v>
      </c>
      <c r="BR98" s="62"/>
      <c r="BS98" s="72">
        <f t="shared" ref="BS98:BW98" si="297">AP98-BJ98</f>
        <v>1.5806518320660018E-2</v>
      </c>
      <c r="BT98" s="72">
        <f t="shared" si="297"/>
        <v>-0.2927823923486203</v>
      </c>
      <c r="BU98" s="72">
        <f t="shared" si="297"/>
        <v>0.18969045516231178</v>
      </c>
      <c r="BV98" s="72">
        <f t="shared" si="297"/>
        <v>1.0472438231049264E-2</v>
      </c>
      <c r="BW98" s="72">
        <f t="shared" si="297"/>
        <v>6.5749994614738377E-2</v>
      </c>
      <c r="BX98" s="72"/>
      <c r="BY98" s="72"/>
      <c r="BZ98" s="72">
        <f t="shared" si="18"/>
        <v>1.2062986019860888E-2</v>
      </c>
    </row>
    <row r="99" spans="1:78" ht="13.15">
      <c r="A99" s="73" t="s">
        <v>6</v>
      </c>
      <c r="B99" s="74" t="s">
        <v>240</v>
      </c>
      <c r="C99" s="75" t="s">
        <v>241</v>
      </c>
      <c r="D99" s="75" t="s">
        <v>44</v>
      </c>
      <c r="E99" s="76"/>
      <c r="F99" s="59"/>
      <c r="G99" s="60"/>
      <c r="H99" s="77">
        <v>13689</v>
      </c>
      <c r="I99" s="77">
        <v>11689</v>
      </c>
      <c r="J99" s="77">
        <v>9989</v>
      </c>
      <c r="K99" s="77">
        <v>2175</v>
      </c>
      <c r="L99" s="77">
        <v>2504</v>
      </c>
      <c r="M99" s="77"/>
      <c r="N99" s="77"/>
      <c r="O99" s="77"/>
      <c r="P99" s="77">
        <v>340</v>
      </c>
      <c r="Q99" s="77">
        <v>141</v>
      </c>
      <c r="R99" s="77"/>
      <c r="S99" s="77"/>
      <c r="T99" s="77"/>
      <c r="U99" s="77"/>
      <c r="V99" s="77"/>
      <c r="W99" s="77"/>
      <c r="X99" s="77"/>
      <c r="Y99" s="77">
        <v>316</v>
      </c>
      <c r="Z99" s="77"/>
      <c r="AA99" s="77"/>
      <c r="AB99" s="77"/>
      <c r="AC99" s="77"/>
      <c r="AD99" s="77"/>
      <c r="AE99" s="62"/>
      <c r="AF99" s="63" t="b">
        <v>0</v>
      </c>
      <c r="AG99" s="63" t="b">
        <v>0</v>
      </c>
      <c r="AH99" s="62"/>
      <c r="AI99" s="64">
        <f t="shared" si="7"/>
        <v>40843</v>
      </c>
      <c r="AJ99" s="65" t="str">
        <f t="shared" si="8"/>
        <v>LAB</v>
      </c>
      <c r="AK99" s="66" t="str">
        <f t="shared" si="9"/>
        <v>GAIN</v>
      </c>
      <c r="AL99" s="67" t="e">
        <f t="shared" ca="1" si="10"/>
        <v>#NAME?</v>
      </c>
      <c r="AM99" s="68">
        <f t="shared" si="11"/>
        <v>2000</v>
      </c>
      <c r="AN99" s="69">
        <f t="shared" si="12"/>
        <v>4.8967999412384E-2</v>
      </c>
      <c r="AO99" s="62"/>
      <c r="AP99" s="70">
        <f t="shared" ref="AP99:AT99" si="298">H99/$AI99</f>
        <v>0.33516147197806234</v>
      </c>
      <c r="AQ99" s="70">
        <f t="shared" si="298"/>
        <v>0.28619347256567834</v>
      </c>
      <c r="AR99" s="70">
        <f t="shared" si="298"/>
        <v>0.24457067306515193</v>
      </c>
      <c r="AS99" s="70">
        <f t="shared" si="298"/>
        <v>5.3252699360967611E-2</v>
      </c>
      <c r="AT99" s="70">
        <f t="shared" si="298"/>
        <v>6.1307935264304773E-2</v>
      </c>
      <c r="AU99" s="70"/>
      <c r="AV99" s="70"/>
      <c r="AW99" s="81">
        <f t="shared" si="14"/>
        <v>1.9513747765834921E-2</v>
      </c>
      <c r="AX99" s="70">
        <f t="shared" ref="AX99:BG99" si="299">O99/$AI99</f>
        <v>0</v>
      </c>
      <c r="AY99" s="70">
        <f t="shared" si="299"/>
        <v>8.3245599001052807E-3</v>
      </c>
      <c r="AZ99" s="70">
        <f t="shared" si="299"/>
        <v>3.4522439585730723E-3</v>
      </c>
      <c r="BA99" s="70">
        <f t="shared" si="299"/>
        <v>0</v>
      </c>
      <c r="BB99" s="70">
        <f t="shared" si="299"/>
        <v>0</v>
      </c>
      <c r="BC99" s="70">
        <f t="shared" si="299"/>
        <v>0</v>
      </c>
      <c r="BD99" s="70">
        <f t="shared" si="299"/>
        <v>0</v>
      </c>
      <c r="BE99" s="70">
        <f t="shared" si="299"/>
        <v>0</v>
      </c>
      <c r="BF99" s="70">
        <f t="shared" si="299"/>
        <v>0</v>
      </c>
      <c r="BG99" s="70">
        <f t="shared" si="299"/>
        <v>0</v>
      </c>
      <c r="BH99" s="70">
        <f t="shared" si="16"/>
        <v>7.7369439071565682E-3</v>
      </c>
      <c r="BI99" s="62"/>
      <c r="BJ99" s="69">
        <v>0.24399999999999999</v>
      </c>
      <c r="BK99" s="69">
        <v>0.65900000000000003</v>
      </c>
      <c r="BL99" s="69">
        <v>0</v>
      </c>
      <c r="BM99" s="69">
        <v>6.7000000000000004E-2</v>
      </c>
      <c r="BN99" s="69">
        <v>2.5000000000000001E-2</v>
      </c>
      <c r="BO99" s="69">
        <v>0</v>
      </c>
      <c r="BP99" s="69">
        <v>0</v>
      </c>
      <c r="BQ99" s="69">
        <v>5.0000000000000001E-3</v>
      </c>
      <c r="BR99" s="62"/>
      <c r="BS99" s="72">
        <f t="shared" ref="BS99:BW99" si="300">AP99-BJ99</f>
        <v>9.1161471978062347E-2</v>
      </c>
      <c r="BT99" s="72">
        <f t="shared" si="300"/>
        <v>-0.37280652743432169</v>
      </c>
      <c r="BU99" s="72">
        <f t="shared" si="300"/>
        <v>0.24457067306515193</v>
      </c>
      <c r="BV99" s="72">
        <f t="shared" si="300"/>
        <v>-1.3747300639032393E-2</v>
      </c>
      <c r="BW99" s="72">
        <f t="shared" si="300"/>
        <v>3.6307935264304772E-2</v>
      </c>
      <c r="BX99" s="72"/>
      <c r="BY99" s="72"/>
      <c r="BZ99" s="72">
        <f t="shared" si="18"/>
        <v>1.451374776583492E-2</v>
      </c>
    </row>
    <row r="100" spans="1:78" ht="13.15">
      <c r="A100" s="73" t="s">
        <v>6</v>
      </c>
      <c r="B100" s="74" t="s">
        <v>242</v>
      </c>
      <c r="C100" s="75" t="s">
        <v>243</v>
      </c>
      <c r="D100" s="75" t="s">
        <v>50</v>
      </c>
      <c r="E100" s="76"/>
      <c r="F100" s="59"/>
      <c r="G100" s="60"/>
      <c r="H100" s="77">
        <v>7909</v>
      </c>
      <c r="I100" s="77">
        <v>11446</v>
      </c>
      <c r="J100" s="77">
        <v>5149</v>
      </c>
      <c r="K100" s="77">
        <v>23681</v>
      </c>
      <c r="L100" s="77">
        <v>1630</v>
      </c>
      <c r="M100" s="77"/>
      <c r="N100" s="77"/>
      <c r="O100" s="77"/>
      <c r="P100" s="77">
        <v>811</v>
      </c>
      <c r="Q100" s="77"/>
      <c r="R100" s="77"/>
      <c r="S100" s="77"/>
      <c r="T100" s="77"/>
      <c r="U100" s="77"/>
      <c r="V100" s="77"/>
      <c r="W100" s="77"/>
      <c r="X100" s="77"/>
      <c r="Y100" s="77">
        <v>105</v>
      </c>
      <c r="Z100" s="77"/>
      <c r="AA100" s="77"/>
      <c r="AB100" s="77"/>
      <c r="AC100" s="77"/>
      <c r="AD100" s="77"/>
      <c r="AE100" s="62"/>
      <c r="AF100" s="63" t="b">
        <v>0</v>
      </c>
      <c r="AG100" s="63" t="b">
        <v>0</v>
      </c>
      <c r="AH100" s="62"/>
      <c r="AI100" s="64">
        <f t="shared" si="7"/>
        <v>50731</v>
      </c>
      <c r="AJ100" s="65" t="str">
        <f t="shared" si="8"/>
        <v>LDM</v>
      </c>
      <c r="AK100" s="66" t="str">
        <f t="shared" si="9"/>
        <v>GAIN</v>
      </c>
      <c r="AL100" s="67" t="e">
        <f t="shared" ca="1" si="10"/>
        <v>#NAME?</v>
      </c>
      <c r="AM100" s="68">
        <f t="shared" si="11"/>
        <v>12235</v>
      </c>
      <c r="AN100" s="69">
        <f t="shared" si="12"/>
        <v>0.24117403559953482</v>
      </c>
      <c r="AO100" s="62"/>
      <c r="AP100" s="70">
        <f t="shared" ref="AP100:AT100" si="301">H100/$AI100</f>
        <v>0.15590073130827306</v>
      </c>
      <c r="AQ100" s="70">
        <f t="shared" si="301"/>
        <v>0.22562141491395793</v>
      </c>
      <c r="AR100" s="70">
        <f t="shared" si="301"/>
        <v>0.10149612662868858</v>
      </c>
      <c r="AS100" s="70">
        <f t="shared" si="301"/>
        <v>0.46679545051349275</v>
      </c>
      <c r="AT100" s="70">
        <f t="shared" si="301"/>
        <v>3.2130255662218367E-2</v>
      </c>
      <c r="AU100" s="70"/>
      <c r="AV100" s="70"/>
      <c r="AW100" s="81">
        <f t="shared" si="14"/>
        <v>1.8056020973369225E-2</v>
      </c>
      <c r="AX100" s="70">
        <f t="shared" ref="AX100:BG100" si="302">O100/$AI100</f>
        <v>0</v>
      </c>
      <c r="AY100" s="70">
        <f t="shared" si="302"/>
        <v>1.5986280577950367E-2</v>
      </c>
      <c r="AZ100" s="70">
        <f t="shared" si="302"/>
        <v>0</v>
      </c>
      <c r="BA100" s="70">
        <f t="shared" si="302"/>
        <v>0</v>
      </c>
      <c r="BB100" s="70">
        <f t="shared" si="302"/>
        <v>0</v>
      </c>
      <c r="BC100" s="70">
        <f t="shared" si="302"/>
        <v>0</v>
      </c>
      <c r="BD100" s="70">
        <f t="shared" si="302"/>
        <v>0</v>
      </c>
      <c r="BE100" s="70">
        <f t="shared" si="302"/>
        <v>0</v>
      </c>
      <c r="BF100" s="70">
        <f t="shared" si="302"/>
        <v>0</v>
      </c>
      <c r="BG100" s="70">
        <f t="shared" si="302"/>
        <v>0</v>
      </c>
      <c r="BH100" s="70">
        <f t="shared" si="16"/>
        <v>2.0697403954188578E-3</v>
      </c>
      <c r="BI100" s="62"/>
      <c r="BJ100" s="69">
        <v>0.123</v>
      </c>
      <c r="BK100" s="69">
        <v>0.46</v>
      </c>
      <c r="BL100" s="69">
        <v>0</v>
      </c>
      <c r="BM100" s="69">
        <v>0.41799999999999998</v>
      </c>
      <c r="BN100" s="69">
        <v>0</v>
      </c>
      <c r="BO100" s="69">
        <v>0</v>
      </c>
      <c r="BP100" s="69">
        <v>0</v>
      </c>
      <c r="BQ100" s="69">
        <v>0</v>
      </c>
      <c r="BR100" s="62"/>
      <c r="BS100" s="72">
        <f t="shared" ref="BS100:BW100" si="303">AP100-BJ100</f>
        <v>3.2900731308273062E-2</v>
      </c>
      <c r="BT100" s="72">
        <f t="shared" si="303"/>
        <v>-0.23437858508604209</v>
      </c>
      <c r="BU100" s="72">
        <f t="shared" si="303"/>
        <v>0.10149612662868858</v>
      </c>
      <c r="BV100" s="72">
        <f t="shared" si="303"/>
        <v>4.8795450513492766E-2</v>
      </c>
      <c r="BW100" s="72">
        <f t="shared" si="303"/>
        <v>3.2130255662218367E-2</v>
      </c>
      <c r="BX100" s="72"/>
      <c r="BY100" s="72"/>
      <c r="BZ100" s="72">
        <f t="shared" si="18"/>
        <v>1.8056020973369225E-2</v>
      </c>
    </row>
    <row r="101" spans="1:78" ht="13.15">
      <c r="A101" s="73" t="s">
        <v>6</v>
      </c>
      <c r="B101" s="74" t="s">
        <v>244</v>
      </c>
      <c r="C101" s="75" t="s">
        <v>245</v>
      </c>
      <c r="D101" s="75" t="s">
        <v>78</v>
      </c>
      <c r="E101" s="76"/>
      <c r="F101" s="59"/>
      <c r="G101" s="60"/>
      <c r="H101" s="77">
        <v>6108</v>
      </c>
      <c r="I101" s="77">
        <v>15461</v>
      </c>
      <c r="J101" s="77">
        <v>6754</v>
      </c>
      <c r="K101" s="77">
        <v>20214</v>
      </c>
      <c r="L101" s="77">
        <v>1588</v>
      </c>
      <c r="M101" s="77"/>
      <c r="N101" s="77"/>
      <c r="O101" s="77">
        <v>69</v>
      </c>
      <c r="P101" s="77">
        <v>105</v>
      </c>
      <c r="Q101" s="77"/>
      <c r="R101" s="77"/>
      <c r="S101" s="77"/>
      <c r="T101" s="77"/>
      <c r="U101" s="77"/>
      <c r="V101" s="77"/>
      <c r="W101" s="77"/>
      <c r="X101" s="77"/>
      <c r="Y101" s="77">
        <v>230</v>
      </c>
      <c r="Z101" s="77">
        <v>187</v>
      </c>
      <c r="AA101" s="77"/>
      <c r="AB101" s="77"/>
      <c r="AC101" s="77"/>
      <c r="AD101" s="77"/>
      <c r="AE101" s="62"/>
      <c r="AF101" s="63" t="b">
        <v>0</v>
      </c>
      <c r="AG101" s="63" t="b">
        <v>0</v>
      </c>
      <c r="AH101" s="62"/>
      <c r="AI101" s="64">
        <f t="shared" si="7"/>
        <v>50716</v>
      </c>
      <c r="AJ101" s="65" t="str">
        <f t="shared" si="8"/>
        <v>LDM</v>
      </c>
      <c r="AK101" s="66" t="str">
        <f t="shared" si="9"/>
        <v>GAIN</v>
      </c>
      <c r="AL101" s="67" t="e">
        <f t="shared" ca="1" si="10"/>
        <v>#NAME?</v>
      </c>
      <c r="AM101" s="68">
        <f t="shared" si="11"/>
        <v>4753</v>
      </c>
      <c r="AN101" s="69">
        <f t="shared" si="12"/>
        <v>9.3717958829560688E-2</v>
      </c>
      <c r="AO101" s="62"/>
      <c r="AP101" s="70">
        <f t="shared" ref="AP101:AT101" si="304">H101/$AI101</f>
        <v>0.12043536556510766</v>
      </c>
      <c r="AQ101" s="70">
        <f t="shared" si="304"/>
        <v>0.30485448379209718</v>
      </c>
      <c r="AR101" s="70">
        <f t="shared" si="304"/>
        <v>0.13317296316744223</v>
      </c>
      <c r="AS101" s="70">
        <f t="shared" si="304"/>
        <v>0.39857244262165786</v>
      </c>
      <c r="AT101" s="70">
        <f t="shared" si="304"/>
        <v>3.1311617635460212E-2</v>
      </c>
      <c r="AU101" s="70"/>
      <c r="AV101" s="70"/>
      <c r="AW101" s="81">
        <f t="shared" si="14"/>
        <v>1.1653127218234971E-2</v>
      </c>
      <c r="AX101" s="70">
        <f t="shared" ref="AX101:BG101" si="305">O101/$AI101</f>
        <v>1.3605173909614324E-3</v>
      </c>
      <c r="AY101" s="70">
        <f t="shared" si="305"/>
        <v>2.070352551463049E-3</v>
      </c>
      <c r="AZ101" s="70">
        <f t="shared" si="305"/>
        <v>0</v>
      </c>
      <c r="BA101" s="70">
        <f t="shared" si="305"/>
        <v>0</v>
      </c>
      <c r="BB101" s="70">
        <f t="shared" si="305"/>
        <v>0</v>
      </c>
      <c r="BC101" s="70">
        <f t="shared" si="305"/>
        <v>0</v>
      </c>
      <c r="BD101" s="70">
        <f t="shared" si="305"/>
        <v>0</v>
      </c>
      <c r="BE101" s="70">
        <f t="shared" si="305"/>
        <v>0</v>
      </c>
      <c r="BF101" s="70">
        <f t="shared" si="305"/>
        <v>0</v>
      </c>
      <c r="BG101" s="70">
        <f t="shared" si="305"/>
        <v>0</v>
      </c>
      <c r="BH101" s="70">
        <f t="shared" si="16"/>
        <v>8.2222572758104892E-3</v>
      </c>
      <c r="BI101" s="62"/>
      <c r="BJ101" s="69">
        <v>0.182</v>
      </c>
      <c r="BK101" s="69">
        <v>0.54700000000000004</v>
      </c>
      <c r="BL101" s="69">
        <v>0</v>
      </c>
      <c r="BM101" s="69">
        <v>0.26100000000000001</v>
      </c>
      <c r="BN101" s="69">
        <v>0</v>
      </c>
      <c r="BO101" s="69">
        <v>0</v>
      </c>
      <c r="BP101" s="69">
        <v>0</v>
      </c>
      <c r="BQ101" s="69">
        <v>1.0999999999999999E-2</v>
      </c>
      <c r="BR101" s="62"/>
      <c r="BS101" s="72">
        <f t="shared" ref="BS101:BW101" si="306">AP101-BJ101</f>
        <v>-6.1564634434892337E-2</v>
      </c>
      <c r="BT101" s="72">
        <f t="shared" si="306"/>
        <v>-0.24214551620790287</v>
      </c>
      <c r="BU101" s="72">
        <f t="shared" si="306"/>
        <v>0.13317296316744223</v>
      </c>
      <c r="BV101" s="72">
        <f t="shared" si="306"/>
        <v>0.13757244262165785</v>
      </c>
      <c r="BW101" s="72">
        <f t="shared" si="306"/>
        <v>3.1311617635460212E-2</v>
      </c>
      <c r="BX101" s="72"/>
      <c r="BY101" s="72"/>
      <c r="BZ101" s="72">
        <f t="shared" si="18"/>
        <v>6.5312721823497163E-4</v>
      </c>
    </row>
    <row r="102" spans="1:78" ht="13.15">
      <c r="A102" s="73" t="s">
        <v>6</v>
      </c>
      <c r="B102" s="74" t="s">
        <v>246</v>
      </c>
      <c r="C102" s="75" t="s">
        <v>247</v>
      </c>
      <c r="D102" s="75" t="s">
        <v>68</v>
      </c>
      <c r="E102" s="76"/>
      <c r="F102" s="59"/>
      <c r="G102" s="60"/>
      <c r="H102" s="77">
        <v>18556</v>
      </c>
      <c r="I102" s="77">
        <v>18404</v>
      </c>
      <c r="J102" s="77">
        <v>3144</v>
      </c>
      <c r="K102" s="77">
        <v>3611</v>
      </c>
      <c r="L102" s="77">
        <v>2798</v>
      </c>
      <c r="M102" s="77"/>
      <c r="N102" s="77"/>
      <c r="O102" s="77"/>
      <c r="P102" s="77">
        <v>538</v>
      </c>
      <c r="Q102" s="77"/>
      <c r="R102" s="77"/>
      <c r="S102" s="77"/>
      <c r="T102" s="77"/>
      <c r="U102" s="77"/>
      <c r="V102" s="77"/>
      <c r="W102" s="77"/>
      <c r="X102" s="77"/>
      <c r="Y102" s="77">
        <v>65</v>
      </c>
      <c r="Z102" s="77"/>
      <c r="AA102" s="77"/>
      <c r="AB102" s="77"/>
      <c r="AC102" s="77"/>
      <c r="AD102" s="77"/>
      <c r="AE102" s="62"/>
      <c r="AF102" s="63" t="b">
        <v>0</v>
      </c>
      <c r="AG102" s="63" t="b">
        <v>0</v>
      </c>
      <c r="AH102" s="62"/>
      <c r="AI102" s="64">
        <f t="shared" si="7"/>
        <v>47116</v>
      </c>
      <c r="AJ102" s="65" t="str">
        <f t="shared" si="8"/>
        <v>LAB</v>
      </c>
      <c r="AK102" s="66" t="str">
        <f t="shared" si="9"/>
        <v>GAIN</v>
      </c>
      <c r="AL102" s="67" t="e">
        <f t="shared" ca="1" si="10"/>
        <v>#NAME?</v>
      </c>
      <c r="AM102" s="68">
        <f t="shared" si="11"/>
        <v>152</v>
      </c>
      <c r="AN102" s="69">
        <f t="shared" si="12"/>
        <v>3.2260803124203874E-3</v>
      </c>
      <c r="AO102" s="62"/>
      <c r="AP102" s="70">
        <f t="shared" ref="AP102:AT102" si="307">H102/$AI102</f>
        <v>0.39383648866627047</v>
      </c>
      <c r="AQ102" s="70">
        <f t="shared" si="307"/>
        <v>0.39061040835385008</v>
      </c>
      <c r="AR102" s="70">
        <f t="shared" si="307"/>
        <v>6.6728924356906361E-2</v>
      </c>
      <c r="AS102" s="70">
        <f t="shared" si="307"/>
        <v>7.6640631632566431E-2</v>
      </c>
      <c r="AT102" s="70">
        <f t="shared" si="307"/>
        <v>5.9385346803633582E-2</v>
      </c>
      <c r="AU102" s="70"/>
      <c r="AV102" s="70"/>
      <c r="AW102" s="81">
        <f t="shared" si="14"/>
        <v>1.2798200186773023E-2</v>
      </c>
      <c r="AX102" s="70">
        <f t="shared" ref="AX102:BG102" si="308">O102/$AI102</f>
        <v>0</v>
      </c>
      <c r="AY102" s="70">
        <f t="shared" si="308"/>
        <v>1.1418626368961711E-2</v>
      </c>
      <c r="AZ102" s="70">
        <f t="shared" si="308"/>
        <v>0</v>
      </c>
      <c r="BA102" s="70">
        <f t="shared" si="308"/>
        <v>0</v>
      </c>
      <c r="BB102" s="70">
        <f t="shared" si="308"/>
        <v>0</v>
      </c>
      <c r="BC102" s="70">
        <f t="shared" si="308"/>
        <v>0</v>
      </c>
      <c r="BD102" s="70">
        <f t="shared" si="308"/>
        <v>0</v>
      </c>
      <c r="BE102" s="70">
        <f t="shared" si="308"/>
        <v>0</v>
      </c>
      <c r="BF102" s="70">
        <f t="shared" si="308"/>
        <v>0</v>
      </c>
      <c r="BG102" s="70">
        <f t="shared" si="308"/>
        <v>0</v>
      </c>
      <c r="BH102" s="70">
        <f t="shared" si="16"/>
        <v>1.379573817811312E-3</v>
      </c>
      <c r="BI102" s="62"/>
      <c r="BJ102" s="69">
        <v>0.29099999999999998</v>
      </c>
      <c r="BK102" s="69">
        <v>0.45500000000000002</v>
      </c>
      <c r="BL102" s="69">
        <v>3.0000000000000001E-3</v>
      </c>
      <c r="BM102" s="69">
        <v>0.23799999999999999</v>
      </c>
      <c r="BN102" s="69">
        <v>4.0000000000000001E-3</v>
      </c>
      <c r="BO102" s="69">
        <v>0</v>
      </c>
      <c r="BP102" s="69">
        <v>0</v>
      </c>
      <c r="BQ102" s="69">
        <v>8.9999999999999993E-3</v>
      </c>
      <c r="BR102" s="62"/>
      <c r="BS102" s="72">
        <f t="shared" ref="BS102:BW102" si="309">AP102-BJ102</f>
        <v>0.10283648866627049</v>
      </c>
      <c r="BT102" s="72">
        <f t="shared" si="309"/>
        <v>-6.4389591646149935E-2</v>
      </c>
      <c r="BU102" s="72">
        <f t="shared" si="309"/>
        <v>6.3728924356906358E-2</v>
      </c>
      <c r="BV102" s="72">
        <f t="shared" si="309"/>
        <v>-0.16135936836743356</v>
      </c>
      <c r="BW102" s="72">
        <f t="shared" si="309"/>
        <v>5.5385346803633578E-2</v>
      </c>
      <c r="BX102" s="72"/>
      <c r="BY102" s="72"/>
      <c r="BZ102" s="72">
        <f t="shared" si="18"/>
        <v>3.798200186773024E-3</v>
      </c>
    </row>
    <row r="103" spans="1:78" ht="13.15">
      <c r="A103" s="73" t="s">
        <v>6</v>
      </c>
      <c r="B103" s="74" t="s">
        <v>248</v>
      </c>
      <c r="C103" s="75" t="s">
        <v>249</v>
      </c>
      <c r="D103" s="75" t="s">
        <v>85</v>
      </c>
      <c r="E103" s="76"/>
      <c r="F103" s="59"/>
      <c r="G103" s="60"/>
      <c r="H103" s="77">
        <v>2665</v>
      </c>
      <c r="I103" s="77">
        <v>17866</v>
      </c>
      <c r="J103" s="77"/>
      <c r="K103" s="77">
        <v>25076</v>
      </c>
      <c r="L103" s="77">
        <v>3160</v>
      </c>
      <c r="M103" s="77"/>
      <c r="N103" s="77"/>
      <c r="O103" s="77">
        <v>775</v>
      </c>
      <c r="P103" s="77"/>
      <c r="Q103" s="77"/>
      <c r="R103" s="77"/>
      <c r="S103" s="77"/>
      <c r="T103" s="77"/>
      <c r="U103" s="77"/>
      <c r="V103" s="77"/>
      <c r="W103" s="77"/>
      <c r="X103" s="77"/>
      <c r="Y103" s="77"/>
      <c r="Z103" s="77"/>
      <c r="AA103" s="77"/>
      <c r="AB103" s="77"/>
      <c r="AC103" s="77"/>
      <c r="AD103" s="77"/>
      <c r="AE103" s="62"/>
      <c r="AF103" s="63" t="b">
        <v>0</v>
      </c>
      <c r="AG103" s="63" t="b">
        <v>0</v>
      </c>
      <c r="AH103" s="62"/>
      <c r="AI103" s="64">
        <f t="shared" si="7"/>
        <v>49542</v>
      </c>
      <c r="AJ103" s="65" t="str">
        <f t="shared" si="8"/>
        <v>LDM</v>
      </c>
      <c r="AK103" s="66" t="str">
        <f t="shared" si="9"/>
        <v>GAIN</v>
      </c>
      <c r="AL103" s="67" t="e">
        <f t="shared" ca="1" si="10"/>
        <v>#NAME?</v>
      </c>
      <c r="AM103" s="68">
        <f t="shared" si="11"/>
        <v>7210</v>
      </c>
      <c r="AN103" s="69">
        <f t="shared" si="12"/>
        <v>0.14553308304065238</v>
      </c>
      <c r="AO103" s="62"/>
      <c r="AP103" s="70">
        <f t="shared" ref="AP103:AT103" si="310">H103/$AI103</f>
        <v>5.3792741512252232E-2</v>
      </c>
      <c r="AQ103" s="70">
        <f t="shared" si="310"/>
        <v>0.36062330951515886</v>
      </c>
      <c r="AR103" s="70">
        <f t="shared" si="310"/>
        <v>0</v>
      </c>
      <c r="AS103" s="70">
        <f t="shared" si="310"/>
        <v>0.50615639255581124</v>
      </c>
      <c r="AT103" s="70">
        <f t="shared" si="310"/>
        <v>6.378426385692948E-2</v>
      </c>
      <c r="AU103" s="70"/>
      <c r="AV103" s="70"/>
      <c r="AW103" s="81">
        <f t="shared" si="14"/>
        <v>1.5643292559848199E-2</v>
      </c>
      <c r="AX103" s="70">
        <f t="shared" ref="AX103:BG103" si="311">O103/$AI103</f>
        <v>1.5643292559848209E-2</v>
      </c>
      <c r="AY103" s="70">
        <f t="shared" si="311"/>
        <v>0</v>
      </c>
      <c r="AZ103" s="70">
        <f t="shared" si="311"/>
        <v>0</v>
      </c>
      <c r="BA103" s="70">
        <f t="shared" si="311"/>
        <v>0</v>
      </c>
      <c r="BB103" s="70">
        <f t="shared" si="311"/>
        <v>0</v>
      </c>
      <c r="BC103" s="70">
        <f t="shared" si="311"/>
        <v>0</v>
      </c>
      <c r="BD103" s="70">
        <f t="shared" si="311"/>
        <v>0</v>
      </c>
      <c r="BE103" s="70">
        <f t="shared" si="311"/>
        <v>0</v>
      </c>
      <c r="BF103" s="70">
        <f t="shared" si="311"/>
        <v>0</v>
      </c>
      <c r="BG103" s="70">
        <f t="shared" si="311"/>
        <v>0</v>
      </c>
      <c r="BH103" s="70">
        <f t="shared" si="16"/>
        <v>0</v>
      </c>
      <c r="BI103" s="62"/>
      <c r="BJ103" s="69">
        <v>4.8000000000000001E-2</v>
      </c>
      <c r="BK103" s="69">
        <v>0.48499999999999999</v>
      </c>
      <c r="BL103" s="69">
        <v>0</v>
      </c>
      <c r="BM103" s="69">
        <v>0.46</v>
      </c>
      <c r="BN103" s="69">
        <v>0</v>
      </c>
      <c r="BO103" s="69">
        <v>0</v>
      </c>
      <c r="BP103" s="69">
        <v>0</v>
      </c>
      <c r="BQ103" s="69">
        <v>8.0000000000000002E-3</v>
      </c>
      <c r="BR103" s="62"/>
      <c r="BS103" s="72">
        <f t="shared" ref="BS103:BW103" si="312">AP103-BJ103</f>
        <v>5.7927415122522308E-3</v>
      </c>
      <c r="BT103" s="72">
        <f t="shared" si="312"/>
        <v>-0.12437669048484112</v>
      </c>
      <c r="BU103" s="72">
        <f t="shared" si="312"/>
        <v>0</v>
      </c>
      <c r="BV103" s="72">
        <f t="shared" si="312"/>
        <v>4.6156392555811221E-2</v>
      </c>
      <c r="BW103" s="72">
        <f t="shared" si="312"/>
        <v>6.378426385692948E-2</v>
      </c>
      <c r="BX103" s="72"/>
      <c r="BY103" s="72"/>
      <c r="BZ103" s="72">
        <f t="shared" si="18"/>
        <v>7.6432925598482089E-3</v>
      </c>
    </row>
    <row r="104" spans="1:78" ht="13.15">
      <c r="A104" s="73" t="s">
        <v>6</v>
      </c>
      <c r="B104" s="74" t="s">
        <v>250</v>
      </c>
      <c r="C104" s="75" t="s">
        <v>251</v>
      </c>
      <c r="D104" s="75" t="s">
        <v>44</v>
      </c>
      <c r="E104" s="76"/>
      <c r="F104" s="59"/>
      <c r="G104" s="60"/>
      <c r="H104" s="77">
        <v>3502</v>
      </c>
      <c r="I104" s="77">
        <v>18971</v>
      </c>
      <c r="J104" s="77">
        <v>5310</v>
      </c>
      <c r="K104" s="77">
        <v>24422</v>
      </c>
      <c r="L104" s="77">
        <v>1673</v>
      </c>
      <c r="M104" s="77"/>
      <c r="N104" s="77"/>
      <c r="O104" s="77"/>
      <c r="P104" s="77">
        <v>466</v>
      </c>
      <c r="Q104" s="77"/>
      <c r="R104" s="77"/>
      <c r="S104" s="77"/>
      <c r="T104" s="77"/>
      <c r="U104" s="77"/>
      <c r="V104" s="77"/>
      <c r="W104" s="77"/>
      <c r="X104" s="77"/>
      <c r="Y104" s="77">
        <v>111</v>
      </c>
      <c r="Z104" s="77"/>
      <c r="AA104" s="77"/>
      <c r="AB104" s="77"/>
      <c r="AC104" s="77"/>
      <c r="AD104" s="77"/>
      <c r="AE104" s="62"/>
      <c r="AF104" s="63" t="b">
        <v>0</v>
      </c>
      <c r="AG104" s="63" t="b">
        <v>0</v>
      </c>
      <c r="AH104" s="62"/>
      <c r="AI104" s="64">
        <f t="shared" si="7"/>
        <v>54455</v>
      </c>
      <c r="AJ104" s="65" t="str">
        <f t="shared" si="8"/>
        <v>LDM</v>
      </c>
      <c r="AK104" s="66" t="str">
        <f t="shared" si="9"/>
        <v>GAIN</v>
      </c>
      <c r="AL104" s="67" t="e">
        <f t="shared" ca="1" si="10"/>
        <v>#NAME?</v>
      </c>
      <c r="AM104" s="68">
        <f t="shared" si="11"/>
        <v>5451</v>
      </c>
      <c r="AN104" s="69">
        <f t="shared" si="12"/>
        <v>0.10010100082637041</v>
      </c>
      <c r="AO104" s="62"/>
      <c r="AP104" s="70">
        <f t="shared" ref="AP104:AT104" si="313">H104/$AI104</f>
        <v>6.430998071802406E-2</v>
      </c>
      <c r="AQ104" s="70">
        <f t="shared" si="313"/>
        <v>0.34837939583142041</v>
      </c>
      <c r="AR104" s="70">
        <f t="shared" si="313"/>
        <v>9.7511706913965657E-2</v>
      </c>
      <c r="AS104" s="70">
        <f t="shared" si="313"/>
        <v>0.44848039665779083</v>
      </c>
      <c r="AT104" s="70">
        <f t="shared" si="313"/>
        <v>3.0722615003213664E-2</v>
      </c>
      <c r="AU104" s="70"/>
      <c r="AV104" s="70"/>
      <c r="AW104" s="81">
        <f t="shared" si="14"/>
        <v>1.0595904875585371E-2</v>
      </c>
      <c r="AX104" s="70">
        <f t="shared" ref="AX104:BG104" si="314">O104/$AI104</f>
        <v>0</v>
      </c>
      <c r="AY104" s="70">
        <f t="shared" si="314"/>
        <v>8.5575245615645938E-3</v>
      </c>
      <c r="AZ104" s="70">
        <f t="shared" si="314"/>
        <v>0</v>
      </c>
      <c r="BA104" s="70">
        <f t="shared" si="314"/>
        <v>0</v>
      </c>
      <c r="BB104" s="70">
        <f t="shared" si="314"/>
        <v>0</v>
      </c>
      <c r="BC104" s="70">
        <f t="shared" si="314"/>
        <v>0</v>
      </c>
      <c r="BD104" s="70">
        <f t="shared" si="314"/>
        <v>0</v>
      </c>
      <c r="BE104" s="70">
        <f t="shared" si="314"/>
        <v>0</v>
      </c>
      <c r="BF104" s="70">
        <f t="shared" si="314"/>
        <v>0</v>
      </c>
      <c r="BG104" s="70">
        <f t="shared" si="314"/>
        <v>0</v>
      </c>
      <c r="BH104" s="70">
        <f t="shared" si="16"/>
        <v>2.0383803140207775E-3</v>
      </c>
      <c r="BI104" s="62"/>
      <c r="BJ104" s="69">
        <v>0.13900000000000001</v>
      </c>
      <c r="BK104" s="69">
        <v>0.56399999999999995</v>
      </c>
      <c r="BL104" s="69">
        <v>0</v>
      </c>
      <c r="BM104" s="69">
        <v>0.224</v>
      </c>
      <c r="BN104" s="69">
        <v>4.8000000000000001E-2</v>
      </c>
      <c r="BO104" s="69">
        <v>0</v>
      </c>
      <c r="BP104" s="69">
        <v>0</v>
      </c>
      <c r="BQ104" s="69">
        <v>2.5000000000000001E-2</v>
      </c>
      <c r="BR104" s="62"/>
      <c r="BS104" s="72">
        <f t="shared" ref="BS104:BW104" si="315">AP104-BJ104</f>
        <v>-7.4690019281975953E-2</v>
      </c>
      <c r="BT104" s="72">
        <f t="shared" si="315"/>
        <v>-0.21562060416857953</v>
      </c>
      <c r="BU104" s="72">
        <f t="shared" si="315"/>
        <v>9.7511706913965657E-2</v>
      </c>
      <c r="BV104" s="72">
        <f t="shared" si="315"/>
        <v>0.22448039665779082</v>
      </c>
      <c r="BW104" s="72">
        <f t="shared" si="315"/>
        <v>-1.7277384996786337E-2</v>
      </c>
      <c r="BX104" s="72"/>
      <c r="BY104" s="72"/>
      <c r="BZ104" s="72">
        <f t="shared" si="18"/>
        <v>-1.440409512441463E-2</v>
      </c>
    </row>
    <row r="105" spans="1:78" ht="13.15">
      <c r="A105" s="78" t="s">
        <v>5</v>
      </c>
      <c r="B105" s="74" t="s">
        <v>252</v>
      </c>
      <c r="C105" s="75" t="s">
        <v>253</v>
      </c>
      <c r="D105" s="75" t="s">
        <v>50</v>
      </c>
      <c r="E105" s="76"/>
      <c r="F105" s="59"/>
      <c r="G105" s="60"/>
      <c r="H105" s="77">
        <v>22258</v>
      </c>
      <c r="I105" s="77">
        <v>10388</v>
      </c>
      <c r="J105" s="77">
        <v>5870</v>
      </c>
      <c r="K105" s="77">
        <v>2076</v>
      </c>
      <c r="L105" s="77">
        <v>4102</v>
      </c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  <c r="Z105" s="77"/>
      <c r="AA105" s="77"/>
      <c r="AB105" s="77"/>
      <c r="AC105" s="77"/>
      <c r="AD105" s="77"/>
      <c r="AE105" s="62"/>
      <c r="AF105" s="63" t="b">
        <v>0</v>
      </c>
      <c r="AG105" s="63" t="b">
        <v>0</v>
      </c>
      <c r="AH105" s="62"/>
      <c r="AI105" s="64">
        <f t="shared" si="7"/>
        <v>44694</v>
      </c>
      <c r="AJ105" s="65" t="str">
        <f t="shared" si="8"/>
        <v>LAB</v>
      </c>
      <c r="AK105" s="66" t="str">
        <f t="shared" si="9"/>
        <v>HOLD</v>
      </c>
      <c r="AL105" s="67" t="e">
        <f t="shared" ca="1" si="10"/>
        <v>#NAME?</v>
      </c>
      <c r="AM105" s="68">
        <f t="shared" si="11"/>
        <v>11870</v>
      </c>
      <c r="AN105" s="69">
        <f t="shared" si="12"/>
        <v>0.26558374725913991</v>
      </c>
      <c r="AO105" s="62"/>
      <c r="AP105" s="70">
        <f t="shared" ref="AP105:AT105" si="316">H105/$AI105</f>
        <v>0.49800868125475456</v>
      </c>
      <c r="AQ105" s="70">
        <f t="shared" si="316"/>
        <v>0.23242493399561462</v>
      </c>
      <c r="AR105" s="70">
        <f t="shared" si="316"/>
        <v>0.13133753971450307</v>
      </c>
      <c r="AS105" s="70">
        <f t="shared" si="316"/>
        <v>4.6449187810444353E-2</v>
      </c>
      <c r="AT105" s="70">
        <f t="shared" si="316"/>
        <v>9.1779657224683397E-2</v>
      </c>
      <c r="AU105" s="70"/>
      <c r="AV105" s="70"/>
      <c r="AW105" s="81">
        <f t="shared" si="14"/>
        <v>0</v>
      </c>
      <c r="AX105" s="70">
        <f t="shared" ref="AX105:BG105" si="317">O105/$AI105</f>
        <v>0</v>
      </c>
      <c r="AY105" s="70">
        <f t="shared" si="317"/>
        <v>0</v>
      </c>
      <c r="AZ105" s="70">
        <f t="shared" si="317"/>
        <v>0</v>
      </c>
      <c r="BA105" s="70">
        <f t="shared" si="317"/>
        <v>0</v>
      </c>
      <c r="BB105" s="70">
        <f t="shared" si="317"/>
        <v>0</v>
      </c>
      <c r="BC105" s="70">
        <f t="shared" si="317"/>
        <v>0</v>
      </c>
      <c r="BD105" s="70">
        <f t="shared" si="317"/>
        <v>0</v>
      </c>
      <c r="BE105" s="70">
        <f t="shared" si="317"/>
        <v>0</v>
      </c>
      <c r="BF105" s="70">
        <f t="shared" si="317"/>
        <v>0</v>
      </c>
      <c r="BG105" s="70">
        <f t="shared" si="317"/>
        <v>0</v>
      </c>
      <c r="BH105" s="70">
        <f t="shared" si="16"/>
        <v>0</v>
      </c>
      <c r="BI105" s="62"/>
      <c r="BJ105" s="69">
        <v>0.503</v>
      </c>
      <c r="BK105" s="69">
        <v>0.38500000000000001</v>
      </c>
      <c r="BL105" s="69">
        <v>2.8000000000000001E-2</v>
      </c>
      <c r="BM105" s="69">
        <v>6.2E-2</v>
      </c>
      <c r="BN105" s="69">
        <v>2.1999999999999999E-2</v>
      </c>
      <c r="BO105" s="69">
        <v>0</v>
      </c>
      <c r="BP105" s="69">
        <v>0</v>
      </c>
      <c r="BQ105" s="69">
        <v>0</v>
      </c>
      <c r="BR105" s="62"/>
      <c r="BS105" s="72">
        <f t="shared" ref="BS105:BW105" si="318">AP105-BJ105</f>
        <v>-4.9913187452454433E-3</v>
      </c>
      <c r="BT105" s="72">
        <f t="shared" si="318"/>
        <v>-0.15257506600438539</v>
      </c>
      <c r="BU105" s="72">
        <f t="shared" si="318"/>
        <v>0.10333753971450307</v>
      </c>
      <c r="BV105" s="72">
        <f t="shared" si="318"/>
        <v>-1.5550812189555646E-2</v>
      </c>
      <c r="BW105" s="72">
        <f t="shared" si="318"/>
        <v>6.9779657224683406E-2</v>
      </c>
      <c r="BX105" s="72"/>
      <c r="BY105" s="72"/>
      <c r="BZ105" s="72">
        <f t="shared" si="18"/>
        <v>0</v>
      </c>
    </row>
    <row r="106" spans="1:78" ht="13.15">
      <c r="A106" s="73" t="s">
        <v>6</v>
      </c>
      <c r="B106" s="74" t="s">
        <v>254</v>
      </c>
      <c r="C106" s="75" t="s">
        <v>255</v>
      </c>
      <c r="D106" s="75" t="s">
        <v>50</v>
      </c>
      <c r="E106" s="76"/>
      <c r="F106" s="59"/>
      <c r="G106" s="60"/>
      <c r="H106" s="77">
        <v>16848</v>
      </c>
      <c r="I106" s="77">
        <v>19905</v>
      </c>
      <c r="J106" s="77">
        <v>6414</v>
      </c>
      <c r="K106" s="77">
        <v>5430</v>
      </c>
      <c r="L106" s="77">
        <v>2278</v>
      </c>
      <c r="M106" s="77"/>
      <c r="N106" s="77"/>
      <c r="O106" s="77">
        <v>1611</v>
      </c>
      <c r="P106" s="77"/>
      <c r="Q106" s="77"/>
      <c r="R106" s="77"/>
      <c r="S106" s="77"/>
      <c r="T106" s="77"/>
      <c r="U106" s="77"/>
      <c r="V106" s="77"/>
      <c r="W106" s="77"/>
      <c r="X106" s="77"/>
      <c r="Y106" s="77"/>
      <c r="Z106" s="77"/>
      <c r="AA106" s="77"/>
      <c r="AB106" s="77"/>
      <c r="AC106" s="77"/>
      <c r="AD106" s="77"/>
      <c r="AE106" s="62"/>
      <c r="AF106" s="63" t="b">
        <v>0</v>
      </c>
      <c r="AG106" s="63" t="b">
        <v>0</v>
      </c>
      <c r="AH106" s="62"/>
      <c r="AI106" s="64">
        <f t="shared" si="7"/>
        <v>52486</v>
      </c>
      <c r="AJ106" s="65" t="str">
        <f t="shared" si="8"/>
        <v>CON</v>
      </c>
      <c r="AK106" s="66" t="str">
        <f t="shared" si="9"/>
        <v>HOLD</v>
      </c>
      <c r="AL106" s="67" t="e">
        <f t="shared" ca="1" si="10"/>
        <v>#NAME?</v>
      </c>
      <c r="AM106" s="68">
        <f t="shared" si="11"/>
        <v>3057</v>
      </c>
      <c r="AN106" s="69">
        <f t="shared" si="12"/>
        <v>5.824410318942197E-2</v>
      </c>
      <c r="AO106" s="62"/>
      <c r="AP106" s="70">
        <f t="shared" ref="AP106:AT106" si="319">H106/$AI106</f>
        <v>0.32099988568380139</v>
      </c>
      <c r="AQ106" s="70">
        <f t="shared" si="319"/>
        <v>0.37924398887322336</v>
      </c>
      <c r="AR106" s="70">
        <f t="shared" si="319"/>
        <v>0.122204016309111</v>
      </c>
      <c r="AS106" s="70">
        <f t="shared" si="319"/>
        <v>0.10345615973783485</v>
      </c>
      <c r="AT106" s="70">
        <f t="shared" si="319"/>
        <v>4.3402050070494989E-2</v>
      </c>
      <c r="AU106" s="70"/>
      <c r="AV106" s="70"/>
      <c r="AW106" s="81">
        <f t="shared" si="14"/>
        <v>3.0693899325534346E-2</v>
      </c>
      <c r="AX106" s="70">
        <f t="shared" ref="AX106:BG106" si="320">O106/$AI106</f>
        <v>3.0693899325534429E-2</v>
      </c>
      <c r="AY106" s="70">
        <f t="shared" si="320"/>
        <v>0</v>
      </c>
      <c r="AZ106" s="70">
        <f t="shared" si="320"/>
        <v>0</v>
      </c>
      <c r="BA106" s="70">
        <f t="shared" si="320"/>
        <v>0</v>
      </c>
      <c r="BB106" s="70">
        <f t="shared" si="320"/>
        <v>0</v>
      </c>
      <c r="BC106" s="70">
        <f t="shared" si="320"/>
        <v>0</v>
      </c>
      <c r="BD106" s="70">
        <f t="shared" si="320"/>
        <v>0</v>
      </c>
      <c r="BE106" s="70">
        <f t="shared" si="320"/>
        <v>0</v>
      </c>
      <c r="BF106" s="70">
        <f t="shared" si="320"/>
        <v>0</v>
      </c>
      <c r="BG106" s="70">
        <f t="shared" si="320"/>
        <v>0</v>
      </c>
      <c r="BH106" s="70">
        <f t="shared" si="16"/>
        <v>-8.3266726846886741E-17</v>
      </c>
      <c r="BI106" s="62"/>
      <c r="BJ106" s="69">
        <v>0.215</v>
      </c>
      <c r="BK106" s="69">
        <v>0.59199999999999997</v>
      </c>
      <c r="BL106" s="69">
        <v>0.01</v>
      </c>
      <c r="BM106" s="69">
        <v>0.153</v>
      </c>
      <c r="BN106" s="69">
        <v>2.1000000000000001E-2</v>
      </c>
      <c r="BO106" s="69">
        <v>0</v>
      </c>
      <c r="BP106" s="69">
        <v>0</v>
      </c>
      <c r="BQ106" s="69">
        <v>8.0000000000000002E-3</v>
      </c>
      <c r="BR106" s="62"/>
      <c r="BS106" s="72">
        <f t="shared" ref="BS106:BW106" si="321">AP106-BJ106</f>
        <v>0.10599988568380139</v>
      </c>
      <c r="BT106" s="72">
        <f t="shared" si="321"/>
        <v>-0.21275601112677661</v>
      </c>
      <c r="BU106" s="72">
        <f t="shared" si="321"/>
        <v>0.112204016309111</v>
      </c>
      <c r="BV106" s="72">
        <f t="shared" si="321"/>
        <v>-4.9543840262165142E-2</v>
      </c>
      <c r="BW106" s="72">
        <f t="shared" si="321"/>
        <v>2.2402050070494988E-2</v>
      </c>
      <c r="BX106" s="72"/>
      <c r="BY106" s="72"/>
      <c r="BZ106" s="72">
        <f t="shared" si="18"/>
        <v>2.2693899325534346E-2</v>
      </c>
    </row>
    <row r="107" spans="1:78" ht="13.15">
      <c r="A107" s="78" t="s">
        <v>5</v>
      </c>
      <c r="B107" s="74" t="s">
        <v>256</v>
      </c>
      <c r="C107" s="75" t="s">
        <v>257</v>
      </c>
      <c r="D107" s="75" t="s">
        <v>53</v>
      </c>
      <c r="E107" s="76"/>
      <c r="F107" s="59"/>
      <c r="G107" s="60"/>
      <c r="H107" s="77">
        <v>19316</v>
      </c>
      <c r="I107" s="77">
        <v>8496</v>
      </c>
      <c r="J107" s="77">
        <v>7897</v>
      </c>
      <c r="K107" s="77">
        <v>2553</v>
      </c>
      <c r="L107" s="77">
        <v>2682</v>
      </c>
      <c r="M107" s="77"/>
      <c r="N107" s="77"/>
      <c r="O107" s="77"/>
      <c r="P107" s="77">
        <v>248</v>
      </c>
      <c r="Q107" s="77"/>
      <c r="R107" s="77">
        <v>363</v>
      </c>
      <c r="S107" s="77"/>
      <c r="T107" s="77"/>
      <c r="U107" s="77"/>
      <c r="V107" s="77"/>
      <c r="W107" s="77"/>
      <c r="X107" s="77"/>
      <c r="Y107" s="77"/>
      <c r="Z107" s="77"/>
      <c r="AA107" s="77"/>
      <c r="AB107" s="77"/>
      <c r="AC107" s="77"/>
      <c r="AD107" s="77"/>
      <c r="AE107" s="62"/>
      <c r="AF107" s="63" t="b">
        <v>0</v>
      </c>
      <c r="AG107" s="63" t="b">
        <v>0</v>
      </c>
      <c r="AH107" s="62"/>
      <c r="AI107" s="64">
        <f t="shared" si="7"/>
        <v>41555</v>
      </c>
      <c r="AJ107" s="65" t="str">
        <f t="shared" si="8"/>
        <v>LAB</v>
      </c>
      <c r="AK107" s="66" t="str">
        <f t="shared" si="9"/>
        <v>HOLD</v>
      </c>
      <c r="AL107" s="67" t="e">
        <f t="shared" ca="1" si="10"/>
        <v>#NAME?</v>
      </c>
      <c r="AM107" s="68">
        <f t="shared" si="11"/>
        <v>10820</v>
      </c>
      <c r="AN107" s="69">
        <f t="shared" si="12"/>
        <v>0.26037781253760073</v>
      </c>
      <c r="AO107" s="62"/>
      <c r="AP107" s="70">
        <f t="shared" ref="AP107:AT107" si="322">H107/$AI107</f>
        <v>0.46482974371315122</v>
      </c>
      <c r="AQ107" s="70">
        <f t="shared" si="322"/>
        <v>0.20445193117555047</v>
      </c>
      <c r="AR107" s="70">
        <f t="shared" si="322"/>
        <v>0.19003729996390326</v>
      </c>
      <c r="AS107" s="70">
        <f t="shared" si="322"/>
        <v>6.1436650222596562E-2</v>
      </c>
      <c r="AT107" s="70">
        <f t="shared" si="322"/>
        <v>6.4540969799061487E-2</v>
      </c>
      <c r="AU107" s="70"/>
      <c r="AV107" s="70"/>
      <c r="AW107" s="81">
        <f t="shared" si="14"/>
        <v>1.4703405125736868E-2</v>
      </c>
      <c r="AX107" s="70">
        <f t="shared" ref="AX107:BG107" si="323">O107/$AI107</f>
        <v>0</v>
      </c>
      <c r="AY107" s="70">
        <f t="shared" si="323"/>
        <v>5.967994224521718E-3</v>
      </c>
      <c r="AZ107" s="70">
        <f t="shared" si="323"/>
        <v>0</v>
      </c>
      <c r="BA107" s="70">
        <f t="shared" si="323"/>
        <v>8.7354109012152577E-3</v>
      </c>
      <c r="BB107" s="70">
        <f t="shared" si="323"/>
        <v>0</v>
      </c>
      <c r="BC107" s="70">
        <f t="shared" si="323"/>
        <v>0</v>
      </c>
      <c r="BD107" s="70">
        <f t="shared" si="323"/>
        <v>0</v>
      </c>
      <c r="BE107" s="70">
        <f t="shared" si="323"/>
        <v>0</v>
      </c>
      <c r="BF107" s="70">
        <f t="shared" si="323"/>
        <v>0</v>
      </c>
      <c r="BG107" s="70">
        <f t="shared" si="323"/>
        <v>0</v>
      </c>
      <c r="BH107" s="70">
        <f t="shared" si="16"/>
        <v>-1.0755285551056204E-16</v>
      </c>
      <c r="BI107" s="62"/>
      <c r="BJ107" s="69">
        <v>0.40200000000000002</v>
      </c>
      <c r="BK107" s="69">
        <v>0.37</v>
      </c>
      <c r="BL107" s="69">
        <v>0.106</v>
      </c>
      <c r="BM107" s="69">
        <v>8.7999999999999995E-2</v>
      </c>
      <c r="BN107" s="69">
        <v>2.5000000000000001E-2</v>
      </c>
      <c r="BO107" s="69">
        <v>0</v>
      </c>
      <c r="BP107" s="69">
        <v>0</v>
      </c>
      <c r="BQ107" s="69">
        <v>8.9999999999999993E-3</v>
      </c>
      <c r="BR107" s="62"/>
      <c r="BS107" s="72">
        <f t="shared" ref="BS107:BW107" si="324">AP107-BJ107</f>
        <v>6.2829743713151198E-2</v>
      </c>
      <c r="BT107" s="72">
        <f t="shared" si="324"/>
        <v>-0.16554806882444953</v>
      </c>
      <c r="BU107" s="72">
        <f t="shared" si="324"/>
        <v>8.4037299963903259E-2</v>
      </c>
      <c r="BV107" s="72">
        <f t="shared" si="324"/>
        <v>-2.6563349777403433E-2</v>
      </c>
      <c r="BW107" s="72">
        <f t="shared" si="324"/>
        <v>3.9540969799061486E-2</v>
      </c>
      <c r="BX107" s="72"/>
      <c r="BY107" s="72"/>
      <c r="BZ107" s="72">
        <f t="shared" si="18"/>
        <v>5.7034051257368688E-3</v>
      </c>
    </row>
    <row r="108" spans="1:78" ht="13.15">
      <c r="A108" s="73" t="s">
        <v>6</v>
      </c>
      <c r="B108" s="74" t="s">
        <v>258</v>
      </c>
      <c r="C108" s="75" t="s">
        <v>259</v>
      </c>
      <c r="D108" s="75" t="s">
        <v>44</v>
      </c>
      <c r="E108" s="76"/>
      <c r="F108" s="59"/>
      <c r="G108" s="60"/>
      <c r="H108" s="77">
        <v>3175</v>
      </c>
      <c r="I108" s="77">
        <v>13368</v>
      </c>
      <c r="J108" s="77">
        <v>7859</v>
      </c>
      <c r="K108" s="77">
        <v>25540</v>
      </c>
      <c r="L108" s="77">
        <v>1815</v>
      </c>
      <c r="M108" s="77"/>
      <c r="N108" s="77"/>
      <c r="O108" s="77">
        <v>190</v>
      </c>
      <c r="P108" s="77"/>
      <c r="Q108" s="77"/>
      <c r="R108" s="77"/>
      <c r="S108" s="77"/>
      <c r="T108" s="77"/>
      <c r="U108" s="77"/>
      <c r="V108" s="77"/>
      <c r="W108" s="77"/>
      <c r="X108" s="77"/>
      <c r="Y108" s="77"/>
      <c r="Z108" s="77"/>
      <c r="AA108" s="77"/>
      <c r="AB108" s="77"/>
      <c r="AC108" s="77"/>
      <c r="AD108" s="77"/>
      <c r="AE108" s="62"/>
      <c r="AF108" s="63" t="b">
        <v>0</v>
      </c>
      <c r="AG108" s="63" t="b">
        <v>0</v>
      </c>
      <c r="AH108" s="62"/>
      <c r="AI108" s="64">
        <f t="shared" si="7"/>
        <v>51947</v>
      </c>
      <c r="AJ108" s="65" t="str">
        <f t="shared" si="8"/>
        <v>LDM</v>
      </c>
      <c r="AK108" s="66" t="str">
        <f t="shared" si="9"/>
        <v>GAIN</v>
      </c>
      <c r="AL108" s="67" t="e">
        <f t="shared" ca="1" si="10"/>
        <v>#NAME?</v>
      </c>
      <c r="AM108" s="68">
        <f t="shared" si="11"/>
        <v>12172</v>
      </c>
      <c r="AN108" s="69">
        <f t="shared" si="12"/>
        <v>0.23431574489383411</v>
      </c>
      <c r="AO108" s="62"/>
      <c r="AP108" s="70">
        <f t="shared" ref="AP108:AT108" si="325">H108/$AI108</f>
        <v>6.1119987679750513E-2</v>
      </c>
      <c r="AQ108" s="70">
        <f t="shared" si="325"/>
        <v>0.25733921111902514</v>
      </c>
      <c r="AR108" s="70">
        <f t="shared" si="325"/>
        <v>0.15128881359847537</v>
      </c>
      <c r="AS108" s="70">
        <f t="shared" si="325"/>
        <v>0.49165495601285925</v>
      </c>
      <c r="AT108" s="70">
        <f t="shared" si="325"/>
        <v>3.4939457524014859E-2</v>
      </c>
      <c r="AU108" s="70"/>
      <c r="AV108" s="70"/>
      <c r="AW108" s="81">
        <f t="shared" si="14"/>
        <v>3.6575740658748579E-3</v>
      </c>
      <c r="AX108" s="70">
        <f t="shared" ref="AX108:BG108" si="326">O108/$AI108</f>
        <v>3.657574065874834E-3</v>
      </c>
      <c r="AY108" s="70">
        <f t="shared" si="326"/>
        <v>0</v>
      </c>
      <c r="AZ108" s="70">
        <f t="shared" si="326"/>
        <v>0</v>
      </c>
      <c r="BA108" s="70">
        <f t="shared" si="326"/>
        <v>0</v>
      </c>
      <c r="BB108" s="70">
        <f t="shared" si="326"/>
        <v>0</v>
      </c>
      <c r="BC108" s="70">
        <f t="shared" si="326"/>
        <v>0</v>
      </c>
      <c r="BD108" s="70">
        <f t="shared" si="326"/>
        <v>0</v>
      </c>
      <c r="BE108" s="70">
        <f t="shared" si="326"/>
        <v>0</v>
      </c>
      <c r="BF108" s="70">
        <f t="shared" si="326"/>
        <v>0</v>
      </c>
      <c r="BG108" s="70">
        <f t="shared" si="326"/>
        <v>0</v>
      </c>
      <c r="BH108" s="70">
        <f t="shared" si="16"/>
        <v>2.3852447794681098E-17</v>
      </c>
      <c r="BI108" s="62"/>
      <c r="BJ108" s="69">
        <v>0.154</v>
      </c>
      <c r="BK108" s="69">
        <v>0.58799999999999997</v>
      </c>
      <c r="BL108" s="69">
        <v>0</v>
      </c>
      <c r="BM108" s="69">
        <v>0.20300000000000001</v>
      </c>
      <c r="BN108" s="69">
        <v>4.9000000000000002E-2</v>
      </c>
      <c r="BO108" s="69">
        <v>0</v>
      </c>
      <c r="BP108" s="69">
        <v>0</v>
      </c>
      <c r="BQ108" s="69">
        <v>7.0000000000000001E-3</v>
      </c>
      <c r="BR108" s="62"/>
      <c r="BS108" s="72">
        <f t="shared" ref="BS108:BW108" si="327">AP108-BJ108</f>
        <v>-9.2880012320249478E-2</v>
      </c>
      <c r="BT108" s="72">
        <f t="shared" si="327"/>
        <v>-0.33066078888097483</v>
      </c>
      <c r="BU108" s="72">
        <f t="shared" si="327"/>
        <v>0.15128881359847537</v>
      </c>
      <c r="BV108" s="72">
        <f t="shared" si="327"/>
        <v>0.28865495601285923</v>
      </c>
      <c r="BW108" s="72">
        <f t="shared" si="327"/>
        <v>-1.4060542475985142E-2</v>
      </c>
      <c r="BX108" s="72"/>
      <c r="BY108" s="72"/>
      <c r="BZ108" s="72">
        <f t="shared" si="18"/>
        <v>-3.3424259341251423E-3</v>
      </c>
    </row>
    <row r="109" spans="1:78" ht="13.15">
      <c r="A109" s="73" t="s">
        <v>6</v>
      </c>
      <c r="B109" s="74" t="s">
        <v>260</v>
      </c>
      <c r="C109" s="75" t="s">
        <v>261</v>
      </c>
      <c r="D109" s="75" t="s">
        <v>68</v>
      </c>
      <c r="E109" s="76"/>
      <c r="F109" s="59"/>
      <c r="G109" s="60"/>
      <c r="H109" s="77">
        <v>12523</v>
      </c>
      <c r="I109" s="77">
        <v>17281</v>
      </c>
      <c r="J109" s="77">
        <v>3653</v>
      </c>
      <c r="K109" s="77">
        <v>1275</v>
      </c>
      <c r="L109" s="77">
        <v>1334</v>
      </c>
      <c r="M109" s="77"/>
      <c r="N109" s="77"/>
      <c r="O109" s="77">
        <v>12445</v>
      </c>
      <c r="P109" s="77"/>
      <c r="Q109" s="77"/>
      <c r="R109" s="77"/>
      <c r="S109" s="77"/>
      <c r="T109" s="77"/>
      <c r="U109" s="77"/>
      <c r="V109" s="77"/>
      <c r="W109" s="77"/>
      <c r="X109" s="77"/>
      <c r="Y109" s="77"/>
      <c r="Z109" s="77"/>
      <c r="AA109" s="77"/>
      <c r="AB109" s="77"/>
      <c r="AC109" s="77"/>
      <c r="AD109" s="77"/>
      <c r="AE109" s="62"/>
      <c r="AF109" s="63" t="b">
        <v>0</v>
      </c>
      <c r="AG109" s="63" t="b">
        <v>0</v>
      </c>
      <c r="AH109" s="62"/>
      <c r="AI109" s="64">
        <f t="shared" si="7"/>
        <v>48511</v>
      </c>
      <c r="AJ109" s="65" t="str">
        <f t="shared" si="8"/>
        <v>CON</v>
      </c>
      <c r="AK109" s="66" t="str">
        <f t="shared" si="9"/>
        <v>HOLD</v>
      </c>
      <c r="AL109" s="67" t="e">
        <f t="shared" ca="1" si="10"/>
        <v>#NAME?</v>
      </c>
      <c r="AM109" s="68">
        <f t="shared" si="11"/>
        <v>4758</v>
      </c>
      <c r="AN109" s="69">
        <f t="shared" si="12"/>
        <v>9.8080847642802671E-2</v>
      </c>
      <c r="AO109" s="62"/>
      <c r="AP109" s="70">
        <f t="shared" ref="AP109:AT109" si="328">H109/$AI109</f>
        <v>0.25814763661849888</v>
      </c>
      <c r="AQ109" s="70">
        <f t="shared" si="328"/>
        <v>0.35622848426130155</v>
      </c>
      <c r="AR109" s="70">
        <f t="shared" si="328"/>
        <v>7.530250870936489E-2</v>
      </c>
      <c r="AS109" s="70">
        <f t="shared" si="328"/>
        <v>2.6282698769351281E-2</v>
      </c>
      <c r="AT109" s="70">
        <f t="shared" si="328"/>
        <v>2.7498917771227146E-2</v>
      </c>
      <c r="AU109" s="70"/>
      <c r="AV109" s="70"/>
      <c r="AW109" s="81">
        <f t="shared" si="14"/>
        <v>0.25653975387025629</v>
      </c>
      <c r="AX109" s="70">
        <f t="shared" ref="AX109:BG109" si="329">O109/$AI109</f>
        <v>0.25653975387025624</v>
      </c>
      <c r="AY109" s="70">
        <f t="shared" si="329"/>
        <v>0</v>
      </c>
      <c r="AZ109" s="70">
        <f t="shared" si="329"/>
        <v>0</v>
      </c>
      <c r="BA109" s="70">
        <f t="shared" si="329"/>
        <v>0</v>
      </c>
      <c r="BB109" s="70">
        <f t="shared" si="329"/>
        <v>0</v>
      </c>
      <c r="BC109" s="70">
        <f t="shared" si="329"/>
        <v>0</v>
      </c>
      <c r="BD109" s="70">
        <f t="shared" si="329"/>
        <v>0</v>
      </c>
      <c r="BE109" s="70">
        <f t="shared" si="329"/>
        <v>0</v>
      </c>
      <c r="BF109" s="70">
        <f t="shared" si="329"/>
        <v>0</v>
      </c>
      <c r="BG109" s="70">
        <f t="shared" si="329"/>
        <v>0</v>
      </c>
      <c r="BH109" s="70">
        <f t="shared" si="16"/>
        <v>0</v>
      </c>
      <c r="BI109" s="62"/>
      <c r="BJ109" s="69">
        <v>0.45300000000000001</v>
      </c>
      <c r="BK109" s="69">
        <v>0.48199999999999998</v>
      </c>
      <c r="BL109" s="69">
        <v>3.0000000000000001E-3</v>
      </c>
      <c r="BM109" s="69">
        <v>5.8999999999999997E-2</v>
      </c>
      <c r="BN109" s="69">
        <v>4.0000000000000001E-3</v>
      </c>
      <c r="BO109" s="69">
        <v>0</v>
      </c>
      <c r="BP109" s="69">
        <v>0</v>
      </c>
      <c r="BQ109" s="69">
        <v>0</v>
      </c>
      <c r="BR109" s="62"/>
      <c r="BS109" s="72">
        <f t="shared" ref="BS109:BW109" si="330">AP109-BJ109</f>
        <v>-0.19485236338150114</v>
      </c>
      <c r="BT109" s="72">
        <f t="shared" si="330"/>
        <v>-0.12577151573869844</v>
      </c>
      <c r="BU109" s="72">
        <f t="shared" si="330"/>
        <v>7.2302508709364888E-2</v>
      </c>
      <c r="BV109" s="72">
        <f t="shared" si="330"/>
        <v>-3.2717301230648713E-2</v>
      </c>
      <c r="BW109" s="72">
        <f t="shared" si="330"/>
        <v>2.3498917771227146E-2</v>
      </c>
      <c r="BX109" s="72"/>
      <c r="BY109" s="72"/>
      <c r="BZ109" s="72">
        <f t="shared" si="18"/>
        <v>0.25653975387025624</v>
      </c>
    </row>
    <row r="110" spans="1:78" ht="13.15">
      <c r="A110" s="73" t="s">
        <v>6</v>
      </c>
      <c r="B110" s="74" t="s">
        <v>262</v>
      </c>
      <c r="C110" s="75" t="s">
        <v>263</v>
      </c>
      <c r="D110" s="75" t="s">
        <v>85</v>
      </c>
      <c r="E110" s="76"/>
      <c r="F110" s="59"/>
      <c r="G110" s="60"/>
      <c r="H110" s="77">
        <v>3925</v>
      </c>
      <c r="I110" s="77">
        <v>14414</v>
      </c>
      <c r="J110" s="77">
        <v>6127</v>
      </c>
      <c r="K110" s="77">
        <v>22552</v>
      </c>
      <c r="L110" s="77">
        <v>1954</v>
      </c>
      <c r="M110" s="77"/>
      <c r="N110" s="77"/>
      <c r="O110" s="77">
        <v>540</v>
      </c>
      <c r="P110" s="77"/>
      <c r="Q110" s="77"/>
      <c r="R110" s="77"/>
      <c r="S110" s="77"/>
      <c r="T110" s="77"/>
      <c r="U110" s="77"/>
      <c r="V110" s="77"/>
      <c r="W110" s="77"/>
      <c r="X110" s="77"/>
      <c r="Y110" s="77"/>
      <c r="Z110" s="77"/>
      <c r="AA110" s="77"/>
      <c r="AB110" s="77"/>
      <c r="AC110" s="77"/>
      <c r="AD110" s="77"/>
      <c r="AE110" s="62"/>
      <c r="AF110" s="63" t="b">
        <v>0</v>
      </c>
      <c r="AG110" s="63" t="b">
        <v>0</v>
      </c>
      <c r="AH110" s="62"/>
      <c r="AI110" s="64">
        <f t="shared" si="7"/>
        <v>49512</v>
      </c>
      <c r="AJ110" s="65" t="str">
        <f t="shared" si="8"/>
        <v>LDM</v>
      </c>
      <c r="AK110" s="66" t="str">
        <f t="shared" si="9"/>
        <v>GAIN</v>
      </c>
      <c r="AL110" s="67" t="e">
        <f t="shared" ca="1" si="10"/>
        <v>#NAME?</v>
      </c>
      <c r="AM110" s="68">
        <f t="shared" si="11"/>
        <v>8138</v>
      </c>
      <c r="AN110" s="69">
        <f t="shared" si="12"/>
        <v>0.16436419453869772</v>
      </c>
      <c r="AO110" s="62"/>
      <c r="AP110" s="70">
        <f t="shared" ref="AP110:AT110" si="331">H110/$AI110</f>
        <v>7.9273711423493293E-2</v>
      </c>
      <c r="AQ110" s="70">
        <f t="shared" si="331"/>
        <v>0.29112134432056874</v>
      </c>
      <c r="AR110" s="70">
        <f t="shared" si="331"/>
        <v>0.12374777831636775</v>
      </c>
      <c r="AS110" s="70">
        <f t="shared" si="331"/>
        <v>0.45548553885926646</v>
      </c>
      <c r="AT110" s="70">
        <f t="shared" si="331"/>
        <v>3.946518015834545E-2</v>
      </c>
      <c r="AU110" s="70"/>
      <c r="AV110" s="70"/>
      <c r="AW110" s="81">
        <f t="shared" si="14"/>
        <v>1.0906446921958302E-2</v>
      </c>
      <c r="AX110" s="70">
        <f t="shared" ref="AX110:BG110" si="332">O110/$AI110</f>
        <v>1.0906446921958314E-2</v>
      </c>
      <c r="AY110" s="70">
        <f t="shared" si="332"/>
        <v>0</v>
      </c>
      <c r="AZ110" s="70">
        <f t="shared" si="332"/>
        <v>0</v>
      </c>
      <c r="BA110" s="70">
        <f t="shared" si="332"/>
        <v>0</v>
      </c>
      <c r="BB110" s="70">
        <f t="shared" si="332"/>
        <v>0</v>
      </c>
      <c r="BC110" s="70">
        <f t="shared" si="332"/>
        <v>0</v>
      </c>
      <c r="BD110" s="70">
        <f t="shared" si="332"/>
        <v>0</v>
      </c>
      <c r="BE110" s="70">
        <f t="shared" si="332"/>
        <v>0</v>
      </c>
      <c r="BF110" s="70">
        <f t="shared" si="332"/>
        <v>0</v>
      </c>
      <c r="BG110" s="70">
        <f t="shared" si="332"/>
        <v>0</v>
      </c>
      <c r="BH110" s="70">
        <f t="shared" si="16"/>
        <v>0</v>
      </c>
      <c r="BI110" s="62"/>
      <c r="BJ110" s="69">
        <v>0.11700000000000001</v>
      </c>
      <c r="BK110" s="69">
        <v>0.56399999999999995</v>
      </c>
      <c r="BL110" s="69">
        <v>0</v>
      </c>
      <c r="BM110" s="69">
        <v>0.30299999999999999</v>
      </c>
      <c r="BN110" s="69">
        <v>1.7000000000000001E-2</v>
      </c>
      <c r="BO110" s="69">
        <v>0</v>
      </c>
      <c r="BP110" s="69">
        <v>0</v>
      </c>
      <c r="BQ110" s="69">
        <v>0</v>
      </c>
      <c r="BR110" s="62"/>
      <c r="BS110" s="72">
        <f t="shared" ref="BS110:BW110" si="333">AP110-BJ110</f>
        <v>-3.7726288576506714E-2</v>
      </c>
      <c r="BT110" s="72">
        <f t="shared" si="333"/>
        <v>-0.2728786556794312</v>
      </c>
      <c r="BU110" s="72">
        <f t="shared" si="333"/>
        <v>0.12374777831636775</v>
      </c>
      <c r="BV110" s="72">
        <f t="shared" si="333"/>
        <v>0.15248553885926647</v>
      </c>
      <c r="BW110" s="72">
        <f t="shared" si="333"/>
        <v>2.2465180158345449E-2</v>
      </c>
      <c r="BX110" s="72"/>
      <c r="BY110" s="72"/>
      <c r="BZ110" s="72">
        <f t="shared" si="18"/>
        <v>1.0906446921958314E-2</v>
      </c>
    </row>
    <row r="111" spans="1:78" ht="13.15">
      <c r="A111" s="73" t="s">
        <v>6</v>
      </c>
      <c r="B111" s="74" t="s">
        <v>264</v>
      </c>
      <c r="C111" s="75" t="s">
        <v>265</v>
      </c>
      <c r="D111" s="75" t="s">
        <v>68</v>
      </c>
      <c r="E111" s="76"/>
      <c r="F111" s="59"/>
      <c r="G111" s="60"/>
      <c r="H111" s="77">
        <v>21585</v>
      </c>
      <c r="I111" s="77">
        <v>18671</v>
      </c>
      <c r="J111" s="77">
        <v>3986</v>
      </c>
      <c r="K111" s="77">
        <v>2614</v>
      </c>
      <c r="L111" s="77">
        <v>3442</v>
      </c>
      <c r="M111" s="77"/>
      <c r="N111" s="77"/>
      <c r="O111" s="77">
        <v>182</v>
      </c>
      <c r="P111" s="77"/>
      <c r="Q111" s="77"/>
      <c r="R111" s="77"/>
      <c r="S111" s="77"/>
      <c r="T111" s="77"/>
      <c r="U111" s="77"/>
      <c r="V111" s="77"/>
      <c r="W111" s="77"/>
      <c r="X111" s="77"/>
      <c r="Y111" s="77">
        <v>379</v>
      </c>
      <c r="Z111" s="77"/>
      <c r="AA111" s="77"/>
      <c r="AB111" s="77"/>
      <c r="AC111" s="77"/>
      <c r="AD111" s="77"/>
      <c r="AE111" s="62"/>
      <c r="AF111" s="63" t="b">
        <v>0</v>
      </c>
      <c r="AG111" s="63" t="b">
        <v>0</v>
      </c>
      <c r="AH111" s="62"/>
      <c r="AI111" s="64">
        <f t="shared" si="7"/>
        <v>50859</v>
      </c>
      <c r="AJ111" s="65" t="str">
        <f t="shared" si="8"/>
        <v>LAB</v>
      </c>
      <c r="AK111" s="66" t="str">
        <f t="shared" si="9"/>
        <v>GAIN</v>
      </c>
      <c r="AL111" s="67" t="e">
        <f t="shared" ca="1" si="10"/>
        <v>#NAME?</v>
      </c>
      <c r="AM111" s="68">
        <f t="shared" si="11"/>
        <v>2914</v>
      </c>
      <c r="AN111" s="69">
        <f t="shared" si="12"/>
        <v>5.7295660551721417E-2</v>
      </c>
      <c r="AO111" s="62"/>
      <c r="AP111" s="70">
        <f t="shared" ref="AP111:AT111" si="334">H111/$AI111</f>
        <v>0.42440865923435378</v>
      </c>
      <c r="AQ111" s="70">
        <f t="shared" si="334"/>
        <v>0.36711299868263236</v>
      </c>
      <c r="AR111" s="70">
        <f t="shared" si="334"/>
        <v>7.8373542539176944E-2</v>
      </c>
      <c r="AS111" s="70">
        <f t="shared" si="334"/>
        <v>5.1396999547769322E-2</v>
      </c>
      <c r="AT111" s="70">
        <f t="shared" si="334"/>
        <v>6.7677303918677129E-2</v>
      </c>
      <c r="AU111" s="70"/>
      <c r="AV111" s="70"/>
      <c r="AW111" s="81">
        <f t="shared" si="14"/>
        <v>1.1030496077390484E-2</v>
      </c>
      <c r="AX111" s="70">
        <f t="shared" ref="AX111:BG111" si="335">O111/$AI111</f>
        <v>3.5785210090642757E-3</v>
      </c>
      <c r="AY111" s="70">
        <f t="shared" si="335"/>
        <v>0</v>
      </c>
      <c r="AZ111" s="70">
        <f t="shared" si="335"/>
        <v>0</v>
      </c>
      <c r="BA111" s="70">
        <f t="shared" si="335"/>
        <v>0</v>
      </c>
      <c r="BB111" s="70">
        <f t="shared" si="335"/>
        <v>0</v>
      </c>
      <c r="BC111" s="70">
        <f t="shared" si="335"/>
        <v>0</v>
      </c>
      <c r="BD111" s="70">
        <f t="shared" si="335"/>
        <v>0</v>
      </c>
      <c r="BE111" s="70">
        <f t="shared" si="335"/>
        <v>0</v>
      </c>
      <c r="BF111" s="70">
        <f t="shared" si="335"/>
        <v>0</v>
      </c>
      <c r="BG111" s="70">
        <f t="shared" si="335"/>
        <v>0</v>
      </c>
      <c r="BH111" s="70">
        <f t="shared" si="16"/>
        <v>7.451975068326208E-3</v>
      </c>
      <c r="BI111" s="62"/>
      <c r="BJ111" s="69">
        <v>0.40300000000000002</v>
      </c>
      <c r="BK111" s="69">
        <v>0.47599999999999998</v>
      </c>
      <c r="BL111" s="69">
        <v>0</v>
      </c>
      <c r="BM111" s="69">
        <v>9.8000000000000004E-2</v>
      </c>
      <c r="BN111" s="69">
        <v>2.1999999999999999E-2</v>
      </c>
      <c r="BO111" s="69">
        <v>0</v>
      </c>
      <c r="BP111" s="69">
        <v>0</v>
      </c>
      <c r="BQ111" s="69">
        <v>1E-3</v>
      </c>
      <c r="BR111" s="62"/>
      <c r="BS111" s="72">
        <f t="shared" ref="BS111:BW111" si="336">AP111-BJ111</f>
        <v>2.1408659234353755E-2</v>
      </c>
      <c r="BT111" s="72">
        <f t="shared" si="336"/>
        <v>-0.10888700131736762</v>
      </c>
      <c r="BU111" s="72">
        <f t="shared" si="336"/>
        <v>7.8373542539176944E-2</v>
      </c>
      <c r="BV111" s="72">
        <f t="shared" si="336"/>
        <v>-4.6603000452230682E-2</v>
      </c>
      <c r="BW111" s="72">
        <f t="shared" si="336"/>
        <v>4.567730391867713E-2</v>
      </c>
      <c r="BX111" s="72"/>
      <c r="BY111" s="72"/>
      <c r="BZ111" s="72">
        <f t="shared" si="18"/>
        <v>1.0030496077390483E-2</v>
      </c>
    </row>
    <row r="112" spans="1:78" ht="13.15">
      <c r="A112" s="83" t="s">
        <v>266</v>
      </c>
      <c r="B112" s="74" t="s">
        <v>267</v>
      </c>
      <c r="C112" s="75" t="s">
        <v>268</v>
      </c>
      <c r="D112" s="75" t="s">
        <v>50</v>
      </c>
      <c r="E112" s="76"/>
      <c r="F112" s="59"/>
      <c r="G112" s="60"/>
      <c r="H112" s="77"/>
      <c r="I112" s="77"/>
      <c r="J112" s="77"/>
      <c r="K112" s="77"/>
      <c r="L112" s="77">
        <v>4663</v>
      </c>
      <c r="M112" s="77"/>
      <c r="N112" s="77"/>
      <c r="O112" s="77">
        <v>2424</v>
      </c>
      <c r="P112" s="77"/>
      <c r="Q112" s="77"/>
      <c r="R112" s="77"/>
      <c r="S112" s="77"/>
      <c r="T112" s="77"/>
      <c r="U112" s="77"/>
      <c r="V112" s="77"/>
      <c r="W112" s="77"/>
      <c r="X112" s="77"/>
      <c r="Y112" s="77">
        <v>25238</v>
      </c>
      <c r="Z112" s="77">
        <v>1007</v>
      </c>
      <c r="AA112" s="77">
        <v>632</v>
      </c>
      <c r="AB112" s="77"/>
      <c r="AC112" s="77"/>
      <c r="AD112" s="77"/>
      <c r="AE112" s="62"/>
      <c r="AF112" s="63" t="b">
        <v>0</v>
      </c>
      <c r="AG112" s="63" t="b">
        <v>0</v>
      </c>
      <c r="AH112" s="62"/>
      <c r="AI112" s="64">
        <f t="shared" si="7"/>
        <v>33964</v>
      </c>
      <c r="AJ112" s="65" t="s">
        <v>266</v>
      </c>
      <c r="AK112" s="66" t="str">
        <f t="shared" si="9"/>
        <v>HOLD</v>
      </c>
      <c r="AL112" s="67" t="e">
        <f t="shared" ca="1" si="10"/>
        <v>#NAME?</v>
      </c>
      <c r="AM112" s="68">
        <f t="shared" si="11"/>
        <v>2239</v>
      </c>
      <c r="AN112" s="69">
        <f t="shared" si="12"/>
        <v>6.5922741726533979E-2</v>
      </c>
      <c r="AO112" s="62"/>
      <c r="AP112" s="70">
        <f t="shared" ref="AP112:AT112" si="337">H112/$AI112</f>
        <v>0</v>
      </c>
      <c r="AQ112" s="70">
        <f t="shared" si="337"/>
        <v>0</v>
      </c>
      <c r="AR112" s="70">
        <f t="shared" si="337"/>
        <v>0</v>
      </c>
      <c r="AS112" s="70">
        <f t="shared" si="337"/>
        <v>0</v>
      </c>
      <c r="AT112" s="70">
        <f t="shared" si="337"/>
        <v>0.13729242727593924</v>
      </c>
      <c r="AU112" s="70"/>
      <c r="AV112" s="70"/>
      <c r="AW112" s="81">
        <f t="shared" si="14"/>
        <v>0.86270757272406073</v>
      </c>
      <c r="AX112" s="70">
        <f t="shared" ref="AX112:BG112" si="338">O112/$AI112</f>
        <v>7.136968554940526E-2</v>
      </c>
      <c r="AY112" s="70">
        <f t="shared" si="338"/>
        <v>0</v>
      </c>
      <c r="AZ112" s="70">
        <f t="shared" si="338"/>
        <v>0</v>
      </c>
      <c r="BA112" s="70">
        <f t="shared" si="338"/>
        <v>0</v>
      </c>
      <c r="BB112" s="70">
        <f t="shared" si="338"/>
        <v>0</v>
      </c>
      <c r="BC112" s="70">
        <f t="shared" si="338"/>
        <v>0</v>
      </c>
      <c r="BD112" s="70">
        <f t="shared" si="338"/>
        <v>0</v>
      </c>
      <c r="BE112" s="70">
        <f t="shared" si="338"/>
        <v>0</v>
      </c>
      <c r="BF112" s="70">
        <f t="shared" si="338"/>
        <v>0</v>
      </c>
      <c r="BG112" s="70">
        <f t="shared" si="338"/>
        <v>0</v>
      </c>
      <c r="BH112" s="70">
        <f t="shared" si="16"/>
        <v>0.79133788717465547</v>
      </c>
      <c r="BI112" s="62"/>
      <c r="BJ112" s="69">
        <v>0</v>
      </c>
      <c r="BK112" s="69">
        <v>0</v>
      </c>
      <c r="BL112" s="69">
        <v>0</v>
      </c>
      <c r="BM112" s="69">
        <v>0</v>
      </c>
      <c r="BN112" s="69">
        <v>0.09</v>
      </c>
      <c r="BO112" s="69">
        <v>0</v>
      </c>
      <c r="BP112" s="69">
        <v>0</v>
      </c>
      <c r="BQ112" s="69">
        <v>0.91</v>
      </c>
      <c r="BR112" s="62"/>
      <c r="BS112" s="72">
        <f t="shared" ref="BS112:BW112" si="339">AP112-BJ112</f>
        <v>0</v>
      </c>
      <c r="BT112" s="72">
        <f t="shared" si="339"/>
        <v>0</v>
      </c>
      <c r="BU112" s="72">
        <f t="shared" si="339"/>
        <v>0</v>
      </c>
      <c r="BV112" s="72">
        <f t="shared" si="339"/>
        <v>0</v>
      </c>
      <c r="BW112" s="72">
        <f t="shared" si="339"/>
        <v>4.7292427275939242E-2</v>
      </c>
      <c r="BX112" s="72"/>
      <c r="BY112" s="72"/>
      <c r="BZ112" s="72">
        <f t="shared" si="18"/>
        <v>-4.7292427275939297E-2</v>
      </c>
    </row>
    <row r="113" spans="1:78" ht="13.15">
      <c r="A113" s="73" t="s">
        <v>6</v>
      </c>
      <c r="B113" s="74" t="s">
        <v>269</v>
      </c>
      <c r="C113" s="75" t="s">
        <v>270</v>
      </c>
      <c r="D113" s="75" t="s">
        <v>85</v>
      </c>
      <c r="E113" s="76"/>
      <c r="F113" s="59"/>
      <c r="G113" s="60"/>
      <c r="H113" s="77">
        <v>7762</v>
      </c>
      <c r="I113" s="77">
        <v>16941</v>
      </c>
      <c r="J113" s="77">
        <v>8961</v>
      </c>
      <c r="K113" s="77">
        <v>9486</v>
      </c>
      <c r="L113" s="77">
        <v>1900</v>
      </c>
      <c r="M113" s="77"/>
      <c r="N113" s="77"/>
      <c r="O113" s="77">
        <v>1728</v>
      </c>
      <c r="P113" s="77"/>
      <c r="Q113" s="77">
        <v>59</v>
      </c>
      <c r="R113" s="77"/>
      <c r="S113" s="77"/>
      <c r="T113" s="77"/>
      <c r="U113" s="77"/>
      <c r="V113" s="77"/>
      <c r="W113" s="77"/>
      <c r="X113" s="77"/>
      <c r="Y113" s="77">
        <v>335</v>
      </c>
      <c r="Z113" s="77">
        <v>163</v>
      </c>
      <c r="AA113" s="77"/>
      <c r="AB113" s="77"/>
      <c r="AC113" s="77"/>
      <c r="AD113" s="77"/>
      <c r="AE113" s="62"/>
      <c r="AF113" s="63" t="b">
        <v>0</v>
      </c>
      <c r="AG113" s="63" t="b">
        <v>0</v>
      </c>
      <c r="AH113" s="62"/>
      <c r="AI113" s="64">
        <f t="shared" si="7"/>
        <v>47335</v>
      </c>
      <c r="AJ113" s="65" t="str">
        <f t="shared" ref="AJ113:AJ367" si="340">INDEX($H$1:$X$1,0,MATCH(MAX($H113:$X113),$H113:$X113,0))</f>
        <v>CON</v>
      </c>
      <c r="AK113" s="66" t="str">
        <f t="shared" si="9"/>
        <v>HOLD</v>
      </c>
      <c r="AL113" s="67" t="e">
        <f t="shared" ca="1" si="10"/>
        <v>#NAME?</v>
      </c>
      <c r="AM113" s="68">
        <f t="shared" si="11"/>
        <v>7455</v>
      </c>
      <c r="AN113" s="69">
        <f t="shared" si="12"/>
        <v>0.15749445442061899</v>
      </c>
      <c r="AO113" s="62"/>
      <c r="AP113" s="70">
        <f t="shared" ref="AP113:AT113" si="341">H113/$AI113</f>
        <v>0.16398014154431181</v>
      </c>
      <c r="AQ113" s="70">
        <f t="shared" si="341"/>
        <v>0.35789584873772051</v>
      </c>
      <c r="AR113" s="70">
        <f t="shared" si="341"/>
        <v>0.18931023555508608</v>
      </c>
      <c r="AS113" s="70">
        <f t="shared" si="341"/>
        <v>0.20040139431710152</v>
      </c>
      <c r="AT113" s="70">
        <f t="shared" si="341"/>
        <v>4.0139431710151052E-2</v>
      </c>
      <c r="AU113" s="70"/>
      <c r="AV113" s="70"/>
      <c r="AW113" s="81">
        <f t="shared" si="14"/>
        <v>4.827294813562899E-2</v>
      </c>
      <c r="AX113" s="70">
        <f t="shared" ref="AX113:BG113" si="342">O113/$AI113</f>
        <v>3.6505756839547904E-2</v>
      </c>
      <c r="AY113" s="70">
        <f t="shared" si="342"/>
        <v>0</v>
      </c>
      <c r="AZ113" s="70">
        <f t="shared" si="342"/>
        <v>1.2464349846836378E-3</v>
      </c>
      <c r="BA113" s="70">
        <f t="shared" si="342"/>
        <v>0</v>
      </c>
      <c r="BB113" s="70">
        <f t="shared" si="342"/>
        <v>0</v>
      </c>
      <c r="BC113" s="70">
        <f t="shared" si="342"/>
        <v>0</v>
      </c>
      <c r="BD113" s="70">
        <f t="shared" si="342"/>
        <v>0</v>
      </c>
      <c r="BE113" s="70">
        <f t="shared" si="342"/>
        <v>0</v>
      </c>
      <c r="BF113" s="70">
        <f t="shared" si="342"/>
        <v>0</v>
      </c>
      <c r="BG113" s="70">
        <f t="shared" si="342"/>
        <v>0</v>
      </c>
      <c r="BH113" s="70">
        <f t="shared" si="16"/>
        <v>1.0520756311397449E-2</v>
      </c>
      <c r="BI113" s="62"/>
      <c r="BJ113" s="69">
        <v>0.129</v>
      </c>
      <c r="BK113" s="69">
        <v>0.65600000000000003</v>
      </c>
      <c r="BL113" s="69">
        <v>0</v>
      </c>
      <c r="BM113" s="69">
        <v>0.17399999999999999</v>
      </c>
      <c r="BN113" s="69">
        <v>4.2000000000000003E-2</v>
      </c>
      <c r="BO113" s="69">
        <v>0</v>
      </c>
      <c r="BP113" s="69">
        <v>0</v>
      </c>
      <c r="BQ113" s="69">
        <v>0</v>
      </c>
      <c r="BR113" s="62"/>
      <c r="BS113" s="72">
        <f t="shared" ref="BS113:BW113" si="343">AP113-BJ113</f>
        <v>3.498014154431181E-2</v>
      </c>
      <c r="BT113" s="72">
        <f t="shared" si="343"/>
        <v>-0.29810415126227952</v>
      </c>
      <c r="BU113" s="72">
        <f t="shared" si="343"/>
        <v>0.18931023555508608</v>
      </c>
      <c r="BV113" s="72">
        <f t="shared" si="343"/>
        <v>2.6401394317101534E-2</v>
      </c>
      <c r="BW113" s="72">
        <f t="shared" si="343"/>
        <v>-1.8605682898489503E-3</v>
      </c>
      <c r="BX113" s="72"/>
      <c r="BY113" s="72"/>
      <c r="BZ113" s="72">
        <f t="shared" si="18"/>
        <v>4.827294813562899E-2</v>
      </c>
    </row>
    <row r="114" spans="1:78" ht="13.15">
      <c r="A114" s="73" t="s">
        <v>6</v>
      </c>
      <c r="B114" s="74" t="s">
        <v>271</v>
      </c>
      <c r="C114" s="75" t="s">
        <v>272</v>
      </c>
      <c r="D114" s="75" t="s">
        <v>68</v>
      </c>
      <c r="E114" s="76"/>
      <c r="F114" s="59"/>
      <c r="G114" s="60"/>
      <c r="H114" s="77">
        <v>15302</v>
      </c>
      <c r="I114" s="77">
        <v>12594</v>
      </c>
      <c r="J114" s="77">
        <v>2752</v>
      </c>
      <c r="K114" s="77">
        <v>4335</v>
      </c>
      <c r="L114" s="77">
        <v>2844</v>
      </c>
      <c r="M114" s="77"/>
      <c r="N114" s="77"/>
      <c r="O114" s="77"/>
      <c r="P114" s="77">
        <v>727</v>
      </c>
      <c r="Q114" s="77"/>
      <c r="R114" s="77"/>
      <c r="S114" s="77"/>
      <c r="T114" s="77"/>
      <c r="U114" s="77"/>
      <c r="V114" s="77"/>
      <c r="W114" s="77"/>
      <c r="X114" s="77"/>
      <c r="Y114" s="77">
        <v>352</v>
      </c>
      <c r="Z114" s="77"/>
      <c r="AA114" s="77"/>
      <c r="AB114" s="77"/>
      <c r="AC114" s="77"/>
      <c r="AD114" s="77"/>
      <c r="AE114" s="62"/>
      <c r="AF114" s="63" t="b">
        <v>0</v>
      </c>
      <c r="AG114" s="63" t="b">
        <v>0</v>
      </c>
      <c r="AH114" s="62"/>
      <c r="AI114" s="64">
        <f t="shared" si="7"/>
        <v>38906</v>
      </c>
      <c r="AJ114" s="65" t="str">
        <f t="shared" si="340"/>
        <v>LAB</v>
      </c>
      <c r="AK114" s="66" t="str">
        <f t="shared" si="9"/>
        <v>GAIN</v>
      </c>
      <c r="AL114" s="67" t="e">
        <f t="shared" ca="1" si="10"/>
        <v>#NAME?</v>
      </c>
      <c r="AM114" s="68">
        <f t="shared" si="11"/>
        <v>2708</v>
      </c>
      <c r="AN114" s="69">
        <f t="shared" si="12"/>
        <v>6.9603660103840004E-2</v>
      </c>
      <c r="AO114" s="62"/>
      <c r="AP114" s="70">
        <f t="shared" ref="AP114:AT114" si="344">H114/$AI114</f>
        <v>0.39330694494422452</v>
      </c>
      <c r="AQ114" s="70">
        <f t="shared" si="344"/>
        <v>0.32370328484038452</v>
      </c>
      <c r="AR114" s="70">
        <f t="shared" si="344"/>
        <v>7.0734591065645405E-2</v>
      </c>
      <c r="AS114" s="70">
        <f t="shared" si="344"/>
        <v>0.11142240271423431</v>
      </c>
      <c r="AT114" s="70">
        <f t="shared" si="344"/>
        <v>7.3099264894874824E-2</v>
      </c>
      <c r="AU114" s="70"/>
      <c r="AV114" s="70"/>
      <c r="AW114" s="81">
        <f t="shared" si="14"/>
        <v>2.7733511540636413E-2</v>
      </c>
      <c r="AX114" s="70">
        <f t="shared" ref="AX114:BG114" si="345">O114/$AI114</f>
        <v>0</v>
      </c>
      <c r="AY114" s="70">
        <f t="shared" si="345"/>
        <v>1.8686063846193389E-2</v>
      </c>
      <c r="AZ114" s="70">
        <f t="shared" si="345"/>
        <v>0</v>
      </c>
      <c r="BA114" s="70">
        <f t="shared" si="345"/>
        <v>0</v>
      </c>
      <c r="BB114" s="70">
        <f t="shared" si="345"/>
        <v>0</v>
      </c>
      <c r="BC114" s="70">
        <f t="shared" si="345"/>
        <v>0</v>
      </c>
      <c r="BD114" s="70">
        <f t="shared" si="345"/>
        <v>0</v>
      </c>
      <c r="BE114" s="70">
        <f t="shared" si="345"/>
        <v>0</v>
      </c>
      <c r="BF114" s="70">
        <f t="shared" si="345"/>
        <v>0</v>
      </c>
      <c r="BG114" s="70">
        <f t="shared" si="345"/>
        <v>0</v>
      </c>
      <c r="BH114" s="70">
        <f t="shared" si="16"/>
        <v>9.047447694443024E-3</v>
      </c>
      <c r="BI114" s="62"/>
      <c r="BJ114" s="69">
        <v>0.28899999999999998</v>
      </c>
      <c r="BK114" s="69">
        <v>0.40300000000000002</v>
      </c>
      <c r="BL114" s="69">
        <v>2E-3</v>
      </c>
      <c r="BM114" s="69">
        <v>0.28199999999999997</v>
      </c>
      <c r="BN114" s="69">
        <v>1.9E-2</v>
      </c>
      <c r="BO114" s="69">
        <v>0</v>
      </c>
      <c r="BP114" s="69">
        <v>0</v>
      </c>
      <c r="BQ114" s="69">
        <v>4.0000000000000001E-3</v>
      </c>
      <c r="BR114" s="62"/>
      <c r="BS114" s="72">
        <f t="shared" ref="BS114:BW114" si="346">AP114-BJ114</f>
        <v>0.10430694494422454</v>
      </c>
      <c r="BT114" s="72">
        <f t="shared" si="346"/>
        <v>-7.9296715159615505E-2</v>
      </c>
      <c r="BU114" s="72">
        <f t="shared" si="346"/>
        <v>6.8734591065645403E-2</v>
      </c>
      <c r="BV114" s="72">
        <f t="shared" si="346"/>
        <v>-0.17057759728576566</v>
      </c>
      <c r="BW114" s="72">
        <f t="shared" si="346"/>
        <v>5.4099264894874821E-2</v>
      </c>
      <c r="BX114" s="72"/>
      <c r="BY114" s="72"/>
      <c r="BZ114" s="72">
        <f t="shared" si="18"/>
        <v>2.3733511540636413E-2</v>
      </c>
    </row>
    <row r="115" spans="1:78" ht="13.15">
      <c r="A115" s="78" t="s">
        <v>5</v>
      </c>
      <c r="B115" s="74" t="s">
        <v>273</v>
      </c>
      <c r="C115" s="75" t="s">
        <v>274</v>
      </c>
      <c r="D115" s="75" t="s">
        <v>129</v>
      </c>
      <c r="E115" s="76"/>
      <c r="F115" s="59"/>
      <c r="G115" s="60"/>
      <c r="H115" s="77">
        <v>19131</v>
      </c>
      <c r="I115" s="77">
        <v>5221</v>
      </c>
      <c r="J115" s="77">
        <v>7374</v>
      </c>
      <c r="K115" s="77">
        <v>5920</v>
      </c>
      <c r="L115" s="77">
        <v>2803</v>
      </c>
      <c r="M115" s="77"/>
      <c r="N115" s="77"/>
      <c r="O115" s="77"/>
      <c r="P115" s="77"/>
      <c r="Q115" s="77">
        <v>178</v>
      </c>
      <c r="R115" s="77"/>
      <c r="S115" s="77"/>
      <c r="T115" s="77"/>
      <c r="U115" s="77"/>
      <c r="V115" s="77"/>
      <c r="W115" s="77"/>
      <c r="X115" s="77"/>
      <c r="Y115" s="77"/>
      <c r="Z115" s="77"/>
      <c r="AA115" s="77"/>
      <c r="AB115" s="77"/>
      <c r="AC115" s="77"/>
      <c r="AD115" s="77"/>
      <c r="AE115" s="62"/>
      <c r="AF115" s="63" t="b">
        <v>0</v>
      </c>
      <c r="AG115" s="63" t="b">
        <v>0</v>
      </c>
      <c r="AH115" s="62"/>
      <c r="AI115" s="64">
        <f t="shared" si="7"/>
        <v>40627</v>
      </c>
      <c r="AJ115" s="65" t="str">
        <f t="shared" si="340"/>
        <v>LAB</v>
      </c>
      <c r="AK115" s="66" t="str">
        <f t="shared" si="9"/>
        <v>HOLD</v>
      </c>
      <c r="AL115" s="67" t="e">
        <f t="shared" ca="1" si="10"/>
        <v>#NAME?</v>
      </c>
      <c r="AM115" s="68">
        <f t="shared" si="11"/>
        <v>11757</v>
      </c>
      <c r="AN115" s="69">
        <f t="shared" si="12"/>
        <v>0.28938883008836491</v>
      </c>
      <c r="AO115" s="62"/>
      <c r="AP115" s="70">
        <f t="shared" ref="AP115:AT115" si="347">H115/$AI115</f>
        <v>0.4708937406158466</v>
      </c>
      <c r="AQ115" s="70">
        <f t="shared" si="347"/>
        <v>0.12851059640140794</v>
      </c>
      <c r="AR115" s="70">
        <f t="shared" si="347"/>
        <v>0.18150491052748172</v>
      </c>
      <c r="AS115" s="70">
        <f t="shared" si="347"/>
        <v>0.1457159032170724</v>
      </c>
      <c r="AT115" s="70">
        <f t="shared" si="347"/>
        <v>6.8993526472542893E-2</v>
      </c>
      <c r="AU115" s="70"/>
      <c r="AV115" s="70"/>
      <c r="AW115" s="81">
        <f t="shared" si="14"/>
        <v>4.3813227656483988E-3</v>
      </c>
      <c r="AX115" s="70">
        <f t="shared" ref="AX115:BG115" si="348">O115/$AI115</f>
        <v>0</v>
      </c>
      <c r="AY115" s="70">
        <f t="shared" si="348"/>
        <v>0</v>
      </c>
      <c r="AZ115" s="70">
        <f t="shared" si="348"/>
        <v>4.3813227656484604E-3</v>
      </c>
      <c r="BA115" s="70">
        <f t="shared" si="348"/>
        <v>0</v>
      </c>
      <c r="BB115" s="70">
        <f t="shared" si="348"/>
        <v>0</v>
      </c>
      <c r="BC115" s="70">
        <f t="shared" si="348"/>
        <v>0</v>
      </c>
      <c r="BD115" s="70">
        <f t="shared" si="348"/>
        <v>0</v>
      </c>
      <c r="BE115" s="70">
        <f t="shared" si="348"/>
        <v>0</v>
      </c>
      <c r="BF115" s="70">
        <f t="shared" si="348"/>
        <v>0</v>
      </c>
      <c r="BG115" s="70">
        <f t="shared" si="348"/>
        <v>0</v>
      </c>
      <c r="BH115" s="70">
        <f t="shared" si="16"/>
        <v>-6.1582683397176652E-17</v>
      </c>
      <c r="BI115" s="62"/>
      <c r="BJ115" s="69">
        <v>0.40899999999999997</v>
      </c>
      <c r="BK115" s="69">
        <v>0.31900000000000001</v>
      </c>
      <c r="BL115" s="69">
        <v>6.6000000000000003E-2</v>
      </c>
      <c r="BM115" s="69">
        <v>0.16900000000000001</v>
      </c>
      <c r="BN115" s="69">
        <v>3.3000000000000002E-2</v>
      </c>
      <c r="BO115" s="69">
        <v>0</v>
      </c>
      <c r="BP115" s="69">
        <v>0</v>
      </c>
      <c r="BQ115" s="69">
        <v>4.0000000000000001E-3</v>
      </c>
      <c r="BR115" s="62"/>
      <c r="BS115" s="72">
        <f t="shared" ref="BS115:BW115" si="349">AP115-BJ115</f>
        <v>6.1893740615846626E-2</v>
      </c>
      <c r="BT115" s="72">
        <f t="shared" si="349"/>
        <v>-0.19048940359859207</v>
      </c>
      <c r="BU115" s="72">
        <f t="shared" si="349"/>
        <v>0.11550491052748171</v>
      </c>
      <c r="BV115" s="72">
        <f t="shared" si="349"/>
        <v>-2.3284096782927616E-2</v>
      </c>
      <c r="BW115" s="72">
        <f t="shared" si="349"/>
        <v>3.5993526472542892E-2</v>
      </c>
      <c r="BX115" s="72"/>
      <c r="BY115" s="72"/>
      <c r="BZ115" s="72">
        <f t="shared" si="18"/>
        <v>3.8132276564839876E-4</v>
      </c>
    </row>
    <row r="116" spans="1:78" ht="13.15">
      <c r="A116" s="73" t="s">
        <v>6</v>
      </c>
      <c r="B116" s="74" t="s">
        <v>275</v>
      </c>
      <c r="C116" s="75" t="s">
        <v>276</v>
      </c>
      <c r="D116" s="75" t="s">
        <v>78</v>
      </c>
      <c r="E116" s="76"/>
      <c r="F116" s="59"/>
      <c r="G116" s="60"/>
      <c r="H116" s="77">
        <v>7448</v>
      </c>
      <c r="I116" s="77">
        <v>12820</v>
      </c>
      <c r="J116" s="77">
        <v>21225</v>
      </c>
      <c r="K116" s="77">
        <v>2016</v>
      </c>
      <c r="L116" s="77">
        <v>1935</v>
      </c>
      <c r="M116" s="77"/>
      <c r="N116" s="77"/>
      <c r="O116" s="77">
        <v>317</v>
      </c>
      <c r="P116" s="77"/>
      <c r="Q116" s="77"/>
      <c r="R116" s="77"/>
      <c r="S116" s="77"/>
      <c r="T116" s="77"/>
      <c r="U116" s="77"/>
      <c r="V116" s="77"/>
      <c r="W116" s="77"/>
      <c r="X116" s="77"/>
      <c r="Y116" s="77">
        <v>116</v>
      </c>
      <c r="Z116" s="77">
        <v>48</v>
      </c>
      <c r="AA116" s="77">
        <v>33</v>
      </c>
      <c r="AB116" s="77"/>
      <c r="AC116" s="77"/>
      <c r="AD116" s="77"/>
      <c r="AE116" s="62"/>
      <c r="AF116" s="63" t="b">
        <v>0</v>
      </c>
      <c r="AG116" s="63" t="b">
        <v>0</v>
      </c>
      <c r="AH116" s="62"/>
      <c r="AI116" s="64">
        <f t="shared" si="7"/>
        <v>45958</v>
      </c>
      <c r="AJ116" s="65" t="str">
        <f t="shared" si="340"/>
        <v>RFM</v>
      </c>
      <c r="AK116" s="66" t="str">
        <f t="shared" si="9"/>
        <v>GAIN</v>
      </c>
      <c r="AL116" s="67" t="e">
        <f t="shared" ca="1" si="10"/>
        <v>#NAME?</v>
      </c>
      <c r="AM116" s="68">
        <f t="shared" si="11"/>
        <v>8405</v>
      </c>
      <c r="AN116" s="69">
        <f t="shared" si="12"/>
        <v>0.18288437268810653</v>
      </c>
      <c r="AO116" s="62"/>
      <c r="AP116" s="70">
        <f t="shared" ref="AP116:AT116" si="350">H116/$AI116</f>
        <v>0.16206101222855651</v>
      </c>
      <c r="AQ116" s="70">
        <f t="shared" si="350"/>
        <v>0.27895034596805779</v>
      </c>
      <c r="AR116" s="70">
        <f t="shared" si="350"/>
        <v>0.46183471865616432</v>
      </c>
      <c r="AS116" s="70">
        <f t="shared" si="350"/>
        <v>4.3866138648331082E-2</v>
      </c>
      <c r="AT116" s="70">
        <f t="shared" si="350"/>
        <v>4.2103659863353494E-2</v>
      </c>
      <c r="AU116" s="70"/>
      <c r="AV116" s="70"/>
      <c r="AW116" s="81">
        <f t="shared" si="14"/>
        <v>1.1184124635536752E-2</v>
      </c>
      <c r="AX116" s="70">
        <f t="shared" ref="AX116:BG116" si="351">O116/$AI116</f>
        <v>6.8976021584925369E-3</v>
      </c>
      <c r="AY116" s="70">
        <f t="shared" si="351"/>
        <v>0</v>
      </c>
      <c r="AZ116" s="70">
        <f t="shared" si="351"/>
        <v>0</v>
      </c>
      <c r="BA116" s="70">
        <f t="shared" si="351"/>
        <v>0</v>
      </c>
      <c r="BB116" s="70">
        <f t="shared" si="351"/>
        <v>0</v>
      </c>
      <c r="BC116" s="70">
        <f t="shared" si="351"/>
        <v>0</v>
      </c>
      <c r="BD116" s="70">
        <f t="shared" si="351"/>
        <v>0</v>
      </c>
      <c r="BE116" s="70">
        <f t="shared" si="351"/>
        <v>0</v>
      </c>
      <c r="BF116" s="70">
        <f t="shared" si="351"/>
        <v>0</v>
      </c>
      <c r="BG116" s="70">
        <f t="shared" si="351"/>
        <v>0</v>
      </c>
      <c r="BH116" s="70">
        <f t="shared" si="16"/>
        <v>4.286522477044215E-3</v>
      </c>
      <c r="BI116" s="62"/>
      <c r="BJ116" s="69">
        <v>0.156</v>
      </c>
      <c r="BK116" s="69">
        <v>0.71899999999999997</v>
      </c>
      <c r="BL116" s="69">
        <v>0</v>
      </c>
      <c r="BM116" s="69">
        <v>6.2E-2</v>
      </c>
      <c r="BN116" s="69">
        <v>2.9000000000000001E-2</v>
      </c>
      <c r="BO116" s="69">
        <v>0</v>
      </c>
      <c r="BP116" s="69">
        <v>0</v>
      </c>
      <c r="BQ116" s="69">
        <v>3.4000000000000002E-2</v>
      </c>
      <c r="BR116" s="62"/>
      <c r="BS116" s="72">
        <f t="shared" ref="BS116:BW116" si="352">AP116-BJ116</f>
        <v>6.0610122285565116E-3</v>
      </c>
      <c r="BT116" s="72">
        <f t="shared" si="352"/>
        <v>-0.44004965403194218</v>
      </c>
      <c r="BU116" s="72">
        <f t="shared" si="352"/>
        <v>0.46183471865616432</v>
      </c>
      <c r="BV116" s="72">
        <f t="shared" si="352"/>
        <v>-1.8133861351668917E-2</v>
      </c>
      <c r="BW116" s="72">
        <f t="shared" si="352"/>
        <v>1.3103659863353493E-2</v>
      </c>
      <c r="BX116" s="72"/>
      <c r="BY116" s="72"/>
      <c r="BZ116" s="72">
        <f t="shared" si="18"/>
        <v>-2.2815875364463251E-2</v>
      </c>
    </row>
    <row r="117" spans="1:78" ht="13.15">
      <c r="A117" s="78" t="s">
        <v>5</v>
      </c>
      <c r="B117" s="74" t="s">
        <v>277</v>
      </c>
      <c r="C117" s="75" t="s">
        <v>278</v>
      </c>
      <c r="D117" s="75" t="s">
        <v>68</v>
      </c>
      <c r="E117" s="76"/>
      <c r="F117" s="59"/>
      <c r="G117" s="60"/>
      <c r="H117" s="77">
        <v>24166</v>
      </c>
      <c r="I117" s="77">
        <v>4360</v>
      </c>
      <c r="J117" s="77">
        <v>1758</v>
      </c>
      <c r="K117" s="77">
        <v>6161</v>
      </c>
      <c r="L117" s="77">
        <v>5768</v>
      </c>
      <c r="M117" s="77"/>
      <c r="N117" s="77"/>
      <c r="O117" s="77">
        <v>406</v>
      </c>
      <c r="P117" s="77"/>
      <c r="Q117" s="77"/>
      <c r="R117" s="77"/>
      <c r="S117" s="77"/>
      <c r="T117" s="77"/>
      <c r="U117" s="77"/>
      <c r="V117" s="77"/>
      <c r="W117" s="77"/>
      <c r="X117" s="77"/>
      <c r="Y117" s="77">
        <v>122</v>
      </c>
      <c r="Z117" s="77"/>
      <c r="AA117" s="77"/>
      <c r="AB117" s="77"/>
      <c r="AC117" s="77"/>
      <c r="AD117" s="77"/>
      <c r="AE117" s="62"/>
      <c r="AF117" s="63" t="b">
        <v>0</v>
      </c>
      <c r="AG117" s="63" t="b">
        <v>0</v>
      </c>
      <c r="AH117" s="62"/>
      <c r="AI117" s="64">
        <f t="shared" si="7"/>
        <v>42741</v>
      </c>
      <c r="AJ117" s="65" t="str">
        <f t="shared" si="340"/>
        <v>LAB</v>
      </c>
      <c r="AK117" s="66" t="str">
        <f t="shared" si="9"/>
        <v>HOLD</v>
      </c>
      <c r="AL117" s="67" t="e">
        <f t="shared" ca="1" si="10"/>
        <v>#NAME?</v>
      </c>
      <c r="AM117" s="68">
        <f t="shared" si="11"/>
        <v>18005</v>
      </c>
      <c r="AN117" s="69">
        <f t="shared" si="12"/>
        <v>0.42125827659624249</v>
      </c>
      <c r="AO117" s="62"/>
      <c r="AP117" s="70">
        <f t="shared" ref="AP117:AT117" si="353">H117/$AI117</f>
        <v>0.56540558246180483</v>
      </c>
      <c r="AQ117" s="70">
        <f t="shared" si="353"/>
        <v>0.10200977983669077</v>
      </c>
      <c r="AR117" s="70">
        <f t="shared" si="353"/>
        <v>4.1131466273601459E-2</v>
      </c>
      <c r="AS117" s="70">
        <f t="shared" si="353"/>
        <v>0.14414730586556235</v>
      </c>
      <c r="AT117" s="70">
        <f t="shared" si="353"/>
        <v>0.13495238763716338</v>
      </c>
      <c r="AU117" s="70"/>
      <c r="AV117" s="70"/>
      <c r="AW117" s="81">
        <f t="shared" si="14"/>
        <v>1.235347792517727E-2</v>
      </c>
      <c r="AX117" s="70">
        <f t="shared" ref="AX117:BG117" si="354">O117/$AI117</f>
        <v>9.4990758288294608E-3</v>
      </c>
      <c r="AY117" s="70">
        <f t="shared" si="354"/>
        <v>0</v>
      </c>
      <c r="AZ117" s="70">
        <f t="shared" si="354"/>
        <v>0</v>
      </c>
      <c r="BA117" s="70">
        <f t="shared" si="354"/>
        <v>0</v>
      </c>
      <c r="BB117" s="70">
        <f t="shared" si="354"/>
        <v>0</v>
      </c>
      <c r="BC117" s="70">
        <f t="shared" si="354"/>
        <v>0</v>
      </c>
      <c r="BD117" s="70">
        <f t="shared" si="354"/>
        <v>0</v>
      </c>
      <c r="BE117" s="70">
        <f t="shared" si="354"/>
        <v>0</v>
      </c>
      <c r="BF117" s="70">
        <f t="shared" si="354"/>
        <v>0</v>
      </c>
      <c r="BG117" s="70">
        <f t="shared" si="354"/>
        <v>0</v>
      </c>
      <c r="BH117" s="70">
        <f t="shared" si="16"/>
        <v>2.8544020963478089E-3</v>
      </c>
      <c r="BI117" s="62"/>
      <c r="BJ117" s="69">
        <v>0.55400000000000005</v>
      </c>
      <c r="BK117" s="69">
        <v>0.19500000000000001</v>
      </c>
      <c r="BL117" s="69">
        <v>1.0999999999999999E-2</v>
      </c>
      <c r="BM117" s="69">
        <v>0.19800000000000001</v>
      </c>
      <c r="BN117" s="69">
        <v>4.2000000000000003E-2</v>
      </c>
      <c r="BO117" s="69">
        <v>0</v>
      </c>
      <c r="BP117" s="69">
        <v>0</v>
      </c>
      <c r="BQ117" s="69">
        <v>0</v>
      </c>
      <c r="BR117" s="62"/>
      <c r="BS117" s="72">
        <f t="shared" ref="BS117:BW117" si="355">AP117-BJ117</f>
        <v>1.1405582461804786E-2</v>
      </c>
      <c r="BT117" s="72">
        <f t="shared" si="355"/>
        <v>-9.299022016330924E-2</v>
      </c>
      <c r="BU117" s="72">
        <f t="shared" si="355"/>
        <v>3.013146627360146E-2</v>
      </c>
      <c r="BV117" s="72">
        <f t="shared" si="355"/>
        <v>-5.3852694134437662E-2</v>
      </c>
      <c r="BW117" s="72">
        <f t="shared" si="355"/>
        <v>9.2952387637163375E-2</v>
      </c>
      <c r="BX117" s="72"/>
      <c r="BY117" s="72"/>
      <c r="BZ117" s="72">
        <f t="shared" si="18"/>
        <v>1.235347792517727E-2</v>
      </c>
    </row>
    <row r="118" spans="1:78" ht="13.15">
      <c r="A118" s="73" t="s">
        <v>6</v>
      </c>
      <c r="B118" s="74" t="s">
        <v>279</v>
      </c>
      <c r="C118" s="75" t="s">
        <v>280</v>
      </c>
      <c r="D118" s="75" t="s">
        <v>78</v>
      </c>
      <c r="E118" s="76">
        <v>76843</v>
      </c>
      <c r="F118" s="59">
        <v>0.58399999999999996</v>
      </c>
      <c r="G118" s="60"/>
      <c r="H118" s="77">
        <v>18804</v>
      </c>
      <c r="I118" s="77">
        <v>10554</v>
      </c>
      <c r="J118" s="77">
        <v>6664</v>
      </c>
      <c r="K118" s="77">
        <v>6393</v>
      </c>
      <c r="L118" s="77">
        <v>2414</v>
      </c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>
        <v>74</v>
      </c>
      <c r="Z118" s="77"/>
      <c r="AA118" s="77"/>
      <c r="AB118" s="77"/>
      <c r="AC118" s="77"/>
      <c r="AD118" s="77"/>
      <c r="AE118" s="62"/>
      <c r="AF118" s="63" t="b">
        <v>0</v>
      </c>
      <c r="AG118" s="63" t="b">
        <v>0</v>
      </c>
      <c r="AH118" s="62"/>
      <c r="AI118" s="64">
        <f t="shared" si="7"/>
        <v>44903</v>
      </c>
      <c r="AJ118" s="65" t="str">
        <f t="shared" si="340"/>
        <v>LAB</v>
      </c>
      <c r="AK118" s="66" t="str">
        <f t="shared" si="9"/>
        <v>GAIN</v>
      </c>
      <c r="AL118" s="67" t="e">
        <f t="shared" ca="1" si="10"/>
        <v>#NAME?</v>
      </c>
      <c r="AM118" s="68">
        <f t="shared" si="11"/>
        <v>8250</v>
      </c>
      <c r="AN118" s="69">
        <f t="shared" si="12"/>
        <v>0.18372937220230276</v>
      </c>
      <c r="AO118" s="62"/>
      <c r="AP118" s="70">
        <f t="shared" ref="AP118:AT118" si="356">H118/$AI118</f>
        <v>0.41876934725964859</v>
      </c>
      <c r="AQ118" s="70">
        <f t="shared" si="356"/>
        <v>0.23503997505734583</v>
      </c>
      <c r="AR118" s="70">
        <f t="shared" si="356"/>
        <v>0.14840879228559339</v>
      </c>
      <c r="AS118" s="70">
        <f t="shared" si="356"/>
        <v>0.14237356078658442</v>
      </c>
      <c r="AT118" s="70">
        <f t="shared" si="356"/>
        <v>5.3760327817740462E-2</v>
      </c>
      <c r="AU118" s="70"/>
      <c r="AV118" s="70"/>
      <c r="AW118" s="81">
        <f t="shared" si="14"/>
        <v>1.6479967930874695E-3</v>
      </c>
      <c r="AX118" s="70">
        <f t="shared" ref="AX118:BG118" si="357">O118/$AI118</f>
        <v>0</v>
      </c>
      <c r="AY118" s="70">
        <f t="shared" si="357"/>
        <v>0</v>
      </c>
      <c r="AZ118" s="70">
        <f t="shared" si="357"/>
        <v>0</v>
      </c>
      <c r="BA118" s="70">
        <f t="shared" si="357"/>
        <v>0</v>
      </c>
      <c r="BB118" s="70">
        <f t="shared" si="357"/>
        <v>0</v>
      </c>
      <c r="BC118" s="70">
        <f t="shared" si="357"/>
        <v>0</v>
      </c>
      <c r="BD118" s="70">
        <f t="shared" si="357"/>
        <v>0</v>
      </c>
      <c r="BE118" s="70">
        <f t="shared" si="357"/>
        <v>0</v>
      </c>
      <c r="BF118" s="70">
        <f t="shared" si="357"/>
        <v>0</v>
      </c>
      <c r="BG118" s="70">
        <f t="shared" si="357"/>
        <v>0</v>
      </c>
      <c r="BH118" s="70">
        <f t="shared" si="16"/>
        <v>1.6479967930874695E-3</v>
      </c>
      <c r="BI118" s="62"/>
      <c r="BJ118" s="69">
        <v>0.30099999999999999</v>
      </c>
      <c r="BK118" s="69">
        <v>0.52300000000000002</v>
      </c>
      <c r="BL118" s="69">
        <v>0</v>
      </c>
      <c r="BM118" s="69">
        <v>0.14699999999999999</v>
      </c>
      <c r="BN118" s="69">
        <v>2.9000000000000001E-2</v>
      </c>
      <c r="BO118" s="69">
        <v>0</v>
      </c>
      <c r="BP118" s="69">
        <v>0</v>
      </c>
      <c r="BQ118" s="69">
        <v>0</v>
      </c>
      <c r="BR118" s="62"/>
      <c r="BS118" s="72">
        <f t="shared" ref="BS118:BW118" si="358">AP118-BJ118</f>
        <v>0.1177693472596486</v>
      </c>
      <c r="BT118" s="72">
        <f t="shared" si="358"/>
        <v>-0.28796002494265416</v>
      </c>
      <c r="BU118" s="72">
        <f t="shared" si="358"/>
        <v>0.14840879228559339</v>
      </c>
      <c r="BV118" s="72">
        <f t="shared" si="358"/>
        <v>-4.626439213415573E-3</v>
      </c>
      <c r="BW118" s="72">
        <f t="shared" si="358"/>
        <v>2.4760327817740461E-2</v>
      </c>
      <c r="BX118" s="72"/>
      <c r="BY118" s="72"/>
      <c r="BZ118" s="72">
        <f t="shared" si="18"/>
        <v>1.6479967930874695E-3</v>
      </c>
    </row>
    <row r="119" spans="1:78" ht="13.15">
      <c r="A119" s="73" t="s">
        <v>6</v>
      </c>
      <c r="B119" s="74" t="s">
        <v>281</v>
      </c>
      <c r="C119" s="75" t="s">
        <v>282</v>
      </c>
      <c r="D119" s="75" t="s">
        <v>71</v>
      </c>
      <c r="E119" s="76"/>
      <c r="F119" s="59"/>
      <c r="G119" s="60"/>
      <c r="H119" s="77">
        <v>18970</v>
      </c>
      <c r="I119" s="77">
        <v>14007</v>
      </c>
      <c r="J119" s="77">
        <v>7298</v>
      </c>
      <c r="K119" s="77">
        <v>2007</v>
      </c>
      <c r="L119" s="77">
        <v>3480</v>
      </c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>
        <v>459</v>
      </c>
      <c r="Z119" s="77"/>
      <c r="AA119" s="77"/>
      <c r="AB119" s="77"/>
      <c r="AC119" s="77"/>
      <c r="AD119" s="77"/>
      <c r="AE119" s="62"/>
      <c r="AF119" s="63" t="b">
        <v>0</v>
      </c>
      <c r="AG119" s="63" t="b">
        <v>0</v>
      </c>
      <c r="AH119" s="62"/>
      <c r="AI119" s="64">
        <f t="shared" si="7"/>
        <v>46221</v>
      </c>
      <c r="AJ119" s="65" t="str">
        <f t="shared" si="340"/>
        <v>LAB</v>
      </c>
      <c r="AK119" s="66" t="str">
        <f t="shared" si="9"/>
        <v>GAIN</v>
      </c>
      <c r="AL119" s="67" t="e">
        <f t="shared" ca="1" si="10"/>
        <v>#NAME?</v>
      </c>
      <c r="AM119" s="68">
        <f t="shared" si="11"/>
        <v>4963</v>
      </c>
      <c r="AN119" s="69">
        <f t="shared" si="12"/>
        <v>0.10737543540814781</v>
      </c>
      <c r="AO119" s="62"/>
      <c r="AP119" s="70">
        <f t="shared" ref="AP119:AT119" si="359">H119/$AI119</f>
        <v>0.41041950628502194</v>
      </c>
      <c r="AQ119" s="70">
        <f t="shared" si="359"/>
        <v>0.30304407087687413</v>
      </c>
      <c r="AR119" s="70">
        <f t="shared" si="359"/>
        <v>0.15789359814802795</v>
      </c>
      <c r="AS119" s="70">
        <f t="shared" si="359"/>
        <v>4.3421821250081129E-2</v>
      </c>
      <c r="AT119" s="70">
        <f t="shared" si="359"/>
        <v>7.5290452391769971E-2</v>
      </c>
      <c r="AU119" s="70"/>
      <c r="AV119" s="70"/>
      <c r="AW119" s="81">
        <f t="shared" si="14"/>
        <v>9.9305510482249337E-3</v>
      </c>
      <c r="AX119" s="70">
        <f t="shared" ref="AX119:BG119" si="360">O119/$AI119</f>
        <v>0</v>
      </c>
      <c r="AY119" s="70">
        <f t="shared" si="360"/>
        <v>0</v>
      </c>
      <c r="AZ119" s="70">
        <f t="shared" si="360"/>
        <v>0</v>
      </c>
      <c r="BA119" s="70">
        <f t="shared" si="360"/>
        <v>0</v>
      </c>
      <c r="BB119" s="70">
        <f t="shared" si="360"/>
        <v>0</v>
      </c>
      <c r="BC119" s="70">
        <f t="shared" si="360"/>
        <v>0</v>
      </c>
      <c r="BD119" s="70">
        <f t="shared" si="360"/>
        <v>0</v>
      </c>
      <c r="BE119" s="70">
        <f t="shared" si="360"/>
        <v>0</v>
      </c>
      <c r="BF119" s="70">
        <f t="shared" si="360"/>
        <v>0</v>
      </c>
      <c r="BG119" s="70">
        <f t="shared" si="360"/>
        <v>0</v>
      </c>
      <c r="BH119" s="70">
        <f t="shared" si="16"/>
        <v>9.9305510482249337E-3</v>
      </c>
      <c r="BI119" s="62"/>
      <c r="BJ119" s="69">
        <v>0.36199999999999999</v>
      </c>
      <c r="BK119" s="69">
        <v>0.51200000000000001</v>
      </c>
      <c r="BL119" s="69">
        <v>2.1000000000000001E-2</v>
      </c>
      <c r="BM119" s="69">
        <v>7.0000000000000007E-2</v>
      </c>
      <c r="BN119" s="69">
        <v>1.7000000000000001E-2</v>
      </c>
      <c r="BO119" s="69">
        <v>0</v>
      </c>
      <c r="BP119" s="69">
        <v>0</v>
      </c>
      <c r="BQ119" s="69">
        <v>1.7000000000000001E-2</v>
      </c>
      <c r="BR119" s="62"/>
      <c r="BS119" s="72">
        <f t="shared" ref="BS119:BW119" si="361">AP119-BJ119</f>
        <v>4.8419506285021952E-2</v>
      </c>
      <c r="BT119" s="72">
        <f t="shared" si="361"/>
        <v>-0.20895592912312588</v>
      </c>
      <c r="BU119" s="72">
        <f t="shared" si="361"/>
        <v>0.13689359814802796</v>
      </c>
      <c r="BV119" s="72">
        <f t="shared" si="361"/>
        <v>-2.6578178749918878E-2</v>
      </c>
      <c r="BW119" s="72">
        <f t="shared" si="361"/>
        <v>5.829045239176997E-2</v>
      </c>
      <c r="BX119" s="72"/>
      <c r="BY119" s="72"/>
      <c r="BZ119" s="72">
        <f t="shared" si="18"/>
        <v>-7.0694489517750675E-3</v>
      </c>
    </row>
    <row r="120" spans="1:78" ht="13.15">
      <c r="A120" s="73" t="s">
        <v>6</v>
      </c>
      <c r="B120" s="74" t="s">
        <v>283</v>
      </c>
      <c r="C120" s="75" t="s">
        <v>284</v>
      </c>
      <c r="D120" s="75" t="s">
        <v>50</v>
      </c>
      <c r="E120" s="76"/>
      <c r="F120" s="59"/>
      <c r="G120" s="60"/>
      <c r="H120" s="77">
        <v>18875</v>
      </c>
      <c r="I120" s="77">
        <v>15488</v>
      </c>
      <c r="J120" s="77">
        <v>8245</v>
      </c>
      <c r="K120" s="77">
        <v>2785</v>
      </c>
      <c r="L120" s="77">
        <v>2007</v>
      </c>
      <c r="M120" s="77"/>
      <c r="N120" s="77"/>
      <c r="O120" s="77">
        <v>2181</v>
      </c>
      <c r="P120" s="77"/>
      <c r="Q120" s="77"/>
      <c r="R120" s="77"/>
      <c r="S120" s="77"/>
      <c r="T120" s="77"/>
      <c r="U120" s="77"/>
      <c r="V120" s="77"/>
      <c r="W120" s="77"/>
      <c r="X120" s="77"/>
      <c r="Y120" s="77">
        <v>544</v>
      </c>
      <c r="Z120" s="77"/>
      <c r="AA120" s="77"/>
      <c r="AB120" s="77"/>
      <c r="AC120" s="77"/>
      <c r="AD120" s="77"/>
      <c r="AE120" s="62"/>
      <c r="AF120" s="63" t="b">
        <v>0</v>
      </c>
      <c r="AG120" s="63" t="b">
        <v>0</v>
      </c>
      <c r="AH120" s="62"/>
      <c r="AI120" s="64">
        <f t="shared" si="7"/>
        <v>50125</v>
      </c>
      <c r="AJ120" s="65" t="str">
        <f t="shared" si="340"/>
        <v>LAB</v>
      </c>
      <c r="AK120" s="66" t="str">
        <f t="shared" si="9"/>
        <v>GAIN</v>
      </c>
      <c r="AL120" s="67" t="e">
        <f t="shared" ca="1" si="10"/>
        <v>#NAME?</v>
      </c>
      <c r="AM120" s="68">
        <f t="shared" si="11"/>
        <v>3387</v>
      </c>
      <c r="AN120" s="69">
        <f t="shared" si="12"/>
        <v>6.7571072319201952E-2</v>
      </c>
      <c r="AO120" s="62"/>
      <c r="AP120" s="70">
        <f t="shared" ref="AP120:AT120" si="362">H120/$AI120</f>
        <v>0.37655860349127179</v>
      </c>
      <c r="AQ120" s="70">
        <f t="shared" si="362"/>
        <v>0.30898753117206984</v>
      </c>
      <c r="AR120" s="70">
        <f t="shared" si="362"/>
        <v>0.16448877805486284</v>
      </c>
      <c r="AS120" s="70">
        <f t="shared" si="362"/>
        <v>5.5561097256857858E-2</v>
      </c>
      <c r="AT120" s="70">
        <f t="shared" si="362"/>
        <v>4.0039900249376557E-2</v>
      </c>
      <c r="AU120" s="70"/>
      <c r="AV120" s="70"/>
      <c r="AW120" s="81">
        <f t="shared" si="14"/>
        <v>5.4364089775561175E-2</v>
      </c>
      <c r="AX120" s="70">
        <f t="shared" ref="AX120:BG120" si="363">O120/$AI120</f>
        <v>4.3511221945137159E-2</v>
      </c>
      <c r="AY120" s="70">
        <f t="shared" si="363"/>
        <v>0</v>
      </c>
      <c r="AZ120" s="70">
        <f t="shared" si="363"/>
        <v>0</v>
      </c>
      <c r="BA120" s="70">
        <f t="shared" si="363"/>
        <v>0</v>
      </c>
      <c r="BB120" s="70">
        <f t="shared" si="363"/>
        <v>0</v>
      </c>
      <c r="BC120" s="70">
        <f t="shared" si="363"/>
        <v>0</v>
      </c>
      <c r="BD120" s="70">
        <f t="shared" si="363"/>
        <v>0</v>
      </c>
      <c r="BE120" s="70">
        <f t="shared" si="363"/>
        <v>0</v>
      </c>
      <c r="BF120" s="70">
        <f t="shared" si="363"/>
        <v>0</v>
      </c>
      <c r="BG120" s="70">
        <f t="shared" si="363"/>
        <v>0</v>
      </c>
      <c r="BH120" s="70">
        <f t="shared" si="16"/>
        <v>1.0852867830424016E-2</v>
      </c>
      <c r="BI120" s="62"/>
      <c r="BJ120" s="69">
        <v>0.24099999999999999</v>
      </c>
      <c r="BK120" s="69">
        <v>0.60599999999999998</v>
      </c>
      <c r="BL120" s="69">
        <v>0</v>
      </c>
      <c r="BM120" s="69">
        <v>0.111</v>
      </c>
      <c r="BN120" s="69">
        <v>2.9000000000000001E-2</v>
      </c>
      <c r="BO120" s="69">
        <v>0</v>
      </c>
      <c r="BP120" s="69">
        <v>0</v>
      </c>
      <c r="BQ120" s="69">
        <v>1.2999999999999999E-2</v>
      </c>
      <c r="BR120" s="62"/>
      <c r="BS120" s="72">
        <f t="shared" ref="BS120:BW120" si="364">AP120-BJ120</f>
        <v>0.1355586034912718</v>
      </c>
      <c r="BT120" s="72">
        <f t="shared" si="364"/>
        <v>-0.29701246882793014</v>
      </c>
      <c r="BU120" s="72">
        <f t="shared" si="364"/>
        <v>0.16448877805486284</v>
      </c>
      <c r="BV120" s="72">
        <f t="shared" si="364"/>
        <v>-5.5438902743142143E-2</v>
      </c>
      <c r="BW120" s="72">
        <f t="shared" si="364"/>
        <v>1.1039900249376556E-2</v>
      </c>
      <c r="BX120" s="72"/>
      <c r="BY120" s="72"/>
      <c r="BZ120" s="72">
        <f t="shared" si="18"/>
        <v>4.1364089775561177E-2</v>
      </c>
    </row>
    <row r="121" spans="1:78" ht="13.15">
      <c r="A121" s="73" t="s">
        <v>6</v>
      </c>
      <c r="B121" s="74" t="s">
        <v>285</v>
      </c>
      <c r="C121" s="75" t="s">
        <v>286</v>
      </c>
      <c r="D121" s="75" t="s">
        <v>53</v>
      </c>
      <c r="E121" s="76"/>
      <c r="F121" s="59"/>
      <c r="G121" s="60"/>
      <c r="H121" s="77">
        <v>21020</v>
      </c>
      <c r="I121" s="77">
        <v>14689</v>
      </c>
      <c r="J121" s="77">
        <v>8760</v>
      </c>
      <c r="K121" s="77">
        <v>2191</v>
      </c>
      <c r="L121" s="77">
        <v>2507</v>
      </c>
      <c r="M121" s="77"/>
      <c r="N121" s="77"/>
      <c r="O121" s="77">
        <v>422</v>
      </c>
      <c r="P121" s="77"/>
      <c r="Q121" s="77"/>
      <c r="R121" s="77"/>
      <c r="S121" s="77"/>
      <c r="T121" s="77"/>
      <c r="U121" s="77"/>
      <c r="V121" s="77"/>
      <c r="W121" s="77"/>
      <c r="X121" s="77"/>
      <c r="Y121" s="77"/>
      <c r="Z121" s="77"/>
      <c r="AA121" s="77"/>
      <c r="AB121" s="77"/>
      <c r="AC121" s="77"/>
      <c r="AD121" s="77"/>
      <c r="AE121" s="62"/>
      <c r="AF121" s="63" t="b">
        <v>0</v>
      </c>
      <c r="AG121" s="63" t="b">
        <v>0</v>
      </c>
      <c r="AH121" s="62"/>
      <c r="AI121" s="64">
        <f t="shared" si="7"/>
        <v>49589</v>
      </c>
      <c r="AJ121" s="65" t="str">
        <f t="shared" si="340"/>
        <v>LAB</v>
      </c>
      <c r="AK121" s="66" t="str">
        <f t="shared" si="9"/>
        <v>GAIN</v>
      </c>
      <c r="AL121" s="67" t="e">
        <f t="shared" ca="1" si="10"/>
        <v>#NAME?</v>
      </c>
      <c r="AM121" s="68">
        <f t="shared" si="11"/>
        <v>6331</v>
      </c>
      <c r="AN121" s="69">
        <f t="shared" si="12"/>
        <v>0.12766944281998027</v>
      </c>
      <c r="AO121" s="62"/>
      <c r="AP121" s="70">
        <f t="shared" ref="AP121:AT121" si="365">H121/$AI121</f>
        <v>0.42388432918590818</v>
      </c>
      <c r="AQ121" s="70">
        <f t="shared" si="365"/>
        <v>0.29621488636592791</v>
      </c>
      <c r="AR121" s="70">
        <f t="shared" si="365"/>
        <v>0.17665208009840891</v>
      </c>
      <c r="AS121" s="70">
        <f t="shared" si="365"/>
        <v>4.4183185787170544E-2</v>
      </c>
      <c r="AT121" s="70">
        <f t="shared" si="365"/>
        <v>5.0555566758756984E-2</v>
      </c>
      <c r="AU121" s="70"/>
      <c r="AV121" s="70"/>
      <c r="AW121" s="81">
        <f t="shared" si="14"/>
        <v>8.5099518038275201E-3</v>
      </c>
      <c r="AX121" s="70">
        <f t="shared" ref="AX121:BG121" si="366">O121/$AI121</f>
        <v>8.5099518038274612E-3</v>
      </c>
      <c r="AY121" s="70">
        <f t="shared" si="366"/>
        <v>0</v>
      </c>
      <c r="AZ121" s="70">
        <f t="shared" si="366"/>
        <v>0</v>
      </c>
      <c r="BA121" s="70">
        <f t="shared" si="366"/>
        <v>0</v>
      </c>
      <c r="BB121" s="70">
        <f t="shared" si="366"/>
        <v>0</v>
      </c>
      <c r="BC121" s="70">
        <f t="shared" si="366"/>
        <v>0</v>
      </c>
      <c r="BD121" s="70">
        <f t="shared" si="366"/>
        <v>0</v>
      </c>
      <c r="BE121" s="70">
        <f t="shared" si="366"/>
        <v>0</v>
      </c>
      <c r="BF121" s="70">
        <f t="shared" si="366"/>
        <v>0</v>
      </c>
      <c r="BG121" s="70">
        <f t="shared" si="366"/>
        <v>0</v>
      </c>
      <c r="BH121" s="70">
        <f t="shared" si="16"/>
        <v>5.8980598183211441E-17</v>
      </c>
      <c r="BI121" s="62"/>
      <c r="BJ121" s="69">
        <v>0.38500000000000001</v>
      </c>
      <c r="BK121" s="69">
        <v>0.54600000000000004</v>
      </c>
      <c r="BL121" s="69">
        <v>0</v>
      </c>
      <c r="BM121" s="69">
        <v>6.8000000000000005E-2</v>
      </c>
      <c r="BN121" s="69">
        <v>0</v>
      </c>
      <c r="BO121" s="69">
        <v>0</v>
      </c>
      <c r="BP121" s="69">
        <v>0</v>
      </c>
      <c r="BQ121" s="69">
        <v>0</v>
      </c>
      <c r="BR121" s="62"/>
      <c r="BS121" s="72">
        <f t="shared" ref="BS121:BW121" si="367">AP121-BJ121</f>
        <v>3.8884329185908173E-2</v>
      </c>
      <c r="BT121" s="72">
        <f t="shared" si="367"/>
        <v>-0.24978511363407213</v>
      </c>
      <c r="BU121" s="72">
        <f t="shared" si="367"/>
        <v>0.17665208009840891</v>
      </c>
      <c r="BV121" s="72">
        <f t="shared" si="367"/>
        <v>-2.3816814212829461E-2</v>
      </c>
      <c r="BW121" s="72">
        <f t="shared" si="367"/>
        <v>5.0555566758756984E-2</v>
      </c>
      <c r="BX121" s="72"/>
      <c r="BY121" s="72"/>
      <c r="BZ121" s="72">
        <f t="shared" si="18"/>
        <v>8.5099518038275201E-3</v>
      </c>
    </row>
    <row r="122" spans="1:78" ht="13.15">
      <c r="A122" s="78" t="s">
        <v>5</v>
      </c>
      <c r="B122" s="74" t="s">
        <v>287</v>
      </c>
      <c r="C122" s="75" t="s">
        <v>288</v>
      </c>
      <c r="D122" s="75" t="s">
        <v>47</v>
      </c>
      <c r="E122" s="76"/>
      <c r="F122" s="59"/>
      <c r="G122" s="60"/>
      <c r="H122" s="77">
        <v>18308</v>
      </c>
      <c r="I122" s="77">
        <v>6240</v>
      </c>
      <c r="J122" s="77">
        <v>6685</v>
      </c>
      <c r="K122" s="77">
        <v>1227</v>
      </c>
      <c r="L122" s="77">
        <v>2730</v>
      </c>
      <c r="M122" s="77"/>
      <c r="N122" s="77"/>
      <c r="O122" s="77"/>
      <c r="P122" s="77">
        <v>1027</v>
      </c>
      <c r="Q122" s="77"/>
      <c r="R122" s="77"/>
      <c r="S122" s="77"/>
      <c r="T122" s="77"/>
      <c r="U122" s="77"/>
      <c r="V122" s="77"/>
      <c r="W122" s="77"/>
      <c r="X122" s="77"/>
      <c r="Y122" s="77">
        <v>797</v>
      </c>
      <c r="Z122" s="77"/>
      <c r="AA122" s="77"/>
      <c r="AB122" s="77"/>
      <c r="AC122" s="77"/>
      <c r="AD122" s="77"/>
      <c r="AE122" s="62"/>
      <c r="AF122" s="63" t="b">
        <v>0</v>
      </c>
      <c r="AG122" s="63" t="b">
        <v>0</v>
      </c>
      <c r="AH122" s="62"/>
      <c r="AI122" s="64">
        <f t="shared" si="7"/>
        <v>37014</v>
      </c>
      <c r="AJ122" s="65" t="str">
        <f t="shared" si="340"/>
        <v>LAB</v>
      </c>
      <c r="AK122" s="66" t="str">
        <f t="shared" si="9"/>
        <v>HOLD</v>
      </c>
      <c r="AL122" s="67" t="e">
        <f t="shared" ca="1" si="10"/>
        <v>#NAME?</v>
      </c>
      <c r="AM122" s="68">
        <f t="shared" si="11"/>
        <v>11623</v>
      </c>
      <c r="AN122" s="69">
        <f t="shared" si="12"/>
        <v>0.31401631814988923</v>
      </c>
      <c r="AO122" s="62"/>
      <c r="AP122" s="70">
        <f t="shared" ref="AP122:AT122" si="368">H122/$AI122</f>
        <v>0.4946236559139785</v>
      </c>
      <c r="AQ122" s="70">
        <f t="shared" si="368"/>
        <v>0.1685848597827849</v>
      </c>
      <c r="AR122" s="70">
        <f t="shared" si="368"/>
        <v>0.18060733776408927</v>
      </c>
      <c r="AS122" s="70">
        <f t="shared" si="368"/>
        <v>3.3149619063057224E-2</v>
      </c>
      <c r="AT122" s="70">
        <f t="shared" si="368"/>
        <v>7.3755876154968397E-2</v>
      </c>
      <c r="AU122" s="70"/>
      <c r="AV122" s="70"/>
      <c r="AW122" s="81">
        <f t="shared" si="14"/>
        <v>4.9278651321121747E-2</v>
      </c>
      <c r="AX122" s="70">
        <f t="shared" ref="AX122:BG122" si="369">O122/$AI122</f>
        <v>0</v>
      </c>
      <c r="AY122" s="70">
        <f t="shared" si="369"/>
        <v>2.7746258172583346E-2</v>
      </c>
      <c r="AZ122" s="70">
        <f t="shared" si="369"/>
        <v>0</v>
      </c>
      <c r="BA122" s="70">
        <f t="shared" si="369"/>
        <v>0</v>
      </c>
      <c r="BB122" s="70">
        <f t="shared" si="369"/>
        <v>0</v>
      </c>
      <c r="BC122" s="70">
        <f t="shared" si="369"/>
        <v>0</v>
      </c>
      <c r="BD122" s="70">
        <f t="shared" si="369"/>
        <v>0</v>
      </c>
      <c r="BE122" s="70">
        <f t="shared" si="369"/>
        <v>0</v>
      </c>
      <c r="BF122" s="70">
        <f t="shared" si="369"/>
        <v>0</v>
      </c>
      <c r="BG122" s="70">
        <f t="shared" si="369"/>
        <v>0</v>
      </c>
      <c r="BH122" s="70">
        <f t="shared" si="16"/>
        <v>2.1532393148538401E-2</v>
      </c>
      <c r="BI122" s="62"/>
      <c r="BJ122" s="69">
        <v>0.52100000000000002</v>
      </c>
      <c r="BK122" s="69">
        <v>0.35</v>
      </c>
      <c r="BL122" s="69">
        <v>5.0999999999999997E-2</v>
      </c>
      <c r="BM122" s="69">
        <v>5.3999999999999999E-2</v>
      </c>
      <c r="BN122" s="69">
        <v>2.3E-2</v>
      </c>
      <c r="BO122" s="69">
        <v>0</v>
      </c>
      <c r="BP122" s="69">
        <v>0</v>
      </c>
      <c r="BQ122" s="69">
        <v>0</v>
      </c>
      <c r="BR122" s="62"/>
      <c r="BS122" s="72">
        <f t="shared" ref="BS122:BW122" si="370">AP122-BJ122</f>
        <v>-2.6376344086021519E-2</v>
      </c>
      <c r="BT122" s="72">
        <f t="shared" si="370"/>
        <v>-0.18141514021721508</v>
      </c>
      <c r="BU122" s="72">
        <f t="shared" si="370"/>
        <v>0.12960733776408928</v>
      </c>
      <c r="BV122" s="72">
        <f t="shared" si="370"/>
        <v>-2.0850380936942775E-2</v>
      </c>
      <c r="BW122" s="72">
        <f t="shared" si="370"/>
        <v>5.0755876154968398E-2</v>
      </c>
      <c r="BX122" s="72"/>
      <c r="BY122" s="72"/>
      <c r="BZ122" s="72">
        <f t="shared" si="18"/>
        <v>4.9278651321121747E-2</v>
      </c>
    </row>
    <row r="123" spans="1:78" ht="13.15">
      <c r="A123" s="78" t="s">
        <v>5</v>
      </c>
      <c r="B123" s="74" t="s">
        <v>289</v>
      </c>
      <c r="C123" s="75" t="s">
        <v>290</v>
      </c>
      <c r="D123" s="75" t="s">
        <v>47</v>
      </c>
      <c r="E123" s="76"/>
      <c r="F123" s="59"/>
      <c r="G123" s="60"/>
      <c r="H123" s="77">
        <v>19696</v>
      </c>
      <c r="I123" s="77">
        <v>8522</v>
      </c>
      <c r="J123" s="77">
        <v>7940</v>
      </c>
      <c r="K123" s="77">
        <v>1931</v>
      </c>
      <c r="L123" s="77">
        <v>3420</v>
      </c>
      <c r="M123" s="77"/>
      <c r="N123" s="77"/>
      <c r="O123" s="77">
        <v>511</v>
      </c>
      <c r="P123" s="77"/>
      <c r="Q123" s="77"/>
      <c r="R123" s="77"/>
      <c r="S123" s="77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62"/>
      <c r="AF123" s="63" t="b">
        <v>0</v>
      </c>
      <c r="AG123" s="63" t="b">
        <v>0</v>
      </c>
      <c r="AH123" s="62"/>
      <c r="AI123" s="64">
        <f t="shared" si="7"/>
        <v>42020</v>
      </c>
      <c r="AJ123" s="65" t="str">
        <f t="shared" si="340"/>
        <v>LAB</v>
      </c>
      <c r="AK123" s="66" t="str">
        <f t="shared" si="9"/>
        <v>HOLD</v>
      </c>
      <c r="AL123" s="67" t="e">
        <f t="shared" ca="1" si="10"/>
        <v>#NAME?</v>
      </c>
      <c r="AM123" s="68">
        <f t="shared" si="11"/>
        <v>11174</v>
      </c>
      <c r="AN123" s="69">
        <f t="shared" si="12"/>
        <v>0.26592099000475966</v>
      </c>
      <c r="AO123" s="62"/>
      <c r="AP123" s="70">
        <f t="shared" ref="AP123:AT123" si="371">H123/$AI123</f>
        <v>0.46872917658257973</v>
      </c>
      <c r="AQ123" s="70">
        <f t="shared" si="371"/>
        <v>0.2028081865778201</v>
      </c>
      <c r="AR123" s="70">
        <f t="shared" si="371"/>
        <v>0.18895763921941933</v>
      </c>
      <c r="AS123" s="70">
        <f t="shared" si="371"/>
        <v>4.5954307472632079E-2</v>
      </c>
      <c r="AT123" s="70">
        <f t="shared" si="371"/>
        <v>8.1389814374107569E-2</v>
      </c>
      <c r="AU123" s="70"/>
      <c r="AV123" s="70"/>
      <c r="AW123" s="81">
        <f t="shared" si="14"/>
        <v>1.2160875773441271E-2</v>
      </c>
      <c r="AX123" s="70">
        <f t="shared" ref="AX123:BG123" si="372">O123/$AI123</f>
        <v>1.2160875773441219E-2</v>
      </c>
      <c r="AY123" s="70">
        <f t="shared" si="372"/>
        <v>0</v>
      </c>
      <c r="AZ123" s="70">
        <f t="shared" si="372"/>
        <v>0</v>
      </c>
      <c r="BA123" s="70">
        <f t="shared" si="372"/>
        <v>0</v>
      </c>
      <c r="BB123" s="70">
        <f t="shared" si="372"/>
        <v>0</v>
      </c>
      <c r="BC123" s="70">
        <f t="shared" si="372"/>
        <v>0</v>
      </c>
      <c r="BD123" s="70">
        <f t="shared" si="372"/>
        <v>0</v>
      </c>
      <c r="BE123" s="70">
        <f t="shared" si="372"/>
        <v>0</v>
      </c>
      <c r="BF123" s="70">
        <f t="shared" si="372"/>
        <v>0</v>
      </c>
      <c r="BG123" s="70">
        <f t="shared" si="372"/>
        <v>0</v>
      </c>
      <c r="BH123" s="70">
        <f t="shared" si="16"/>
        <v>5.2041704279304213E-17</v>
      </c>
      <c r="BI123" s="62"/>
      <c r="BJ123" s="69">
        <v>0.438</v>
      </c>
      <c r="BK123" s="69">
        <v>0.434</v>
      </c>
      <c r="BL123" s="69">
        <v>4.1000000000000002E-2</v>
      </c>
      <c r="BM123" s="69">
        <v>5.7000000000000002E-2</v>
      </c>
      <c r="BN123" s="69">
        <v>0.03</v>
      </c>
      <c r="BO123" s="69">
        <v>0</v>
      </c>
      <c r="BP123" s="69">
        <v>0</v>
      </c>
      <c r="BQ123" s="69">
        <v>0</v>
      </c>
      <c r="BR123" s="62"/>
      <c r="BS123" s="72">
        <f t="shared" ref="BS123:BW123" si="373">AP123-BJ123</f>
        <v>3.0729176582579731E-2</v>
      </c>
      <c r="BT123" s="72">
        <f t="shared" si="373"/>
        <v>-0.2311918134221799</v>
      </c>
      <c r="BU123" s="72">
        <f t="shared" si="373"/>
        <v>0.14795763921941932</v>
      </c>
      <c r="BV123" s="72">
        <f t="shared" si="373"/>
        <v>-1.1045692527367923E-2</v>
      </c>
      <c r="BW123" s="72">
        <f t="shared" si="373"/>
        <v>5.138981437410757E-2</v>
      </c>
      <c r="BX123" s="72"/>
      <c r="BY123" s="72"/>
      <c r="BZ123" s="72">
        <f t="shared" si="18"/>
        <v>1.2160875773441271E-2</v>
      </c>
    </row>
    <row r="124" spans="1:78" ht="13.15">
      <c r="A124" s="78" t="s">
        <v>5</v>
      </c>
      <c r="B124" s="74" t="s">
        <v>291</v>
      </c>
      <c r="C124" s="75" t="s">
        <v>292</v>
      </c>
      <c r="D124" s="75" t="s">
        <v>47</v>
      </c>
      <c r="E124" s="76"/>
      <c r="F124" s="59"/>
      <c r="G124" s="60"/>
      <c r="H124" s="77">
        <v>20361</v>
      </c>
      <c r="I124" s="77">
        <v>10160</v>
      </c>
      <c r="J124" s="77">
        <v>5711</v>
      </c>
      <c r="K124" s="77">
        <v>2531</v>
      </c>
      <c r="L124" s="77">
        <v>2363</v>
      </c>
      <c r="M124" s="77"/>
      <c r="N124" s="77"/>
      <c r="O124" s="77">
        <v>263</v>
      </c>
      <c r="P124" s="77">
        <v>777</v>
      </c>
      <c r="Q124" s="77">
        <v>334</v>
      </c>
      <c r="R124" s="77"/>
      <c r="S124" s="77"/>
      <c r="T124" s="77"/>
      <c r="U124" s="77"/>
      <c r="V124" s="77"/>
      <c r="W124" s="77"/>
      <c r="X124" s="77"/>
      <c r="Y124" s="77">
        <v>231</v>
      </c>
      <c r="Z124" s="77"/>
      <c r="AA124" s="77"/>
      <c r="AB124" s="77"/>
      <c r="AC124" s="77"/>
      <c r="AD124" s="77"/>
      <c r="AE124" s="62"/>
      <c r="AF124" s="63" t="b">
        <v>0</v>
      </c>
      <c r="AG124" s="63" t="b">
        <v>0</v>
      </c>
      <c r="AH124" s="62"/>
      <c r="AI124" s="64">
        <f t="shared" si="7"/>
        <v>42731</v>
      </c>
      <c r="AJ124" s="65" t="str">
        <f t="shared" si="340"/>
        <v>LAB</v>
      </c>
      <c r="AK124" s="66" t="str">
        <f t="shared" si="9"/>
        <v>HOLD</v>
      </c>
      <c r="AL124" s="67" t="e">
        <f t="shared" ca="1" si="10"/>
        <v>#NAME?</v>
      </c>
      <c r="AM124" s="68">
        <f t="shared" si="11"/>
        <v>10201</v>
      </c>
      <c r="AN124" s="69">
        <f t="shared" si="12"/>
        <v>0.23872598347803703</v>
      </c>
      <c r="AO124" s="62"/>
      <c r="AP124" s="70">
        <f t="shared" ref="AP124:AT124" si="374">H124/$AI124</f>
        <v>0.47649247618824742</v>
      </c>
      <c r="AQ124" s="70">
        <f t="shared" si="374"/>
        <v>0.23776649271021039</v>
      </c>
      <c r="AR124" s="70">
        <f t="shared" si="374"/>
        <v>0.13365004329409563</v>
      </c>
      <c r="AS124" s="70">
        <f t="shared" si="374"/>
        <v>5.9231003252907727E-2</v>
      </c>
      <c r="AT124" s="70">
        <f t="shared" si="374"/>
        <v>5.5299431326203456E-2</v>
      </c>
      <c r="AU124" s="70"/>
      <c r="AV124" s="70"/>
      <c r="AW124" s="81">
        <f t="shared" si="14"/>
        <v>3.7560553228335403E-2</v>
      </c>
      <c r="AX124" s="70">
        <f t="shared" ref="AX124:BG124" si="375">O124/$AI124</f>
        <v>6.1547822424001314E-3</v>
      </c>
      <c r="AY124" s="70">
        <f t="shared" si="375"/>
        <v>1.818352016100723E-2</v>
      </c>
      <c r="AZ124" s="70">
        <f t="shared" si="375"/>
        <v>7.8163394257096726E-3</v>
      </c>
      <c r="BA124" s="70">
        <f t="shared" si="375"/>
        <v>0</v>
      </c>
      <c r="BB124" s="70">
        <f t="shared" si="375"/>
        <v>0</v>
      </c>
      <c r="BC124" s="70">
        <f t="shared" si="375"/>
        <v>0</v>
      </c>
      <c r="BD124" s="70">
        <f t="shared" si="375"/>
        <v>0</v>
      </c>
      <c r="BE124" s="70">
        <f t="shared" si="375"/>
        <v>0</v>
      </c>
      <c r="BF124" s="70">
        <f t="shared" si="375"/>
        <v>0</v>
      </c>
      <c r="BG124" s="70">
        <f t="shared" si="375"/>
        <v>0</v>
      </c>
      <c r="BH124" s="70">
        <f t="shared" si="16"/>
        <v>5.4059113992183661E-3</v>
      </c>
      <c r="BI124" s="62"/>
      <c r="BJ124" s="69">
        <v>0.443</v>
      </c>
      <c r="BK124" s="69">
        <v>0.42499999999999999</v>
      </c>
      <c r="BL124" s="69">
        <v>2.9000000000000001E-2</v>
      </c>
      <c r="BM124" s="69">
        <v>6.7000000000000004E-2</v>
      </c>
      <c r="BN124" s="69">
        <v>2.7E-2</v>
      </c>
      <c r="BO124" s="69">
        <v>0</v>
      </c>
      <c r="BP124" s="69">
        <v>0</v>
      </c>
      <c r="BQ124" s="69">
        <v>8.9999999999999993E-3</v>
      </c>
      <c r="BR124" s="62"/>
      <c r="BS124" s="72">
        <f t="shared" ref="BS124:BW124" si="376">AP124-BJ124</f>
        <v>3.3492476188247411E-2</v>
      </c>
      <c r="BT124" s="72">
        <f t="shared" si="376"/>
        <v>-0.1872335072897896</v>
      </c>
      <c r="BU124" s="72">
        <f t="shared" si="376"/>
        <v>0.10465004329409563</v>
      </c>
      <c r="BV124" s="72">
        <f t="shared" si="376"/>
        <v>-7.7689967470922772E-3</v>
      </c>
      <c r="BW124" s="72">
        <f t="shared" si="376"/>
        <v>2.8299431326203456E-2</v>
      </c>
      <c r="BX124" s="72"/>
      <c r="BY124" s="72"/>
      <c r="BZ124" s="72">
        <f t="shared" si="18"/>
        <v>2.8560553228335402E-2</v>
      </c>
    </row>
    <row r="125" spans="1:78" ht="13.15">
      <c r="A125" s="78" t="s">
        <v>5</v>
      </c>
      <c r="B125" s="74" t="s">
        <v>293</v>
      </c>
      <c r="C125" s="75" t="s">
        <v>294</v>
      </c>
      <c r="D125" s="75" t="s">
        <v>129</v>
      </c>
      <c r="E125" s="76"/>
      <c r="F125" s="59">
        <v>0.6</v>
      </c>
      <c r="G125" s="60"/>
      <c r="H125" s="77">
        <v>22274</v>
      </c>
      <c r="I125" s="77">
        <v>8592</v>
      </c>
      <c r="J125" s="77">
        <v>9454</v>
      </c>
      <c r="K125" s="77">
        <v>1898</v>
      </c>
      <c r="L125" s="77">
        <v>2144</v>
      </c>
      <c r="M125" s="77"/>
      <c r="N125" s="77"/>
      <c r="O125" s="77">
        <v>573</v>
      </c>
      <c r="P125" s="77"/>
      <c r="Q125" s="77">
        <v>137</v>
      </c>
      <c r="R125" s="77"/>
      <c r="S125" s="77"/>
      <c r="T125" s="77"/>
      <c r="U125" s="77"/>
      <c r="V125" s="77"/>
      <c r="W125" s="77"/>
      <c r="X125" s="77"/>
      <c r="Y125" s="77">
        <v>322</v>
      </c>
      <c r="Z125" s="77"/>
      <c r="AA125" s="77"/>
      <c r="AB125" s="77"/>
      <c r="AC125" s="77"/>
      <c r="AD125" s="77"/>
      <c r="AE125" s="62"/>
      <c r="AF125" s="63" t="b">
        <v>0</v>
      </c>
      <c r="AG125" s="63" t="b">
        <v>0</v>
      </c>
      <c r="AH125" s="62"/>
      <c r="AI125" s="64">
        <f t="shared" si="7"/>
        <v>45394</v>
      </c>
      <c r="AJ125" s="65" t="str">
        <f t="shared" si="340"/>
        <v>LAB</v>
      </c>
      <c r="AK125" s="66" t="str">
        <f t="shared" si="9"/>
        <v>HOLD</v>
      </c>
      <c r="AL125" s="67" t="e">
        <f t="shared" ca="1" si="10"/>
        <v>#NAME?</v>
      </c>
      <c r="AM125" s="68">
        <f t="shared" si="11"/>
        <v>12820</v>
      </c>
      <c r="AN125" s="69">
        <f t="shared" si="12"/>
        <v>0.28241617834956162</v>
      </c>
      <c r="AO125" s="62"/>
      <c r="AP125" s="70">
        <f t="shared" ref="AP125:AT125" si="377">H125/$AI125</f>
        <v>0.49068158787504956</v>
      </c>
      <c r="AQ125" s="70">
        <f t="shared" si="377"/>
        <v>0.18927611578622724</v>
      </c>
      <c r="AR125" s="70">
        <f t="shared" si="377"/>
        <v>0.20826540952548794</v>
      </c>
      <c r="AS125" s="70">
        <f t="shared" si="377"/>
        <v>4.1811693175309514E-2</v>
      </c>
      <c r="AT125" s="70">
        <f t="shared" si="377"/>
        <v>4.7230911574216855E-2</v>
      </c>
      <c r="AU125" s="70"/>
      <c r="AV125" s="70"/>
      <c r="AW125" s="81">
        <f t="shared" si="14"/>
        <v>2.2734282063708755E-2</v>
      </c>
      <c r="AX125" s="70">
        <f t="shared" ref="AX125:BG125" si="378">O125/$AI125</f>
        <v>1.2622813587698815E-2</v>
      </c>
      <c r="AY125" s="70">
        <f t="shared" si="378"/>
        <v>0</v>
      </c>
      <c r="AZ125" s="70">
        <f t="shared" si="378"/>
        <v>3.018020002643521E-3</v>
      </c>
      <c r="BA125" s="70">
        <f t="shared" si="378"/>
        <v>0</v>
      </c>
      <c r="BB125" s="70">
        <f t="shared" si="378"/>
        <v>0</v>
      </c>
      <c r="BC125" s="70">
        <f t="shared" si="378"/>
        <v>0</v>
      </c>
      <c r="BD125" s="70">
        <f t="shared" si="378"/>
        <v>0</v>
      </c>
      <c r="BE125" s="70">
        <f t="shared" si="378"/>
        <v>0</v>
      </c>
      <c r="BF125" s="70">
        <f t="shared" si="378"/>
        <v>0</v>
      </c>
      <c r="BG125" s="70">
        <f t="shared" si="378"/>
        <v>0</v>
      </c>
      <c r="BH125" s="70">
        <f t="shared" si="16"/>
        <v>7.0934484733664177E-3</v>
      </c>
      <c r="BI125" s="62"/>
      <c r="BJ125" s="69">
        <v>0.44400000000000001</v>
      </c>
      <c r="BK125" s="69">
        <v>0.39900000000000002</v>
      </c>
      <c r="BL125" s="69">
        <v>0.08</v>
      </c>
      <c r="BM125" s="69">
        <v>5.1999999999999998E-2</v>
      </c>
      <c r="BN125" s="69">
        <v>2.5000000000000001E-2</v>
      </c>
      <c r="BO125" s="69">
        <v>0</v>
      </c>
      <c r="BP125" s="69">
        <v>0</v>
      </c>
      <c r="BQ125" s="69">
        <v>0</v>
      </c>
      <c r="BR125" s="62"/>
      <c r="BS125" s="72">
        <f t="shared" ref="BS125:BW125" si="379">AP125-BJ125</f>
        <v>4.6681587875049557E-2</v>
      </c>
      <c r="BT125" s="72">
        <f t="shared" si="379"/>
        <v>-0.20972388421377278</v>
      </c>
      <c r="BU125" s="72">
        <f t="shared" si="379"/>
        <v>0.12826540952548793</v>
      </c>
      <c r="BV125" s="72">
        <f t="shared" si="379"/>
        <v>-1.0188306824690484E-2</v>
      </c>
      <c r="BW125" s="72">
        <f t="shared" si="379"/>
        <v>2.2230911574216854E-2</v>
      </c>
      <c r="BX125" s="72"/>
      <c r="BY125" s="72"/>
      <c r="BZ125" s="72">
        <f t="shared" si="18"/>
        <v>2.2734282063708755E-2</v>
      </c>
    </row>
    <row r="126" spans="1:78" ht="13.15">
      <c r="A126" s="73" t="s">
        <v>6</v>
      </c>
      <c r="B126" s="74" t="s">
        <v>295</v>
      </c>
      <c r="C126" s="75" t="s">
        <v>296</v>
      </c>
      <c r="D126" s="75" t="s">
        <v>44</v>
      </c>
      <c r="E126" s="76"/>
      <c r="F126" s="59"/>
      <c r="G126" s="60"/>
      <c r="H126" s="77">
        <v>17453</v>
      </c>
      <c r="I126" s="77">
        <v>12218</v>
      </c>
      <c r="J126" s="77">
        <v>8447</v>
      </c>
      <c r="K126" s="77">
        <v>2205</v>
      </c>
      <c r="L126" s="77">
        <v>2621</v>
      </c>
      <c r="M126" s="77"/>
      <c r="N126" s="77"/>
      <c r="O126" s="77"/>
      <c r="P126" s="77">
        <v>2407</v>
      </c>
      <c r="Q126" s="77"/>
      <c r="R126" s="77"/>
      <c r="S126" s="77"/>
      <c r="T126" s="77"/>
      <c r="U126" s="77"/>
      <c r="V126" s="77"/>
      <c r="W126" s="77"/>
      <c r="X126" s="77"/>
      <c r="Y126" s="77">
        <v>153</v>
      </c>
      <c r="Z126" s="77"/>
      <c r="AA126" s="77"/>
      <c r="AB126" s="77"/>
      <c r="AC126" s="77"/>
      <c r="AD126" s="77"/>
      <c r="AE126" s="62"/>
      <c r="AF126" s="63" t="b">
        <v>0</v>
      </c>
      <c r="AG126" s="63" t="b">
        <v>0</v>
      </c>
      <c r="AH126" s="62"/>
      <c r="AI126" s="64">
        <f t="shared" si="7"/>
        <v>45504</v>
      </c>
      <c r="AJ126" s="65" t="str">
        <f t="shared" si="340"/>
        <v>LAB</v>
      </c>
      <c r="AK126" s="66" t="str">
        <f t="shared" si="9"/>
        <v>GAIN</v>
      </c>
      <c r="AL126" s="67" t="e">
        <f t="shared" ca="1" si="10"/>
        <v>#NAME?</v>
      </c>
      <c r="AM126" s="68">
        <f t="shared" si="11"/>
        <v>5235</v>
      </c>
      <c r="AN126" s="69">
        <f t="shared" si="12"/>
        <v>0.11504483122362869</v>
      </c>
      <c r="AO126" s="62"/>
      <c r="AP126" s="70">
        <f t="shared" ref="AP126:AT126" si="380">H126/$AI126</f>
        <v>0.38354869901547117</v>
      </c>
      <c r="AQ126" s="70">
        <f t="shared" si="380"/>
        <v>0.26850386779184249</v>
      </c>
      <c r="AR126" s="70">
        <f t="shared" si="380"/>
        <v>0.18563203234880449</v>
      </c>
      <c r="AS126" s="70">
        <f t="shared" si="380"/>
        <v>4.845727848101266E-2</v>
      </c>
      <c r="AT126" s="70">
        <f t="shared" si="380"/>
        <v>5.7599331926863576E-2</v>
      </c>
      <c r="AU126" s="70"/>
      <c r="AV126" s="70"/>
      <c r="AW126" s="81">
        <f t="shared" si="14"/>
        <v>5.6258790436005568E-2</v>
      </c>
      <c r="AX126" s="70">
        <f t="shared" ref="AX126:BG126" si="381">O126/$AI126</f>
        <v>0</v>
      </c>
      <c r="AY126" s="70">
        <f t="shared" si="381"/>
        <v>5.2896448663853728E-2</v>
      </c>
      <c r="AZ126" s="70">
        <f t="shared" si="381"/>
        <v>0</v>
      </c>
      <c r="BA126" s="70">
        <f t="shared" si="381"/>
        <v>0</v>
      </c>
      <c r="BB126" s="70">
        <f t="shared" si="381"/>
        <v>0</v>
      </c>
      <c r="BC126" s="70">
        <f t="shared" si="381"/>
        <v>0</v>
      </c>
      <c r="BD126" s="70">
        <f t="shared" si="381"/>
        <v>0</v>
      </c>
      <c r="BE126" s="70">
        <f t="shared" si="381"/>
        <v>0</v>
      </c>
      <c r="BF126" s="70">
        <f t="shared" si="381"/>
        <v>0</v>
      </c>
      <c r="BG126" s="70">
        <f t="shared" si="381"/>
        <v>0</v>
      </c>
      <c r="BH126" s="70">
        <f t="shared" si="16"/>
        <v>3.3623417721518403E-3</v>
      </c>
      <c r="BI126" s="62"/>
      <c r="BJ126" s="69">
        <v>0.374</v>
      </c>
      <c r="BK126" s="69">
        <v>0.54200000000000004</v>
      </c>
      <c r="BL126" s="69">
        <v>0</v>
      </c>
      <c r="BM126" s="69">
        <v>5.5E-2</v>
      </c>
      <c r="BN126" s="69">
        <v>2.9000000000000001E-2</v>
      </c>
      <c r="BO126" s="69">
        <v>0</v>
      </c>
      <c r="BP126" s="69">
        <v>0</v>
      </c>
      <c r="BQ126" s="69">
        <v>0</v>
      </c>
      <c r="BR126" s="62"/>
      <c r="BS126" s="72">
        <f t="shared" ref="BS126:BW126" si="382">AP126-BJ126</f>
        <v>9.5486990154711737E-3</v>
      </c>
      <c r="BT126" s="72">
        <f t="shared" si="382"/>
        <v>-0.27349613220815755</v>
      </c>
      <c r="BU126" s="72">
        <f t="shared" si="382"/>
        <v>0.18563203234880449</v>
      </c>
      <c r="BV126" s="72">
        <f t="shared" si="382"/>
        <v>-6.5427215189873406E-3</v>
      </c>
      <c r="BW126" s="72">
        <f t="shared" si="382"/>
        <v>2.8599331926863574E-2</v>
      </c>
      <c r="BX126" s="72"/>
      <c r="BY126" s="72"/>
      <c r="BZ126" s="72">
        <f t="shared" si="18"/>
        <v>5.6258790436005568E-2</v>
      </c>
    </row>
    <row r="127" spans="1:78" ht="13.15">
      <c r="A127" s="73" t="s">
        <v>6</v>
      </c>
      <c r="B127" s="74" t="s">
        <v>297</v>
      </c>
      <c r="C127" s="75" t="s">
        <v>298</v>
      </c>
      <c r="D127" s="75" t="s">
        <v>50</v>
      </c>
      <c r="E127" s="76"/>
      <c r="F127" s="59"/>
      <c r="G127" s="60"/>
      <c r="H127" s="77">
        <v>20837</v>
      </c>
      <c r="I127" s="77">
        <v>11110</v>
      </c>
      <c r="J127" s="77">
        <v>9602</v>
      </c>
      <c r="K127" s="77">
        <v>2286</v>
      </c>
      <c r="L127" s="77">
        <v>2151</v>
      </c>
      <c r="M127" s="77"/>
      <c r="N127" s="77"/>
      <c r="O127" s="77"/>
      <c r="P127" s="77">
        <v>373</v>
      </c>
      <c r="Q127" s="77"/>
      <c r="R127" s="77">
        <v>588</v>
      </c>
      <c r="S127" s="77"/>
      <c r="T127" s="77"/>
      <c r="U127" s="77"/>
      <c r="V127" s="77"/>
      <c r="W127" s="77"/>
      <c r="X127" s="77"/>
      <c r="Y127" s="77">
        <v>250</v>
      </c>
      <c r="Z127" s="77"/>
      <c r="AA127" s="77"/>
      <c r="AB127" s="77"/>
      <c r="AC127" s="77"/>
      <c r="AD127" s="77"/>
      <c r="AE127" s="62"/>
      <c r="AF127" s="63" t="b">
        <v>0</v>
      </c>
      <c r="AG127" s="63" t="b">
        <v>0</v>
      </c>
      <c r="AH127" s="62"/>
      <c r="AI127" s="64">
        <f t="shared" si="7"/>
        <v>47197</v>
      </c>
      <c r="AJ127" s="65" t="str">
        <f t="shared" si="340"/>
        <v>LAB</v>
      </c>
      <c r="AK127" s="66" t="str">
        <f t="shared" si="9"/>
        <v>GAIN</v>
      </c>
      <c r="AL127" s="67" t="e">
        <f t="shared" ca="1" si="10"/>
        <v>#NAME?</v>
      </c>
      <c r="AM127" s="68">
        <f t="shared" si="11"/>
        <v>9727</v>
      </c>
      <c r="AN127" s="69">
        <f t="shared" si="12"/>
        <v>0.20609360764455367</v>
      </c>
      <c r="AO127" s="62"/>
      <c r="AP127" s="70">
        <f t="shared" ref="AP127:AT127" si="383">H127/$AI127</f>
        <v>0.44148992520711061</v>
      </c>
      <c r="AQ127" s="70">
        <f t="shared" si="383"/>
        <v>0.23539631756255694</v>
      </c>
      <c r="AR127" s="70">
        <f t="shared" si="383"/>
        <v>0.20344513422463292</v>
      </c>
      <c r="AS127" s="70">
        <f t="shared" si="383"/>
        <v>4.8435281903510818E-2</v>
      </c>
      <c r="AT127" s="70">
        <f t="shared" si="383"/>
        <v>4.55749306099964E-2</v>
      </c>
      <c r="AU127" s="70"/>
      <c r="AV127" s="70"/>
      <c r="AW127" s="81">
        <f t="shared" si="14"/>
        <v>2.5658410492192196E-2</v>
      </c>
      <c r="AX127" s="70">
        <f t="shared" ref="AX127:BG127" si="384">O127/$AI127</f>
        <v>0</v>
      </c>
      <c r="AY127" s="70">
        <f t="shared" si="384"/>
        <v>7.9030446850435407E-3</v>
      </c>
      <c r="AZ127" s="70">
        <f t="shared" si="384"/>
        <v>0</v>
      </c>
      <c r="BA127" s="70">
        <f t="shared" si="384"/>
        <v>1.2458418967307244E-2</v>
      </c>
      <c r="BB127" s="70">
        <f t="shared" si="384"/>
        <v>0</v>
      </c>
      <c r="BC127" s="70">
        <f t="shared" si="384"/>
        <v>0</v>
      </c>
      <c r="BD127" s="70">
        <f t="shared" si="384"/>
        <v>0</v>
      </c>
      <c r="BE127" s="70">
        <f t="shared" si="384"/>
        <v>0</v>
      </c>
      <c r="BF127" s="70">
        <f t="shared" si="384"/>
        <v>0</v>
      </c>
      <c r="BG127" s="70">
        <f t="shared" si="384"/>
        <v>0</v>
      </c>
      <c r="BH127" s="70">
        <f t="shared" si="16"/>
        <v>5.296946839841412E-3</v>
      </c>
      <c r="BI127" s="62"/>
      <c r="BJ127" s="69">
        <v>0.39200000000000002</v>
      </c>
      <c r="BK127" s="69">
        <v>0.50800000000000001</v>
      </c>
      <c r="BL127" s="69">
        <v>2.5999999999999999E-2</v>
      </c>
      <c r="BM127" s="69">
        <v>5.0999999999999997E-2</v>
      </c>
      <c r="BN127" s="69">
        <v>1.9E-2</v>
      </c>
      <c r="BO127" s="69">
        <v>0</v>
      </c>
      <c r="BP127" s="69">
        <v>0</v>
      </c>
      <c r="BQ127" s="69">
        <v>3.0000000000000001E-3</v>
      </c>
      <c r="BR127" s="62"/>
      <c r="BS127" s="72">
        <f t="shared" ref="BS127:BW127" si="385">AP127-BJ127</f>
        <v>4.9489925207110597E-2</v>
      </c>
      <c r="BT127" s="72">
        <f t="shared" si="385"/>
        <v>-0.27260368243744304</v>
      </c>
      <c r="BU127" s="72">
        <f t="shared" si="385"/>
        <v>0.17744513422463293</v>
      </c>
      <c r="BV127" s="72">
        <f t="shared" si="385"/>
        <v>-2.5647180964891783E-3</v>
      </c>
      <c r="BW127" s="72">
        <f t="shared" si="385"/>
        <v>2.6574930609996401E-2</v>
      </c>
      <c r="BX127" s="72"/>
      <c r="BY127" s="72"/>
      <c r="BZ127" s="72">
        <f t="shared" si="18"/>
        <v>2.2658410492192197E-2</v>
      </c>
    </row>
    <row r="128" spans="1:78" ht="13.15">
      <c r="A128" s="78" t="s">
        <v>5</v>
      </c>
      <c r="B128" s="74" t="s">
        <v>299</v>
      </c>
      <c r="C128" s="75" t="s">
        <v>300</v>
      </c>
      <c r="D128" s="75" t="s">
        <v>68</v>
      </c>
      <c r="E128" s="76"/>
      <c r="F128" s="59"/>
      <c r="G128" s="60"/>
      <c r="H128" s="77">
        <v>18541</v>
      </c>
      <c r="I128" s="77">
        <v>11716</v>
      </c>
      <c r="J128" s="77">
        <v>5862</v>
      </c>
      <c r="K128" s="77">
        <v>3563</v>
      </c>
      <c r="L128" s="77">
        <v>4097</v>
      </c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  <c r="Z128" s="77"/>
      <c r="AA128" s="77"/>
      <c r="AB128" s="77"/>
      <c r="AC128" s="77"/>
      <c r="AD128" s="77"/>
      <c r="AE128" s="62"/>
      <c r="AF128" s="63" t="b">
        <v>0</v>
      </c>
      <c r="AG128" s="63" t="b">
        <v>0</v>
      </c>
      <c r="AH128" s="62"/>
      <c r="AI128" s="64">
        <f t="shared" si="7"/>
        <v>43779</v>
      </c>
      <c r="AJ128" s="65" t="str">
        <f t="shared" si="340"/>
        <v>LAB</v>
      </c>
      <c r="AK128" s="66" t="str">
        <f t="shared" si="9"/>
        <v>HOLD</v>
      </c>
      <c r="AL128" s="67" t="e">
        <f t="shared" ca="1" si="10"/>
        <v>#NAME?</v>
      </c>
      <c r="AM128" s="68">
        <f t="shared" si="11"/>
        <v>6825</v>
      </c>
      <c r="AN128" s="69">
        <f t="shared" si="12"/>
        <v>0.15589666278352632</v>
      </c>
      <c r="AO128" s="62"/>
      <c r="AP128" s="70">
        <f t="shared" ref="AP128:AT128" si="386">H128/$AI128</f>
        <v>0.42351355672811164</v>
      </c>
      <c r="AQ128" s="70">
        <f t="shared" si="386"/>
        <v>0.26761689394458532</v>
      </c>
      <c r="AR128" s="70">
        <f t="shared" si="386"/>
        <v>0.13389981497978481</v>
      </c>
      <c r="AS128" s="70">
        <f t="shared" si="386"/>
        <v>8.1386052673656326E-2</v>
      </c>
      <c r="AT128" s="70">
        <f t="shared" si="386"/>
        <v>9.3583681673861899E-2</v>
      </c>
      <c r="AU128" s="70"/>
      <c r="AV128" s="70"/>
      <c r="AW128" s="81">
        <f t="shared" si="14"/>
        <v>0</v>
      </c>
      <c r="AX128" s="70">
        <f t="shared" ref="AX128:BG128" si="387">O128/$AI128</f>
        <v>0</v>
      </c>
      <c r="AY128" s="70">
        <f t="shared" si="387"/>
        <v>0</v>
      </c>
      <c r="AZ128" s="70">
        <f t="shared" si="387"/>
        <v>0</v>
      </c>
      <c r="BA128" s="70">
        <f t="shared" si="387"/>
        <v>0</v>
      </c>
      <c r="BB128" s="70">
        <f t="shared" si="387"/>
        <v>0</v>
      </c>
      <c r="BC128" s="70">
        <f t="shared" si="387"/>
        <v>0</v>
      </c>
      <c r="BD128" s="70">
        <f t="shared" si="387"/>
        <v>0</v>
      </c>
      <c r="BE128" s="70">
        <f t="shared" si="387"/>
        <v>0</v>
      </c>
      <c r="BF128" s="70">
        <f t="shared" si="387"/>
        <v>0</v>
      </c>
      <c r="BG128" s="70">
        <f t="shared" si="387"/>
        <v>0</v>
      </c>
      <c r="BH128" s="70">
        <f t="shared" si="16"/>
        <v>1.1102230246251565E-16</v>
      </c>
      <c r="BI128" s="62"/>
      <c r="BJ128" s="69">
        <v>0.48099999999999998</v>
      </c>
      <c r="BK128" s="69">
        <v>0.41299999999999998</v>
      </c>
      <c r="BL128" s="69">
        <v>1.7000000000000001E-2</v>
      </c>
      <c r="BM128" s="69">
        <v>6.6000000000000003E-2</v>
      </c>
      <c r="BN128" s="69">
        <v>2.3E-2</v>
      </c>
      <c r="BO128" s="69">
        <v>0</v>
      </c>
      <c r="BP128" s="69">
        <v>0</v>
      </c>
      <c r="BQ128" s="69">
        <v>0</v>
      </c>
      <c r="BR128" s="62"/>
      <c r="BS128" s="72">
        <f t="shared" ref="BS128:BW128" si="388">AP128-BJ128</f>
        <v>-5.7486443271888343E-2</v>
      </c>
      <c r="BT128" s="72">
        <f t="shared" si="388"/>
        <v>-0.14538310605541466</v>
      </c>
      <c r="BU128" s="72">
        <f t="shared" si="388"/>
        <v>0.11689981497978481</v>
      </c>
      <c r="BV128" s="72">
        <f t="shared" si="388"/>
        <v>1.5386052673656322E-2</v>
      </c>
      <c r="BW128" s="72">
        <f t="shared" si="388"/>
        <v>7.0583681673861892E-2</v>
      </c>
      <c r="BX128" s="72"/>
      <c r="BY128" s="72"/>
      <c r="BZ128" s="72">
        <f t="shared" si="18"/>
        <v>1.1102230246251565E-16</v>
      </c>
    </row>
    <row r="129" spans="1:78" ht="13.15">
      <c r="A129" s="73" t="s">
        <v>6</v>
      </c>
      <c r="B129" s="74" t="s">
        <v>301</v>
      </c>
      <c r="C129" s="75" t="s">
        <v>302</v>
      </c>
      <c r="D129" s="75" t="s">
        <v>68</v>
      </c>
      <c r="E129" s="76"/>
      <c r="F129" s="59"/>
      <c r="G129" s="60"/>
      <c r="H129" s="77">
        <v>17444</v>
      </c>
      <c r="I129" s="77">
        <v>19757</v>
      </c>
      <c r="J129" s="77">
        <v>4149</v>
      </c>
      <c r="K129" s="77">
        <v>4384</v>
      </c>
      <c r="L129" s="77">
        <v>2859</v>
      </c>
      <c r="M129" s="77"/>
      <c r="N129" s="77"/>
      <c r="O129" s="77">
        <v>173</v>
      </c>
      <c r="P129" s="77">
        <v>612</v>
      </c>
      <c r="Q129" s="77"/>
      <c r="R129" s="77"/>
      <c r="S129" s="77"/>
      <c r="T129" s="77"/>
      <c r="U129" s="77"/>
      <c r="V129" s="77"/>
      <c r="W129" s="77"/>
      <c r="X129" s="77"/>
      <c r="Y129" s="77"/>
      <c r="Z129" s="77"/>
      <c r="AA129" s="77"/>
      <c r="AB129" s="77"/>
      <c r="AC129" s="77"/>
      <c r="AD129" s="77"/>
      <c r="AE129" s="62"/>
      <c r="AF129" s="63" t="b">
        <v>0</v>
      </c>
      <c r="AG129" s="63" t="b">
        <v>0</v>
      </c>
      <c r="AH129" s="62"/>
      <c r="AI129" s="64">
        <f t="shared" si="7"/>
        <v>49378</v>
      </c>
      <c r="AJ129" s="65" t="str">
        <f t="shared" si="340"/>
        <v>CON</v>
      </c>
      <c r="AK129" s="66" t="str">
        <f t="shared" si="9"/>
        <v>HOLD</v>
      </c>
      <c r="AL129" s="67" t="e">
        <f t="shared" ca="1" si="10"/>
        <v>#NAME?</v>
      </c>
      <c r="AM129" s="68">
        <f t="shared" si="11"/>
        <v>2313</v>
      </c>
      <c r="AN129" s="69">
        <f t="shared" si="12"/>
        <v>4.684272348009233E-2</v>
      </c>
      <c r="AO129" s="62"/>
      <c r="AP129" s="70">
        <f t="shared" ref="AP129:AT129" si="389">H129/$AI129</f>
        <v>0.35327473773745394</v>
      </c>
      <c r="AQ129" s="70">
        <f t="shared" si="389"/>
        <v>0.40011746121754627</v>
      </c>
      <c r="AR129" s="70">
        <f t="shared" si="389"/>
        <v>8.4025274413706511E-2</v>
      </c>
      <c r="AS129" s="70">
        <f t="shared" si="389"/>
        <v>8.8784478917736651E-2</v>
      </c>
      <c r="AT129" s="70">
        <f t="shared" si="389"/>
        <v>5.7900279476690027E-2</v>
      </c>
      <c r="AU129" s="70"/>
      <c r="AV129" s="70"/>
      <c r="AW129" s="81">
        <f t="shared" si="14"/>
        <v>1.5897768236866505E-2</v>
      </c>
      <c r="AX129" s="70">
        <f t="shared" ref="AX129:BG129" si="390">O129/$AI129</f>
        <v>3.5035845923285674E-3</v>
      </c>
      <c r="AY129" s="70">
        <f t="shared" si="390"/>
        <v>1.2394183644538053E-2</v>
      </c>
      <c r="AZ129" s="70">
        <f t="shared" si="390"/>
        <v>0</v>
      </c>
      <c r="BA129" s="70">
        <f t="shared" si="390"/>
        <v>0</v>
      </c>
      <c r="BB129" s="70">
        <f t="shared" si="390"/>
        <v>0</v>
      </c>
      <c r="BC129" s="70">
        <f t="shared" si="390"/>
        <v>0</v>
      </c>
      <c r="BD129" s="70">
        <f t="shared" si="390"/>
        <v>0</v>
      </c>
      <c r="BE129" s="70">
        <f t="shared" si="390"/>
        <v>0</v>
      </c>
      <c r="BF129" s="70">
        <f t="shared" si="390"/>
        <v>0</v>
      </c>
      <c r="BG129" s="70">
        <f t="shared" si="390"/>
        <v>0</v>
      </c>
      <c r="BH129" s="70">
        <f t="shared" si="16"/>
        <v>-1.1449174941446927E-16</v>
      </c>
      <c r="BI129" s="62"/>
      <c r="BJ129" s="69">
        <v>0.28100000000000003</v>
      </c>
      <c r="BK129" s="69">
        <v>0.54500000000000004</v>
      </c>
      <c r="BL129" s="69">
        <v>1E-3</v>
      </c>
      <c r="BM129" s="69">
        <v>0.13500000000000001</v>
      </c>
      <c r="BN129" s="69">
        <v>2.9000000000000001E-2</v>
      </c>
      <c r="BO129" s="69">
        <v>0</v>
      </c>
      <c r="BP129" s="69">
        <v>0</v>
      </c>
      <c r="BQ129" s="69">
        <v>8.9999999999999993E-3</v>
      </c>
      <c r="BR129" s="62"/>
      <c r="BS129" s="72">
        <f t="shared" ref="BS129:BW129" si="391">AP129-BJ129</f>
        <v>7.2274737737453909E-2</v>
      </c>
      <c r="BT129" s="72">
        <f t="shared" si="391"/>
        <v>-0.14488253878245377</v>
      </c>
      <c r="BU129" s="72">
        <f t="shared" si="391"/>
        <v>8.302527441370651E-2</v>
      </c>
      <c r="BV129" s="72">
        <f t="shared" si="391"/>
        <v>-4.6215521082263358E-2</v>
      </c>
      <c r="BW129" s="72">
        <f t="shared" si="391"/>
        <v>2.8900279476690025E-2</v>
      </c>
      <c r="BX129" s="72"/>
      <c r="BY129" s="72"/>
      <c r="BZ129" s="72">
        <f t="shared" si="18"/>
        <v>6.8977682368665059E-3</v>
      </c>
    </row>
    <row r="130" spans="1:78" ht="13.15">
      <c r="A130" s="78" t="s">
        <v>5</v>
      </c>
      <c r="B130" s="74" t="s">
        <v>303</v>
      </c>
      <c r="C130" s="75" t="s">
        <v>304</v>
      </c>
      <c r="D130" s="75" t="s">
        <v>68</v>
      </c>
      <c r="E130" s="76"/>
      <c r="F130" s="59"/>
      <c r="G130" s="60"/>
      <c r="H130" s="77">
        <v>20612</v>
      </c>
      <c r="I130" s="77">
        <v>6386</v>
      </c>
      <c r="J130" s="77">
        <v>2148</v>
      </c>
      <c r="K130" s="77">
        <v>3667</v>
      </c>
      <c r="L130" s="77">
        <v>3851</v>
      </c>
      <c r="M130" s="77"/>
      <c r="N130" s="77"/>
      <c r="O130" s="77"/>
      <c r="P130" s="77">
        <v>708</v>
      </c>
      <c r="Q130" s="77"/>
      <c r="R130" s="77"/>
      <c r="S130" s="77"/>
      <c r="T130" s="77"/>
      <c r="U130" s="77"/>
      <c r="V130" s="77"/>
      <c r="W130" s="77"/>
      <c r="X130" s="77"/>
      <c r="Y130" s="77">
        <v>503</v>
      </c>
      <c r="Z130" s="77">
        <v>247</v>
      </c>
      <c r="AA130" s="77"/>
      <c r="AB130" s="77"/>
      <c r="AC130" s="77"/>
      <c r="AD130" s="77"/>
      <c r="AE130" s="62"/>
      <c r="AF130" s="63" t="b">
        <v>0</v>
      </c>
      <c r="AG130" s="63" t="b">
        <v>0</v>
      </c>
      <c r="AH130" s="62"/>
      <c r="AI130" s="64">
        <f t="shared" si="7"/>
        <v>38122</v>
      </c>
      <c r="AJ130" s="65" t="str">
        <f t="shared" si="340"/>
        <v>LAB</v>
      </c>
      <c r="AK130" s="66" t="str">
        <f t="shared" si="9"/>
        <v>HOLD</v>
      </c>
      <c r="AL130" s="67" t="e">
        <f t="shared" ca="1" si="10"/>
        <v>#NAME?</v>
      </c>
      <c r="AM130" s="68">
        <f t="shared" si="11"/>
        <v>14226</v>
      </c>
      <c r="AN130" s="69">
        <f t="shared" si="12"/>
        <v>0.37317034783064901</v>
      </c>
      <c r="AO130" s="62"/>
      <c r="AP130" s="70">
        <f t="shared" ref="AP130:AT130" si="392">H130/$AI130</f>
        <v>0.54068516866901006</v>
      </c>
      <c r="AQ130" s="70">
        <f t="shared" si="392"/>
        <v>0.16751482083836106</v>
      </c>
      <c r="AR130" s="70">
        <f t="shared" si="392"/>
        <v>5.6345417344315619E-2</v>
      </c>
      <c r="AS130" s="70">
        <f t="shared" si="392"/>
        <v>9.6191175699071402E-2</v>
      </c>
      <c r="AT130" s="70">
        <f t="shared" si="392"/>
        <v>0.10101778500603326</v>
      </c>
      <c r="AU130" s="70"/>
      <c r="AV130" s="70"/>
      <c r="AW130" s="81">
        <f t="shared" si="14"/>
        <v>3.8245632443208555E-2</v>
      </c>
      <c r="AX130" s="70">
        <f t="shared" ref="AX130:BG130" si="393">O130/$AI130</f>
        <v>0</v>
      </c>
      <c r="AY130" s="70">
        <f t="shared" si="393"/>
        <v>1.8571953202874979E-2</v>
      </c>
      <c r="AZ130" s="70">
        <f t="shared" si="393"/>
        <v>0</v>
      </c>
      <c r="BA130" s="70">
        <f t="shared" si="393"/>
        <v>0</v>
      </c>
      <c r="BB130" s="70">
        <f t="shared" si="393"/>
        <v>0</v>
      </c>
      <c r="BC130" s="70">
        <f t="shared" si="393"/>
        <v>0</v>
      </c>
      <c r="BD130" s="70">
        <f t="shared" si="393"/>
        <v>0</v>
      </c>
      <c r="BE130" s="70">
        <f t="shared" si="393"/>
        <v>0</v>
      </c>
      <c r="BF130" s="70">
        <f t="shared" si="393"/>
        <v>0</v>
      </c>
      <c r="BG130" s="70">
        <f t="shared" si="393"/>
        <v>0</v>
      </c>
      <c r="BH130" s="70">
        <f t="shared" si="16"/>
        <v>1.9673679240333575E-2</v>
      </c>
      <c r="BI130" s="62"/>
      <c r="BJ130" s="69">
        <v>0.66700000000000004</v>
      </c>
      <c r="BK130" s="69">
        <v>0.215</v>
      </c>
      <c r="BL130" s="69">
        <v>1.2999999999999999E-2</v>
      </c>
      <c r="BM130" s="69">
        <v>7.0000000000000007E-2</v>
      </c>
      <c r="BN130" s="69">
        <v>2.7E-2</v>
      </c>
      <c r="BO130" s="69">
        <v>0</v>
      </c>
      <c r="BP130" s="69">
        <v>0</v>
      </c>
      <c r="BQ130" s="69">
        <v>8.0000000000000002E-3</v>
      </c>
      <c r="BR130" s="62"/>
      <c r="BS130" s="72">
        <f t="shared" ref="BS130:BW130" si="394">AP130-BJ130</f>
        <v>-0.12631483133098997</v>
      </c>
      <c r="BT130" s="72">
        <f t="shared" si="394"/>
        <v>-4.7485179161638941E-2</v>
      </c>
      <c r="BU130" s="72">
        <f t="shared" si="394"/>
        <v>4.3345417344315622E-2</v>
      </c>
      <c r="BV130" s="72">
        <f t="shared" si="394"/>
        <v>2.6191175699071395E-2</v>
      </c>
      <c r="BW130" s="72">
        <f t="shared" si="394"/>
        <v>7.401778500603326E-2</v>
      </c>
      <c r="BX130" s="72"/>
      <c r="BY130" s="72"/>
      <c r="BZ130" s="72">
        <f t="shared" si="18"/>
        <v>3.0245632443208555E-2</v>
      </c>
    </row>
    <row r="131" spans="1:78" ht="13.15">
      <c r="A131" s="78" t="s">
        <v>5</v>
      </c>
      <c r="B131" s="74" t="s">
        <v>305</v>
      </c>
      <c r="C131" s="75" t="s">
        <v>306</v>
      </c>
      <c r="D131" s="75" t="s">
        <v>68</v>
      </c>
      <c r="E131" s="76"/>
      <c r="F131" s="59"/>
      <c r="G131" s="60"/>
      <c r="H131" s="77">
        <v>16571</v>
      </c>
      <c r="I131" s="77">
        <v>6926</v>
      </c>
      <c r="J131" s="77">
        <v>9398</v>
      </c>
      <c r="K131" s="77">
        <v>1033</v>
      </c>
      <c r="L131" s="77">
        <v>4184</v>
      </c>
      <c r="M131" s="77"/>
      <c r="N131" s="77"/>
      <c r="O131" s="77">
        <v>755</v>
      </c>
      <c r="P131" s="77"/>
      <c r="Q131" s="77"/>
      <c r="R131" s="77"/>
      <c r="S131" s="77"/>
      <c r="T131" s="77"/>
      <c r="U131" s="77"/>
      <c r="V131" s="77"/>
      <c r="W131" s="77"/>
      <c r="X131" s="77"/>
      <c r="Y131" s="77"/>
      <c r="Z131" s="77"/>
      <c r="AA131" s="77"/>
      <c r="AB131" s="77"/>
      <c r="AC131" s="77"/>
      <c r="AD131" s="77"/>
      <c r="AE131" s="62"/>
      <c r="AF131" s="63" t="b">
        <v>0</v>
      </c>
      <c r="AG131" s="63" t="b">
        <v>0</v>
      </c>
      <c r="AH131" s="62"/>
      <c r="AI131" s="64">
        <f t="shared" si="7"/>
        <v>38867</v>
      </c>
      <c r="AJ131" s="65" t="str">
        <f t="shared" si="340"/>
        <v>LAB</v>
      </c>
      <c r="AK131" s="66" t="str">
        <f t="shared" si="9"/>
        <v>HOLD</v>
      </c>
      <c r="AL131" s="67" t="e">
        <f t="shared" ca="1" si="10"/>
        <v>#NAME?</v>
      </c>
      <c r="AM131" s="68">
        <f t="shared" si="11"/>
        <v>7173</v>
      </c>
      <c r="AN131" s="69">
        <f t="shared" si="12"/>
        <v>0.18455244809221188</v>
      </c>
      <c r="AO131" s="62"/>
      <c r="AP131" s="70">
        <f t="shared" ref="AP131:AT131" si="395">H131/$AI131</f>
        <v>0.4263514035042581</v>
      </c>
      <c r="AQ131" s="70">
        <f t="shared" si="395"/>
        <v>0.17819744256052691</v>
      </c>
      <c r="AR131" s="70">
        <f t="shared" si="395"/>
        <v>0.24179895541204621</v>
      </c>
      <c r="AS131" s="70">
        <f t="shared" si="395"/>
        <v>2.6577816656803973E-2</v>
      </c>
      <c r="AT131" s="70">
        <f t="shared" si="395"/>
        <v>0.10764916252862325</v>
      </c>
      <c r="AU131" s="70"/>
      <c r="AV131" s="70"/>
      <c r="AW131" s="81">
        <f t="shared" si="14"/>
        <v>1.9425219337741662E-2</v>
      </c>
      <c r="AX131" s="70">
        <f t="shared" ref="AX131:BG131" si="396">O131/$AI131</f>
        <v>1.942521933774153E-2</v>
      </c>
      <c r="AY131" s="70">
        <f t="shared" si="396"/>
        <v>0</v>
      </c>
      <c r="AZ131" s="70">
        <f t="shared" si="396"/>
        <v>0</v>
      </c>
      <c r="BA131" s="70">
        <f t="shared" si="396"/>
        <v>0</v>
      </c>
      <c r="BB131" s="70">
        <f t="shared" si="396"/>
        <v>0</v>
      </c>
      <c r="BC131" s="70">
        <f t="shared" si="396"/>
        <v>0</v>
      </c>
      <c r="BD131" s="70">
        <f t="shared" si="396"/>
        <v>0</v>
      </c>
      <c r="BE131" s="70">
        <f t="shared" si="396"/>
        <v>0</v>
      </c>
      <c r="BF131" s="70">
        <f t="shared" si="396"/>
        <v>0</v>
      </c>
      <c r="BG131" s="70">
        <f t="shared" si="396"/>
        <v>0</v>
      </c>
      <c r="BH131" s="70">
        <f t="shared" si="16"/>
        <v>1.3183898417423734E-16</v>
      </c>
      <c r="BI131" s="62"/>
      <c r="BJ131" s="69">
        <v>0.44700000000000001</v>
      </c>
      <c r="BK131" s="69">
        <v>0.43099999999999999</v>
      </c>
      <c r="BL131" s="69">
        <v>6.6000000000000003E-2</v>
      </c>
      <c r="BM131" s="69">
        <v>0.03</v>
      </c>
      <c r="BN131" s="69">
        <v>1.4999999999999999E-2</v>
      </c>
      <c r="BO131" s="69">
        <v>0</v>
      </c>
      <c r="BP131" s="69">
        <v>0</v>
      </c>
      <c r="BQ131" s="69">
        <v>0.01</v>
      </c>
      <c r="BR131" s="62"/>
      <c r="BS131" s="72">
        <f t="shared" ref="BS131:BW131" si="397">AP131-BJ131</f>
        <v>-2.0648596495741911E-2</v>
      </c>
      <c r="BT131" s="72">
        <f t="shared" si="397"/>
        <v>-0.25280255743947311</v>
      </c>
      <c r="BU131" s="72">
        <f t="shared" si="397"/>
        <v>0.17579895541204621</v>
      </c>
      <c r="BV131" s="72">
        <f t="shared" si="397"/>
        <v>-3.4221833431960259E-3</v>
      </c>
      <c r="BW131" s="72">
        <f t="shared" si="397"/>
        <v>9.264916252862325E-2</v>
      </c>
      <c r="BX131" s="72"/>
      <c r="BY131" s="72"/>
      <c r="BZ131" s="72">
        <f t="shared" si="18"/>
        <v>9.4252193377416613E-3</v>
      </c>
    </row>
    <row r="132" spans="1:78" ht="13.15">
      <c r="A132" s="73" t="s">
        <v>6</v>
      </c>
      <c r="B132" s="74" t="s">
        <v>307</v>
      </c>
      <c r="C132" s="75" t="s">
        <v>308</v>
      </c>
      <c r="D132" s="75" t="s">
        <v>129</v>
      </c>
      <c r="E132" s="76">
        <v>70446</v>
      </c>
      <c r="F132" s="59">
        <v>0.6</v>
      </c>
      <c r="G132" s="60"/>
      <c r="H132" s="77">
        <v>16621</v>
      </c>
      <c r="I132" s="77">
        <v>14323</v>
      </c>
      <c r="J132" s="77">
        <v>6852</v>
      </c>
      <c r="K132" s="77">
        <v>1735</v>
      </c>
      <c r="L132" s="77">
        <v>2847</v>
      </c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  <c r="Z132" s="77"/>
      <c r="AA132" s="77"/>
      <c r="AB132" s="77"/>
      <c r="AC132" s="77"/>
      <c r="AD132" s="77"/>
      <c r="AE132" s="62"/>
      <c r="AF132" s="63" t="b">
        <v>0</v>
      </c>
      <c r="AG132" s="63" t="b">
        <v>0</v>
      </c>
      <c r="AH132" s="62"/>
      <c r="AI132" s="64">
        <f t="shared" si="7"/>
        <v>42378</v>
      </c>
      <c r="AJ132" s="65" t="str">
        <f t="shared" si="340"/>
        <v>LAB</v>
      </c>
      <c r="AK132" s="66" t="str">
        <f t="shared" si="9"/>
        <v>GAIN</v>
      </c>
      <c r="AL132" s="67" t="e">
        <f t="shared" ca="1" si="10"/>
        <v>#NAME?</v>
      </c>
      <c r="AM132" s="68">
        <f t="shared" si="11"/>
        <v>2298</v>
      </c>
      <c r="AN132" s="69">
        <f t="shared" si="12"/>
        <v>5.4226249469064125E-2</v>
      </c>
      <c r="AO132" s="62"/>
      <c r="AP132" s="70">
        <f t="shared" ref="AP132:AT132" si="398">H132/$AI132</f>
        <v>0.39220822124687338</v>
      </c>
      <c r="AQ132" s="70">
        <f t="shared" si="398"/>
        <v>0.33798197177780925</v>
      </c>
      <c r="AR132" s="70">
        <f t="shared" si="398"/>
        <v>0.16168766812968993</v>
      </c>
      <c r="AS132" s="70">
        <f t="shared" si="398"/>
        <v>4.0941054320638069E-2</v>
      </c>
      <c r="AT132" s="70">
        <f t="shared" si="398"/>
        <v>6.7181084524989387E-2</v>
      </c>
      <c r="AU132" s="70"/>
      <c r="AV132" s="70"/>
      <c r="AW132" s="81">
        <f t="shared" si="14"/>
        <v>0</v>
      </c>
      <c r="AX132" s="70">
        <f t="shared" ref="AX132:BG132" si="399">O132/$AI132</f>
        <v>0</v>
      </c>
      <c r="AY132" s="70">
        <f t="shared" si="399"/>
        <v>0</v>
      </c>
      <c r="AZ132" s="70">
        <f t="shared" si="399"/>
        <v>0</v>
      </c>
      <c r="BA132" s="70">
        <f t="shared" si="399"/>
        <v>0</v>
      </c>
      <c r="BB132" s="70">
        <f t="shared" si="399"/>
        <v>0</v>
      </c>
      <c r="BC132" s="70">
        <f t="shared" si="399"/>
        <v>0</v>
      </c>
      <c r="BD132" s="70">
        <f t="shared" si="399"/>
        <v>0</v>
      </c>
      <c r="BE132" s="70">
        <f t="shared" si="399"/>
        <v>0</v>
      </c>
      <c r="BF132" s="70">
        <f t="shared" si="399"/>
        <v>0</v>
      </c>
      <c r="BG132" s="70">
        <f t="shared" si="399"/>
        <v>0</v>
      </c>
      <c r="BH132" s="70">
        <f t="shared" si="16"/>
        <v>0</v>
      </c>
      <c r="BI132" s="62"/>
      <c r="BJ132" s="69">
        <v>0.38900000000000001</v>
      </c>
      <c r="BK132" s="69">
        <v>0.497</v>
      </c>
      <c r="BL132" s="69">
        <v>3.5999999999999997E-2</v>
      </c>
      <c r="BM132" s="69">
        <v>4.5999999999999999E-2</v>
      </c>
      <c r="BN132" s="69">
        <v>2.5000000000000001E-2</v>
      </c>
      <c r="BO132" s="69">
        <v>0</v>
      </c>
      <c r="BP132" s="69">
        <v>0</v>
      </c>
      <c r="BQ132" s="69">
        <v>6.0000000000000001E-3</v>
      </c>
      <c r="BR132" s="62"/>
      <c r="BS132" s="72">
        <f t="shared" ref="BS132:BW132" si="400">AP132-BJ132</f>
        <v>3.2082212468733662E-3</v>
      </c>
      <c r="BT132" s="72">
        <f t="shared" si="400"/>
        <v>-0.15901802822219074</v>
      </c>
      <c r="BU132" s="72">
        <f t="shared" si="400"/>
        <v>0.12568766812968993</v>
      </c>
      <c r="BV132" s="72">
        <f t="shared" si="400"/>
        <v>-5.05894567936193E-3</v>
      </c>
      <c r="BW132" s="72">
        <f t="shared" si="400"/>
        <v>4.2181084524989386E-2</v>
      </c>
      <c r="BX132" s="72"/>
      <c r="BY132" s="72"/>
      <c r="BZ132" s="72">
        <f t="shared" si="18"/>
        <v>-6.0000000000000001E-3</v>
      </c>
    </row>
    <row r="133" spans="1:78" ht="13.15">
      <c r="A133" s="73" t="s">
        <v>6</v>
      </c>
      <c r="B133" s="74" t="s">
        <v>309</v>
      </c>
      <c r="C133" s="75" t="s">
        <v>310</v>
      </c>
      <c r="D133" s="75" t="s">
        <v>44</v>
      </c>
      <c r="E133" s="76"/>
      <c r="F133" s="59"/>
      <c r="G133" s="60"/>
      <c r="H133" s="77">
        <v>15392</v>
      </c>
      <c r="I133" s="77">
        <v>14200</v>
      </c>
      <c r="J133" s="77">
        <v>9523</v>
      </c>
      <c r="K133" s="77">
        <v>2184</v>
      </c>
      <c r="L133" s="77">
        <v>3189</v>
      </c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  <c r="Z133" s="77"/>
      <c r="AA133" s="77"/>
      <c r="AB133" s="77"/>
      <c r="AC133" s="77"/>
      <c r="AD133" s="77"/>
      <c r="AE133" s="62"/>
      <c r="AF133" s="63" t="b">
        <v>0</v>
      </c>
      <c r="AG133" s="63" t="b">
        <v>0</v>
      </c>
      <c r="AH133" s="62"/>
      <c r="AI133" s="64">
        <f t="shared" si="7"/>
        <v>44488</v>
      </c>
      <c r="AJ133" s="65" t="str">
        <f t="shared" si="340"/>
        <v>LAB</v>
      </c>
      <c r="AK133" s="66" t="str">
        <f t="shared" si="9"/>
        <v>GAIN</v>
      </c>
      <c r="AL133" s="67" t="e">
        <f t="shared" ca="1" si="10"/>
        <v>#NAME?</v>
      </c>
      <c r="AM133" s="68">
        <f t="shared" si="11"/>
        <v>1192</v>
      </c>
      <c r="AN133" s="69">
        <f t="shared" si="12"/>
        <v>2.6793742132709908E-2</v>
      </c>
      <c r="AO133" s="62"/>
      <c r="AP133" s="70">
        <f t="shared" ref="AP133:AT133" si="401">H133/$AI133</f>
        <v>0.3459809386800935</v>
      </c>
      <c r="AQ133" s="70">
        <f t="shared" si="401"/>
        <v>0.31918719654738359</v>
      </c>
      <c r="AR133" s="70">
        <f t="shared" si="401"/>
        <v>0.21405772343103757</v>
      </c>
      <c r="AS133" s="70">
        <f t="shared" si="401"/>
        <v>4.9091889947851103E-2</v>
      </c>
      <c r="AT133" s="70">
        <f t="shared" si="401"/>
        <v>7.1682251393634239E-2</v>
      </c>
      <c r="AU133" s="70"/>
      <c r="AV133" s="70"/>
      <c r="AW133" s="81">
        <f t="shared" si="14"/>
        <v>0</v>
      </c>
      <c r="AX133" s="70">
        <f t="shared" ref="AX133:BG133" si="402">O133/$AI133</f>
        <v>0</v>
      </c>
      <c r="AY133" s="70">
        <f t="shared" si="402"/>
        <v>0</v>
      </c>
      <c r="AZ133" s="70">
        <f t="shared" si="402"/>
        <v>0</v>
      </c>
      <c r="BA133" s="70">
        <f t="shared" si="402"/>
        <v>0</v>
      </c>
      <c r="BB133" s="70">
        <f t="shared" si="402"/>
        <v>0</v>
      </c>
      <c r="BC133" s="70">
        <f t="shared" si="402"/>
        <v>0</v>
      </c>
      <c r="BD133" s="70">
        <f t="shared" si="402"/>
        <v>0</v>
      </c>
      <c r="BE133" s="70">
        <f t="shared" si="402"/>
        <v>0</v>
      </c>
      <c r="BF133" s="70">
        <f t="shared" si="402"/>
        <v>0</v>
      </c>
      <c r="BG133" s="70">
        <f t="shared" si="402"/>
        <v>0</v>
      </c>
      <c r="BH133" s="70">
        <f t="shared" si="16"/>
        <v>0</v>
      </c>
      <c r="BI133" s="62"/>
      <c r="BJ133" s="69">
        <v>0.29499999999999998</v>
      </c>
      <c r="BK133" s="69">
        <v>0.61099999999999999</v>
      </c>
      <c r="BL133" s="69">
        <v>0</v>
      </c>
      <c r="BM133" s="69">
        <v>7.0000000000000007E-2</v>
      </c>
      <c r="BN133" s="69">
        <v>2.4E-2</v>
      </c>
      <c r="BO133" s="69">
        <v>0</v>
      </c>
      <c r="BP133" s="69">
        <v>0</v>
      </c>
      <c r="BQ133" s="69">
        <v>0</v>
      </c>
      <c r="BR133" s="62"/>
      <c r="BS133" s="72">
        <f t="shared" ref="BS133:BW133" si="403">AP133-BJ133</f>
        <v>5.0980938680093513E-2</v>
      </c>
      <c r="BT133" s="72">
        <f t="shared" si="403"/>
        <v>-0.2918128034526164</v>
      </c>
      <c r="BU133" s="72">
        <f t="shared" si="403"/>
        <v>0.21405772343103757</v>
      </c>
      <c r="BV133" s="72">
        <f t="shared" si="403"/>
        <v>-2.0908110052148904E-2</v>
      </c>
      <c r="BW133" s="72">
        <f t="shared" si="403"/>
        <v>4.7682251393634238E-2</v>
      </c>
      <c r="BX133" s="72"/>
      <c r="BY133" s="72"/>
      <c r="BZ133" s="72">
        <f t="shared" si="18"/>
        <v>0</v>
      </c>
    </row>
    <row r="134" spans="1:78" ht="13.15">
      <c r="A134" s="73" t="s">
        <v>6</v>
      </c>
      <c r="B134" s="74" t="s">
        <v>311</v>
      </c>
      <c r="C134" s="75" t="s">
        <v>312</v>
      </c>
      <c r="D134" s="75" t="s">
        <v>53</v>
      </c>
      <c r="E134" s="76"/>
      <c r="F134" s="59"/>
      <c r="G134" s="60"/>
      <c r="H134" s="77">
        <v>14860</v>
      </c>
      <c r="I134" s="77">
        <v>17872</v>
      </c>
      <c r="J134" s="77">
        <v>10636</v>
      </c>
      <c r="K134" s="77">
        <v>6755</v>
      </c>
      <c r="L134" s="77">
        <v>2959</v>
      </c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  <c r="Z134" s="77"/>
      <c r="AA134" s="77"/>
      <c r="AB134" s="77"/>
      <c r="AC134" s="77"/>
      <c r="AD134" s="77"/>
      <c r="AE134" s="62"/>
      <c r="AF134" s="63" t="b">
        <v>0</v>
      </c>
      <c r="AG134" s="63" t="b">
        <v>0</v>
      </c>
      <c r="AH134" s="62"/>
      <c r="AI134" s="64">
        <f t="shared" si="7"/>
        <v>53082</v>
      </c>
      <c r="AJ134" s="65" t="str">
        <f t="shared" si="340"/>
        <v>CON</v>
      </c>
      <c r="AK134" s="66" t="str">
        <f t="shared" si="9"/>
        <v>HOLD</v>
      </c>
      <c r="AL134" s="67" t="e">
        <f t="shared" ca="1" si="10"/>
        <v>#NAME?</v>
      </c>
      <c r="AM134" s="68">
        <f t="shared" si="11"/>
        <v>3012</v>
      </c>
      <c r="AN134" s="69">
        <f t="shared" si="12"/>
        <v>5.6742398553181861E-2</v>
      </c>
      <c r="AO134" s="62"/>
      <c r="AP134" s="70">
        <f t="shared" ref="AP134:AT134" si="404">H134/$AI134</f>
        <v>0.2799442372178893</v>
      </c>
      <c r="AQ134" s="70">
        <f t="shared" si="404"/>
        <v>0.33668663577107116</v>
      </c>
      <c r="AR134" s="70">
        <f t="shared" si="404"/>
        <v>0.20036924004370596</v>
      </c>
      <c r="AS134" s="70">
        <f t="shared" si="404"/>
        <v>0.12725594363437701</v>
      </c>
      <c r="AT134" s="70">
        <f t="shared" si="404"/>
        <v>5.5743943332956555E-2</v>
      </c>
      <c r="AU134" s="70"/>
      <c r="AV134" s="70"/>
      <c r="AW134" s="81">
        <f t="shared" si="14"/>
        <v>0</v>
      </c>
      <c r="AX134" s="70">
        <f t="shared" ref="AX134:BG134" si="405">O134/$AI134</f>
        <v>0</v>
      </c>
      <c r="AY134" s="70">
        <f t="shared" si="405"/>
        <v>0</v>
      </c>
      <c r="AZ134" s="70">
        <f t="shared" si="405"/>
        <v>0</v>
      </c>
      <c r="BA134" s="70">
        <f t="shared" si="405"/>
        <v>0</v>
      </c>
      <c r="BB134" s="70">
        <f t="shared" si="405"/>
        <v>0</v>
      </c>
      <c r="BC134" s="70">
        <f t="shared" si="405"/>
        <v>0</v>
      </c>
      <c r="BD134" s="70">
        <f t="shared" si="405"/>
        <v>0</v>
      </c>
      <c r="BE134" s="70">
        <f t="shared" si="405"/>
        <v>0</v>
      </c>
      <c r="BF134" s="70">
        <f t="shared" si="405"/>
        <v>0</v>
      </c>
      <c r="BG134" s="70">
        <f t="shared" si="405"/>
        <v>0</v>
      </c>
      <c r="BH134" s="70">
        <f t="shared" si="16"/>
        <v>1.1102230246251565E-16</v>
      </c>
      <c r="BI134" s="62"/>
      <c r="BJ134" s="69">
        <v>0.17799999999999999</v>
      </c>
      <c r="BK134" s="69">
        <v>0.64500000000000002</v>
      </c>
      <c r="BL134" s="69">
        <v>0</v>
      </c>
      <c r="BM134" s="69">
        <v>0.13100000000000001</v>
      </c>
      <c r="BN134" s="69">
        <v>4.5999999999999999E-2</v>
      </c>
      <c r="BO134" s="69">
        <v>0</v>
      </c>
      <c r="BP134" s="69">
        <v>0</v>
      </c>
      <c r="BQ134" s="69">
        <v>0</v>
      </c>
      <c r="BR134" s="62"/>
      <c r="BS134" s="72">
        <f t="shared" ref="BS134:BW134" si="406">AP134-BJ134</f>
        <v>0.10194423721788931</v>
      </c>
      <c r="BT134" s="72">
        <f t="shared" si="406"/>
        <v>-0.30831336422892885</v>
      </c>
      <c r="BU134" s="72">
        <f t="shared" si="406"/>
        <v>0.20036924004370596</v>
      </c>
      <c r="BV134" s="72">
        <f t="shared" si="406"/>
        <v>-3.7440563656229997E-3</v>
      </c>
      <c r="BW134" s="72">
        <f t="shared" si="406"/>
        <v>9.7439433329565561E-3</v>
      </c>
      <c r="BX134" s="72"/>
      <c r="BY134" s="72"/>
      <c r="BZ134" s="72">
        <f t="shared" si="18"/>
        <v>1.1102230246251565E-16</v>
      </c>
    </row>
    <row r="135" spans="1:78" ht="13.15">
      <c r="A135" s="73" t="s">
        <v>6</v>
      </c>
      <c r="B135" s="74" t="s">
        <v>313</v>
      </c>
      <c r="C135" s="75" t="s">
        <v>314</v>
      </c>
      <c r="D135" s="75" t="s">
        <v>53</v>
      </c>
      <c r="E135" s="76"/>
      <c r="F135" s="59"/>
      <c r="G135" s="60"/>
      <c r="H135" s="77">
        <v>18619</v>
      </c>
      <c r="I135" s="77">
        <v>9704</v>
      </c>
      <c r="J135" s="77">
        <v>7488</v>
      </c>
      <c r="K135" s="77">
        <v>1822</v>
      </c>
      <c r="L135" s="77">
        <v>3286</v>
      </c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  <c r="Z135" s="77"/>
      <c r="AA135" s="77"/>
      <c r="AB135" s="77"/>
      <c r="AC135" s="77"/>
      <c r="AD135" s="77"/>
      <c r="AE135" s="62"/>
      <c r="AF135" s="63" t="b">
        <v>0</v>
      </c>
      <c r="AG135" s="63" t="b">
        <v>0</v>
      </c>
      <c r="AH135" s="62"/>
      <c r="AI135" s="64">
        <f t="shared" si="7"/>
        <v>40919</v>
      </c>
      <c r="AJ135" s="65" t="str">
        <f t="shared" si="340"/>
        <v>LAB</v>
      </c>
      <c r="AK135" s="66" t="str">
        <f t="shared" si="9"/>
        <v>GAIN</v>
      </c>
      <c r="AL135" s="67" t="e">
        <f t="shared" ca="1" si="10"/>
        <v>#NAME?</v>
      </c>
      <c r="AM135" s="68">
        <f t="shared" si="11"/>
        <v>8915</v>
      </c>
      <c r="AN135" s="69">
        <f t="shared" si="12"/>
        <v>0.21786944940003422</v>
      </c>
      <c r="AO135" s="62"/>
      <c r="AP135" s="70">
        <f t="shared" ref="AP135:AT135" si="407">H135/$AI135</f>
        <v>0.45502089493878151</v>
      </c>
      <c r="AQ135" s="70">
        <f t="shared" si="407"/>
        <v>0.23715144553874729</v>
      </c>
      <c r="AR135" s="70">
        <f t="shared" si="407"/>
        <v>0.18299567438109435</v>
      </c>
      <c r="AS135" s="70">
        <f t="shared" si="407"/>
        <v>4.4526992350741708E-2</v>
      </c>
      <c r="AT135" s="70">
        <f t="shared" si="407"/>
        <v>8.030499279063516E-2</v>
      </c>
      <c r="AU135" s="70"/>
      <c r="AV135" s="70"/>
      <c r="AW135" s="81">
        <f t="shared" si="14"/>
        <v>0</v>
      </c>
      <c r="AX135" s="70">
        <f t="shared" ref="AX135:BG135" si="408">O135/$AI135</f>
        <v>0</v>
      </c>
      <c r="AY135" s="70">
        <f t="shared" si="408"/>
        <v>0</v>
      </c>
      <c r="AZ135" s="70">
        <f t="shared" si="408"/>
        <v>0</v>
      </c>
      <c r="BA135" s="70">
        <f t="shared" si="408"/>
        <v>0</v>
      </c>
      <c r="BB135" s="70">
        <f t="shared" si="408"/>
        <v>0</v>
      </c>
      <c r="BC135" s="70">
        <f t="shared" si="408"/>
        <v>0</v>
      </c>
      <c r="BD135" s="70">
        <f t="shared" si="408"/>
        <v>0</v>
      </c>
      <c r="BE135" s="70">
        <f t="shared" si="408"/>
        <v>0</v>
      </c>
      <c r="BF135" s="70">
        <f t="shared" si="408"/>
        <v>0</v>
      </c>
      <c r="BG135" s="70">
        <f t="shared" si="408"/>
        <v>0</v>
      </c>
      <c r="BH135" s="70">
        <f t="shared" si="16"/>
        <v>0</v>
      </c>
      <c r="BI135" s="62"/>
      <c r="BJ135" s="69">
        <v>0.39800000000000002</v>
      </c>
      <c r="BK135" s="69">
        <v>0.45200000000000001</v>
      </c>
      <c r="BL135" s="69">
        <v>4.1000000000000002E-2</v>
      </c>
      <c r="BM135" s="69">
        <v>7.2999999999999995E-2</v>
      </c>
      <c r="BN135" s="69">
        <v>2.1999999999999999E-2</v>
      </c>
      <c r="BO135" s="69">
        <v>0</v>
      </c>
      <c r="BP135" s="69">
        <v>0</v>
      </c>
      <c r="BQ135" s="69">
        <v>1.4E-2</v>
      </c>
      <c r="BR135" s="62"/>
      <c r="BS135" s="72">
        <f t="shared" ref="BS135:BW135" si="409">AP135-BJ135</f>
        <v>5.7020894938781486E-2</v>
      </c>
      <c r="BT135" s="72">
        <f t="shared" si="409"/>
        <v>-0.21484855446125273</v>
      </c>
      <c r="BU135" s="72">
        <f t="shared" si="409"/>
        <v>0.14199567438109434</v>
      </c>
      <c r="BV135" s="72">
        <f t="shared" si="409"/>
        <v>-2.8473007649258288E-2</v>
      </c>
      <c r="BW135" s="72">
        <f t="shared" si="409"/>
        <v>5.8304992790635161E-2</v>
      </c>
      <c r="BX135" s="72"/>
      <c r="BY135" s="72"/>
      <c r="BZ135" s="72">
        <f t="shared" si="18"/>
        <v>-1.4E-2</v>
      </c>
    </row>
    <row r="136" spans="1:78" ht="13.15">
      <c r="A136" s="78" t="s">
        <v>5</v>
      </c>
      <c r="B136" s="74" t="s">
        <v>315</v>
      </c>
      <c r="C136" s="75" t="s">
        <v>316</v>
      </c>
      <c r="D136" s="75" t="s">
        <v>53</v>
      </c>
      <c r="E136" s="76"/>
      <c r="F136" s="59"/>
      <c r="G136" s="60"/>
      <c r="H136" s="77">
        <v>14503</v>
      </c>
      <c r="I136" s="77">
        <v>5192</v>
      </c>
      <c r="J136" s="77">
        <v>8501</v>
      </c>
      <c r="K136" s="77">
        <v>1807</v>
      </c>
      <c r="L136" s="77">
        <v>1899</v>
      </c>
      <c r="M136" s="77"/>
      <c r="N136" s="77"/>
      <c r="O136" s="77">
        <v>292</v>
      </c>
      <c r="P136" s="77">
        <v>5205</v>
      </c>
      <c r="Q136" s="77"/>
      <c r="R136" s="77"/>
      <c r="S136" s="77"/>
      <c r="T136" s="77"/>
      <c r="U136" s="77"/>
      <c r="V136" s="77"/>
      <c r="W136" s="77"/>
      <c r="X136" s="77"/>
      <c r="Y136" s="77"/>
      <c r="Z136" s="77"/>
      <c r="AA136" s="77"/>
      <c r="AB136" s="77"/>
      <c r="AC136" s="77"/>
      <c r="AD136" s="77"/>
      <c r="AE136" s="62"/>
      <c r="AF136" s="63" t="b">
        <v>0</v>
      </c>
      <c r="AG136" s="63" t="b">
        <v>0</v>
      </c>
      <c r="AH136" s="62"/>
      <c r="AI136" s="64">
        <f t="shared" si="7"/>
        <v>37399</v>
      </c>
      <c r="AJ136" s="65" t="str">
        <f t="shared" si="340"/>
        <v>LAB</v>
      </c>
      <c r="AK136" s="66" t="str">
        <f t="shared" si="9"/>
        <v>HOLD</v>
      </c>
      <c r="AL136" s="67" t="e">
        <f t="shared" ca="1" si="10"/>
        <v>#NAME?</v>
      </c>
      <c r="AM136" s="68">
        <f t="shared" si="11"/>
        <v>6002</v>
      </c>
      <c r="AN136" s="69">
        <f t="shared" si="12"/>
        <v>0.16048557448060108</v>
      </c>
      <c r="AO136" s="62"/>
      <c r="AP136" s="70">
        <f t="shared" ref="AP136:AT136" si="410">H136/$AI136</f>
        <v>0.38779111740955641</v>
      </c>
      <c r="AQ136" s="70">
        <f t="shared" si="410"/>
        <v>0.13882724137009012</v>
      </c>
      <c r="AR136" s="70">
        <f t="shared" si="410"/>
        <v>0.22730554292895533</v>
      </c>
      <c r="AS136" s="70">
        <f t="shared" si="410"/>
        <v>4.8316799914436215E-2</v>
      </c>
      <c r="AT136" s="70">
        <f t="shared" si="410"/>
        <v>5.0776758736864623E-2</v>
      </c>
      <c r="AU136" s="70"/>
      <c r="AV136" s="70"/>
      <c r="AW136" s="81">
        <f t="shared" si="14"/>
        <v>0.14698253964009744</v>
      </c>
      <c r="AX136" s="70">
        <f t="shared" ref="AX136:BG136" si="411">O136/$AI136</f>
        <v>7.8076953929249442E-3</v>
      </c>
      <c r="AY136" s="70">
        <f t="shared" si="411"/>
        <v>0.13917484424717239</v>
      </c>
      <c r="AZ136" s="70">
        <f t="shared" si="411"/>
        <v>0</v>
      </c>
      <c r="BA136" s="70">
        <f t="shared" si="411"/>
        <v>0</v>
      </c>
      <c r="BB136" s="70">
        <f t="shared" si="411"/>
        <v>0</v>
      </c>
      <c r="BC136" s="70">
        <f t="shared" si="411"/>
        <v>0</v>
      </c>
      <c r="BD136" s="70">
        <f t="shared" si="411"/>
        <v>0</v>
      </c>
      <c r="BE136" s="70">
        <f t="shared" si="411"/>
        <v>0</v>
      </c>
      <c r="BF136" s="70">
        <f t="shared" si="411"/>
        <v>0</v>
      </c>
      <c r="BG136" s="70">
        <f t="shared" si="411"/>
        <v>0</v>
      </c>
      <c r="BH136" s="70">
        <f t="shared" si="16"/>
        <v>0</v>
      </c>
      <c r="BI136" s="62"/>
      <c r="BJ136" s="69">
        <v>0.51100000000000001</v>
      </c>
      <c r="BK136" s="69">
        <v>0.36899999999999999</v>
      </c>
      <c r="BL136" s="69">
        <v>5.8000000000000003E-2</v>
      </c>
      <c r="BM136" s="69">
        <v>6.2E-2</v>
      </c>
      <c r="BN136" s="69">
        <v>0</v>
      </c>
      <c r="BO136" s="69">
        <v>0</v>
      </c>
      <c r="BP136" s="69">
        <v>0</v>
      </c>
      <c r="BQ136" s="69">
        <v>0</v>
      </c>
      <c r="BR136" s="62"/>
      <c r="BS136" s="72">
        <f t="shared" ref="BS136:BW136" si="412">AP136-BJ136</f>
        <v>-0.1232088825904436</v>
      </c>
      <c r="BT136" s="72">
        <f t="shared" si="412"/>
        <v>-0.23017275862990988</v>
      </c>
      <c r="BU136" s="72">
        <f t="shared" si="412"/>
        <v>0.16930554292895533</v>
      </c>
      <c r="BV136" s="72">
        <f t="shared" si="412"/>
        <v>-1.3683200085563785E-2</v>
      </c>
      <c r="BW136" s="72">
        <f t="shared" si="412"/>
        <v>5.0776758736864623E-2</v>
      </c>
      <c r="BX136" s="72"/>
      <c r="BY136" s="72"/>
      <c r="BZ136" s="72">
        <f t="shared" si="18"/>
        <v>0.14698253964009733</v>
      </c>
    </row>
    <row r="137" spans="1:78" ht="13.15">
      <c r="A137" s="73" t="s">
        <v>6</v>
      </c>
      <c r="B137" s="74" t="s">
        <v>317</v>
      </c>
      <c r="C137" s="75" t="s">
        <v>318</v>
      </c>
      <c r="D137" s="75" t="s">
        <v>53</v>
      </c>
      <c r="E137" s="76"/>
      <c r="F137" s="59"/>
      <c r="G137" s="60"/>
      <c r="H137" s="77">
        <v>17759</v>
      </c>
      <c r="I137" s="77">
        <v>17409</v>
      </c>
      <c r="J137" s="77">
        <v>7728</v>
      </c>
      <c r="K137" s="77">
        <v>4860</v>
      </c>
      <c r="L137" s="77">
        <v>2830</v>
      </c>
      <c r="M137" s="77"/>
      <c r="N137" s="77"/>
      <c r="O137" s="77">
        <v>369</v>
      </c>
      <c r="P137" s="77"/>
      <c r="Q137" s="77"/>
      <c r="R137" s="77"/>
      <c r="S137" s="77"/>
      <c r="T137" s="77"/>
      <c r="U137" s="77"/>
      <c r="V137" s="77"/>
      <c r="W137" s="77"/>
      <c r="X137" s="77"/>
      <c r="Y137" s="77">
        <v>317</v>
      </c>
      <c r="Z137" s="77"/>
      <c r="AA137" s="77"/>
      <c r="AB137" s="77"/>
      <c r="AC137" s="77"/>
      <c r="AD137" s="77"/>
      <c r="AE137" s="62"/>
      <c r="AF137" s="63" t="b">
        <v>0</v>
      </c>
      <c r="AG137" s="63" t="b">
        <v>0</v>
      </c>
      <c r="AH137" s="62"/>
      <c r="AI137" s="64">
        <f t="shared" si="7"/>
        <v>51272</v>
      </c>
      <c r="AJ137" s="65" t="str">
        <f t="shared" si="340"/>
        <v>LAB</v>
      </c>
      <c r="AK137" s="66" t="str">
        <f t="shared" si="9"/>
        <v>GAIN</v>
      </c>
      <c r="AL137" s="67" t="e">
        <f t="shared" ca="1" si="10"/>
        <v>#NAME?</v>
      </c>
      <c r="AM137" s="68">
        <f t="shared" si="11"/>
        <v>350</v>
      </c>
      <c r="AN137" s="69">
        <f t="shared" si="12"/>
        <v>6.8263379622405806E-3</v>
      </c>
      <c r="AO137" s="62"/>
      <c r="AP137" s="70">
        <f t="shared" ref="AP137:AT137" si="413">H137/$AI137</f>
        <v>0.346368388204088</v>
      </c>
      <c r="AQ137" s="70">
        <f t="shared" si="413"/>
        <v>0.33954205024184742</v>
      </c>
      <c r="AR137" s="70">
        <f t="shared" si="413"/>
        <v>0.15072554220627243</v>
      </c>
      <c r="AS137" s="70">
        <f t="shared" si="413"/>
        <v>9.4788578561398038E-2</v>
      </c>
      <c r="AT137" s="70">
        <f t="shared" si="413"/>
        <v>5.5195818380402557E-2</v>
      </c>
      <c r="AU137" s="70"/>
      <c r="AV137" s="70"/>
      <c r="AW137" s="81">
        <f t="shared" si="14"/>
        <v>1.3379622405991665E-2</v>
      </c>
      <c r="AX137" s="70">
        <f t="shared" ref="AX137:BG137" si="414">O137/$AI137</f>
        <v>7.1969105944765174E-3</v>
      </c>
      <c r="AY137" s="70">
        <f t="shared" si="414"/>
        <v>0</v>
      </c>
      <c r="AZ137" s="70">
        <f t="shared" si="414"/>
        <v>0</v>
      </c>
      <c r="BA137" s="70">
        <f t="shared" si="414"/>
        <v>0</v>
      </c>
      <c r="BB137" s="70">
        <f t="shared" si="414"/>
        <v>0</v>
      </c>
      <c r="BC137" s="70">
        <f t="shared" si="414"/>
        <v>0</v>
      </c>
      <c r="BD137" s="70">
        <f t="shared" si="414"/>
        <v>0</v>
      </c>
      <c r="BE137" s="70">
        <f t="shared" si="414"/>
        <v>0</v>
      </c>
      <c r="BF137" s="70">
        <f t="shared" si="414"/>
        <v>0</v>
      </c>
      <c r="BG137" s="70">
        <f t="shared" si="414"/>
        <v>0</v>
      </c>
      <c r="BH137" s="70">
        <f t="shared" si="16"/>
        <v>6.1827118115151472E-3</v>
      </c>
      <c r="BI137" s="62"/>
      <c r="BJ137" s="69">
        <v>0.24199999999999999</v>
      </c>
      <c r="BK137" s="69">
        <v>0.59</v>
      </c>
      <c r="BL137" s="69">
        <v>0</v>
      </c>
      <c r="BM137" s="69">
        <v>0.128</v>
      </c>
      <c r="BN137" s="69">
        <v>4.1000000000000002E-2</v>
      </c>
      <c r="BO137" s="69">
        <v>0</v>
      </c>
      <c r="BP137" s="69">
        <v>0</v>
      </c>
      <c r="BQ137" s="69">
        <v>0</v>
      </c>
      <c r="BR137" s="62"/>
      <c r="BS137" s="72">
        <f t="shared" ref="BS137:BW137" si="415">AP137-BJ137</f>
        <v>0.104368388204088</v>
      </c>
      <c r="BT137" s="72">
        <f t="shared" si="415"/>
        <v>-0.25045794975815255</v>
      </c>
      <c r="BU137" s="72">
        <f t="shared" si="415"/>
        <v>0.15072554220627243</v>
      </c>
      <c r="BV137" s="72">
        <f t="shared" si="415"/>
        <v>-3.3211421438601965E-2</v>
      </c>
      <c r="BW137" s="72">
        <f t="shared" si="415"/>
        <v>1.4195818380402556E-2</v>
      </c>
      <c r="BX137" s="72"/>
      <c r="BY137" s="72"/>
      <c r="BZ137" s="72">
        <f t="shared" si="18"/>
        <v>1.3379622405991665E-2</v>
      </c>
    </row>
    <row r="138" spans="1:78" ht="13.15">
      <c r="A138" s="78" t="s">
        <v>5</v>
      </c>
      <c r="B138" s="74" t="s">
        <v>319</v>
      </c>
      <c r="C138" s="75" t="s">
        <v>320</v>
      </c>
      <c r="D138" s="75" t="s">
        <v>71</v>
      </c>
      <c r="E138" s="76"/>
      <c r="F138" s="59"/>
      <c r="G138" s="60"/>
      <c r="H138" s="77">
        <v>8707</v>
      </c>
      <c r="I138" s="77">
        <v>4182</v>
      </c>
      <c r="J138" s="77">
        <v>6152</v>
      </c>
      <c r="K138" s="77">
        <v>1340</v>
      </c>
      <c r="L138" s="77">
        <v>2048</v>
      </c>
      <c r="M138" s="77"/>
      <c r="N138" s="77"/>
      <c r="O138" s="77">
        <v>15641</v>
      </c>
      <c r="P138" s="77"/>
      <c r="Q138" s="77"/>
      <c r="R138" s="77"/>
      <c r="S138" s="77"/>
      <c r="T138" s="77"/>
      <c r="U138" s="77"/>
      <c r="V138" s="77"/>
      <c r="W138" s="77"/>
      <c r="X138" s="77"/>
      <c r="Y138" s="77"/>
      <c r="Z138" s="77"/>
      <c r="AA138" s="77"/>
      <c r="AB138" s="77"/>
      <c r="AC138" s="77"/>
      <c r="AD138" s="77"/>
      <c r="AE138" s="62"/>
      <c r="AF138" s="63" t="b">
        <v>0</v>
      </c>
      <c r="AG138" s="63" t="b">
        <v>0</v>
      </c>
      <c r="AH138" s="62"/>
      <c r="AI138" s="64">
        <f t="shared" si="7"/>
        <v>38070</v>
      </c>
      <c r="AJ138" s="65" t="str">
        <f t="shared" si="340"/>
        <v>IND</v>
      </c>
      <c r="AK138" s="66" t="str">
        <f t="shared" si="9"/>
        <v>GAIN</v>
      </c>
      <c r="AL138" s="67" t="e">
        <f t="shared" ca="1" si="10"/>
        <v>#NAME?</v>
      </c>
      <c r="AM138" s="68">
        <f t="shared" si="11"/>
        <v>6934</v>
      </c>
      <c r="AN138" s="69">
        <f t="shared" si="12"/>
        <v>0.18213816653532969</v>
      </c>
      <c r="AO138" s="62"/>
      <c r="AP138" s="70">
        <f t="shared" ref="AP138:AT138" si="416">H138/$AI138</f>
        <v>0.22871027055424217</v>
      </c>
      <c r="AQ138" s="70">
        <f t="shared" si="416"/>
        <v>0.10985027580772262</v>
      </c>
      <c r="AR138" s="70">
        <f t="shared" si="416"/>
        <v>0.16159705805095875</v>
      </c>
      <c r="AS138" s="70">
        <f t="shared" si="416"/>
        <v>3.5198318886262146E-2</v>
      </c>
      <c r="AT138" s="70">
        <f t="shared" si="416"/>
        <v>5.3795639611242445E-2</v>
      </c>
      <c r="AU138" s="70"/>
      <c r="AV138" s="70"/>
      <c r="AW138" s="81">
        <f t="shared" si="14"/>
        <v>0.41084843708957186</v>
      </c>
      <c r="AX138" s="70">
        <f t="shared" ref="AX138:BG138" si="417">O138/$AI138</f>
        <v>0.41084843708957186</v>
      </c>
      <c r="AY138" s="70">
        <f t="shared" si="417"/>
        <v>0</v>
      </c>
      <c r="AZ138" s="70">
        <f t="shared" si="417"/>
        <v>0</v>
      </c>
      <c r="BA138" s="70">
        <f t="shared" si="417"/>
        <v>0</v>
      </c>
      <c r="BB138" s="70">
        <f t="shared" si="417"/>
        <v>0</v>
      </c>
      <c r="BC138" s="70">
        <f t="shared" si="417"/>
        <v>0</v>
      </c>
      <c r="BD138" s="70">
        <f t="shared" si="417"/>
        <v>0</v>
      </c>
      <c r="BE138" s="70">
        <f t="shared" si="417"/>
        <v>0</v>
      </c>
      <c r="BF138" s="70">
        <f t="shared" si="417"/>
        <v>0</v>
      </c>
      <c r="BG138" s="70">
        <f t="shared" si="417"/>
        <v>0</v>
      </c>
      <c r="BH138" s="70">
        <f t="shared" si="16"/>
        <v>0</v>
      </c>
      <c r="BI138" s="62"/>
      <c r="BJ138" s="69">
        <v>0.59099999999999997</v>
      </c>
      <c r="BK138" s="69">
        <v>0.28699999999999998</v>
      </c>
      <c r="BL138" s="69">
        <v>3.4000000000000002E-2</v>
      </c>
      <c r="BM138" s="69">
        <v>2.5000000000000001E-2</v>
      </c>
      <c r="BN138" s="69">
        <v>1.0999999999999999E-2</v>
      </c>
      <c r="BO138" s="69">
        <v>0</v>
      </c>
      <c r="BP138" s="69">
        <v>0</v>
      </c>
      <c r="BQ138" s="69">
        <v>5.1999999999999998E-2</v>
      </c>
      <c r="BR138" s="62"/>
      <c r="BS138" s="72">
        <f t="shared" ref="BS138:BW138" si="418">AP138-BJ138</f>
        <v>-0.36228972944575777</v>
      </c>
      <c r="BT138" s="72">
        <f t="shared" si="418"/>
        <v>-0.17714972419227737</v>
      </c>
      <c r="BU138" s="72">
        <f t="shared" si="418"/>
        <v>0.12759705805095875</v>
      </c>
      <c r="BV138" s="72">
        <f t="shared" si="418"/>
        <v>1.0198318886262145E-2</v>
      </c>
      <c r="BW138" s="72">
        <f t="shared" si="418"/>
        <v>4.2795639611242442E-2</v>
      </c>
      <c r="BX138" s="72"/>
      <c r="BY138" s="72"/>
      <c r="BZ138" s="72">
        <f t="shared" si="18"/>
        <v>0.35884843708957187</v>
      </c>
    </row>
    <row r="139" spans="1:78" ht="13.15">
      <c r="A139" s="73" t="s">
        <v>6</v>
      </c>
      <c r="B139" s="74" t="s">
        <v>321</v>
      </c>
      <c r="C139" s="75" t="s">
        <v>322</v>
      </c>
      <c r="D139" s="75" t="s">
        <v>44</v>
      </c>
      <c r="E139" s="76"/>
      <c r="F139" s="59"/>
      <c r="G139" s="60"/>
      <c r="H139" s="77">
        <v>8045</v>
      </c>
      <c r="I139" s="77">
        <v>15560</v>
      </c>
      <c r="J139" s="77">
        <v>6400</v>
      </c>
      <c r="K139" s="77">
        <v>21793</v>
      </c>
      <c r="L139" s="77">
        <v>2693</v>
      </c>
      <c r="M139" s="77"/>
      <c r="N139" s="77"/>
      <c r="O139" s="77"/>
      <c r="P139" s="77"/>
      <c r="Q139" s="77">
        <v>242</v>
      </c>
      <c r="R139" s="77"/>
      <c r="S139" s="77"/>
      <c r="T139" s="77"/>
      <c r="U139" s="77"/>
      <c r="V139" s="77"/>
      <c r="W139" s="77"/>
      <c r="X139" s="77"/>
      <c r="Y139" s="77"/>
      <c r="Z139" s="77"/>
      <c r="AA139" s="77"/>
      <c r="AB139" s="77"/>
      <c r="AC139" s="77"/>
      <c r="AD139" s="77"/>
      <c r="AE139" s="62"/>
      <c r="AF139" s="63" t="b">
        <v>0</v>
      </c>
      <c r="AG139" s="63" t="b">
        <v>0</v>
      </c>
      <c r="AH139" s="62"/>
      <c r="AI139" s="64">
        <f t="shared" si="7"/>
        <v>54733</v>
      </c>
      <c r="AJ139" s="65" t="str">
        <f t="shared" si="340"/>
        <v>LDM</v>
      </c>
      <c r="AK139" s="66" t="str">
        <f t="shared" si="9"/>
        <v>GAIN</v>
      </c>
      <c r="AL139" s="67" t="e">
        <f t="shared" ca="1" si="10"/>
        <v>#NAME?</v>
      </c>
      <c r="AM139" s="68">
        <f t="shared" si="11"/>
        <v>6233</v>
      </c>
      <c r="AN139" s="69">
        <f t="shared" si="12"/>
        <v>0.11388010889225875</v>
      </c>
      <c r="AO139" s="62"/>
      <c r="AP139" s="70">
        <f t="shared" ref="AP139:AT139" si="419">H139/$AI139</f>
        <v>0.14698627884457274</v>
      </c>
      <c r="AQ139" s="70">
        <f t="shared" si="419"/>
        <v>0.28428918568322586</v>
      </c>
      <c r="AR139" s="70">
        <f t="shared" si="419"/>
        <v>0.11693128459978441</v>
      </c>
      <c r="AS139" s="70">
        <f t="shared" si="419"/>
        <v>0.39816929457548461</v>
      </c>
      <c r="AT139" s="70">
        <f t="shared" si="419"/>
        <v>4.920249209800303E-2</v>
      </c>
      <c r="AU139" s="70"/>
      <c r="AV139" s="70"/>
      <c r="AW139" s="81">
        <f t="shared" si="14"/>
        <v>4.4214641989293035E-3</v>
      </c>
      <c r="AX139" s="70">
        <f t="shared" ref="AX139:BG139" si="420">O139/$AI139</f>
        <v>0</v>
      </c>
      <c r="AY139" s="70">
        <f t="shared" si="420"/>
        <v>0</v>
      </c>
      <c r="AZ139" s="70">
        <f t="shared" si="420"/>
        <v>4.4214641989293478E-3</v>
      </c>
      <c r="BA139" s="70">
        <f t="shared" si="420"/>
        <v>0</v>
      </c>
      <c r="BB139" s="70">
        <f t="shared" si="420"/>
        <v>0</v>
      </c>
      <c r="BC139" s="70">
        <f t="shared" si="420"/>
        <v>0</v>
      </c>
      <c r="BD139" s="70">
        <f t="shared" si="420"/>
        <v>0</v>
      </c>
      <c r="BE139" s="70">
        <f t="shared" si="420"/>
        <v>0</v>
      </c>
      <c r="BF139" s="70">
        <f t="shared" si="420"/>
        <v>0</v>
      </c>
      <c r="BG139" s="70">
        <f t="shared" si="420"/>
        <v>0</v>
      </c>
      <c r="BH139" s="70">
        <f t="shared" si="16"/>
        <v>-4.4235448637408581E-17</v>
      </c>
      <c r="BI139" s="62"/>
      <c r="BJ139" s="69">
        <v>0.16</v>
      </c>
      <c r="BK139" s="69">
        <v>0.498</v>
      </c>
      <c r="BL139" s="69">
        <v>0</v>
      </c>
      <c r="BM139" s="69">
        <v>0.313</v>
      </c>
      <c r="BN139" s="69">
        <v>7.0000000000000001E-3</v>
      </c>
      <c r="BO139" s="69">
        <v>0</v>
      </c>
      <c r="BP139" s="69">
        <v>0</v>
      </c>
      <c r="BQ139" s="69">
        <v>2.1999999999999999E-2</v>
      </c>
      <c r="BR139" s="62"/>
      <c r="BS139" s="72">
        <f t="shared" ref="BS139:BW139" si="421">AP139-BJ139</f>
        <v>-1.301372115542726E-2</v>
      </c>
      <c r="BT139" s="72">
        <f t="shared" si="421"/>
        <v>-0.21371081431677413</v>
      </c>
      <c r="BU139" s="72">
        <f t="shared" si="421"/>
        <v>0.11693128459978441</v>
      </c>
      <c r="BV139" s="72">
        <f t="shared" si="421"/>
        <v>8.5169294575484611E-2</v>
      </c>
      <c r="BW139" s="72">
        <f t="shared" si="421"/>
        <v>4.220249209800303E-2</v>
      </c>
      <c r="BX139" s="72"/>
      <c r="BY139" s="72"/>
      <c r="BZ139" s="72">
        <f t="shared" si="18"/>
        <v>-1.7578535801070695E-2</v>
      </c>
    </row>
    <row r="140" spans="1:78" ht="13.15">
      <c r="A140" s="78" t="s">
        <v>5</v>
      </c>
      <c r="B140" s="74" t="s">
        <v>323</v>
      </c>
      <c r="C140" s="75" t="s">
        <v>324</v>
      </c>
      <c r="D140" s="75" t="s">
        <v>71</v>
      </c>
      <c r="E140" s="76"/>
      <c r="F140" s="59"/>
      <c r="G140" s="60"/>
      <c r="H140" s="77">
        <v>17515</v>
      </c>
      <c r="I140" s="77">
        <v>7964</v>
      </c>
      <c r="J140" s="77">
        <v>7886</v>
      </c>
      <c r="K140" s="77">
        <v>1199</v>
      </c>
      <c r="L140" s="77">
        <v>1880</v>
      </c>
      <c r="M140" s="77"/>
      <c r="N140" s="77"/>
      <c r="O140" s="77"/>
      <c r="P140" s="77">
        <v>758</v>
      </c>
      <c r="Q140" s="77"/>
      <c r="R140" s="77">
        <v>742</v>
      </c>
      <c r="S140" s="77"/>
      <c r="T140" s="77"/>
      <c r="U140" s="77"/>
      <c r="V140" s="77"/>
      <c r="W140" s="77"/>
      <c r="X140" s="77"/>
      <c r="Y140" s="77"/>
      <c r="Z140" s="77"/>
      <c r="AA140" s="77"/>
      <c r="AB140" s="77"/>
      <c r="AC140" s="77"/>
      <c r="AD140" s="77"/>
      <c r="AE140" s="62"/>
      <c r="AF140" s="63" t="b">
        <v>0</v>
      </c>
      <c r="AG140" s="63" t="b">
        <v>0</v>
      </c>
      <c r="AH140" s="62"/>
      <c r="AI140" s="64">
        <f t="shared" si="7"/>
        <v>37944</v>
      </c>
      <c r="AJ140" s="65" t="str">
        <f t="shared" si="340"/>
        <v>LAB</v>
      </c>
      <c r="AK140" s="66" t="str">
        <f t="shared" si="9"/>
        <v>HOLD</v>
      </c>
      <c r="AL140" s="67" t="e">
        <f t="shared" ca="1" si="10"/>
        <v>#NAME?</v>
      </c>
      <c r="AM140" s="68">
        <f t="shared" si="11"/>
        <v>9551</v>
      </c>
      <c r="AN140" s="69">
        <f t="shared" si="12"/>
        <v>0.25171305081172257</v>
      </c>
      <c r="AO140" s="62"/>
      <c r="AP140" s="70">
        <f t="shared" ref="AP140:AT140" si="422">H140/$AI140</f>
        <v>0.46160130718954251</v>
      </c>
      <c r="AQ140" s="70">
        <f t="shared" si="422"/>
        <v>0.20988825637781994</v>
      </c>
      <c r="AR140" s="70">
        <f t="shared" si="422"/>
        <v>0.2078325954037529</v>
      </c>
      <c r="AS140" s="70">
        <f t="shared" si="422"/>
        <v>3.1599198819312668E-2</v>
      </c>
      <c r="AT140" s="70">
        <f t="shared" si="422"/>
        <v>4.9546700400590345E-2</v>
      </c>
      <c r="AU140" s="70"/>
      <c r="AV140" s="70"/>
      <c r="AW140" s="81">
        <f t="shared" si="14"/>
        <v>3.9531941808981563E-2</v>
      </c>
      <c r="AX140" s="70">
        <f t="shared" ref="AX140:BG140" si="423">O140/$AI140</f>
        <v>0</v>
      </c>
      <c r="AY140" s="70">
        <f t="shared" si="423"/>
        <v>1.9976807927472064E-2</v>
      </c>
      <c r="AZ140" s="70">
        <f t="shared" si="423"/>
        <v>0</v>
      </c>
      <c r="BA140" s="70">
        <f t="shared" si="423"/>
        <v>1.9555133881509593E-2</v>
      </c>
      <c r="BB140" s="70">
        <f t="shared" si="423"/>
        <v>0</v>
      </c>
      <c r="BC140" s="70">
        <f t="shared" si="423"/>
        <v>0</v>
      </c>
      <c r="BD140" s="70">
        <f t="shared" si="423"/>
        <v>0</v>
      </c>
      <c r="BE140" s="70">
        <f t="shared" si="423"/>
        <v>0</v>
      </c>
      <c r="BF140" s="70">
        <f t="shared" si="423"/>
        <v>0</v>
      </c>
      <c r="BG140" s="70">
        <f t="shared" si="423"/>
        <v>0</v>
      </c>
      <c r="BH140" s="70">
        <f t="shared" si="16"/>
        <v>-9.7144514654701197E-17</v>
      </c>
      <c r="BI140" s="62"/>
      <c r="BJ140" s="69">
        <v>0.39400000000000002</v>
      </c>
      <c r="BK140" s="69">
        <v>0.36599999999999999</v>
      </c>
      <c r="BL140" s="69">
        <v>0.156</v>
      </c>
      <c r="BM140" s="69">
        <v>4.1000000000000002E-2</v>
      </c>
      <c r="BN140" s="69">
        <v>2.3E-2</v>
      </c>
      <c r="BO140" s="69">
        <v>0</v>
      </c>
      <c r="BP140" s="69">
        <v>0</v>
      </c>
      <c r="BQ140" s="69">
        <v>2.1000000000000001E-2</v>
      </c>
      <c r="BR140" s="62"/>
      <c r="BS140" s="72">
        <f t="shared" ref="BS140:BW140" si="424">AP140-BJ140</f>
        <v>6.7601307189542492E-2</v>
      </c>
      <c r="BT140" s="72">
        <f t="shared" si="424"/>
        <v>-0.15611174362218005</v>
      </c>
      <c r="BU140" s="72">
        <f t="shared" si="424"/>
        <v>5.1832595403752901E-2</v>
      </c>
      <c r="BV140" s="72">
        <f t="shared" si="424"/>
        <v>-9.4008011806873334E-3</v>
      </c>
      <c r="BW140" s="72">
        <f t="shared" si="424"/>
        <v>2.6546700400590345E-2</v>
      </c>
      <c r="BX140" s="72"/>
      <c r="BY140" s="72"/>
      <c r="BZ140" s="72">
        <f t="shared" si="18"/>
        <v>1.8531941808981562E-2</v>
      </c>
    </row>
    <row r="141" spans="1:78" ht="13.15">
      <c r="A141" s="73" t="s">
        <v>6</v>
      </c>
      <c r="B141" s="74" t="s">
        <v>325</v>
      </c>
      <c r="C141" s="75" t="s">
        <v>326</v>
      </c>
      <c r="D141" s="75" t="s">
        <v>71</v>
      </c>
      <c r="E141" s="76"/>
      <c r="F141" s="59"/>
      <c r="G141" s="60"/>
      <c r="H141" s="77">
        <v>15122</v>
      </c>
      <c r="I141" s="77">
        <v>12811</v>
      </c>
      <c r="J141" s="77">
        <v>8487</v>
      </c>
      <c r="K141" s="77">
        <v>1166</v>
      </c>
      <c r="L141" s="77">
        <v>1400</v>
      </c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>
        <v>146</v>
      </c>
      <c r="Z141" s="77"/>
      <c r="AA141" s="77"/>
      <c r="AB141" s="77"/>
      <c r="AC141" s="77"/>
      <c r="AD141" s="77"/>
      <c r="AE141" s="62"/>
      <c r="AF141" s="63" t="b">
        <v>0</v>
      </c>
      <c r="AG141" s="63" t="b">
        <v>0</v>
      </c>
      <c r="AH141" s="62"/>
      <c r="AI141" s="64">
        <f t="shared" si="7"/>
        <v>39132</v>
      </c>
      <c r="AJ141" s="65" t="str">
        <f t="shared" si="340"/>
        <v>LAB</v>
      </c>
      <c r="AK141" s="66" t="str">
        <f t="shared" si="9"/>
        <v>GAIN</v>
      </c>
      <c r="AL141" s="67" t="e">
        <f t="shared" ca="1" si="10"/>
        <v>#NAME?</v>
      </c>
      <c r="AM141" s="68">
        <f t="shared" si="11"/>
        <v>2311</v>
      </c>
      <c r="AN141" s="69">
        <f t="shared" si="12"/>
        <v>5.9056526627823736E-2</v>
      </c>
      <c r="AO141" s="62"/>
      <c r="AP141" s="70">
        <f t="shared" ref="AP141:AT141" si="425">H141/$AI141</f>
        <v>0.38643565368496369</v>
      </c>
      <c r="AQ141" s="70">
        <f t="shared" si="425"/>
        <v>0.32737912705713995</v>
      </c>
      <c r="AR141" s="70">
        <f t="shared" si="425"/>
        <v>0.21688132474701011</v>
      </c>
      <c r="AS141" s="70">
        <f t="shared" si="425"/>
        <v>2.9796585914341204E-2</v>
      </c>
      <c r="AT141" s="70">
        <f t="shared" si="425"/>
        <v>3.5776346723908822E-2</v>
      </c>
      <c r="AU141" s="70"/>
      <c r="AV141" s="70"/>
      <c r="AW141" s="81">
        <f t="shared" si="14"/>
        <v>3.7309618726363292E-3</v>
      </c>
      <c r="AX141" s="70">
        <f t="shared" ref="AX141:BG141" si="426">O141/$AI141</f>
        <v>0</v>
      </c>
      <c r="AY141" s="70">
        <f t="shared" si="426"/>
        <v>0</v>
      </c>
      <c r="AZ141" s="70">
        <f t="shared" si="426"/>
        <v>0</v>
      </c>
      <c r="BA141" s="70">
        <f t="shared" si="426"/>
        <v>0</v>
      </c>
      <c r="BB141" s="70">
        <f t="shared" si="426"/>
        <v>0</v>
      </c>
      <c r="BC141" s="70">
        <f t="shared" si="426"/>
        <v>0</v>
      </c>
      <c r="BD141" s="70">
        <f t="shared" si="426"/>
        <v>0</v>
      </c>
      <c r="BE141" s="70">
        <f t="shared" si="426"/>
        <v>0</v>
      </c>
      <c r="BF141" s="70">
        <f t="shared" si="426"/>
        <v>0</v>
      </c>
      <c r="BG141" s="70">
        <f t="shared" si="426"/>
        <v>0</v>
      </c>
      <c r="BH141" s="70">
        <f t="shared" si="16"/>
        <v>3.7309618726363292E-3</v>
      </c>
      <c r="BI141" s="62"/>
      <c r="BJ141" s="69">
        <v>0.28699999999999998</v>
      </c>
      <c r="BK141" s="69">
        <v>0.52100000000000002</v>
      </c>
      <c r="BL141" s="69">
        <v>0.10299999999999999</v>
      </c>
      <c r="BM141" s="69">
        <v>4.3999999999999997E-2</v>
      </c>
      <c r="BN141" s="69">
        <v>2.4E-2</v>
      </c>
      <c r="BO141" s="69">
        <v>0</v>
      </c>
      <c r="BP141" s="69">
        <v>0</v>
      </c>
      <c r="BQ141" s="69">
        <v>0.02</v>
      </c>
      <c r="BR141" s="62"/>
      <c r="BS141" s="72">
        <f t="shared" ref="BS141:BW141" si="427">AP141-BJ141</f>
        <v>9.943565368496371E-2</v>
      </c>
      <c r="BT141" s="72">
        <f t="shared" si="427"/>
        <v>-0.19362087294286007</v>
      </c>
      <c r="BU141" s="72">
        <f t="shared" si="427"/>
        <v>0.11388132474701011</v>
      </c>
      <c r="BV141" s="72">
        <f t="shared" si="427"/>
        <v>-1.4203414085658794E-2</v>
      </c>
      <c r="BW141" s="72">
        <f t="shared" si="427"/>
        <v>1.1776346723908822E-2</v>
      </c>
      <c r="BX141" s="72"/>
      <c r="BY141" s="72"/>
      <c r="BZ141" s="72">
        <f t="shared" si="18"/>
        <v>-1.6269038127363671E-2</v>
      </c>
    </row>
    <row r="142" spans="1:78" ht="13.15">
      <c r="A142" s="78" t="s">
        <v>5</v>
      </c>
      <c r="B142" s="74" t="s">
        <v>327</v>
      </c>
      <c r="C142" s="75" t="s">
        <v>328</v>
      </c>
      <c r="D142" s="75" t="s">
        <v>71</v>
      </c>
      <c r="E142" s="76"/>
      <c r="F142" s="59"/>
      <c r="G142" s="60"/>
      <c r="H142" s="77">
        <v>16231</v>
      </c>
      <c r="I142" s="77">
        <v>7105</v>
      </c>
      <c r="J142" s="77"/>
      <c r="K142" s="77">
        <v>1045</v>
      </c>
      <c r="L142" s="77">
        <v>1778</v>
      </c>
      <c r="M142" s="77"/>
      <c r="N142" s="77"/>
      <c r="O142" s="77"/>
      <c r="P142" s="77"/>
      <c r="Q142" s="77">
        <v>1960</v>
      </c>
      <c r="R142" s="77"/>
      <c r="S142" s="77"/>
      <c r="T142" s="77"/>
      <c r="U142" s="77"/>
      <c r="V142" s="77"/>
      <c r="W142" s="77"/>
      <c r="X142" s="77"/>
      <c r="Y142" s="77">
        <v>1160</v>
      </c>
      <c r="Z142" s="77">
        <v>1059</v>
      </c>
      <c r="AA142" s="77">
        <v>452</v>
      </c>
      <c r="AB142" s="77">
        <v>212</v>
      </c>
      <c r="AC142" s="77"/>
      <c r="AD142" s="77"/>
      <c r="AE142" s="62"/>
      <c r="AF142" s="63" t="b">
        <v>0</v>
      </c>
      <c r="AG142" s="63" t="b">
        <v>0</v>
      </c>
      <c r="AH142" s="62"/>
      <c r="AI142" s="64">
        <f t="shared" si="7"/>
        <v>31002</v>
      </c>
      <c r="AJ142" s="65" t="str">
        <f t="shared" si="340"/>
        <v>LAB</v>
      </c>
      <c r="AK142" s="66" t="str">
        <f t="shared" si="9"/>
        <v>HOLD</v>
      </c>
      <c r="AL142" s="67" t="e">
        <f t="shared" ca="1" si="10"/>
        <v>#NAME?</v>
      </c>
      <c r="AM142" s="68">
        <f t="shared" si="11"/>
        <v>9126</v>
      </c>
      <c r="AN142" s="69">
        <f t="shared" si="12"/>
        <v>0.29436810528353008</v>
      </c>
      <c r="AO142" s="62"/>
      <c r="AP142" s="70">
        <f t="shared" ref="AP142:AT142" si="428">H142/$AI142</f>
        <v>0.52354686794400362</v>
      </c>
      <c r="AQ142" s="70">
        <f t="shared" si="428"/>
        <v>0.22917876266047352</v>
      </c>
      <c r="AR142" s="70">
        <f t="shared" si="428"/>
        <v>0</v>
      </c>
      <c r="AS142" s="70">
        <f t="shared" si="428"/>
        <v>3.3707502741758599E-2</v>
      </c>
      <c r="AT142" s="70">
        <f t="shared" si="428"/>
        <v>5.7351138636217019E-2</v>
      </c>
      <c r="AU142" s="70"/>
      <c r="AV142" s="70"/>
      <c r="AW142" s="81">
        <f t="shared" si="14"/>
        <v>0.15621572801754724</v>
      </c>
      <c r="AX142" s="70">
        <f t="shared" ref="AX142:BG142" si="429">O142/$AI142</f>
        <v>0</v>
      </c>
      <c r="AY142" s="70">
        <f t="shared" si="429"/>
        <v>0</v>
      </c>
      <c r="AZ142" s="70">
        <f t="shared" si="429"/>
        <v>6.3221727630475455E-2</v>
      </c>
      <c r="BA142" s="70">
        <f t="shared" si="429"/>
        <v>0</v>
      </c>
      <c r="BB142" s="70">
        <f t="shared" si="429"/>
        <v>0</v>
      </c>
      <c r="BC142" s="70">
        <f t="shared" si="429"/>
        <v>0</v>
      </c>
      <c r="BD142" s="70">
        <f t="shared" si="429"/>
        <v>0</v>
      </c>
      <c r="BE142" s="70">
        <f t="shared" si="429"/>
        <v>0</v>
      </c>
      <c r="BF142" s="70">
        <f t="shared" si="429"/>
        <v>0</v>
      </c>
      <c r="BG142" s="70">
        <f t="shared" si="429"/>
        <v>0</v>
      </c>
      <c r="BH142" s="70">
        <f t="shared" si="16"/>
        <v>9.2994000387071785E-2</v>
      </c>
      <c r="BI142" s="62"/>
      <c r="BJ142" s="69">
        <v>0.38300000000000001</v>
      </c>
      <c r="BK142" s="69">
        <v>0.33200000000000002</v>
      </c>
      <c r="BL142" s="69">
        <v>0.20300000000000001</v>
      </c>
      <c r="BM142" s="69">
        <v>3.5999999999999997E-2</v>
      </c>
      <c r="BN142" s="69">
        <v>0</v>
      </c>
      <c r="BO142" s="69">
        <v>0</v>
      </c>
      <c r="BP142" s="69">
        <v>0</v>
      </c>
      <c r="BQ142" s="69">
        <v>4.4999999999999998E-2</v>
      </c>
      <c r="BR142" s="62"/>
      <c r="BS142" s="72">
        <f t="shared" ref="BS142:BW142" si="430">AP142-BJ142</f>
        <v>0.14054686794400362</v>
      </c>
      <c r="BT142" s="72">
        <f t="shared" si="430"/>
        <v>-0.1028212373395265</v>
      </c>
      <c r="BU142" s="72">
        <f t="shared" si="430"/>
        <v>-0.20300000000000001</v>
      </c>
      <c r="BV142" s="72">
        <f t="shared" si="430"/>
        <v>-2.292497258241398E-3</v>
      </c>
      <c r="BW142" s="72">
        <f t="shared" si="430"/>
        <v>5.7351138636217019E-2</v>
      </c>
      <c r="BX142" s="72"/>
      <c r="BY142" s="72"/>
      <c r="BZ142" s="72">
        <f t="shared" si="18"/>
        <v>0.11121572801754724</v>
      </c>
    </row>
    <row r="143" spans="1:78" ht="13.15">
      <c r="A143" s="73" t="s">
        <v>6</v>
      </c>
      <c r="B143" s="74" t="s">
        <v>329</v>
      </c>
      <c r="C143" s="75" t="s">
        <v>330</v>
      </c>
      <c r="D143" s="75" t="s">
        <v>44</v>
      </c>
      <c r="E143" s="76"/>
      <c r="F143" s="59"/>
      <c r="G143" s="60"/>
      <c r="H143" s="77">
        <v>4053</v>
      </c>
      <c r="I143" s="77">
        <v>15530</v>
      </c>
      <c r="J143" s="77">
        <v>6898</v>
      </c>
      <c r="K143" s="77">
        <v>20921</v>
      </c>
      <c r="L143" s="77">
        <v>2563</v>
      </c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  <c r="Z143" s="77"/>
      <c r="AA143" s="77"/>
      <c r="AB143" s="77"/>
      <c r="AC143" s="77"/>
      <c r="AD143" s="77"/>
      <c r="AE143" s="62"/>
      <c r="AF143" s="63" t="b">
        <v>0</v>
      </c>
      <c r="AG143" s="63" t="b">
        <v>0</v>
      </c>
      <c r="AH143" s="62"/>
      <c r="AI143" s="64">
        <f t="shared" si="7"/>
        <v>49965</v>
      </c>
      <c r="AJ143" s="65" t="str">
        <f t="shared" si="340"/>
        <v>LDM</v>
      </c>
      <c r="AK143" s="66" t="str">
        <f t="shared" si="9"/>
        <v>GAIN</v>
      </c>
      <c r="AL143" s="67" t="e">
        <f t="shared" ca="1" si="10"/>
        <v>#NAME?</v>
      </c>
      <c r="AM143" s="68">
        <f t="shared" si="11"/>
        <v>5391</v>
      </c>
      <c r="AN143" s="69">
        <f t="shared" si="12"/>
        <v>0.10789552686880816</v>
      </c>
      <c r="AO143" s="62"/>
      <c r="AP143" s="70">
        <f t="shared" ref="AP143:AT143" si="431">H143/$AI143</f>
        <v>8.111678174722306E-2</v>
      </c>
      <c r="AQ143" s="70">
        <f t="shared" si="431"/>
        <v>0.31081757230061041</v>
      </c>
      <c r="AR143" s="70">
        <f t="shared" si="431"/>
        <v>0.13805663964775342</v>
      </c>
      <c r="AS143" s="70">
        <f t="shared" si="431"/>
        <v>0.41871309916941857</v>
      </c>
      <c r="AT143" s="70">
        <f t="shared" si="431"/>
        <v>5.1295907134994496E-2</v>
      </c>
      <c r="AU143" s="70"/>
      <c r="AV143" s="70"/>
      <c r="AW143" s="81">
        <f t="shared" si="14"/>
        <v>0</v>
      </c>
      <c r="AX143" s="70">
        <f t="shared" ref="AX143:BG143" si="432">O143/$AI143</f>
        <v>0</v>
      </c>
      <c r="AY143" s="70">
        <f t="shared" si="432"/>
        <v>0</v>
      </c>
      <c r="AZ143" s="70">
        <f t="shared" si="432"/>
        <v>0</v>
      </c>
      <c r="BA143" s="70">
        <f t="shared" si="432"/>
        <v>0</v>
      </c>
      <c r="BB143" s="70">
        <f t="shared" si="432"/>
        <v>0</v>
      </c>
      <c r="BC143" s="70">
        <f t="shared" si="432"/>
        <v>0</v>
      </c>
      <c r="BD143" s="70">
        <f t="shared" si="432"/>
        <v>0</v>
      </c>
      <c r="BE143" s="70">
        <f t="shared" si="432"/>
        <v>0</v>
      </c>
      <c r="BF143" s="70">
        <f t="shared" si="432"/>
        <v>0</v>
      </c>
      <c r="BG143" s="70">
        <f t="shared" si="432"/>
        <v>0</v>
      </c>
      <c r="BH143" s="70">
        <f t="shared" si="16"/>
        <v>0</v>
      </c>
      <c r="BI143" s="62"/>
      <c r="BJ143" s="69">
        <v>9.9000000000000005E-2</v>
      </c>
      <c r="BK143" s="69">
        <v>0.51200000000000001</v>
      </c>
      <c r="BL143" s="69">
        <v>0</v>
      </c>
      <c r="BM143" s="69">
        <v>0.32100000000000001</v>
      </c>
      <c r="BN143" s="69">
        <v>4.2000000000000003E-2</v>
      </c>
      <c r="BO143" s="69">
        <v>0</v>
      </c>
      <c r="BP143" s="69">
        <v>0</v>
      </c>
      <c r="BQ143" s="69">
        <v>2.5999999999999999E-2</v>
      </c>
      <c r="BR143" s="62"/>
      <c r="BS143" s="72">
        <f t="shared" ref="BS143:BW143" si="433">AP143-BJ143</f>
        <v>-1.7883218252776945E-2</v>
      </c>
      <c r="BT143" s="72">
        <f t="shared" si="433"/>
        <v>-0.2011824276993896</v>
      </c>
      <c r="BU143" s="72">
        <f t="shared" si="433"/>
        <v>0.13805663964775342</v>
      </c>
      <c r="BV143" s="72">
        <f t="shared" si="433"/>
        <v>9.771309916941856E-2</v>
      </c>
      <c r="BW143" s="72">
        <f t="shared" si="433"/>
        <v>9.2959071349944938E-3</v>
      </c>
      <c r="BX143" s="72"/>
      <c r="BY143" s="72"/>
      <c r="BZ143" s="72">
        <f t="shared" si="18"/>
        <v>-2.5999999999999999E-2</v>
      </c>
    </row>
    <row r="144" spans="1:78" ht="13.15">
      <c r="A144" s="73" t="s">
        <v>6</v>
      </c>
      <c r="B144" s="74" t="s">
        <v>331</v>
      </c>
      <c r="C144" s="75" t="s">
        <v>332</v>
      </c>
      <c r="D144" s="75" t="s">
        <v>44</v>
      </c>
      <c r="E144" s="76"/>
      <c r="F144" s="59"/>
      <c r="G144" s="60"/>
      <c r="H144" s="77">
        <v>18940</v>
      </c>
      <c r="I144" s="77">
        <v>10370</v>
      </c>
      <c r="J144" s="77">
        <v>11355</v>
      </c>
      <c r="K144" s="77">
        <v>2595</v>
      </c>
      <c r="L144" s="77">
        <v>3106</v>
      </c>
      <c r="M144" s="77"/>
      <c r="N144" s="77"/>
      <c r="O144" s="77">
        <v>485</v>
      </c>
      <c r="P144" s="77">
        <v>98</v>
      </c>
      <c r="Q144" s="77"/>
      <c r="R144" s="77"/>
      <c r="S144" s="77"/>
      <c r="T144" s="77"/>
      <c r="U144" s="77"/>
      <c r="V144" s="77"/>
      <c r="W144" s="77"/>
      <c r="X144" s="77"/>
      <c r="Y144" s="77">
        <v>369</v>
      </c>
      <c r="Z144" s="77">
        <v>185</v>
      </c>
      <c r="AA144" s="77">
        <v>168</v>
      </c>
      <c r="AB144" s="77">
        <v>104</v>
      </c>
      <c r="AC144" s="77"/>
      <c r="AD144" s="77"/>
      <c r="AE144" s="62"/>
      <c r="AF144" s="63" t="b">
        <v>0</v>
      </c>
      <c r="AG144" s="63" t="b">
        <v>0</v>
      </c>
      <c r="AH144" s="62"/>
      <c r="AI144" s="64">
        <f t="shared" si="7"/>
        <v>47775</v>
      </c>
      <c r="AJ144" s="65" t="str">
        <f t="shared" si="340"/>
        <v>LAB</v>
      </c>
      <c r="AK144" s="66" t="str">
        <f t="shared" si="9"/>
        <v>GAIN</v>
      </c>
      <c r="AL144" s="67" t="e">
        <f t="shared" ca="1" si="10"/>
        <v>#NAME?</v>
      </c>
      <c r="AM144" s="68">
        <f t="shared" si="11"/>
        <v>7585</v>
      </c>
      <c r="AN144" s="69">
        <f t="shared" si="12"/>
        <v>0.15876504447933018</v>
      </c>
      <c r="AO144" s="62"/>
      <c r="AP144" s="70">
        <f t="shared" ref="AP144:AT144" si="434">H144/$AI144</f>
        <v>0.39644165358451072</v>
      </c>
      <c r="AQ144" s="70">
        <f t="shared" si="434"/>
        <v>0.21705913134484564</v>
      </c>
      <c r="AR144" s="70">
        <f t="shared" si="434"/>
        <v>0.23767660910518054</v>
      </c>
      <c r="AS144" s="70">
        <f t="shared" si="434"/>
        <v>5.4317111459968606E-2</v>
      </c>
      <c r="AT144" s="70">
        <f t="shared" si="434"/>
        <v>6.5013082155939303E-2</v>
      </c>
      <c r="AU144" s="70"/>
      <c r="AV144" s="70"/>
      <c r="AW144" s="81">
        <f t="shared" si="14"/>
        <v>2.9492412349555241E-2</v>
      </c>
      <c r="AX144" s="70">
        <f t="shared" ref="AX144:BG144" si="435">O144/$AI144</f>
        <v>1.0151753008895866E-2</v>
      </c>
      <c r="AY144" s="70">
        <f t="shared" si="435"/>
        <v>2.0512820512820513E-3</v>
      </c>
      <c r="AZ144" s="70">
        <f t="shared" si="435"/>
        <v>0</v>
      </c>
      <c r="BA144" s="70">
        <f t="shared" si="435"/>
        <v>0</v>
      </c>
      <c r="BB144" s="70">
        <f t="shared" si="435"/>
        <v>0</v>
      </c>
      <c r="BC144" s="70">
        <f t="shared" si="435"/>
        <v>0</v>
      </c>
      <c r="BD144" s="70">
        <f t="shared" si="435"/>
        <v>0</v>
      </c>
      <c r="BE144" s="70">
        <f t="shared" si="435"/>
        <v>0</v>
      </c>
      <c r="BF144" s="70">
        <f t="shared" si="435"/>
        <v>0</v>
      </c>
      <c r="BG144" s="70">
        <f t="shared" si="435"/>
        <v>0</v>
      </c>
      <c r="BH144" s="70">
        <f t="shared" si="16"/>
        <v>1.7289377289377322E-2</v>
      </c>
      <c r="BI144" s="62"/>
      <c r="BJ144" s="69">
        <v>0.32600000000000001</v>
      </c>
      <c r="BK144" s="69">
        <v>0.56899999999999995</v>
      </c>
      <c r="BL144" s="69">
        <v>0</v>
      </c>
      <c r="BM144" s="69">
        <v>5.7000000000000002E-2</v>
      </c>
      <c r="BN144" s="69">
        <v>2.7E-2</v>
      </c>
      <c r="BO144" s="69">
        <v>0</v>
      </c>
      <c r="BP144" s="69">
        <v>0</v>
      </c>
      <c r="BQ144" s="69">
        <v>2.1000000000000001E-2</v>
      </c>
      <c r="BR144" s="62"/>
      <c r="BS144" s="72">
        <f t="shared" ref="BS144:BW144" si="436">AP144-BJ144</f>
        <v>7.0441653584510711E-2</v>
      </c>
      <c r="BT144" s="72">
        <f t="shared" si="436"/>
        <v>-0.35194086865515428</v>
      </c>
      <c r="BU144" s="72">
        <f t="shared" si="436"/>
        <v>0.23767660910518054</v>
      </c>
      <c r="BV144" s="72">
        <f t="shared" si="436"/>
        <v>-2.6828885400313959E-3</v>
      </c>
      <c r="BW144" s="72">
        <f t="shared" si="436"/>
        <v>3.8013082155939307E-2</v>
      </c>
      <c r="BX144" s="72"/>
      <c r="BY144" s="72"/>
      <c r="BZ144" s="72">
        <f t="shared" si="18"/>
        <v>8.4924123495552402E-3</v>
      </c>
    </row>
    <row r="145" spans="1:78" ht="13.15">
      <c r="A145" s="73" t="s">
        <v>6</v>
      </c>
      <c r="B145" s="74" t="s">
        <v>333</v>
      </c>
      <c r="C145" s="75" t="s">
        <v>334</v>
      </c>
      <c r="D145" s="75" t="s">
        <v>47</v>
      </c>
      <c r="E145" s="76"/>
      <c r="F145" s="59"/>
      <c r="G145" s="60"/>
      <c r="H145" s="77">
        <v>10980</v>
      </c>
      <c r="I145" s="77">
        <v>19975</v>
      </c>
      <c r="J145" s="77">
        <v>9456</v>
      </c>
      <c r="K145" s="77">
        <v>5131</v>
      </c>
      <c r="L145" s="77">
        <v>3828</v>
      </c>
      <c r="M145" s="77"/>
      <c r="N145" s="77"/>
      <c r="O145" s="77"/>
      <c r="P145" s="77"/>
      <c r="Q145" s="77">
        <v>239</v>
      </c>
      <c r="R145" s="77"/>
      <c r="S145" s="77"/>
      <c r="T145" s="77"/>
      <c r="U145" s="77"/>
      <c r="V145" s="77"/>
      <c r="W145" s="77"/>
      <c r="X145" s="77"/>
      <c r="Y145" s="77"/>
      <c r="Z145" s="77"/>
      <c r="AA145" s="77"/>
      <c r="AB145" s="77"/>
      <c r="AC145" s="77"/>
      <c r="AD145" s="77"/>
      <c r="AE145" s="62"/>
      <c r="AF145" s="63" t="b">
        <v>0</v>
      </c>
      <c r="AG145" s="63" t="b">
        <v>0</v>
      </c>
      <c r="AH145" s="62"/>
      <c r="AI145" s="64">
        <f t="shared" si="7"/>
        <v>49609</v>
      </c>
      <c r="AJ145" s="65" t="str">
        <f t="shared" si="340"/>
        <v>CON</v>
      </c>
      <c r="AK145" s="66" t="str">
        <f t="shared" si="9"/>
        <v>HOLD</v>
      </c>
      <c r="AL145" s="67" t="e">
        <f t="shared" ca="1" si="10"/>
        <v>#NAME?</v>
      </c>
      <c r="AM145" s="68">
        <f t="shared" si="11"/>
        <v>8995</v>
      </c>
      <c r="AN145" s="69">
        <f t="shared" si="12"/>
        <v>0.18131790602511644</v>
      </c>
      <c r="AO145" s="62"/>
      <c r="AP145" s="70">
        <f t="shared" ref="AP145:AT145" si="437">H145/$AI145</f>
        <v>0.22133080691003648</v>
      </c>
      <c r="AQ145" s="70">
        <f t="shared" si="437"/>
        <v>0.40264871293515292</v>
      </c>
      <c r="AR145" s="70">
        <f t="shared" si="437"/>
        <v>0.19061057469410791</v>
      </c>
      <c r="AS145" s="70">
        <f t="shared" si="437"/>
        <v>0.10342881332016368</v>
      </c>
      <c r="AT145" s="70">
        <f t="shared" si="437"/>
        <v>7.7163417928198516E-2</v>
      </c>
      <c r="AU145" s="70"/>
      <c r="AV145" s="70"/>
      <c r="AW145" s="81">
        <f t="shared" si="14"/>
        <v>4.8176742123405836E-3</v>
      </c>
      <c r="AX145" s="70">
        <f t="shared" ref="AX145:BG145" si="438">O145/$AI145</f>
        <v>0</v>
      </c>
      <c r="AY145" s="70">
        <f t="shared" si="438"/>
        <v>0</v>
      </c>
      <c r="AZ145" s="70">
        <f t="shared" si="438"/>
        <v>4.8176742123405029E-3</v>
      </c>
      <c r="BA145" s="70">
        <f t="shared" si="438"/>
        <v>0</v>
      </c>
      <c r="BB145" s="70">
        <f t="shared" si="438"/>
        <v>0</v>
      </c>
      <c r="BC145" s="70">
        <f t="shared" si="438"/>
        <v>0</v>
      </c>
      <c r="BD145" s="70">
        <f t="shared" si="438"/>
        <v>0</v>
      </c>
      <c r="BE145" s="70">
        <f t="shared" si="438"/>
        <v>0</v>
      </c>
      <c r="BF145" s="70">
        <f t="shared" si="438"/>
        <v>0</v>
      </c>
      <c r="BG145" s="70">
        <f t="shared" si="438"/>
        <v>0</v>
      </c>
      <c r="BH145" s="70">
        <f t="shared" si="16"/>
        <v>8.066464163292153E-17</v>
      </c>
      <c r="BI145" s="62"/>
      <c r="BJ145" s="69">
        <v>0.17100000000000001</v>
      </c>
      <c r="BK145" s="69">
        <v>0.65700000000000003</v>
      </c>
      <c r="BL145" s="69">
        <v>0</v>
      </c>
      <c r="BM145" s="69">
        <v>0.12</v>
      </c>
      <c r="BN145" s="69">
        <v>0.04</v>
      </c>
      <c r="BO145" s="69">
        <v>0</v>
      </c>
      <c r="BP145" s="69">
        <v>0</v>
      </c>
      <c r="BQ145" s="69">
        <v>1.2E-2</v>
      </c>
      <c r="BR145" s="62"/>
      <c r="BS145" s="72">
        <f t="shared" ref="BS145:BW145" si="439">AP145-BJ145</f>
        <v>5.0330806910036469E-2</v>
      </c>
      <c r="BT145" s="72">
        <f t="shared" si="439"/>
        <v>-0.25435128706484711</v>
      </c>
      <c r="BU145" s="72">
        <f t="shared" si="439"/>
        <v>0.19061057469410791</v>
      </c>
      <c r="BV145" s="72">
        <f t="shared" si="439"/>
        <v>-1.6571186679836314E-2</v>
      </c>
      <c r="BW145" s="72">
        <f t="shared" si="439"/>
        <v>3.7163417928198515E-2</v>
      </c>
      <c r="BX145" s="72"/>
      <c r="BY145" s="72"/>
      <c r="BZ145" s="72">
        <f t="shared" si="18"/>
        <v>-7.1823257876594167E-3</v>
      </c>
    </row>
    <row r="146" spans="1:78" ht="13.15">
      <c r="A146" s="73" t="s">
        <v>6</v>
      </c>
      <c r="B146" s="74" t="s">
        <v>335</v>
      </c>
      <c r="C146" s="75" t="s">
        <v>336</v>
      </c>
      <c r="D146" s="75" t="s">
        <v>47</v>
      </c>
      <c r="E146" s="76"/>
      <c r="F146" s="59"/>
      <c r="G146" s="60"/>
      <c r="H146" s="77">
        <v>12215</v>
      </c>
      <c r="I146" s="77">
        <v>10315</v>
      </c>
      <c r="J146" s="77">
        <v>9442</v>
      </c>
      <c r="K146" s="77">
        <v>1056</v>
      </c>
      <c r="L146" s="77">
        <v>1154</v>
      </c>
      <c r="M146" s="77"/>
      <c r="N146" s="77"/>
      <c r="O146" s="77">
        <v>857</v>
      </c>
      <c r="P146" s="77">
        <v>621</v>
      </c>
      <c r="Q146" s="77"/>
      <c r="R146" s="77"/>
      <c r="S146" s="77"/>
      <c r="T146" s="77"/>
      <c r="U146" s="77"/>
      <c r="V146" s="77"/>
      <c r="W146" s="77"/>
      <c r="X146" s="77"/>
      <c r="Y146" s="77">
        <v>136</v>
      </c>
      <c r="Z146" s="77"/>
      <c r="AA146" s="77"/>
      <c r="AB146" s="77"/>
      <c r="AC146" s="77"/>
      <c r="AD146" s="77"/>
      <c r="AE146" s="62"/>
      <c r="AF146" s="63" t="b">
        <v>0</v>
      </c>
      <c r="AG146" s="63" t="b">
        <v>0</v>
      </c>
      <c r="AH146" s="62"/>
      <c r="AI146" s="64">
        <f t="shared" si="7"/>
        <v>35796</v>
      </c>
      <c r="AJ146" s="65" t="str">
        <f t="shared" si="340"/>
        <v>LAB</v>
      </c>
      <c r="AK146" s="66" t="str">
        <f t="shared" si="9"/>
        <v>GAIN</v>
      </c>
      <c r="AL146" s="67" t="e">
        <f t="shared" ca="1" si="10"/>
        <v>#NAME?</v>
      </c>
      <c r="AM146" s="68">
        <f>LARGE(H139:X139,1)-LARGE(H139:X139,2)</f>
        <v>6233</v>
      </c>
      <c r="AN146" s="69">
        <f>(LARGE(H139:X139,1)/AI146)-(LARGE(H139:X139,2)/AI146)</f>
        <v>0.17412560062576826</v>
      </c>
      <c r="AO146" s="62"/>
      <c r="AP146" s="70">
        <f t="shared" ref="AP146:AT146" si="440">H139/$AI146</f>
        <v>0.22474578165158118</v>
      </c>
      <c r="AQ146" s="70">
        <f t="shared" si="440"/>
        <v>0.43468543971393453</v>
      </c>
      <c r="AR146" s="70">
        <f t="shared" si="440"/>
        <v>0.17879092636048721</v>
      </c>
      <c r="AS146" s="70">
        <f t="shared" si="440"/>
        <v>0.60881104033970279</v>
      </c>
      <c r="AT146" s="70">
        <f t="shared" si="440"/>
        <v>7.5231869482623753E-2</v>
      </c>
      <c r="AU146" s="70"/>
      <c r="AV146" s="70"/>
      <c r="AW146" s="81">
        <f t="shared" si="14"/>
        <v>-0.52226505754832941</v>
      </c>
      <c r="AX146" s="70">
        <f t="shared" ref="AX146:BG146" si="441">O139/$AI146</f>
        <v>0</v>
      </c>
      <c r="AY146" s="70">
        <f t="shared" si="441"/>
        <v>0</v>
      </c>
      <c r="AZ146" s="70">
        <f t="shared" si="441"/>
        <v>6.7605319030059228E-3</v>
      </c>
      <c r="BA146" s="70">
        <f t="shared" si="441"/>
        <v>0</v>
      </c>
      <c r="BB146" s="70">
        <f t="shared" si="441"/>
        <v>0</v>
      </c>
      <c r="BC146" s="70">
        <f t="shared" si="441"/>
        <v>0</v>
      </c>
      <c r="BD146" s="70">
        <f t="shared" si="441"/>
        <v>0</v>
      </c>
      <c r="BE146" s="70">
        <f t="shared" si="441"/>
        <v>0</v>
      </c>
      <c r="BF146" s="70">
        <f t="shared" si="441"/>
        <v>0</v>
      </c>
      <c r="BG146" s="70">
        <f t="shared" si="441"/>
        <v>0</v>
      </c>
      <c r="BH146" s="70">
        <f t="shared" si="16"/>
        <v>-0.52902558945133538</v>
      </c>
      <c r="BI146" s="62"/>
      <c r="BJ146" s="69">
        <v>0.309</v>
      </c>
      <c r="BK146" s="69">
        <v>0.63200000000000001</v>
      </c>
      <c r="BL146" s="69">
        <v>0</v>
      </c>
      <c r="BM146" s="69">
        <v>3.7999999999999999E-2</v>
      </c>
      <c r="BN146" s="69">
        <v>2.1000000000000001E-2</v>
      </c>
      <c r="BO146" s="69">
        <v>0</v>
      </c>
      <c r="BP146" s="69">
        <v>0</v>
      </c>
      <c r="BQ146" s="69">
        <v>0</v>
      </c>
      <c r="BR146" s="62"/>
      <c r="BS146" s="72">
        <f t="shared" ref="BS146:BW146" si="442">AP146-BJ146</f>
        <v>-8.4254218348418813E-2</v>
      </c>
      <c r="BT146" s="72">
        <f t="shared" si="442"/>
        <v>-0.19731456028606548</v>
      </c>
      <c r="BU146" s="72">
        <f t="shared" si="442"/>
        <v>0.17879092636048721</v>
      </c>
      <c r="BV146" s="72">
        <f t="shared" si="442"/>
        <v>0.57081104033970276</v>
      </c>
      <c r="BW146" s="72">
        <f t="shared" si="442"/>
        <v>5.4231869482623749E-2</v>
      </c>
      <c r="BX146" s="72"/>
      <c r="BY146" s="72"/>
      <c r="BZ146" s="72">
        <f t="shared" si="18"/>
        <v>-0.52226505754832941</v>
      </c>
    </row>
    <row r="147" spans="1:78" ht="13.15">
      <c r="A147" s="78" t="s">
        <v>5</v>
      </c>
      <c r="B147" s="74" t="s">
        <v>337</v>
      </c>
      <c r="C147" s="75" t="s">
        <v>338</v>
      </c>
      <c r="D147" s="75" t="s">
        <v>68</v>
      </c>
      <c r="E147" s="76"/>
      <c r="F147" s="59"/>
      <c r="G147" s="60"/>
      <c r="H147" s="77">
        <v>27356</v>
      </c>
      <c r="I147" s="77">
        <v>3873</v>
      </c>
      <c r="J147" s="77">
        <v>1801</v>
      </c>
      <c r="K147" s="77">
        <v>3485</v>
      </c>
      <c r="L147" s="77">
        <v>8567</v>
      </c>
      <c r="M147" s="77"/>
      <c r="N147" s="77"/>
      <c r="O147" s="77">
        <v>296</v>
      </c>
      <c r="P147" s="77"/>
      <c r="Q147" s="77"/>
      <c r="R147" s="77"/>
      <c r="S147" s="77"/>
      <c r="T147" s="77"/>
      <c r="U147" s="77"/>
      <c r="V147" s="77"/>
      <c r="W147" s="77"/>
      <c r="X147" s="77"/>
      <c r="Y147" s="77"/>
      <c r="Z147" s="77"/>
      <c r="AA147" s="77"/>
      <c r="AB147" s="77"/>
      <c r="AC147" s="77"/>
      <c r="AD147" s="77"/>
      <c r="AE147" s="62"/>
      <c r="AF147" s="63" t="b">
        <v>0</v>
      </c>
      <c r="AG147" s="63" t="b">
        <v>0</v>
      </c>
      <c r="AH147" s="62"/>
      <c r="AI147" s="64">
        <f t="shared" si="7"/>
        <v>45378</v>
      </c>
      <c r="AJ147" s="65" t="str">
        <f t="shared" si="340"/>
        <v>LAB</v>
      </c>
      <c r="AK147" s="66" t="str">
        <f t="shared" si="9"/>
        <v>HOLD</v>
      </c>
      <c r="AL147" s="67" t="e">
        <f t="shared" ca="1" si="10"/>
        <v>#NAME?</v>
      </c>
      <c r="AM147" s="68">
        <f t="shared" ref="AM147:AM209" si="443">LARGE(H147:X147,1)-LARGE(H147:X147,2)</f>
        <v>18789</v>
      </c>
      <c r="AN147" s="69">
        <f t="shared" ref="AN147:AN209" si="444">(LARGE(H147:X147,1)/AI147)-(LARGE(H147:X147,2)/AI147)</f>
        <v>0.41405526907311918</v>
      </c>
      <c r="AO147" s="62"/>
      <c r="AP147" s="70">
        <f t="shared" ref="AP147:AT147" si="445">H147/$AI147</f>
        <v>0.60284719467583414</v>
      </c>
      <c r="AQ147" s="70">
        <f t="shared" si="445"/>
        <v>8.5349728943540926E-2</v>
      </c>
      <c r="AR147" s="70">
        <f t="shared" si="445"/>
        <v>3.9688835999823702E-2</v>
      </c>
      <c r="AS147" s="70">
        <f t="shared" si="445"/>
        <v>7.6799330071840977E-2</v>
      </c>
      <c r="AT147" s="70">
        <f t="shared" si="445"/>
        <v>0.18879192560271496</v>
      </c>
      <c r="AU147" s="70"/>
      <c r="AV147" s="70"/>
      <c r="AW147" s="81">
        <f t="shared" si="14"/>
        <v>6.5229847062452384E-3</v>
      </c>
      <c r="AX147" s="70">
        <f t="shared" ref="AX147:BG147" si="446">O147/$AI147</f>
        <v>6.5229847062453173E-3</v>
      </c>
      <c r="AY147" s="70">
        <f t="shared" si="446"/>
        <v>0</v>
      </c>
      <c r="AZ147" s="70">
        <f t="shared" si="446"/>
        <v>0</v>
      </c>
      <c r="BA147" s="70">
        <f t="shared" si="446"/>
        <v>0</v>
      </c>
      <c r="BB147" s="70">
        <f t="shared" si="446"/>
        <v>0</v>
      </c>
      <c r="BC147" s="70">
        <f t="shared" si="446"/>
        <v>0</v>
      </c>
      <c r="BD147" s="70">
        <f t="shared" si="446"/>
        <v>0</v>
      </c>
      <c r="BE147" s="70">
        <f t="shared" si="446"/>
        <v>0</v>
      </c>
      <c r="BF147" s="70">
        <f t="shared" si="446"/>
        <v>0</v>
      </c>
      <c r="BG147" s="70">
        <f t="shared" si="446"/>
        <v>0</v>
      </c>
      <c r="BH147" s="70">
        <f t="shared" si="16"/>
        <v>-7.8929918156944723E-17</v>
      </c>
      <c r="BI147" s="62"/>
      <c r="BJ147" s="69">
        <v>0.64500000000000002</v>
      </c>
      <c r="BK147" s="69">
        <v>0.16600000000000001</v>
      </c>
      <c r="BL147" s="69">
        <v>1.0999999999999999E-2</v>
      </c>
      <c r="BM147" s="69">
        <v>0.01</v>
      </c>
      <c r="BN147" s="69">
        <v>0.16200000000000001</v>
      </c>
      <c r="BO147" s="69">
        <v>0</v>
      </c>
      <c r="BP147" s="69">
        <v>0</v>
      </c>
      <c r="BQ147" s="69">
        <v>6.0000000000000001E-3</v>
      </c>
      <c r="BR147" s="62"/>
      <c r="BS147" s="72">
        <f t="shared" ref="BS147:BW147" si="447">AP147-BJ147</f>
        <v>-4.2152805324165876E-2</v>
      </c>
      <c r="BT147" s="72">
        <f t="shared" si="447"/>
        <v>-8.0650271056459083E-2</v>
      </c>
      <c r="BU147" s="72">
        <f t="shared" si="447"/>
        <v>2.8688835999823702E-2</v>
      </c>
      <c r="BV147" s="72">
        <f t="shared" si="447"/>
        <v>6.6799330071840982E-2</v>
      </c>
      <c r="BW147" s="72">
        <f t="shared" si="447"/>
        <v>2.6791925602714955E-2</v>
      </c>
      <c r="BX147" s="72"/>
      <c r="BY147" s="72"/>
      <c r="BZ147" s="72">
        <f t="shared" si="18"/>
        <v>5.2298470624523828E-4</v>
      </c>
    </row>
    <row r="148" spans="1:78" ht="13.15">
      <c r="A148" s="73" t="s">
        <v>6</v>
      </c>
      <c r="B148" s="74" t="s">
        <v>339</v>
      </c>
      <c r="C148" s="75" t="s">
        <v>340</v>
      </c>
      <c r="D148" s="75" t="s">
        <v>78</v>
      </c>
      <c r="E148" s="76"/>
      <c r="F148" s="59"/>
      <c r="G148" s="60"/>
      <c r="H148" s="77">
        <v>14976</v>
      </c>
      <c r="I148" s="77">
        <v>14309</v>
      </c>
      <c r="J148" s="77">
        <v>8071</v>
      </c>
      <c r="K148" s="77">
        <v>6497</v>
      </c>
      <c r="L148" s="77">
        <v>2115</v>
      </c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>
        <v>77</v>
      </c>
      <c r="Z148" s="77"/>
      <c r="AA148" s="77"/>
      <c r="AB148" s="77"/>
      <c r="AC148" s="77"/>
      <c r="AD148" s="77"/>
      <c r="AE148" s="62"/>
      <c r="AF148" s="63" t="b">
        <v>0</v>
      </c>
      <c r="AG148" s="63" t="b">
        <v>0</v>
      </c>
      <c r="AH148" s="62"/>
      <c r="AI148" s="64">
        <f t="shared" si="7"/>
        <v>46045</v>
      </c>
      <c r="AJ148" s="65" t="str">
        <f t="shared" si="340"/>
        <v>LAB</v>
      </c>
      <c r="AK148" s="66" t="str">
        <f t="shared" si="9"/>
        <v>GAIN</v>
      </c>
      <c r="AL148" s="67" t="e">
        <f t="shared" ca="1" si="10"/>
        <v>#NAME?</v>
      </c>
      <c r="AM148" s="68">
        <f t="shared" si="443"/>
        <v>667</v>
      </c>
      <c r="AN148" s="69">
        <f t="shared" si="444"/>
        <v>1.4485829080247592E-2</v>
      </c>
      <c r="AO148" s="62"/>
      <c r="AP148" s="70">
        <f t="shared" ref="AP148:AT148" si="448">H148/$AI148</f>
        <v>0.32524704093821261</v>
      </c>
      <c r="AQ148" s="70">
        <f t="shared" si="448"/>
        <v>0.31076121185796501</v>
      </c>
      <c r="AR148" s="70">
        <f t="shared" si="448"/>
        <v>0.17528504723639918</v>
      </c>
      <c r="AS148" s="70">
        <f t="shared" si="448"/>
        <v>0.14110109675317625</v>
      </c>
      <c r="AT148" s="70">
        <f t="shared" si="448"/>
        <v>4.593332609403844E-2</v>
      </c>
      <c r="AU148" s="70"/>
      <c r="AV148" s="70"/>
      <c r="AW148" s="81">
        <f t="shared" si="14"/>
        <v>1.6722771202084541E-3</v>
      </c>
      <c r="AX148" s="70">
        <f t="shared" ref="AX148:BG148" si="449">O148/$AI148</f>
        <v>0</v>
      </c>
      <c r="AY148" s="70">
        <f t="shared" si="449"/>
        <v>0</v>
      </c>
      <c r="AZ148" s="70">
        <f t="shared" si="449"/>
        <v>0</v>
      </c>
      <c r="BA148" s="70">
        <f t="shared" si="449"/>
        <v>0</v>
      </c>
      <c r="BB148" s="70">
        <f t="shared" si="449"/>
        <v>0</v>
      </c>
      <c r="BC148" s="70">
        <f t="shared" si="449"/>
        <v>0</v>
      </c>
      <c r="BD148" s="70">
        <f t="shared" si="449"/>
        <v>0</v>
      </c>
      <c r="BE148" s="70">
        <f t="shared" si="449"/>
        <v>0</v>
      </c>
      <c r="BF148" s="70">
        <f t="shared" si="449"/>
        <v>0</v>
      </c>
      <c r="BG148" s="70">
        <f t="shared" si="449"/>
        <v>0</v>
      </c>
      <c r="BH148" s="70">
        <f t="shared" si="16"/>
        <v>1.6722771202084541E-3</v>
      </c>
      <c r="BI148" s="62"/>
      <c r="BJ148" s="69">
        <v>0.26800000000000002</v>
      </c>
      <c r="BK148" s="69">
        <v>0.58699999999999997</v>
      </c>
      <c r="BL148" s="69">
        <v>0</v>
      </c>
      <c r="BM148" s="69">
        <v>0.108</v>
      </c>
      <c r="BN148" s="69">
        <v>3.6999999999999998E-2</v>
      </c>
      <c r="BO148" s="69">
        <v>0</v>
      </c>
      <c r="BP148" s="69">
        <v>0</v>
      </c>
      <c r="BQ148" s="69">
        <v>0</v>
      </c>
      <c r="BR148" s="62"/>
      <c r="BS148" s="72">
        <f t="shared" ref="BS148:BW148" si="450">AP148-BJ148</f>
        <v>5.724704093821259E-2</v>
      </c>
      <c r="BT148" s="72">
        <f t="shared" si="450"/>
        <v>-0.27623878814203495</v>
      </c>
      <c r="BU148" s="72">
        <f t="shared" si="450"/>
        <v>0.17528504723639918</v>
      </c>
      <c r="BV148" s="72">
        <f t="shared" si="450"/>
        <v>3.3101096753176254E-2</v>
      </c>
      <c r="BW148" s="72">
        <f t="shared" si="450"/>
        <v>8.9333260940384421E-3</v>
      </c>
      <c r="BX148" s="72"/>
      <c r="BY148" s="72"/>
      <c r="BZ148" s="72">
        <f t="shared" si="18"/>
        <v>1.6722771202084541E-3</v>
      </c>
    </row>
    <row r="149" spans="1:78" ht="13.15">
      <c r="A149" s="78" t="s">
        <v>5</v>
      </c>
      <c r="B149" s="74" t="s">
        <v>341</v>
      </c>
      <c r="C149" s="75" t="s">
        <v>342</v>
      </c>
      <c r="D149" s="75" t="s">
        <v>68</v>
      </c>
      <c r="E149" s="76">
        <v>78436</v>
      </c>
      <c r="F149" s="59"/>
      <c r="G149" s="60"/>
      <c r="H149" s="77">
        <v>22340</v>
      </c>
      <c r="I149" s="77">
        <v>8345</v>
      </c>
      <c r="J149" s="77">
        <v>3105</v>
      </c>
      <c r="K149" s="77">
        <v>6056</v>
      </c>
      <c r="L149" s="77">
        <v>5444</v>
      </c>
      <c r="M149" s="77"/>
      <c r="N149" s="77"/>
      <c r="O149" s="77">
        <v>303</v>
      </c>
      <c r="P149" s="77">
        <v>1766</v>
      </c>
      <c r="Q149" s="77">
        <v>410</v>
      </c>
      <c r="R149" s="77"/>
      <c r="S149" s="77"/>
      <c r="T149" s="77"/>
      <c r="U149" s="77"/>
      <c r="V149" s="77"/>
      <c r="W149" s="77"/>
      <c r="X149" s="77"/>
      <c r="Y149" s="77"/>
      <c r="Z149" s="77"/>
      <c r="AA149" s="77"/>
      <c r="AB149" s="77"/>
      <c r="AC149" s="77"/>
      <c r="AD149" s="77"/>
      <c r="AE149" s="62"/>
      <c r="AF149" s="63" t="b">
        <v>0</v>
      </c>
      <c r="AG149" s="63" t="b">
        <v>0</v>
      </c>
      <c r="AH149" s="62"/>
      <c r="AI149" s="64">
        <f t="shared" si="7"/>
        <v>47769</v>
      </c>
      <c r="AJ149" s="65" t="str">
        <f t="shared" si="340"/>
        <v>LAB</v>
      </c>
      <c r="AK149" s="66" t="str">
        <f t="shared" si="9"/>
        <v>HOLD</v>
      </c>
      <c r="AL149" s="67" t="e">
        <f t="shared" ca="1" si="10"/>
        <v>#NAME?</v>
      </c>
      <c r="AM149" s="68">
        <f t="shared" si="443"/>
        <v>13995</v>
      </c>
      <c r="AN149" s="69">
        <f t="shared" si="444"/>
        <v>0.29297242981850158</v>
      </c>
      <c r="AO149" s="62"/>
      <c r="AP149" s="70">
        <f t="shared" ref="AP149:AT149" si="451">H149/$AI149</f>
        <v>0.46766731562310287</v>
      </c>
      <c r="AQ149" s="70">
        <f t="shared" si="451"/>
        <v>0.17469488580460132</v>
      </c>
      <c r="AR149" s="70">
        <f t="shared" si="451"/>
        <v>6.5000314011178797E-2</v>
      </c>
      <c r="AS149" s="70">
        <f t="shared" si="451"/>
        <v>0.12677677992003181</v>
      </c>
      <c r="AT149" s="70">
        <f t="shared" si="451"/>
        <v>0.11396512382507484</v>
      </c>
      <c r="AU149" s="70"/>
      <c r="AV149" s="70"/>
      <c r="AW149" s="81">
        <f t="shared" si="14"/>
        <v>5.1895580816010423E-2</v>
      </c>
      <c r="AX149" s="70">
        <f t="shared" ref="AX149:BG149" si="452">O149/$AI149</f>
        <v>6.3430258117188974E-3</v>
      </c>
      <c r="AY149" s="70">
        <f t="shared" si="452"/>
        <v>3.6969582783813772E-2</v>
      </c>
      <c r="AZ149" s="70">
        <f t="shared" si="452"/>
        <v>8.5829722204777154E-3</v>
      </c>
      <c r="BA149" s="70">
        <f t="shared" si="452"/>
        <v>0</v>
      </c>
      <c r="BB149" s="70">
        <f t="shared" si="452"/>
        <v>0</v>
      </c>
      <c r="BC149" s="70">
        <f t="shared" si="452"/>
        <v>0</v>
      </c>
      <c r="BD149" s="70">
        <f t="shared" si="452"/>
        <v>0</v>
      </c>
      <c r="BE149" s="70">
        <f t="shared" si="452"/>
        <v>0</v>
      </c>
      <c r="BF149" s="70">
        <f t="shared" si="452"/>
        <v>0</v>
      </c>
      <c r="BG149" s="70">
        <f t="shared" si="452"/>
        <v>0</v>
      </c>
      <c r="BH149" s="70">
        <f t="shared" si="16"/>
        <v>0</v>
      </c>
      <c r="BI149" s="62"/>
      <c r="BJ149" s="69">
        <v>0.52300000000000002</v>
      </c>
      <c r="BK149" s="69">
        <v>0.25600000000000001</v>
      </c>
      <c r="BL149" s="69">
        <v>1.4E-2</v>
      </c>
      <c r="BM149" s="69">
        <v>0.17399999999999999</v>
      </c>
      <c r="BN149" s="69">
        <v>3.4000000000000002E-2</v>
      </c>
      <c r="BO149" s="69">
        <v>0</v>
      </c>
      <c r="BP149" s="69">
        <v>0</v>
      </c>
      <c r="BQ149" s="69">
        <v>0</v>
      </c>
      <c r="BR149" s="62"/>
      <c r="BS149" s="72">
        <f t="shared" ref="BS149:BW149" si="453">AP149-BJ149</f>
        <v>-5.5332684376897145E-2</v>
      </c>
      <c r="BT149" s="72">
        <f t="shared" si="453"/>
        <v>-8.1305114195398681E-2</v>
      </c>
      <c r="BU149" s="72">
        <f t="shared" si="453"/>
        <v>5.1000314011178799E-2</v>
      </c>
      <c r="BV149" s="72">
        <f t="shared" si="453"/>
        <v>-4.7223220079968181E-2</v>
      </c>
      <c r="BW149" s="72">
        <f t="shared" si="453"/>
        <v>7.9965123825074841E-2</v>
      </c>
      <c r="BX149" s="72"/>
      <c r="BY149" s="72"/>
      <c r="BZ149" s="72">
        <f t="shared" si="18"/>
        <v>5.1895580816010381E-2</v>
      </c>
    </row>
    <row r="150" spans="1:78" ht="13.15">
      <c r="A150" s="78" t="s">
        <v>5</v>
      </c>
      <c r="B150" s="74" t="s">
        <v>343</v>
      </c>
      <c r="C150" s="75" t="s">
        <v>344</v>
      </c>
      <c r="D150" s="75" t="s">
        <v>68</v>
      </c>
      <c r="E150" s="76"/>
      <c r="F150" s="59"/>
      <c r="G150" s="60"/>
      <c r="H150" s="77">
        <v>20663</v>
      </c>
      <c r="I150" s="77">
        <v>8144</v>
      </c>
      <c r="J150" s="77">
        <v>3948</v>
      </c>
      <c r="K150" s="77">
        <v>2543</v>
      </c>
      <c r="L150" s="77">
        <v>4056</v>
      </c>
      <c r="M150" s="77"/>
      <c r="N150" s="77"/>
      <c r="O150" s="77">
        <v>499</v>
      </c>
      <c r="P150" s="77">
        <v>3139</v>
      </c>
      <c r="Q150" s="77">
        <v>240</v>
      </c>
      <c r="R150" s="77"/>
      <c r="S150" s="77"/>
      <c r="T150" s="77"/>
      <c r="U150" s="77"/>
      <c r="V150" s="77"/>
      <c r="W150" s="77"/>
      <c r="X150" s="77"/>
      <c r="Y150" s="77"/>
      <c r="Z150" s="77"/>
      <c r="AA150" s="77"/>
      <c r="AB150" s="77"/>
      <c r="AC150" s="77"/>
      <c r="AD150" s="77"/>
      <c r="AE150" s="62"/>
      <c r="AF150" s="63" t="b">
        <v>0</v>
      </c>
      <c r="AG150" s="63" t="b">
        <v>0</v>
      </c>
      <c r="AH150" s="62"/>
      <c r="AI150" s="64">
        <f t="shared" si="7"/>
        <v>43232</v>
      </c>
      <c r="AJ150" s="65" t="str">
        <f t="shared" si="340"/>
        <v>LAB</v>
      </c>
      <c r="AK150" s="66" t="str">
        <f t="shared" si="9"/>
        <v>HOLD</v>
      </c>
      <c r="AL150" s="67" t="e">
        <f t="shared" ca="1" si="10"/>
        <v>#NAME?</v>
      </c>
      <c r="AM150" s="68">
        <f t="shared" si="443"/>
        <v>12519</v>
      </c>
      <c r="AN150" s="69">
        <f t="shared" si="444"/>
        <v>0.28957716506291631</v>
      </c>
      <c r="AO150" s="62"/>
      <c r="AP150" s="70">
        <f t="shared" ref="AP150:AT150" si="454">H150/$AI150</f>
        <v>0.47795614359733529</v>
      </c>
      <c r="AQ150" s="70">
        <f t="shared" si="454"/>
        <v>0.18837897853441896</v>
      </c>
      <c r="AR150" s="70">
        <f t="shared" si="454"/>
        <v>9.1321243523316067E-2</v>
      </c>
      <c r="AS150" s="70">
        <f t="shared" si="454"/>
        <v>5.8822168763878607E-2</v>
      </c>
      <c r="AT150" s="70">
        <f t="shared" si="454"/>
        <v>9.3819393042190974E-2</v>
      </c>
      <c r="AU150" s="70"/>
      <c r="AV150" s="70"/>
      <c r="AW150" s="81">
        <f t="shared" si="14"/>
        <v>8.9702072538860089E-2</v>
      </c>
      <c r="AX150" s="70">
        <f t="shared" ref="AX150:BG150" si="455">O150/$AI150</f>
        <v>1.154237601776462E-2</v>
      </c>
      <c r="AY150" s="70">
        <f t="shared" si="455"/>
        <v>7.2608253145817911E-2</v>
      </c>
      <c r="AZ150" s="70">
        <f t="shared" si="455"/>
        <v>5.5514433752775726E-3</v>
      </c>
      <c r="BA150" s="70">
        <f t="shared" si="455"/>
        <v>0</v>
      </c>
      <c r="BB150" s="70">
        <f t="shared" si="455"/>
        <v>0</v>
      </c>
      <c r="BC150" s="70">
        <f t="shared" si="455"/>
        <v>0</v>
      </c>
      <c r="BD150" s="70">
        <f t="shared" si="455"/>
        <v>0</v>
      </c>
      <c r="BE150" s="70">
        <f t="shared" si="455"/>
        <v>0</v>
      </c>
      <c r="BF150" s="70">
        <f t="shared" si="455"/>
        <v>0</v>
      </c>
      <c r="BG150" s="70">
        <f t="shared" si="455"/>
        <v>0</v>
      </c>
      <c r="BH150" s="70">
        <f t="shared" si="16"/>
        <v>0</v>
      </c>
      <c r="BI150" s="62"/>
      <c r="BJ150" s="69">
        <v>0.56299999999999994</v>
      </c>
      <c r="BK150" s="69">
        <v>0.31900000000000001</v>
      </c>
      <c r="BL150" s="69">
        <v>0</v>
      </c>
      <c r="BM150" s="69">
        <v>8.7999999999999995E-2</v>
      </c>
      <c r="BN150" s="69">
        <v>2.9000000000000001E-2</v>
      </c>
      <c r="BO150" s="69">
        <v>0</v>
      </c>
      <c r="BP150" s="69">
        <v>0</v>
      </c>
      <c r="BQ150" s="69">
        <v>0</v>
      </c>
      <c r="BR150" s="62"/>
      <c r="BS150" s="72">
        <f t="shared" ref="BS150:BW150" si="456">AP150-BJ150</f>
        <v>-8.5043856402664653E-2</v>
      </c>
      <c r="BT150" s="72">
        <f t="shared" si="456"/>
        <v>-0.13062102146558105</v>
      </c>
      <c r="BU150" s="72">
        <f t="shared" si="456"/>
        <v>9.1321243523316067E-2</v>
      </c>
      <c r="BV150" s="72">
        <f t="shared" si="456"/>
        <v>-2.9177831236121388E-2</v>
      </c>
      <c r="BW150" s="72">
        <f t="shared" si="456"/>
        <v>6.4819393042190976E-2</v>
      </c>
      <c r="BX150" s="72"/>
      <c r="BY150" s="72"/>
      <c r="BZ150" s="72">
        <f t="shared" si="18"/>
        <v>8.9702072538860103E-2</v>
      </c>
    </row>
    <row r="151" spans="1:78" ht="13.15">
      <c r="A151" s="78" t="s">
        <v>5</v>
      </c>
      <c r="B151" s="74" t="s">
        <v>345</v>
      </c>
      <c r="C151" s="75" t="s">
        <v>346</v>
      </c>
      <c r="D151" s="75" t="s">
        <v>68</v>
      </c>
      <c r="E151" s="76"/>
      <c r="F151" s="59"/>
      <c r="G151" s="60"/>
      <c r="H151" s="77">
        <v>23000</v>
      </c>
      <c r="I151" s="77">
        <v>7207</v>
      </c>
      <c r="J151" s="77">
        <v>2585</v>
      </c>
      <c r="K151" s="77">
        <v>2832</v>
      </c>
      <c r="L151" s="77">
        <v>4356</v>
      </c>
      <c r="M151" s="77"/>
      <c r="N151" s="77"/>
      <c r="O151" s="77">
        <v>740</v>
      </c>
      <c r="P151" s="77">
        <v>4237</v>
      </c>
      <c r="Q151" s="77"/>
      <c r="R151" s="77"/>
      <c r="S151" s="77"/>
      <c r="T151" s="77"/>
      <c r="U151" s="77"/>
      <c r="V151" s="77"/>
      <c r="W151" s="77"/>
      <c r="X151" s="77"/>
      <c r="Y151" s="77">
        <v>557</v>
      </c>
      <c r="Z151" s="77">
        <v>475</v>
      </c>
      <c r="AA151" s="77"/>
      <c r="AB151" s="77"/>
      <c r="AC151" s="77"/>
      <c r="AD151" s="77"/>
      <c r="AE151" s="62"/>
      <c r="AF151" s="63" t="b">
        <v>0</v>
      </c>
      <c r="AG151" s="63" t="b">
        <v>0</v>
      </c>
      <c r="AH151" s="62"/>
      <c r="AI151" s="64">
        <f t="shared" si="7"/>
        <v>45989</v>
      </c>
      <c r="AJ151" s="65" t="str">
        <f t="shared" si="340"/>
        <v>LAB</v>
      </c>
      <c r="AK151" s="66" t="str">
        <f t="shared" si="9"/>
        <v>HOLD</v>
      </c>
      <c r="AL151" s="67" t="e">
        <f t="shared" ca="1" si="10"/>
        <v>#NAME?</v>
      </c>
      <c r="AM151" s="68">
        <f t="shared" si="443"/>
        <v>15793</v>
      </c>
      <c r="AN151" s="69">
        <f t="shared" si="444"/>
        <v>0.34340820631020463</v>
      </c>
      <c r="AO151" s="62"/>
      <c r="AP151" s="70">
        <f t="shared" ref="AP151:AT151" si="457">H151/$AI151</f>
        <v>0.50011959381591253</v>
      </c>
      <c r="AQ151" s="70">
        <f t="shared" si="457"/>
        <v>0.1567113875057079</v>
      </c>
      <c r="AR151" s="70">
        <f t="shared" si="457"/>
        <v>5.6209093478875385E-2</v>
      </c>
      <c r="AS151" s="70">
        <f t="shared" si="457"/>
        <v>6.1579943029854964E-2</v>
      </c>
      <c r="AT151" s="70">
        <f t="shared" si="457"/>
        <v>9.4718302202700652E-2</v>
      </c>
      <c r="AU151" s="70"/>
      <c r="AV151" s="70"/>
      <c r="AW151" s="81">
        <f t="shared" si="14"/>
        <v>0.13066167996694866</v>
      </c>
      <c r="AX151" s="70">
        <f t="shared" ref="AX151:BG151" si="458">O151/$AI151</f>
        <v>1.6090804322772836E-2</v>
      </c>
      <c r="AY151" s="70">
        <f t="shared" si="458"/>
        <v>9.2130726912957442E-2</v>
      </c>
      <c r="AZ151" s="70">
        <f t="shared" si="458"/>
        <v>0</v>
      </c>
      <c r="BA151" s="70">
        <f t="shared" si="458"/>
        <v>0</v>
      </c>
      <c r="BB151" s="70">
        <f t="shared" si="458"/>
        <v>0</v>
      </c>
      <c r="BC151" s="70">
        <f t="shared" si="458"/>
        <v>0</v>
      </c>
      <c r="BD151" s="70">
        <f t="shared" si="458"/>
        <v>0</v>
      </c>
      <c r="BE151" s="70">
        <f t="shared" si="458"/>
        <v>0</v>
      </c>
      <c r="BF151" s="70">
        <f t="shared" si="458"/>
        <v>0</v>
      </c>
      <c r="BG151" s="70">
        <f t="shared" si="458"/>
        <v>0</v>
      </c>
      <c r="BH151" s="70">
        <f t="shared" si="16"/>
        <v>2.2440148731218384E-2</v>
      </c>
      <c r="BI151" s="62"/>
      <c r="BJ151" s="69">
        <v>0.59799999999999998</v>
      </c>
      <c r="BK151" s="69">
        <v>0.23899999999999999</v>
      </c>
      <c r="BL151" s="69">
        <v>1.9E-2</v>
      </c>
      <c r="BM151" s="69">
        <v>9.8000000000000004E-2</v>
      </c>
      <c r="BN151" s="69">
        <v>3.7999999999999999E-2</v>
      </c>
      <c r="BO151" s="69">
        <v>0</v>
      </c>
      <c r="BP151" s="69">
        <v>0</v>
      </c>
      <c r="BQ151" s="69">
        <v>8.9999999999999993E-3</v>
      </c>
      <c r="BR151" s="62"/>
      <c r="BS151" s="72">
        <f t="shared" ref="BS151:BW151" si="459">AP151-BJ151</f>
        <v>-9.7880406184087443E-2</v>
      </c>
      <c r="BT151" s="72">
        <f t="shared" si="459"/>
        <v>-8.228861249429209E-2</v>
      </c>
      <c r="BU151" s="72">
        <f t="shared" si="459"/>
        <v>3.7209093478875382E-2</v>
      </c>
      <c r="BV151" s="72">
        <f t="shared" si="459"/>
        <v>-3.642005697014504E-2</v>
      </c>
      <c r="BW151" s="72">
        <f t="shared" si="459"/>
        <v>5.6718302202700653E-2</v>
      </c>
      <c r="BX151" s="72"/>
      <c r="BY151" s="72"/>
      <c r="BZ151" s="72">
        <f t="shared" si="18"/>
        <v>0.12166167996694867</v>
      </c>
    </row>
    <row r="152" spans="1:78" ht="13.15">
      <c r="A152" s="73" t="s">
        <v>6</v>
      </c>
      <c r="B152" s="74" t="s">
        <v>347</v>
      </c>
      <c r="C152" s="75" t="s">
        <v>348</v>
      </c>
      <c r="D152" s="75" t="s">
        <v>44</v>
      </c>
      <c r="E152" s="76"/>
      <c r="F152" s="59"/>
      <c r="G152" s="60"/>
      <c r="H152" s="77">
        <v>18209</v>
      </c>
      <c r="I152" s="77">
        <v>17361</v>
      </c>
      <c r="J152" s="77"/>
      <c r="K152" s="77">
        <v>6142</v>
      </c>
      <c r="L152" s="77">
        <v>3418</v>
      </c>
      <c r="M152" s="77"/>
      <c r="N152" s="77"/>
      <c r="O152" s="77"/>
      <c r="P152" s="77"/>
      <c r="Q152" s="77">
        <v>784</v>
      </c>
      <c r="R152" s="77"/>
      <c r="S152" s="77"/>
      <c r="T152" s="77"/>
      <c r="U152" s="77"/>
      <c r="V152" s="77"/>
      <c r="W152" s="77"/>
      <c r="X152" s="77"/>
      <c r="Y152" s="77"/>
      <c r="Z152" s="77"/>
      <c r="AA152" s="77"/>
      <c r="AB152" s="77"/>
      <c r="AC152" s="77"/>
      <c r="AD152" s="77"/>
      <c r="AE152" s="62"/>
      <c r="AF152" s="63" t="b">
        <v>0</v>
      </c>
      <c r="AG152" s="63" t="b">
        <v>0</v>
      </c>
      <c r="AH152" s="62"/>
      <c r="AI152" s="64">
        <f t="shared" si="7"/>
        <v>45914</v>
      </c>
      <c r="AJ152" s="65" t="str">
        <f t="shared" si="340"/>
        <v>LAB</v>
      </c>
      <c r="AK152" s="66" t="str">
        <f t="shared" si="9"/>
        <v>GAIN</v>
      </c>
      <c r="AL152" s="67" t="e">
        <f t="shared" ca="1" si="10"/>
        <v>#NAME?</v>
      </c>
      <c r="AM152" s="68">
        <f t="shared" si="443"/>
        <v>848</v>
      </c>
      <c r="AN152" s="69">
        <f t="shared" si="444"/>
        <v>1.8469312192359644E-2</v>
      </c>
      <c r="AO152" s="62"/>
      <c r="AP152" s="70">
        <f t="shared" ref="AP152:AT152" si="460">H152/$AI152</f>
        <v>0.39658927560221285</v>
      </c>
      <c r="AQ152" s="70">
        <f t="shared" si="460"/>
        <v>0.37811996340985321</v>
      </c>
      <c r="AR152" s="70">
        <f t="shared" si="460"/>
        <v>0</v>
      </c>
      <c r="AS152" s="70">
        <f t="shared" si="460"/>
        <v>0.13377183429890666</v>
      </c>
      <c r="AT152" s="70">
        <f t="shared" si="460"/>
        <v>7.4443524850808032E-2</v>
      </c>
      <c r="AU152" s="70"/>
      <c r="AV152" s="70"/>
      <c r="AW152" s="81">
        <f t="shared" si="14"/>
        <v>1.7075401838219206E-2</v>
      </c>
      <c r="AX152" s="70">
        <f t="shared" ref="AX152:BG152" si="461">O152/$AI152</f>
        <v>0</v>
      </c>
      <c r="AY152" s="70">
        <f t="shared" si="461"/>
        <v>0</v>
      </c>
      <c r="AZ152" s="70">
        <f t="shared" si="461"/>
        <v>1.7075401838219279E-2</v>
      </c>
      <c r="BA152" s="70">
        <f t="shared" si="461"/>
        <v>0</v>
      </c>
      <c r="BB152" s="70">
        <f t="shared" si="461"/>
        <v>0</v>
      </c>
      <c r="BC152" s="70">
        <f t="shared" si="461"/>
        <v>0</v>
      </c>
      <c r="BD152" s="70">
        <f t="shared" si="461"/>
        <v>0</v>
      </c>
      <c r="BE152" s="70">
        <f t="shared" si="461"/>
        <v>0</v>
      </c>
      <c r="BF152" s="70">
        <f t="shared" si="461"/>
        <v>0</v>
      </c>
      <c r="BG152" s="70">
        <f t="shared" si="461"/>
        <v>0</v>
      </c>
      <c r="BH152" s="70">
        <f t="shared" si="16"/>
        <v>-7.2858385991025898E-17</v>
      </c>
      <c r="BI152" s="62"/>
      <c r="BJ152" s="69">
        <v>0.26700000000000002</v>
      </c>
      <c r="BK152" s="69">
        <v>0.48799999999999999</v>
      </c>
      <c r="BL152" s="69">
        <v>5.0000000000000001E-3</v>
      </c>
      <c r="BM152" s="69">
        <v>0.218</v>
      </c>
      <c r="BN152" s="69">
        <v>2.1999999999999999E-2</v>
      </c>
      <c r="BO152" s="69">
        <v>0</v>
      </c>
      <c r="BP152" s="69">
        <v>0</v>
      </c>
      <c r="BQ152" s="69">
        <v>0</v>
      </c>
      <c r="BR152" s="62"/>
      <c r="BS152" s="72">
        <f t="shared" ref="BS152:BW152" si="462">AP152-BJ152</f>
        <v>0.12958927560221284</v>
      </c>
      <c r="BT152" s="72">
        <f t="shared" si="462"/>
        <v>-0.10988003659014678</v>
      </c>
      <c r="BU152" s="72">
        <f t="shared" si="462"/>
        <v>-5.0000000000000001E-3</v>
      </c>
      <c r="BV152" s="72">
        <f t="shared" si="462"/>
        <v>-8.4228165701093344E-2</v>
      </c>
      <c r="BW152" s="72">
        <f t="shared" si="462"/>
        <v>5.2443524850808033E-2</v>
      </c>
      <c r="BX152" s="72"/>
      <c r="BY152" s="72"/>
      <c r="BZ152" s="72">
        <f t="shared" si="18"/>
        <v>1.7075401838219206E-2</v>
      </c>
    </row>
    <row r="153" spans="1:78" ht="13.15">
      <c r="A153" s="78" t="s">
        <v>5</v>
      </c>
      <c r="B153" s="74" t="s">
        <v>349</v>
      </c>
      <c r="C153" s="75" t="s">
        <v>350</v>
      </c>
      <c r="D153" s="75" t="s">
        <v>129</v>
      </c>
      <c r="E153" s="76"/>
      <c r="F153" s="59"/>
      <c r="G153" s="60"/>
      <c r="H153" s="77">
        <v>16774</v>
      </c>
      <c r="I153" s="77">
        <v>3753</v>
      </c>
      <c r="J153" s="77">
        <v>10232</v>
      </c>
      <c r="K153" s="77">
        <v>811</v>
      </c>
      <c r="L153" s="77">
        <v>1173</v>
      </c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>
        <v>1581</v>
      </c>
      <c r="Z153" s="77"/>
      <c r="AA153" s="77"/>
      <c r="AB153" s="77"/>
      <c r="AC153" s="77"/>
      <c r="AD153" s="77"/>
      <c r="AE153" s="62"/>
      <c r="AF153" s="63" t="b">
        <v>0</v>
      </c>
      <c r="AG153" s="63" t="b">
        <v>0</v>
      </c>
      <c r="AH153" s="62"/>
      <c r="AI153" s="64">
        <f t="shared" si="7"/>
        <v>34324</v>
      </c>
      <c r="AJ153" s="65" t="str">
        <f t="shared" si="340"/>
        <v>LAB</v>
      </c>
      <c r="AK153" s="66" t="str">
        <f t="shared" si="9"/>
        <v>HOLD</v>
      </c>
      <c r="AL153" s="67" t="e">
        <f t="shared" ca="1" si="10"/>
        <v>#NAME?</v>
      </c>
      <c r="AM153" s="68">
        <f t="shared" si="443"/>
        <v>6542</v>
      </c>
      <c r="AN153" s="69">
        <f t="shared" si="444"/>
        <v>0.19059550168977973</v>
      </c>
      <c r="AO153" s="62"/>
      <c r="AP153" s="70">
        <f t="shared" ref="AP153:AT153" si="463">H153/$AI153</f>
        <v>0.48869595618226314</v>
      </c>
      <c r="AQ153" s="70">
        <f t="shared" si="463"/>
        <v>0.10934040321640834</v>
      </c>
      <c r="AR153" s="70">
        <f t="shared" si="463"/>
        <v>0.2981004544924834</v>
      </c>
      <c r="AS153" s="70">
        <f t="shared" si="463"/>
        <v>2.3627782309754108E-2</v>
      </c>
      <c r="AT153" s="70">
        <f t="shared" si="463"/>
        <v>3.4174338655168397E-2</v>
      </c>
      <c r="AU153" s="70"/>
      <c r="AV153" s="70"/>
      <c r="AW153" s="81">
        <f t="shared" si="14"/>
        <v>4.6061065143922497E-2</v>
      </c>
      <c r="AX153" s="70">
        <f t="shared" ref="AX153:BG153" si="464">O153/$AI153</f>
        <v>0</v>
      </c>
      <c r="AY153" s="70">
        <f t="shared" si="464"/>
        <v>0</v>
      </c>
      <c r="AZ153" s="70">
        <f t="shared" si="464"/>
        <v>0</v>
      </c>
      <c r="BA153" s="70">
        <f t="shared" si="464"/>
        <v>0</v>
      </c>
      <c r="BB153" s="70">
        <f t="shared" si="464"/>
        <v>0</v>
      </c>
      <c r="BC153" s="70">
        <f t="shared" si="464"/>
        <v>0</v>
      </c>
      <c r="BD153" s="70">
        <f t="shared" si="464"/>
        <v>0</v>
      </c>
      <c r="BE153" s="70">
        <f t="shared" si="464"/>
        <v>0</v>
      </c>
      <c r="BF153" s="70">
        <f t="shared" si="464"/>
        <v>0</v>
      </c>
      <c r="BG153" s="70">
        <f t="shared" si="464"/>
        <v>0</v>
      </c>
      <c r="BH153" s="70">
        <f t="shared" si="16"/>
        <v>4.6061065143922497E-2</v>
      </c>
      <c r="BI153" s="62"/>
      <c r="BJ153" s="69">
        <v>0.46800000000000003</v>
      </c>
      <c r="BK153" s="69">
        <v>0.27100000000000002</v>
      </c>
      <c r="BL153" s="69">
        <v>0.18099999999999999</v>
      </c>
      <c r="BM153" s="69">
        <v>4.1000000000000002E-2</v>
      </c>
      <c r="BN153" s="69">
        <v>3.0000000000000001E-3</v>
      </c>
      <c r="BO153" s="69">
        <v>0</v>
      </c>
      <c r="BP153" s="69">
        <v>0</v>
      </c>
      <c r="BQ153" s="69">
        <v>3.5999999999999997E-2</v>
      </c>
      <c r="BR153" s="62"/>
      <c r="BS153" s="72">
        <f t="shared" ref="BS153:BW153" si="465">AP153-BJ153</f>
        <v>2.0695956182263109E-2</v>
      </c>
      <c r="BT153" s="72">
        <f t="shared" si="465"/>
        <v>-0.16165959678359168</v>
      </c>
      <c r="BU153" s="72">
        <f t="shared" si="465"/>
        <v>0.11710045449248341</v>
      </c>
      <c r="BV153" s="72">
        <f t="shared" si="465"/>
        <v>-1.7372217690245894E-2</v>
      </c>
      <c r="BW153" s="72">
        <f t="shared" si="465"/>
        <v>3.1174338655168398E-2</v>
      </c>
      <c r="BX153" s="72"/>
      <c r="BY153" s="72"/>
      <c r="BZ153" s="72">
        <f t="shared" si="18"/>
        <v>1.00610651439225E-2</v>
      </c>
    </row>
    <row r="154" spans="1:78" ht="13.15">
      <c r="A154" s="73" t="s">
        <v>6</v>
      </c>
      <c r="B154" s="74" t="s">
        <v>351</v>
      </c>
      <c r="C154" s="75" t="s">
        <v>352</v>
      </c>
      <c r="D154" s="75" t="s">
        <v>44</v>
      </c>
      <c r="E154" s="76"/>
      <c r="F154" s="59"/>
      <c r="G154" s="60"/>
      <c r="H154" s="77">
        <v>10440</v>
      </c>
      <c r="I154" s="77">
        <v>19319</v>
      </c>
      <c r="J154" s="77"/>
      <c r="K154" s="77">
        <v>10839</v>
      </c>
      <c r="L154" s="77">
        <v>5277</v>
      </c>
      <c r="M154" s="77"/>
      <c r="N154" s="77"/>
      <c r="O154" s="77">
        <v>2482</v>
      </c>
      <c r="P154" s="77"/>
      <c r="Q154" s="77"/>
      <c r="R154" s="77"/>
      <c r="S154" s="77"/>
      <c r="T154" s="77"/>
      <c r="U154" s="77"/>
      <c r="V154" s="77"/>
      <c r="W154" s="77"/>
      <c r="X154" s="77"/>
      <c r="Y154" s="77">
        <v>2036</v>
      </c>
      <c r="Z154" s="77"/>
      <c r="AA154" s="77"/>
      <c r="AB154" s="77"/>
      <c r="AC154" s="77"/>
      <c r="AD154" s="77"/>
      <c r="AE154" s="62"/>
      <c r="AF154" s="63" t="b">
        <v>0</v>
      </c>
      <c r="AG154" s="63" t="b">
        <v>0</v>
      </c>
      <c r="AH154" s="62"/>
      <c r="AI154" s="64">
        <f t="shared" si="7"/>
        <v>50393</v>
      </c>
      <c r="AJ154" s="65" t="str">
        <f t="shared" si="340"/>
        <v>CON</v>
      </c>
      <c r="AK154" s="66" t="str">
        <f t="shared" si="9"/>
        <v>HOLD</v>
      </c>
      <c r="AL154" s="67" t="e">
        <f t="shared" ca="1" si="10"/>
        <v>#NAME?</v>
      </c>
      <c r="AM154" s="68">
        <f t="shared" si="443"/>
        <v>8480</v>
      </c>
      <c r="AN154" s="69">
        <f t="shared" si="444"/>
        <v>0.16827734010676088</v>
      </c>
      <c r="AO154" s="62"/>
      <c r="AP154" s="70">
        <f t="shared" ref="AP154:AT154" si="466">H154/$AI154</f>
        <v>0.20717163098049332</v>
      </c>
      <c r="AQ154" s="70">
        <f t="shared" si="466"/>
        <v>0.3833667374436926</v>
      </c>
      <c r="AR154" s="70">
        <f t="shared" si="466"/>
        <v>0</v>
      </c>
      <c r="AS154" s="70">
        <f t="shared" si="466"/>
        <v>0.21508939733693172</v>
      </c>
      <c r="AT154" s="70">
        <f t="shared" si="466"/>
        <v>0.10471692496973786</v>
      </c>
      <c r="AU154" s="70"/>
      <c r="AV154" s="70"/>
      <c r="AW154" s="81">
        <f t="shared" si="14"/>
        <v>8.9655309269144445E-2</v>
      </c>
      <c r="AX154" s="70">
        <f t="shared" ref="AX154:BG154" si="467">O154/$AI154</f>
        <v>4.9252872422757131E-2</v>
      </c>
      <c r="AY154" s="70">
        <f t="shared" si="467"/>
        <v>0</v>
      </c>
      <c r="AZ154" s="70">
        <f t="shared" si="467"/>
        <v>0</v>
      </c>
      <c r="BA154" s="70">
        <f t="shared" si="467"/>
        <v>0</v>
      </c>
      <c r="BB154" s="70">
        <f t="shared" si="467"/>
        <v>0</v>
      </c>
      <c r="BC154" s="70">
        <f t="shared" si="467"/>
        <v>0</v>
      </c>
      <c r="BD154" s="70">
        <f t="shared" si="467"/>
        <v>0</v>
      </c>
      <c r="BE154" s="70">
        <f t="shared" si="467"/>
        <v>0</v>
      </c>
      <c r="BF154" s="70">
        <f t="shared" si="467"/>
        <v>0</v>
      </c>
      <c r="BG154" s="70">
        <f t="shared" si="467"/>
        <v>0</v>
      </c>
      <c r="BH154" s="70">
        <f t="shared" si="16"/>
        <v>4.0402436846387314E-2</v>
      </c>
      <c r="BI154" s="62"/>
      <c r="BJ154" s="69">
        <v>0.13600000000000001</v>
      </c>
      <c r="BK154" s="69">
        <v>0.58499999999999996</v>
      </c>
      <c r="BL154" s="69">
        <v>0</v>
      </c>
      <c r="BM154" s="69">
        <v>0.23</v>
      </c>
      <c r="BN154" s="69">
        <v>4.9000000000000002E-2</v>
      </c>
      <c r="BO154" s="69">
        <v>0</v>
      </c>
      <c r="BP154" s="69">
        <v>0</v>
      </c>
      <c r="BQ154" s="69">
        <v>0</v>
      </c>
      <c r="BR154" s="62"/>
      <c r="BS154" s="72">
        <f t="shared" ref="BS154:BW154" si="468">AP154-BJ154</f>
        <v>7.1171630980493311E-2</v>
      </c>
      <c r="BT154" s="72">
        <f t="shared" si="468"/>
        <v>-0.20163326255630737</v>
      </c>
      <c r="BU154" s="72">
        <f t="shared" si="468"/>
        <v>0</v>
      </c>
      <c r="BV154" s="72">
        <f t="shared" si="468"/>
        <v>-1.491060266306829E-2</v>
      </c>
      <c r="BW154" s="72">
        <f t="shared" si="468"/>
        <v>5.571692496973786E-2</v>
      </c>
      <c r="BX154" s="72"/>
      <c r="BY154" s="72"/>
      <c r="BZ154" s="72">
        <f t="shared" si="18"/>
        <v>8.9655309269144445E-2</v>
      </c>
    </row>
    <row r="155" spans="1:78" ht="13.15">
      <c r="A155" s="78" t="s">
        <v>5</v>
      </c>
      <c r="B155" s="74" t="s">
        <v>353</v>
      </c>
      <c r="C155" s="75" t="s">
        <v>354</v>
      </c>
      <c r="D155" s="75" t="s">
        <v>68</v>
      </c>
      <c r="E155" s="76"/>
      <c r="F155" s="59"/>
      <c r="G155" s="60"/>
      <c r="H155" s="77">
        <v>19570</v>
      </c>
      <c r="I155" s="77">
        <v>3876</v>
      </c>
      <c r="J155" s="77">
        <v>1340</v>
      </c>
      <c r="K155" s="77">
        <v>1210</v>
      </c>
      <c r="L155" s="77">
        <v>4226</v>
      </c>
      <c r="M155" s="77"/>
      <c r="N155" s="77"/>
      <c r="O155" s="77">
        <v>6707</v>
      </c>
      <c r="P155" s="77"/>
      <c r="Q155" s="77"/>
      <c r="R155" s="77"/>
      <c r="S155" s="77"/>
      <c r="T155" s="77"/>
      <c r="U155" s="77"/>
      <c r="V155" s="77"/>
      <c r="W155" s="77"/>
      <c r="X155" s="77"/>
      <c r="Y155" s="77">
        <v>578</v>
      </c>
      <c r="Z155" s="77">
        <v>385</v>
      </c>
      <c r="AA155" s="77"/>
      <c r="AB155" s="77"/>
      <c r="AC155" s="77"/>
      <c r="AD155" s="77"/>
      <c r="AE155" s="62"/>
      <c r="AF155" s="63" t="b">
        <v>0</v>
      </c>
      <c r="AG155" s="63" t="b">
        <v>0</v>
      </c>
      <c r="AH155" s="62"/>
      <c r="AI155" s="64">
        <f t="shared" si="7"/>
        <v>37892</v>
      </c>
      <c r="AJ155" s="65" t="str">
        <f t="shared" si="340"/>
        <v>LAB</v>
      </c>
      <c r="AK155" s="66" t="str">
        <f t="shared" si="9"/>
        <v>HOLD</v>
      </c>
      <c r="AL155" s="67" t="e">
        <f t="shared" ca="1" si="10"/>
        <v>#NAME?</v>
      </c>
      <c r="AM155" s="68">
        <f t="shared" si="443"/>
        <v>12863</v>
      </c>
      <c r="AN155" s="69">
        <f t="shared" si="444"/>
        <v>0.33946479467961577</v>
      </c>
      <c r="AO155" s="62"/>
      <c r="AP155" s="70">
        <f t="shared" ref="AP155:AT155" si="469">H155/$AI155</f>
        <v>0.5164678560118231</v>
      </c>
      <c r="AQ155" s="70">
        <f t="shared" si="469"/>
        <v>0.10229072099651641</v>
      </c>
      <c r="AR155" s="70">
        <f t="shared" si="469"/>
        <v>3.5363665153594424E-2</v>
      </c>
      <c r="AS155" s="70">
        <f t="shared" si="469"/>
        <v>3.1932861817797954E-2</v>
      </c>
      <c r="AT155" s="70">
        <f t="shared" si="469"/>
        <v>0.11152749920827615</v>
      </c>
      <c r="AU155" s="70"/>
      <c r="AV155" s="70"/>
      <c r="AW155" s="81">
        <f t="shared" si="14"/>
        <v>0.202417396811992</v>
      </c>
      <c r="AX155" s="70">
        <f t="shared" ref="AX155:BG155" si="470">O155/$AI155</f>
        <v>0.17700306133220733</v>
      </c>
      <c r="AY155" s="70">
        <f t="shared" si="470"/>
        <v>0</v>
      </c>
      <c r="AZ155" s="70">
        <f t="shared" si="470"/>
        <v>0</v>
      </c>
      <c r="BA155" s="70">
        <f t="shared" si="470"/>
        <v>0</v>
      </c>
      <c r="BB155" s="70">
        <f t="shared" si="470"/>
        <v>0</v>
      </c>
      <c r="BC155" s="70">
        <f t="shared" si="470"/>
        <v>0</v>
      </c>
      <c r="BD155" s="70">
        <f t="shared" si="470"/>
        <v>0</v>
      </c>
      <c r="BE155" s="70">
        <f t="shared" si="470"/>
        <v>0</v>
      </c>
      <c r="BF155" s="70">
        <f t="shared" si="470"/>
        <v>0</v>
      </c>
      <c r="BG155" s="70">
        <f t="shared" si="470"/>
        <v>0</v>
      </c>
      <c r="BH155" s="70">
        <f t="shared" si="16"/>
        <v>2.5414335479784667E-2</v>
      </c>
      <c r="BI155" s="62"/>
      <c r="BJ155" s="69">
        <v>0.77800000000000002</v>
      </c>
      <c r="BK155" s="69">
        <v>0.14599999999999999</v>
      </c>
      <c r="BL155" s="69">
        <v>0.02</v>
      </c>
      <c r="BM155" s="69">
        <v>3.5999999999999997E-2</v>
      </c>
      <c r="BN155" s="69">
        <v>1.6E-2</v>
      </c>
      <c r="BO155" s="69">
        <v>0</v>
      </c>
      <c r="BP155" s="69">
        <v>0</v>
      </c>
      <c r="BQ155" s="69">
        <v>5.0000000000000001E-3</v>
      </c>
      <c r="BR155" s="62"/>
      <c r="BS155" s="72">
        <f t="shared" ref="BS155:BW155" si="471">AP155-BJ155</f>
        <v>-0.26153214398817692</v>
      </c>
      <c r="BT155" s="72">
        <f t="shared" si="471"/>
        <v>-4.3709279003483578E-2</v>
      </c>
      <c r="BU155" s="72">
        <f t="shared" si="471"/>
        <v>1.5363665153594424E-2</v>
      </c>
      <c r="BV155" s="72">
        <f t="shared" si="471"/>
        <v>-4.067138182202043E-3</v>
      </c>
      <c r="BW155" s="72">
        <f t="shared" si="471"/>
        <v>9.5527499208276148E-2</v>
      </c>
      <c r="BX155" s="72"/>
      <c r="BY155" s="72"/>
      <c r="BZ155" s="72">
        <f t="shared" si="18"/>
        <v>0.197417396811992</v>
      </c>
    </row>
    <row r="156" spans="1:78" ht="13.15">
      <c r="A156" s="73" t="s">
        <v>6</v>
      </c>
      <c r="B156" s="74" t="s">
        <v>355</v>
      </c>
      <c r="C156" s="75" t="s">
        <v>356</v>
      </c>
      <c r="D156" s="75" t="s">
        <v>44</v>
      </c>
      <c r="E156" s="76"/>
      <c r="F156" s="59"/>
      <c r="G156" s="60"/>
      <c r="H156" s="77">
        <v>4967</v>
      </c>
      <c r="I156" s="77">
        <v>18509</v>
      </c>
      <c r="J156" s="77">
        <v>6476</v>
      </c>
      <c r="K156" s="77">
        <v>17234</v>
      </c>
      <c r="L156" s="77">
        <v>2404</v>
      </c>
      <c r="M156" s="77"/>
      <c r="N156" s="77"/>
      <c r="O156" s="77"/>
      <c r="P156" s="77"/>
      <c r="Q156" s="77">
        <v>152</v>
      </c>
      <c r="R156" s="77">
        <v>364</v>
      </c>
      <c r="S156" s="77"/>
      <c r="T156" s="77"/>
      <c r="U156" s="77"/>
      <c r="V156" s="77"/>
      <c r="W156" s="77"/>
      <c r="X156" s="77"/>
      <c r="Y156" s="77"/>
      <c r="Z156" s="77"/>
      <c r="AA156" s="77"/>
      <c r="AB156" s="77"/>
      <c r="AC156" s="77"/>
      <c r="AD156" s="77"/>
      <c r="AE156" s="62"/>
      <c r="AF156" s="63" t="b">
        <v>0</v>
      </c>
      <c r="AG156" s="63" t="b">
        <v>0</v>
      </c>
      <c r="AH156" s="62"/>
      <c r="AI156" s="64">
        <f t="shared" si="7"/>
        <v>50106</v>
      </c>
      <c r="AJ156" s="65" t="str">
        <f t="shared" si="340"/>
        <v>CON</v>
      </c>
      <c r="AK156" s="66" t="str">
        <f t="shared" si="9"/>
        <v>HOLD</v>
      </c>
      <c r="AL156" s="67" t="e">
        <f t="shared" ca="1" si="10"/>
        <v>#NAME?</v>
      </c>
      <c r="AM156" s="68">
        <f t="shared" si="443"/>
        <v>1275</v>
      </c>
      <c r="AN156" s="69">
        <f t="shared" si="444"/>
        <v>2.5446054364746784E-2</v>
      </c>
      <c r="AO156" s="62"/>
      <c r="AP156" s="70">
        <f t="shared" ref="AP156:AT156" si="472">H156/$AI156</f>
        <v>9.9129844729174146E-2</v>
      </c>
      <c r="AQ156" s="70">
        <f t="shared" si="472"/>
        <v>0.36939687861733128</v>
      </c>
      <c r="AR156" s="70">
        <f t="shared" si="472"/>
        <v>0.12924599848321558</v>
      </c>
      <c r="AS156" s="70">
        <f t="shared" si="472"/>
        <v>0.3439508242525845</v>
      </c>
      <c r="AT156" s="70">
        <f t="shared" si="472"/>
        <v>4.797828603360875E-2</v>
      </c>
      <c r="AU156" s="70"/>
      <c r="AV156" s="70"/>
      <c r="AW156" s="81">
        <f t="shared" si="14"/>
        <v>1.0298167884085774E-2</v>
      </c>
      <c r="AX156" s="70">
        <f t="shared" ref="AX156:BG156" si="473">O156/$AI156</f>
        <v>0</v>
      </c>
      <c r="AY156" s="70">
        <f t="shared" si="473"/>
        <v>0</v>
      </c>
      <c r="AZ156" s="70">
        <f t="shared" si="473"/>
        <v>3.0335688340717678E-3</v>
      </c>
      <c r="BA156" s="70">
        <f t="shared" si="473"/>
        <v>7.2645990500139705E-3</v>
      </c>
      <c r="BB156" s="70">
        <f t="shared" si="473"/>
        <v>0</v>
      </c>
      <c r="BC156" s="70">
        <f t="shared" si="473"/>
        <v>0</v>
      </c>
      <c r="BD156" s="70">
        <f t="shared" si="473"/>
        <v>0</v>
      </c>
      <c r="BE156" s="70">
        <f t="shared" si="473"/>
        <v>0</v>
      </c>
      <c r="BF156" s="70">
        <f t="shared" si="473"/>
        <v>0</v>
      </c>
      <c r="BG156" s="70">
        <f t="shared" si="473"/>
        <v>0</v>
      </c>
      <c r="BH156" s="70">
        <f t="shared" si="16"/>
        <v>3.4694469519536142E-17</v>
      </c>
      <c r="BI156" s="62"/>
      <c r="BJ156" s="69">
        <v>0.123</v>
      </c>
      <c r="BK156" s="69">
        <v>0.59</v>
      </c>
      <c r="BL156" s="69">
        <v>0</v>
      </c>
      <c r="BM156" s="69">
        <v>0.217</v>
      </c>
      <c r="BN156" s="69">
        <v>5.5E-2</v>
      </c>
      <c r="BO156" s="69">
        <v>0</v>
      </c>
      <c r="BP156" s="69">
        <v>0</v>
      </c>
      <c r="BQ156" s="69">
        <v>1.4999999999999999E-2</v>
      </c>
      <c r="BR156" s="62"/>
      <c r="BS156" s="72">
        <f t="shared" ref="BS156:BW156" si="474">AP156-BJ156</f>
        <v>-2.3870155270825852E-2</v>
      </c>
      <c r="BT156" s="72">
        <f t="shared" si="474"/>
        <v>-0.22060312138266869</v>
      </c>
      <c r="BU156" s="72">
        <f t="shared" si="474"/>
        <v>0.12924599848321558</v>
      </c>
      <c r="BV156" s="72">
        <f t="shared" si="474"/>
        <v>0.1269508242525845</v>
      </c>
      <c r="BW156" s="72">
        <f t="shared" si="474"/>
        <v>-7.0217139663912506E-3</v>
      </c>
      <c r="BX156" s="72"/>
      <c r="BY156" s="72"/>
      <c r="BZ156" s="72">
        <f t="shared" si="18"/>
        <v>-4.7018321159142257E-3</v>
      </c>
    </row>
    <row r="157" spans="1:78" ht="13.15">
      <c r="A157" s="73" t="s">
        <v>6</v>
      </c>
      <c r="B157" s="74" t="s">
        <v>357</v>
      </c>
      <c r="C157" s="75" t="s">
        <v>358</v>
      </c>
      <c r="D157" s="75" t="s">
        <v>44</v>
      </c>
      <c r="E157" s="76"/>
      <c r="F157" s="59"/>
      <c r="G157" s="60"/>
      <c r="H157" s="77">
        <v>10052</v>
      </c>
      <c r="I157" s="77">
        <v>17502</v>
      </c>
      <c r="J157" s="77">
        <v>8380</v>
      </c>
      <c r="K157" s="77">
        <v>8833</v>
      </c>
      <c r="L157" s="77">
        <v>2957</v>
      </c>
      <c r="M157" s="77"/>
      <c r="N157" s="77"/>
      <c r="O157" s="77">
        <v>1145</v>
      </c>
      <c r="P157" s="77"/>
      <c r="Q157" s="77"/>
      <c r="R157" s="77"/>
      <c r="S157" s="77"/>
      <c r="T157" s="77"/>
      <c r="U157" s="77"/>
      <c r="V157" s="77"/>
      <c r="W157" s="77"/>
      <c r="X157" s="77"/>
      <c r="Y157" s="77">
        <v>327</v>
      </c>
      <c r="Z157" s="77"/>
      <c r="AA157" s="77"/>
      <c r="AB157" s="77"/>
      <c r="AC157" s="77"/>
      <c r="AD157" s="77"/>
      <c r="AE157" s="62"/>
      <c r="AF157" s="63" t="b">
        <v>0</v>
      </c>
      <c r="AG157" s="63" t="b">
        <v>0</v>
      </c>
      <c r="AH157" s="62"/>
      <c r="AI157" s="64">
        <f t="shared" si="7"/>
        <v>49196</v>
      </c>
      <c r="AJ157" s="65" t="str">
        <f t="shared" si="340"/>
        <v>CON</v>
      </c>
      <c r="AK157" s="66" t="str">
        <f t="shared" si="9"/>
        <v>HOLD</v>
      </c>
      <c r="AL157" s="67" t="e">
        <f t="shared" ca="1" si="10"/>
        <v>#NAME?</v>
      </c>
      <c r="AM157" s="68">
        <f t="shared" si="443"/>
        <v>7450</v>
      </c>
      <c r="AN157" s="69">
        <f t="shared" si="444"/>
        <v>0.15143507602244086</v>
      </c>
      <c r="AO157" s="62"/>
      <c r="AP157" s="70">
        <f t="shared" ref="AP157:AT157" si="475">H157/$AI157</f>
        <v>0.20432555492316448</v>
      </c>
      <c r="AQ157" s="70">
        <f t="shared" si="475"/>
        <v>0.35576063094560534</v>
      </c>
      <c r="AR157" s="70">
        <f t="shared" si="475"/>
        <v>0.17033905195544352</v>
      </c>
      <c r="AS157" s="70">
        <f t="shared" si="475"/>
        <v>0.17954711765184161</v>
      </c>
      <c r="AT157" s="70">
        <f t="shared" si="475"/>
        <v>6.010651272461176E-2</v>
      </c>
      <c r="AU157" s="70"/>
      <c r="AV157" s="70"/>
      <c r="AW157" s="81">
        <f t="shared" si="14"/>
        <v>2.9921131799333311E-2</v>
      </c>
      <c r="AX157" s="70">
        <f t="shared" ref="AX157:BG157" si="476">O157/$AI157</f>
        <v>2.3274249939019432E-2</v>
      </c>
      <c r="AY157" s="70">
        <f t="shared" si="476"/>
        <v>0</v>
      </c>
      <c r="AZ157" s="70">
        <f t="shared" si="476"/>
        <v>0</v>
      </c>
      <c r="BA157" s="70">
        <f t="shared" si="476"/>
        <v>0</v>
      </c>
      <c r="BB157" s="70">
        <f t="shared" si="476"/>
        <v>0</v>
      </c>
      <c r="BC157" s="70">
        <f t="shared" si="476"/>
        <v>0</v>
      </c>
      <c r="BD157" s="70">
        <f t="shared" si="476"/>
        <v>0</v>
      </c>
      <c r="BE157" s="70">
        <f t="shared" si="476"/>
        <v>0</v>
      </c>
      <c r="BF157" s="70">
        <f t="shared" si="476"/>
        <v>0</v>
      </c>
      <c r="BG157" s="70">
        <f t="shared" si="476"/>
        <v>0</v>
      </c>
      <c r="BH157" s="70">
        <f t="shared" si="16"/>
        <v>6.6468818603138795E-3</v>
      </c>
      <c r="BI157" s="62"/>
      <c r="BJ157" s="69">
        <v>0.13200000000000001</v>
      </c>
      <c r="BK157" s="69">
        <v>0.60399999999999998</v>
      </c>
      <c r="BL157" s="69">
        <v>0</v>
      </c>
      <c r="BM157" s="69">
        <v>0.20399999999999999</v>
      </c>
      <c r="BN157" s="69">
        <v>0.03</v>
      </c>
      <c r="BO157" s="69">
        <v>0</v>
      </c>
      <c r="BP157" s="69">
        <v>0</v>
      </c>
      <c r="BQ157" s="69">
        <v>3.1E-2</v>
      </c>
      <c r="BR157" s="62"/>
      <c r="BS157" s="72">
        <f t="shared" ref="BS157:BW157" si="477">AP157-BJ157</f>
        <v>7.2325554923164476E-2</v>
      </c>
      <c r="BT157" s="72">
        <f t="shared" si="477"/>
        <v>-0.24823936905439464</v>
      </c>
      <c r="BU157" s="72">
        <f t="shared" si="477"/>
        <v>0.17033905195544352</v>
      </c>
      <c r="BV157" s="72">
        <f t="shared" si="477"/>
        <v>-2.4452882348158372E-2</v>
      </c>
      <c r="BW157" s="72">
        <f t="shared" si="477"/>
        <v>3.0106512724611761E-2</v>
      </c>
      <c r="BX157" s="72"/>
      <c r="BY157" s="72"/>
      <c r="BZ157" s="72">
        <f t="shared" si="18"/>
        <v>-1.0788682006666883E-3</v>
      </c>
    </row>
    <row r="158" spans="1:78" ht="13.15">
      <c r="A158" s="73" t="s">
        <v>6</v>
      </c>
      <c r="B158" s="74" t="s">
        <v>359</v>
      </c>
      <c r="C158" s="75" t="s">
        <v>360</v>
      </c>
      <c r="D158" s="75" t="s">
        <v>44</v>
      </c>
      <c r="E158" s="76"/>
      <c r="F158" s="59"/>
      <c r="G158" s="60"/>
      <c r="H158" s="77">
        <v>17054</v>
      </c>
      <c r="I158" s="77">
        <v>10083</v>
      </c>
      <c r="J158" s="77">
        <v>8591</v>
      </c>
      <c r="K158" s="77">
        <v>1365</v>
      </c>
      <c r="L158" s="77">
        <v>4590</v>
      </c>
      <c r="M158" s="77"/>
      <c r="N158" s="77"/>
      <c r="O158" s="77">
        <v>563</v>
      </c>
      <c r="P158" s="77"/>
      <c r="Q158" s="77"/>
      <c r="R158" s="77"/>
      <c r="S158" s="77"/>
      <c r="T158" s="77"/>
      <c r="U158" s="77"/>
      <c r="V158" s="77"/>
      <c r="W158" s="77"/>
      <c r="X158" s="77"/>
      <c r="Y158" s="77">
        <v>369</v>
      </c>
      <c r="Z158" s="77">
        <v>98</v>
      </c>
      <c r="AA158" s="77"/>
      <c r="AB158" s="77"/>
      <c r="AC158" s="77"/>
      <c r="AD158" s="77"/>
      <c r="AE158" s="62"/>
      <c r="AF158" s="63" t="b">
        <v>0</v>
      </c>
      <c r="AG158" s="63" t="b">
        <v>0</v>
      </c>
      <c r="AH158" s="62"/>
      <c r="AI158" s="64">
        <f t="shared" si="7"/>
        <v>42713</v>
      </c>
      <c r="AJ158" s="65" t="str">
        <f t="shared" si="340"/>
        <v>LAB</v>
      </c>
      <c r="AK158" s="66" t="str">
        <f t="shared" si="9"/>
        <v>GAIN</v>
      </c>
      <c r="AL158" s="67" t="e">
        <f t="shared" ca="1" si="10"/>
        <v>#NAME?</v>
      </c>
      <c r="AM158" s="68">
        <f t="shared" si="443"/>
        <v>6971</v>
      </c>
      <c r="AN158" s="69">
        <f t="shared" si="444"/>
        <v>0.16320558143890621</v>
      </c>
      <c r="AO158" s="62"/>
      <c r="AP158" s="70">
        <f t="shared" ref="AP158:AT158" si="478">H158/$AI158</f>
        <v>0.39926954323039826</v>
      </c>
      <c r="AQ158" s="70">
        <f t="shared" si="478"/>
        <v>0.23606396179149206</v>
      </c>
      <c r="AR158" s="70">
        <f t="shared" si="478"/>
        <v>0.20113314447592068</v>
      </c>
      <c r="AS158" s="70">
        <f t="shared" si="478"/>
        <v>3.1957483670077023E-2</v>
      </c>
      <c r="AT158" s="70">
        <f t="shared" si="478"/>
        <v>0.1074614286048744</v>
      </c>
      <c r="AU158" s="70"/>
      <c r="AV158" s="70"/>
      <c r="AW158" s="81">
        <f t="shared" si="14"/>
        <v>2.4114438227237578E-2</v>
      </c>
      <c r="AX158" s="70">
        <f t="shared" ref="AX158:BG158" si="479">O158/$AI158</f>
        <v>1.3180998759159976E-2</v>
      </c>
      <c r="AY158" s="70">
        <f t="shared" si="479"/>
        <v>0</v>
      </c>
      <c r="AZ158" s="70">
        <f t="shared" si="479"/>
        <v>0</v>
      </c>
      <c r="BA158" s="70">
        <f t="shared" si="479"/>
        <v>0</v>
      </c>
      <c r="BB158" s="70">
        <f t="shared" si="479"/>
        <v>0</v>
      </c>
      <c r="BC158" s="70">
        <f t="shared" si="479"/>
        <v>0</v>
      </c>
      <c r="BD158" s="70">
        <f t="shared" si="479"/>
        <v>0</v>
      </c>
      <c r="BE158" s="70">
        <f t="shared" si="479"/>
        <v>0</v>
      </c>
      <c r="BF158" s="70">
        <f t="shared" si="479"/>
        <v>0</v>
      </c>
      <c r="BG158" s="70">
        <f t="shared" si="479"/>
        <v>0</v>
      </c>
      <c r="BH158" s="70">
        <f t="shared" si="16"/>
        <v>1.0933439468077602E-2</v>
      </c>
      <c r="BI158" s="62"/>
      <c r="BJ158" s="69">
        <v>0.376</v>
      </c>
      <c r="BK158" s="69">
        <v>0.53500000000000003</v>
      </c>
      <c r="BL158" s="69">
        <v>0</v>
      </c>
      <c r="BM158" s="69">
        <v>5.1999999999999998E-2</v>
      </c>
      <c r="BN158" s="69">
        <v>3.6999999999999998E-2</v>
      </c>
      <c r="BO158" s="69">
        <v>0</v>
      </c>
      <c r="BP158" s="69">
        <v>0</v>
      </c>
      <c r="BQ158" s="69">
        <v>0</v>
      </c>
      <c r="BR158" s="62"/>
      <c r="BS158" s="72">
        <f t="shared" ref="BS158:BW158" si="480">AP158-BJ158</f>
        <v>2.326954323039826E-2</v>
      </c>
      <c r="BT158" s="72">
        <f t="shared" si="480"/>
        <v>-0.298936038208508</v>
      </c>
      <c r="BU158" s="72">
        <f t="shared" si="480"/>
        <v>0.20113314447592068</v>
      </c>
      <c r="BV158" s="72">
        <f t="shared" si="480"/>
        <v>-2.0042516329922974E-2</v>
      </c>
      <c r="BW158" s="72">
        <f t="shared" si="480"/>
        <v>7.0461428604874393E-2</v>
      </c>
      <c r="BX158" s="72"/>
      <c r="BY158" s="72"/>
      <c r="BZ158" s="72">
        <f t="shared" si="18"/>
        <v>2.4114438227237578E-2</v>
      </c>
    </row>
    <row r="159" spans="1:78" ht="13.15">
      <c r="A159" s="73" t="s">
        <v>6</v>
      </c>
      <c r="B159" s="74" t="s">
        <v>361</v>
      </c>
      <c r="C159" s="75" t="s">
        <v>362</v>
      </c>
      <c r="D159" s="75" t="s">
        <v>85</v>
      </c>
      <c r="E159" s="76"/>
      <c r="F159" s="59"/>
      <c r="G159" s="60"/>
      <c r="H159" s="77">
        <v>12133</v>
      </c>
      <c r="I159" s="77">
        <v>16849</v>
      </c>
      <c r="J159" s="77">
        <v>7886</v>
      </c>
      <c r="K159" s="77">
        <v>8204</v>
      </c>
      <c r="L159" s="77">
        <v>1844</v>
      </c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>
        <v>278</v>
      </c>
      <c r="Z159" s="77"/>
      <c r="AA159" s="77"/>
      <c r="AB159" s="77"/>
      <c r="AC159" s="77"/>
      <c r="AD159" s="77"/>
      <c r="AE159" s="62"/>
      <c r="AF159" s="63" t="b">
        <v>0</v>
      </c>
      <c r="AG159" s="63" t="b">
        <v>0</v>
      </c>
      <c r="AH159" s="62"/>
      <c r="AI159" s="64">
        <f t="shared" si="7"/>
        <v>47194</v>
      </c>
      <c r="AJ159" s="65" t="str">
        <f t="shared" si="340"/>
        <v>CON</v>
      </c>
      <c r="AK159" s="66" t="str">
        <f t="shared" si="9"/>
        <v>HOLD</v>
      </c>
      <c r="AL159" s="67" t="e">
        <f t="shared" ca="1" si="10"/>
        <v>#NAME?</v>
      </c>
      <c r="AM159" s="68">
        <f t="shared" si="443"/>
        <v>4716</v>
      </c>
      <c r="AN159" s="69">
        <f t="shared" si="444"/>
        <v>9.9927956943679286E-2</v>
      </c>
      <c r="AO159" s="62"/>
      <c r="AP159" s="70">
        <f t="shared" ref="AP159:AT159" si="481">H159/$AI159</f>
        <v>0.25708776539390599</v>
      </c>
      <c r="AQ159" s="70">
        <f t="shared" si="481"/>
        <v>0.35701572233758527</v>
      </c>
      <c r="AR159" s="70">
        <f t="shared" si="481"/>
        <v>0.16709751239564352</v>
      </c>
      <c r="AS159" s="70">
        <f t="shared" si="481"/>
        <v>0.17383565707505191</v>
      </c>
      <c r="AT159" s="70">
        <f t="shared" si="481"/>
        <v>3.9072763486883925E-2</v>
      </c>
      <c r="AU159" s="70"/>
      <c r="AV159" s="70"/>
      <c r="AW159" s="81">
        <f t="shared" si="14"/>
        <v>5.8905793109294002E-3</v>
      </c>
      <c r="AX159" s="70">
        <f t="shared" ref="AX159:BG159" si="482">O159/$AI159</f>
        <v>0</v>
      </c>
      <c r="AY159" s="70">
        <f t="shared" si="482"/>
        <v>0</v>
      </c>
      <c r="AZ159" s="70">
        <f t="shared" si="482"/>
        <v>0</v>
      </c>
      <c r="BA159" s="70">
        <f t="shared" si="482"/>
        <v>0</v>
      </c>
      <c r="BB159" s="70">
        <f t="shared" si="482"/>
        <v>0</v>
      </c>
      <c r="BC159" s="70">
        <f t="shared" si="482"/>
        <v>0</v>
      </c>
      <c r="BD159" s="70">
        <f t="shared" si="482"/>
        <v>0</v>
      </c>
      <c r="BE159" s="70">
        <f t="shared" si="482"/>
        <v>0</v>
      </c>
      <c r="BF159" s="70">
        <f t="shared" si="482"/>
        <v>0</v>
      </c>
      <c r="BG159" s="70">
        <f t="shared" si="482"/>
        <v>0</v>
      </c>
      <c r="BH159" s="70">
        <f t="shared" si="16"/>
        <v>5.8905793109294002E-3</v>
      </c>
      <c r="BI159" s="62"/>
      <c r="BJ159" s="69">
        <v>0.159</v>
      </c>
      <c r="BK159" s="69">
        <v>0.65900000000000003</v>
      </c>
      <c r="BL159" s="69">
        <v>0</v>
      </c>
      <c r="BM159" s="69">
        <v>0.14499999999999999</v>
      </c>
      <c r="BN159" s="69">
        <v>3.6999999999999998E-2</v>
      </c>
      <c r="BO159" s="69">
        <v>0</v>
      </c>
      <c r="BP159" s="69">
        <v>0</v>
      </c>
      <c r="BQ159" s="69">
        <v>0</v>
      </c>
      <c r="BR159" s="62"/>
      <c r="BS159" s="72">
        <f t="shared" ref="BS159:BW159" si="483">AP159-BJ159</f>
        <v>9.8087765393905985E-2</v>
      </c>
      <c r="BT159" s="72">
        <f t="shared" si="483"/>
        <v>-0.30198427766241476</v>
      </c>
      <c r="BU159" s="72">
        <f t="shared" si="483"/>
        <v>0.16709751239564352</v>
      </c>
      <c r="BV159" s="72">
        <f t="shared" si="483"/>
        <v>2.8835657075051924E-2</v>
      </c>
      <c r="BW159" s="72">
        <f t="shared" si="483"/>
        <v>2.0727634868839273E-3</v>
      </c>
      <c r="BX159" s="72"/>
      <c r="BY159" s="72"/>
      <c r="BZ159" s="72">
        <f t="shared" si="18"/>
        <v>5.8905793109294002E-3</v>
      </c>
    </row>
    <row r="160" spans="1:78" ht="13.15">
      <c r="A160" s="73" t="s">
        <v>6</v>
      </c>
      <c r="B160" s="74" t="s">
        <v>363</v>
      </c>
      <c r="C160" s="75" t="s">
        <v>364</v>
      </c>
      <c r="D160" s="75" t="s">
        <v>44</v>
      </c>
      <c r="E160" s="76"/>
      <c r="F160" s="59"/>
      <c r="G160" s="60"/>
      <c r="H160" s="77">
        <v>22120</v>
      </c>
      <c r="I160" s="77">
        <v>12601</v>
      </c>
      <c r="J160" s="77">
        <v>7169</v>
      </c>
      <c r="K160" s="77">
        <v>3180</v>
      </c>
      <c r="L160" s="77">
        <v>3246</v>
      </c>
      <c r="M160" s="77"/>
      <c r="N160" s="77"/>
      <c r="O160" s="77">
        <v>320</v>
      </c>
      <c r="P160" s="77"/>
      <c r="Q160" s="77"/>
      <c r="R160" s="77"/>
      <c r="S160" s="77"/>
      <c r="T160" s="77"/>
      <c r="U160" s="77"/>
      <c r="V160" s="77"/>
      <c r="W160" s="77"/>
      <c r="X160" s="77"/>
      <c r="Y160" s="77">
        <v>273</v>
      </c>
      <c r="Z160" s="77">
        <v>169</v>
      </c>
      <c r="AA160" s="77"/>
      <c r="AB160" s="77"/>
      <c r="AC160" s="77"/>
      <c r="AD160" s="77"/>
      <c r="AE160" s="62"/>
      <c r="AF160" s="63" t="b">
        <v>0</v>
      </c>
      <c r="AG160" s="63" t="b">
        <v>0</v>
      </c>
      <c r="AH160" s="62"/>
      <c r="AI160" s="64">
        <f t="shared" si="7"/>
        <v>49078</v>
      </c>
      <c r="AJ160" s="65" t="str">
        <f t="shared" si="340"/>
        <v>LAB</v>
      </c>
      <c r="AK160" s="66" t="str">
        <f t="shared" si="9"/>
        <v>GAIN</v>
      </c>
      <c r="AL160" s="67" t="e">
        <f t="shared" ca="1" si="10"/>
        <v>#NAME?</v>
      </c>
      <c r="AM160" s="68">
        <f t="shared" si="443"/>
        <v>9519</v>
      </c>
      <c r="AN160" s="69">
        <f t="shared" si="444"/>
        <v>0.19395655894698238</v>
      </c>
      <c r="AO160" s="62"/>
      <c r="AP160" s="70">
        <f t="shared" ref="AP160:AT160" si="484">H160/$AI160</f>
        <v>0.45071111292228699</v>
      </c>
      <c r="AQ160" s="70">
        <f t="shared" si="484"/>
        <v>0.25675455397530461</v>
      </c>
      <c r="AR160" s="70">
        <f t="shared" si="484"/>
        <v>0.14607359713109744</v>
      </c>
      <c r="AS160" s="70">
        <f t="shared" si="484"/>
        <v>6.4794816414686832E-2</v>
      </c>
      <c r="AT160" s="70">
        <f t="shared" si="484"/>
        <v>6.6139614491218066E-2</v>
      </c>
      <c r="AU160" s="70"/>
      <c r="AV160" s="70"/>
      <c r="AW160" s="81">
        <f t="shared" si="14"/>
        <v>1.5526305065405976E-2</v>
      </c>
      <c r="AX160" s="70">
        <f t="shared" ref="AX160:BG160" si="485">O160/$AI160</f>
        <v>6.5202330983332654E-3</v>
      </c>
      <c r="AY160" s="70">
        <f t="shared" si="485"/>
        <v>0</v>
      </c>
      <c r="AZ160" s="70">
        <f t="shared" si="485"/>
        <v>0</v>
      </c>
      <c r="BA160" s="70">
        <f t="shared" si="485"/>
        <v>0</v>
      </c>
      <c r="BB160" s="70">
        <f t="shared" si="485"/>
        <v>0</v>
      </c>
      <c r="BC160" s="70">
        <f t="shared" si="485"/>
        <v>0</v>
      </c>
      <c r="BD160" s="70">
        <f t="shared" si="485"/>
        <v>0</v>
      </c>
      <c r="BE160" s="70">
        <f t="shared" si="485"/>
        <v>0</v>
      </c>
      <c r="BF160" s="70">
        <f t="shared" si="485"/>
        <v>0</v>
      </c>
      <c r="BG160" s="70">
        <f t="shared" si="485"/>
        <v>0</v>
      </c>
      <c r="BH160" s="70">
        <f t="shared" si="16"/>
        <v>9.006071967072711E-3</v>
      </c>
      <c r="BI160" s="62"/>
      <c r="BJ160" s="69">
        <v>0.37</v>
      </c>
      <c r="BK160" s="69">
        <v>0.51</v>
      </c>
      <c r="BL160" s="69">
        <v>0</v>
      </c>
      <c r="BM160" s="69">
        <v>7.8E-2</v>
      </c>
      <c r="BN160" s="69">
        <v>3.7999999999999999E-2</v>
      </c>
      <c r="BO160" s="69">
        <v>0</v>
      </c>
      <c r="BP160" s="69">
        <v>0</v>
      </c>
      <c r="BQ160" s="69">
        <v>5.0000000000000001E-3</v>
      </c>
      <c r="BR160" s="62"/>
      <c r="BS160" s="72">
        <f t="shared" ref="BS160:BW160" si="486">AP160-BJ160</f>
        <v>8.0711112922286998E-2</v>
      </c>
      <c r="BT160" s="72">
        <f t="shared" si="486"/>
        <v>-0.2532454460246954</v>
      </c>
      <c r="BU160" s="72">
        <f t="shared" si="486"/>
        <v>0.14607359713109744</v>
      </c>
      <c r="BV160" s="72">
        <f t="shared" si="486"/>
        <v>-1.3205183585313168E-2</v>
      </c>
      <c r="BW160" s="72">
        <f t="shared" si="486"/>
        <v>2.8139614491218067E-2</v>
      </c>
      <c r="BX160" s="72"/>
      <c r="BY160" s="72"/>
      <c r="BZ160" s="72">
        <f t="shared" si="18"/>
        <v>1.0526305065405975E-2</v>
      </c>
    </row>
    <row r="161" spans="1:78" ht="13.15">
      <c r="A161" s="73" t="s">
        <v>6</v>
      </c>
      <c r="B161" s="74" t="s">
        <v>365</v>
      </c>
      <c r="C161" s="75" t="s">
        <v>366</v>
      </c>
      <c r="D161" s="75" t="s">
        <v>44</v>
      </c>
      <c r="E161" s="76"/>
      <c r="F161" s="59"/>
      <c r="G161" s="60"/>
      <c r="H161" s="77">
        <v>2689</v>
      </c>
      <c r="I161" s="77">
        <v>11538</v>
      </c>
      <c r="J161" s="77">
        <v>6061</v>
      </c>
      <c r="K161" s="77">
        <v>23742</v>
      </c>
      <c r="L161" s="77">
        <v>1421</v>
      </c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>
        <v>154</v>
      </c>
      <c r="Z161" s="77"/>
      <c r="AA161" s="77"/>
      <c r="AB161" s="77"/>
      <c r="AC161" s="77"/>
      <c r="AD161" s="77"/>
      <c r="AE161" s="62"/>
      <c r="AF161" s="63" t="b">
        <v>0</v>
      </c>
      <c r="AG161" s="63" t="b">
        <v>0</v>
      </c>
      <c r="AH161" s="62"/>
      <c r="AI161" s="64">
        <f t="shared" si="7"/>
        <v>45605</v>
      </c>
      <c r="AJ161" s="65" t="str">
        <f t="shared" si="340"/>
        <v>LDM</v>
      </c>
      <c r="AK161" s="66" t="str">
        <f t="shared" si="9"/>
        <v>GAIN</v>
      </c>
      <c r="AL161" s="67" t="e">
        <f t="shared" ca="1" si="10"/>
        <v>#NAME?</v>
      </c>
      <c r="AM161" s="68">
        <f t="shared" si="443"/>
        <v>12204</v>
      </c>
      <c r="AN161" s="69">
        <f t="shared" si="444"/>
        <v>0.26760223659686438</v>
      </c>
      <c r="AO161" s="62"/>
      <c r="AP161" s="70">
        <f t="shared" ref="AP161:AT161" si="487">H161/$AI161</f>
        <v>5.896283302269488E-2</v>
      </c>
      <c r="AQ161" s="70">
        <f t="shared" si="487"/>
        <v>0.25299857471768444</v>
      </c>
      <c r="AR161" s="70">
        <f t="shared" si="487"/>
        <v>0.13290209406863282</v>
      </c>
      <c r="AS161" s="70">
        <f t="shared" si="487"/>
        <v>0.52060081131454883</v>
      </c>
      <c r="AT161" s="70">
        <f t="shared" si="487"/>
        <v>3.1158864159631618E-2</v>
      </c>
      <c r="AU161" s="70"/>
      <c r="AV161" s="70"/>
      <c r="AW161" s="81">
        <f t="shared" si="14"/>
        <v>3.3768227168073928E-3</v>
      </c>
      <c r="AX161" s="70">
        <f t="shared" ref="AX161:BG161" si="488">O161/$AI161</f>
        <v>0</v>
      </c>
      <c r="AY161" s="70">
        <f t="shared" si="488"/>
        <v>0</v>
      </c>
      <c r="AZ161" s="70">
        <f t="shared" si="488"/>
        <v>0</v>
      </c>
      <c r="BA161" s="70">
        <f t="shared" si="488"/>
        <v>0</v>
      </c>
      <c r="BB161" s="70">
        <f t="shared" si="488"/>
        <v>0</v>
      </c>
      <c r="BC161" s="70">
        <f t="shared" si="488"/>
        <v>0</v>
      </c>
      <c r="BD161" s="70">
        <f t="shared" si="488"/>
        <v>0</v>
      </c>
      <c r="BE161" s="70">
        <f t="shared" si="488"/>
        <v>0</v>
      </c>
      <c r="BF161" s="70">
        <f t="shared" si="488"/>
        <v>0</v>
      </c>
      <c r="BG161" s="70">
        <f t="shared" si="488"/>
        <v>0</v>
      </c>
      <c r="BH161" s="70">
        <f t="shared" si="16"/>
        <v>3.3768227168073928E-3</v>
      </c>
      <c r="BI161" s="62"/>
      <c r="BJ161" s="69">
        <v>7.0000000000000007E-2</v>
      </c>
      <c r="BK161" s="69">
        <v>0.47099999999999997</v>
      </c>
      <c r="BL161" s="69">
        <v>2.8000000000000001E-2</v>
      </c>
      <c r="BM161" s="69">
        <v>0.42899999999999999</v>
      </c>
      <c r="BN161" s="69">
        <v>0</v>
      </c>
      <c r="BO161" s="69">
        <v>0</v>
      </c>
      <c r="BP161" s="69">
        <v>0</v>
      </c>
      <c r="BQ161" s="69">
        <v>4.0000000000000001E-3</v>
      </c>
      <c r="BR161" s="62"/>
      <c r="BS161" s="72">
        <f t="shared" ref="BS161:BW161" si="489">AP161-BJ161</f>
        <v>-1.1037166977305127E-2</v>
      </c>
      <c r="BT161" s="72">
        <f t="shared" si="489"/>
        <v>-0.21800142528231553</v>
      </c>
      <c r="BU161" s="72">
        <f t="shared" si="489"/>
        <v>0.10490209406863282</v>
      </c>
      <c r="BV161" s="72">
        <f t="shared" si="489"/>
        <v>9.1600811314548836E-2</v>
      </c>
      <c r="BW161" s="72">
        <f t="shared" si="489"/>
        <v>3.1158864159631618E-2</v>
      </c>
      <c r="BX161" s="72"/>
      <c r="BY161" s="72"/>
      <c r="BZ161" s="72">
        <f t="shared" si="18"/>
        <v>-6.2317728319260732E-4</v>
      </c>
    </row>
    <row r="162" spans="1:78" ht="13.15">
      <c r="A162" s="73" t="s">
        <v>6</v>
      </c>
      <c r="B162" s="74" t="s">
        <v>367</v>
      </c>
      <c r="C162" s="75" t="s">
        <v>368</v>
      </c>
      <c r="D162" s="75" t="s">
        <v>44</v>
      </c>
      <c r="E162" s="76">
        <v>69982</v>
      </c>
      <c r="F162" s="59">
        <v>0.66300000000000003</v>
      </c>
      <c r="G162" s="60"/>
      <c r="H162" s="77">
        <v>7005</v>
      </c>
      <c r="I162" s="77">
        <v>14424</v>
      </c>
      <c r="J162" s="77">
        <v>6151</v>
      </c>
      <c r="K162" s="77">
        <v>15970</v>
      </c>
      <c r="L162" s="77">
        <v>2403</v>
      </c>
      <c r="M162" s="77"/>
      <c r="N162" s="77"/>
      <c r="O162" s="77">
        <v>467</v>
      </c>
      <c r="P162" s="77"/>
      <c r="Q162" s="77"/>
      <c r="R162" s="77"/>
      <c r="S162" s="77"/>
      <c r="T162" s="77"/>
      <c r="U162" s="77"/>
      <c r="V162" s="77"/>
      <c r="W162" s="77"/>
      <c r="X162" s="77"/>
      <c r="Y162" s="77"/>
      <c r="Z162" s="77"/>
      <c r="AA162" s="77"/>
      <c r="AB162" s="77"/>
      <c r="AC162" s="77"/>
      <c r="AD162" s="77"/>
      <c r="AE162" s="62"/>
      <c r="AF162" s="63" t="b">
        <v>0</v>
      </c>
      <c r="AG162" s="63" t="b">
        <v>0</v>
      </c>
      <c r="AH162" s="62"/>
      <c r="AI162" s="64">
        <f t="shared" si="7"/>
        <v>46420</v>
      </c>
      <c r="AJ162" s="65" t="str">
        <f t="shared" si="340"/>
        <v>LDM</v>
      </c>
      <c r="AK162" s="66" t="str">
        <f t="shared" si="9"/>
        <v>GAIN</v>
      </c>
      <c r="AL162" s="67" t="e">
        <f t="shared" ca="1" si="10"/>
        <v>#NAME?</v>
      </c>
      <c r="AM162" s="68">
        <f t="shared" si="443"/>
        <v>1546</v>
      </c>
      <c r="AN162" s="69">
        <f t="shared" si="444"/>
        <v>3.3304610081861252E-2</v>
      </c>
      <c r="AO162" s="62"/>
      <c r="AP162" s="70">
        <f t="shared" ref="AP162:AT162" si="490">H162/$AI162</f>
        <v>0.15090478242137009</v>
      </c>
      <c r="AQ162" s="70">
        <f t="shared" si="490"/>
        <v>0.31072813442481689</v>
      </c>
      <c r="AR162" s="70">
        <f t="shared" si="490"/>
        <v>0.13250753985351141</v>
      </c>
      <c r="AS162" s="70">
        <f t="shared" si="490"/>
        <v>0.34403274450667815</v>
      </c>
      <c r="AT162" s="70">
        <f t="shared" si="490"/>
        <v>5.1766479965532096E-2</v>
      </c>
      <c r="AU162" s="70"/>
      <c r="AV162" s="70"/>
      <c r="AW162" s="81">
        <f t="shared" si="14"/>
        <v>1.006031882809133E-2</v>
      </c>
      <c r="AX162" s="70">
        <f t="shared" ref="AX162:BG162" si="491">O162/$AI162</f>
        <v>1.0060318828091341E-2</v>
      </c>
      <c r="AY162" s="70">
        <f t="shared" si="491"/>
        <v>0</v>
      </c>
      <c r="AZ162" s="70">
        <f t="shared" si="491"/>
        <v>0</v>
      </c>
      <c r="BA162" s="70">
        <f t="shared" si="491"/>
        <v>0</v>
      </c>
      <c r="BB162" s="70">
        <f t="shared" si="491"/>
        <v>0</v>
      </c>
      <c r="BC162" s="70">
        <f t="shared" si="491"/>
        <v>0</v>
      </c>
      <c r="BD162" s="70">
        <f t="shared" si="491"/>
        <v>0</v>
      </c>
      <c r="BE162" s="70">
        <f t="shared" si="491"/>
        <v>0</v>
      </c>
      <c r="BF162" s="70">
        <f t="shared" si="491"/>
        <v>0</v>
      </c>
      <c r="BG162" s="70">
        <f t="shared" si="491"/>
        <v>0</v>
      </c>
      <c r="BH162" s="70">
        <f t="shared" si="16"/>
        <v>0</v>
      </c>
      <c r="BI162" s="62"/>
      <c r="BJ162" s="69">
        <v>0.11700000000000001</v>
      </c>
      <c r="BK162" s="69">
        <v>0.51900000000000002</v>
      </c>
      <c r="BL162" s="69">
        <v>0</v>
      </c>
      <c r="BM162" s="69">
        <v>0.34399999999999997</v>
      </c>
      <c r="BN162" s="69">
        <v>0.02</v>
      </c>
      <c r="BO162" s="69">
        <v>0</v>
      </c>
      <c r="BP162" s="69">
        <v>0</v>
      </c>
      <c r="BQ162" s="69">
        <v>0</v>
      </c>
      <c r="BR162" s="62"/>
      <c r="BS162" s="72">
        <f t="shared" ref="BS162:BW162" si="492">AP162-BJ162</f>
        <v>3.3904782421370086E-2</v>
      </c>
      <c r="BT162" s="72">
        <f t="shared" si="492"/>
        <v>-0.20827186557518312</v>
      </c>
      <c r="BU162" s="72">
        <f t="shared" si="492"/>
        <v>0.13250753985351141</v>
      </c>
      <c r="BV162" s="72">
        <f t="shared" si="492"/>
        <v>3.2744506678172858E-5</v>
      </c>
      <c r="BW162" s="72">
        <f t="shared" si="492"/>
        <v>3.1766479965532099E-2</v>
      </c>
      <c r="BX162" s="72"/>
      <c r="BY162" s="72"/>
      <c r="BZ162" s="72">
        <f t="shared" si="18"/>
        <v>1.0060318828091341E-2</v>
      </c>
    </row>
    <row r="163" spans="1:78" ht="13.15">
      <c r="A163" s="78" t="s">
        <v>5</v>
      </c>
      <c r="B163" s="74" t="s">
        <v>369</v>
      </c>
      <c r="C163" s="75" t="s">
        <v>370</v>
      </c>
      <c r="D163" s="75" t="s">
        <v>68</v>
      </c>
      <c r="E163" s="76"/>
      <c r="F163" s="59"/>
      <c r="G163" s="60"/>
      <c r="H163" s="77">
        <v>20520</v>
      </c>
      <c r="I163" s="77">
        <v>788</v>
      </c>
      <c r="J163" s="77">
        <v>3501</v>
      </c>
      <c r="K163" s="77">
        <v>2721</v>
      </c>
      <c r="L163" s="77">
        <v>3681</v>
      </c>
      <c r="M163" s="77"/>
      <c r="N163" s="77"/>
      <c r="O163" s="77">
        <v>1700</v>
      </c>
      <c r="P163" s="77">
        <v>668</v>
      </c>
      <c r="Q163" s="77"/>
      <c r="R163" s="77"/>
      <c r="S163" s="77"/>
      <c r="T163" s="77"/>
      <c r="U163" s="77"/>
      <c r="V163" s="77"/>
      <c r="W163" s="77"/>
      <c r="X163" s="77"/>
      <c r="Y163" s="77">
        <v>366</v>
      </c>
      <c r="Z163" s="77"/>
      <c r="AA163" s="77"/>
      <c r="AB163" s="77"/>
      <c r="AC163" s="77"/>
      <c r="AD163" s="77"/>
      <c r="AE163" s="62"/>
      <c r="AF163" s="63" t="b">
        <v>0</v>
      </c>
      <c r="AG163" s="63" t="b">
        <v>0</v>
      </c>
      <c r="AH163" s="62"/>
      <c r="AI163" s="64">
        <f t="shared" si="7"/>
        <v>33945</v>
      </c>
      <c r="AJ163" s="65" t="str">
        <f t="shared" si="340"/>
        <v>LAB</v>
      </c>
      <c r="AK163" s="66" t="str">
        <f t="shared" si="9"/>
        <v>HOLD</v>
      </c>
      <c r="AL163" s="67" t="e">
        <f t="shared" ca="1" si="10"/>
        <v>#NAME?</v>
      </c>
      <c r="AM163" s="68">
        <f t="shared" si="443"/>
        <v>16839</v>
      </c>
      <c r="AN163" s="69">
        <f t="shared" si="444"/>
        <v>0.49606716747680074</v>
      </c>
      <c r="AO163" s="62"/>
      <c r="AP163" s="70">
        <f t="shared" ref="AP163:AT163" si="493">H163/$AI163</f>
        <v>0.60450729120636326</v>
      </c>
      <c r="AQ163" s="70">
        <f t="shared" si="493"/>
        <v>2.3214022683753131E-2</v>
      </c>
      <c r="AR163" s="70">
        <f t="shared" si="493"/>
        <v>0.10313742819266461</v>
      </c>
      <c r="AS163" s="70">
        <f t="shared" si="493"/>
        <v>8.0159080866106944E-2</v>
      </c>
      <c r="AT163" s="70">
        <f t="shared" si="493"/>
        <v>0.10844012372956252</v>
      </c>
      <c r="AU163" s="70"/>
      <c r="AV163" s="70"/>
      <c r="AW163" s="81">
        <f t="shared" si="14"/>
        <v>8.0542053321549512E-2</v>
      </c>
      <c r="AX163" s="70">
        <f t="shared" ref="AX163:BG163" si="494">O163/$AI163</f>
        <v>5.0081013404035937E-2</v>
      </c>
      <c r="AY163" s="70">
        <f t="shared" si="494"/>
        <v>1.9678892325821182E-2</v>
      </c>
      <c r="AZ163" s="70">
        <f t="shared" si="494"/>
        <v>0</v>
      </c>
      <c r="BA163" s="70">
        <f t="shared" si="494"/>
        <v>0</v>
      </c>
      <c r="BB163" s="70">
        <f t="shared" si="494"/>
        <v>0</v>
      </c>
      <c r="BC163" s="70">
        <f t="shared" si="494"/>
        <v>0</v>
      </c>
      <c r="BD163" s="70">
        <f t="shared" si="494"/>
        <v>0</v>
      </c>
      <c r="BE163" s="70">
        <f t="shared" si="494"/>
        <v>0</v>
      </c>
      <c r="BF163" s="70">
        <f t="shared" si="494"/>
        <v>0</v>
      </c>
      <c r="BG163" s="70">
        <f t="shared" si="494"/>
        <v>0</v>
      </c>
      <c r="BH163" s="70">
        <f t="shared" si="16"/>
        <v>1.0782147591692395E-2</v>
      </c>
      <c r="BI163" s="62"/>
      <c r="BJ163" s="69">
        <v>0.58199999999999996</v>
      </c>
      <c r="BK163" s="69">
        <v>0.311</v>
      </c>
      <c r="BL163" s="69">
        <v>1.7999999999999999E-2</v>
      </c>
      <c r="BM163" s="69">
        <v>6.7000000000000004E-2</v>
      </c>
      <c r="BN163" s="69">
        <v>2.1000000000000001E-2</v>
      </c>
      <c r="BO163" s="69">
        <v>0</v>
      </c>
      <c r="BP163" s="69">
        <v>0</v>
      </c>
      <c r="BQ163" s="69">
        <v>2E-3</v>
      </c>
      <c r="BR163" s="62"/>
      <c r="BS163" s="72">
        <f t="shared" ref="BS163:BW163" si="495">AP163-BJ163</f>
        <v>2.25072912063633E-2</v>
      </c>
      <c r="BT163" s="72">
        <f t="shared" si="495"/>
        <v>-0.28778597731624689</v>
      </c>
      <c r="BU163" s="72">
        <f t="shared" si="495"/>
        <v>8.5137428192664608E-2</v>
      </c>
      <c r="BV163" s="72">
        <f t="shared" si="495"/>
        <v>1.315908086610694E-2</v>
      </c>
      <c r="BW163" s="72">
        <f t="shared" si="495"/>
        <v>8.7440123729562516E-2</v>
      </c>
      <c r="BX163" s="72"/>
      <c r="BY163" s="72"/>
      <c r="BZ163" s="72">
        <f t="shared" si="18"/>
        <v>7.854205332154951E-2</v>
      </c>
    </row>
    <row r="164" spans="1:78" ht="13.15">
      <c r="A164" s="78" t="s">
        <v>5</v>
      </c>
      <c r="B164" s="74" t="s">
        <v>371</v>
      </c>
      <c r="C164" s="75" t="s">
        <v>372</v>
      </c>
      <c r="D164" s="75" t="s">
        <v>50</v>
      </c>
      <c r="E164" s="76"/>
      <c r="F164" s="59"/>
      <c r="G164" s="60"/>
      <c r="H164" s="77">
        <v>24186</v>
      </c>
      <c r="I164" s="77">
        <v>5210</v>
      </c>
      <c r="J164" s="77">
        <v>7278</v>
      </c>
      <c r="K164" s="77">
        <v>2328</v>
      </c>
      <c r="L164" s="77">
        <v>2706</v>
      </c>
      <c r="M164" s="77"/>
      <c r="N164" s="77"/>
      <c r="O164" s="77">
        <v>256</v>
      </c>
      <c r="P164" s="77"/>
      <c r="Q164" s="77"/>
      <c r="R164" s="77"/>
      <c r="S164" s="77"/>
      <c r="T164" s="77"/>
      <c r="U164" s="77"/>
      <c r="V164" s="77"/>
      <c r="W164" s="77"/>
      <c r="X164" s="77"/>
      <c r="Y164" s="77"/>
      <c r="Z164" s="77"/>
      <c r="AA164" s="77"/>
      <c r="AB164" s="77"/>
      <c r="AC164" s="77"/>
      <c r="AD164" s="77"/>
      <c r="AE164" s="62"/>
      <c r="AF164" s="63" t="b">
        <v>0</v>
      </c>
      <c r="AG164" s="63" t="b">
        <v>0</v>
      </c>
      <c r="AH164" s="62"/>
      <c r="AI164" s="64">
        <f t="shared" si="7"/>
        <v>41964</v>
      </c>
      <c r="AJ164" s="65" t="str">
        <f t="shared" si="340"/>
        <v>LAB</v>
      </c>
      <c r="AK164" s="66" t="str">
        <f t="shared" si="9"/>
        <v>HOLD</v>
      </c>
      <c r="AL164" s="67" t="e">
        <f t="shared" ca="1" si="10"/>
        <v>#NAME?</v>
      </c>
      <c r="AM164" s="68">
        <f t="shared" si="443"/>
        <v>16908</v>
      </c>
      <c r="AN164" s="69">
        <f t="shared" si="444"/>
        <v>0.40291678581641405</v>
      </c>
      <c r="AO164" s="62"/>
      <c r="AP164" s="70">
        <f t="shared" ref="AP164:AT164" si="496">H164/$AI164</f>
        <v>0.57635115813554472</v>
      </c>
      <c r="AQ164" s="70">
        <f t="shared" si="496"/>
        <v>0.124154036793442</v>
      </c>
      <c r="AR164" s="70">
        <f t="shared" si="496"/>
        <v>0.17343437231913067</v>
      </c>
      <c r="AS164" s="70">
        <f t="shared" si="496"/>
        <v>5.5476122390620532E-2</v>
      </c>
      <c r="AT164" s="70">
        <f t="shared" si="496"/>
        <v>6.4483843294252219E-2</v>
      </c>
      <c r="AU164" s="70"/>
      <c r="AV164" s="70"/>
      <c r="AW164" s="81">
        <f t="shared" si="14"/>
        <v>6.1004670670099514E-3</v>
      </c>
      <c r="AX164" s="70">
        <f t="shared" ref="AX164:BG164" si="497">O164/$AI164</f>
        <v>6.1004670670098179E-3</v>
      </c>
      <c r="AY164" s="70">
        <f t="shared" si="497"/>
        <v>0</v>
      </c>
      <c r="AZ164" s="70">
        <f t="shared" si="497"/>
        <v>0</v>
      </c>
      <c r="BA164" s="70">
        <f t="shared" si="497"/>
        <v>0</v>
      </c>
      <c r="BB164" s="70">
        <f t="shared" si="497"/>
        <v>0</v>
      </c>
      <c r="BC164" s="70">
        <f t="shared" si="497"/>
        <v>0</v>
      </c>
      <c r="BD164" s="70">
        <f t="shared" si="497"/>
        <v>0</v>
      </c>
      <c r="BE164" s="70">
        <f t="shared" si="497"/>
        <v>0</v>
      </c>
      <c r="BF164" s="70">
        <f t="shared" si="497"/>
        <v>0</v>
      </c>
      <c r="BG164" s="70">
        <f t="shared" si="497"/>
        <v>0</v>
      </c>
      <c r="BH164" s="70">
        <f t="shared" si="16"/>
        <v>1.3357370765021415E-16</v>
      </c>
      <c r="BI164" s="62"/>
      <c r="BJ164" s="69">
        <v>0.59299999999999997</v>
      </c>
      <c r="BK164" s="69">
        <v>0.27100000000000002</v>
      </c>
      <c r="BL164" s="69">
        <v>4.2999999999999997E-2</v>
      </c>
      <c r="BM164" s="69">
        <v>7.3999999999999996E-2</v>
      </c>
      <c r="BN164" s="69">
        <v>1.9E-2</v>
      </c>
      <c r="BO164" s="69">
        <v>0</v>
      </c>
      <c r="BP164" s="69">
        <v>0</v>
      </c>
      <c r="BQ164" s="69">
        <v>0</v>
      </c>
      <c r="BR164" s="62"/>
      <c r="BS164" s="72">
        <f t="shared" ref="BS164:BW164" si="498">AP164-BJ164</f>
        <v>-1.6648841864455255E-2</v>
      </c>
      <c r="BT164" s="72">
        <f t="shared" si="498"/>
        <v>-0.14684596320655802</v>
      </c>
      <c r="BU164" s="72">
        <f t="shared" si="498"/>
        <v>0.13043437231913069</v>
      </c>
      <c r="BV164" s="72">
        <f t="shared" si="498"/>
        <v>-1.8523877609379465E-2</v>
      </c>
      <c r="BW164" s="72">
        <f t="shared" si="498"/>
        <v>4.5483843294252216E-2</v>
      </c>
      <c r="BX164" s="72"/>
      <c r="BY164" s="72"/>
      <c r="BZ164" s="72">
        <f t="shared" si="18"/>
        <v>6.1004670670099514E-3</v>
      </c>
    </row>
    <row r="165" spans="1:78" ht="13.15">
      <c r="A165" s="73" t="s">
        <v>6</v>
      </c>
      <c r="B165" s="74" t="s">
        <v>373</v>
      </c>
      <c r="C165" s="75" t="s">
        <v>374</v>
      </c>
      <c r="D165" s="75" t="s">
        <v>68</v>
      </c>
      <c r="E165" s="76"/>
      <c r="F165" s="59"/>
      <c r="G165" s="60"/>
      <c r="H165" s="77">
        <v>20069</v>
      </c>
      <c r="I165" s="77">
        <v>11640</v>
      </c>
      <c r="J165" s="77">
        <v>7428</v>
      </c>
      <c r="K165" s="77">
        <v>2423</v>
      </c>
      <c r="L165" s="77">
        <v>3079</v>
      </c>
      <c r="M165" s="77"/>
      <c r="N165" s="77"/>
      <c r="O165" s="77">
        <v>307</v>
      </c>
      <c r="P165" s="77">
        <v>356</v>
      </c>
      <c r="Q165" s="77"/>
      <c r="R165" s="77"/>
      <c r="S165" s="77"/>
      <c r="T165" s="77"/>
      <c r="U165" s="77"/>
      <c r="V165" s="77"/>
      <c r="W165" s="77"/>
      <c r="X165" s="77"/>
      <c r="Y165" s="77">
        <v>173</v>
      </c>
      <c r="Z165" s="77">
        <v>91</v>
      </c>
      <c r="AA165" s="77"/>
      <c r="AB165" s="77"/>
      <c r="AC165" s="77"/>
      <c r="AD165" s="77"/>
      <c r="AE165" s="62"/>
      <c r="AF165" s="63" t="b">
        <v>0</v>
      </c>
      <c r="AG165" s="63" t="b">
        <v>0</v>
      </c>
      <c r="AH165" s="62"/>
      <c r="AI165" s="64">
        <f t="shared" si="7"/>
        <v>45566</v>
      </c>
      <c r="AJ165" s="65" t="str">
        <f t="shared" si="340"/>
        <v>LAB</v>
      </c>
      <c r="AK165" s="66" t="str">
        <f t="shared" si="9"/>
        <v>GAIN</v>
      </c>
      <c r="AL165" s="67" t="e">
        <f t="shared" ca="1" si="10"/>
        <v>#NAME?</v>
      </c>
      <c r="AM165" s="68">
        <f t="shared" si="443"/>
        <v>8429</v>
      </c>
      <c r="AN165" s="69">
        <f t="shared" si="444"/>
        <v>0.18498441820655748</v>
      </c>
      <c r="AO165" s="62"/>
      <c r="AP165" s="70">
        <f t="shared" ref="AP165:AT165" si="499">H165/$AI165</f>
        <v>0.44043804591142516</v>
      </c>
      <c r="AQ165" s="70">
        <f t="shared" si="499"/>
        <v>0.25545362770486768</v>
      </c>
      <c r="AR165" s="70">
        <f t="shared" si="499"/>
        <v>0.1630162840714568</v>
      </c>
      <c r="AS165" s="70">
        <f t="shared" si="499"/>
        <v>5.3175613395953121E-2</v>
      </c>
      <c r="AT165" s="70">
        <f t="shared" si="499"/>
        <v>6.7572312689285874E-2</v>
      </c>
      <c r="AU165" s="70"/>
      <c r="AV165" s="70"/>
      <c r="AW165" s="81">
        <f t="shared" si="14"/>
        <v>2.0344116227011377E-2</v>
      </c>
      <c r="AX165" s="70">
        <f t="shared" ref="AX165:BG165" si="500">O165/$AI165</f>
        <v>6.7374796997761487E-3</v>
      </c>
      <c r="AY165" s="70">
        <f t="shared" si="500"/>
        <v>7.8128429091866743E-3</v>
      </c>
      <c r="AZ165" s="70">
        <f t="shared" si="500"/>
        <v>0</v>
      </c>
      <c r="BA165" s="70">
        <f t="shared" si="500"/>
        <v>0</v>
      </c>
      <c r="BB165" s="70">
        <f t="shared" si="500"/>
        <v>0</v>
      </c>
      <c r="BC165" s="70">
        <f t="shared" si="500"/>
        <v>0</v>
      </c>
      <c r="BD165" s="70">
        <f t="shared" si="500"/>
        <v>0</v>
      </c>
      <c r="BE165" s="70">
        <f t="shared" si="500"/>
        <v>0</v>
      </c>
      <c r="BF165" s="70">
        <f t="shared" si="500"/>
        <v>0</v>
      </c>
      <c r="BG165" s="70">
        <f t="shared" si="500"/>
        <v>0</v>
      </c>
      <c r="BH165" s="70">
        <f t="shared" si="16"/>
        <v>5.7937936180485552E-3</v>
      </c>
      <c r="BI165" s="62"/>
      <c r="BJ165" s="69">
        <v>0.40100000000000002</v>
      </c>
      <c r="BK165" s="69">
        <v>0.46899999999999997</v>
      </c>
      <c r="BL165" s="69">
        <v>2.5999999999999999E-2</v>
      </c>
      <c r="BM165" s="69">
        <v>7.4999999999999997E-2</v>
      </c>
      <c r="BN165" s="69">
        <v>0.03</v>
      </c>
      <c r="BO165" s="69">
        <v>0</v>
      </c>
      <c r="BP165" s="69">
        <v>0</v>
      </c>
      <c r="BQ165" s="69">
        <v>0</v>
      </c>
      <c r="BR165" s="62"/>
      <c r="BS165" s="72">
        <f t="shared" ref="BS165:BW165" si="501">AP165-BJ165</f>
        <v>3.9438045911425135E-2</v>
      </c>
      <c r="BT165" s="72">
        <f t="shared" si="501"/>
        <v>-0.21354637229513229</v>
      </c>
      <c r="BU165" s="72">
        <f t="shared" si="501"/>
        <v>0.1370162840714568</v>
      </c>
      <c r="BV165" s="72">
        <f t="shared" si="501"/>
        <v>-2.1824386604046876E-2</v>
      </c>
      <c r="BW165" s="72">
        <f t="shared" si="501"/>
        <v>3.7572312689285875E-2</v>
      </c>
      <c r="BX165" s="72"/>
      <c r="BY165" s="72"/>
      <c r="BZ165" s="72">
        <f t="shared" si="18"/>
        <v>2.0344116227011377E-2</v>
      </c>
    </row>
    <row r="166" spans="1:78" ht="13.15">
      <c r="A166" s="73" t="s">
        <v>6</v>
      </c>
      <c r="B166" s="74" t="s">
        <v>375</v>
      </c>
      <c r="C166" s="75" t="s">
        <v>376</v>
      </c>
      <c r="D166" s="75" t="s">
        <v>78</v>
      </c>
      <c r="E166" s="76"/>
      <c r="F166" s="59"/>
      <c r="G166" s="60"/>
      <c r="H166" s="77">
        <v>9160</v>
      </c>
      <c r="I166" s="77">
        <v>16632</v>
      </c>
      <c r="J166" s="77">
        <v>6443</v>
      </c>
      <c r="K166" s="77">
        <v>17127</v>
      </c>
      <c r="L166" s="77">
        <v>2359</v>
      </c>
      <c r="M166" s="77"/>
      <c r="N166" s="77"/>
      <c r="O166" s="77">
        <v>103</v>
      </c>
      <c r="P166" s="77"/>
      <c r="Q166" s="77">
        <v>172</v>
      </c>
      <c r="R166" s="77"/>
      <c r="S166" s="77"/>
      <c r="T166" s="77"/>
      <c r="U166" s="77"/>
      <c r="V166" s="77"/>
      <c r="W166" s="77"/>
      <c r="X166" s="77"/>
      <c r="Y166" s="77">
        <v>271</v>
      </c>
      <c r="Z166" s="77">
        <v>102</v>
      </c>
      <c r="AA166" s="77"/>
      <c r="AB166" s="77"/>
      <c r="AC166" s="77"/>
      <c r="AD166" s="77"/>
      <c r="AE166" s="62"/>
      <c r="AF166" s="63" t="b">
        <v>0</v>
      </c>
      <c r="AG166" s="63" t="b">
        <v>0</v>
      </c>
      <c r="AH166" s="62"/>
      <c r="AI166" s="64">
        <f t="shared" si="7"/>
        <v>52369</v>
      </c>
      <c r="AJ166" s="65" t="str">
        <f t="shared" si="340"/>
        <v>LDM</v>
      </c>
      <c r="AK166" s="66" t="str">
        <f t="shared" si="9"/>
        <v>GAIN</v>
      </c>
      <c r="AL166" s="67" t="e">
        <f t="shared" ca="1" si="10"/>
        <v>#NAME?</v>
      </c>
      <c r="AM166" s="68">
        <f t="shared" si="443"/>
        <v>495</v>
      </c>
      <c r="AN166" s="69">
        <f t="shared" si="444"/>
        <v>9.4521568103267395E-3</v>
      </c>
      <c r="AO166" s="62"/>
      <c r="AP166" s="70">
        <f t="shared" ref="AP166:AT166" si="502">H166/$AI166</f>
        <v>0.17491263915675304</v>
      </c>
      <c r="AQ166" s="70">
        <f t="shared" si="502"/>
        <v>0.31759246882697778</v>
      </c>
      <c r="AR166" s="70">
        <f t="shared" si="502"/>
        <v>0.12303080066451527</v>
      </c>
      <c r="AS166" s="70">
        <f t="shared" si="502"/>
        <v>0.32704462563730452</v>
      </c>
      <c r="AT166" s="70">
        <f t="shared" si="502"/>
        <v>4.5045733162748958E-2</v>
      </c>
      <c r="AU166" s="70"/>
      <c r="AV166" s="70"/>
      <c r="AW166" s="81">
        <f t="shared" si="14"/>
        <v>1.2373732551700378E-2</v>
      </c>
      <c r="AX166" s="70">
        <f t="shared" ref="AX166:BG166" si="503">O166/$AI166</f>
        <v>1.9668124271992973E-3</v>
      </c>
      <c r="AY166" s="70">
        <f t="shared" si="503"/>
        <v>0</v>
      </c>
      <c r="AZ166" s="70">
        <f t="shared" si="503"/>
        <v>3.2843858007599916E-3</v>
      </c>
      <c r="BA166" s="70">
        <f t="shared" si="503"/>
        <v>0</v>
      </c>
      <c r="BB166" s="70">
        <f t="shared" si="503"/>
        <v>0</v>
      </c>
      <c r="BC166" s="70">
        <f t="shared" si="503"/>
        <v>0</v>
      </c>
      <c r="BD166" s="70">
        <f t="shared" si="503"/>
        <v>0</v>
      </c>
      <c r="BE166" s="70">
        <f t="shared" si="503"/>
        <v>0</v>
      </c>
      <c r="BF166" s="70">
        <f t="shared" si="503"/>
        <v>0</v>
      </c>
      <c r="BG166" s="70">
        <f t="shared" si="503"/>
        <v>0</v>
      </c>
      <c r="BH166" s="70">
        <f t="shared" si="16"/>
        <v>7.1225343237410893E-3</v>
      </c>
      <c r="BI166" s="62"/>
      <c r="BJ166" s="69">
        <v>0.14399999999999999</v>
      </c>
      <c r="BK166" s="69">
        <v>0.54</v>
      </c>
      <c r="BL166" s="69">
        <v>0</v>
      </c>
      <c r="BM166" s="69">
        <v>0.29299999999999998</v>
      </c>
      <c r="BN166" s="69">
        <v>6.0000000000000001E-3</v>
      </c>
      <c r="BO166" s="69">
        <v>0</v>
      </c>
      <c r="BP166" s="69">
        <v>0</v>
      </c>
      <c r="BQ166" s="69">
        <v>1.9E-2</v>
      </c>
      <c r="BR166" s="62"/>
      <c r="BS166" s="72">
        <f t="shared" ref="BS166:BW166" si="504">AP166-BJ166</f>
        <v>3.0912639156753047E-2</v>
      </c>
      <c r="BT166" s="72">
        <f t="shared" si="504"/>
        <v>-0.22240753117302225</v>
      </c>
      <c r="BU166" s="72">
        <f t="shared" si="504"/>
        <v>0.12303080066451527</v>
      </c>
      <c r="BV166" s="72">
        <f t="shared" si="504"/>
        <v>3.4044625637304538E-2</v>
      </c>
      <c r="BW166" s="72">
        <f t="shared" si="504"/>
        <v>3.9045733162748959E-2</v>
      </c>
      <c r="BX166" s="72"/>
      <c r="BY166" s="72"/>
      <c r="BZ166" s="72">
        <f t="shared" si="18"/>
        <v>-6.6262674482996213E-3</v>
      </c>
    </row>
    <row r="167" spans="1:78" ht="13.15">
      <c r="A167" s="78" t="s">
        <v>5</v>
      </c>
      <c r="B167" s="74" t="s">
        <v>377</v>
      </c>
      <c r="C167" s="75" t="s">
        <v>378</v>
      </c>
      <c r="D167" s="75" t="s">
        <v>68</v>
      </c>
      <c r="E167" s="76"/>
      <c r="F167" s="59"/>
      <c r="G167" s="60"/>
      <c r="H167" s="77">
        <v>21368</v>
      </c>
      <c r="I167" s="77">
        <v>8632</v>
      </c>
      <c r="J167" s="77">
        <v>5146</v>
      </c>
      <c r="K167" s="77">
        <v>2517</v>
      </c>
      <c r="L167" s="77">
        <v>3713</v>
      </c>
      <c r="M167" s="77"/>
      <c r="N167" s="77"/>
      <c r="O167" s="77">
        <v>1448</v>
      </c>
      <c r="P167" s="77">
        <v>668</v>
      </c>
      <c r="Q167" s="77"/>
      <c r="R167" s="77"/>
      <c r="S167" s="77"/>
      <c r="T167" s="77"/>
      <c r="U167" s="77"/>
      <c r="V167" s="77"/>
      <c r="W167" s="77"/>
      <c r="X167" s="77"/>
      <c r="Y167" s="77"/>
      <c r="Z167" s="77"/>
      <c r="AA167" s="77"/>
      <c r="AB167" s="77"/>
      <c r="AC167" s="77"/>
      <c r="AD167" s="77"/>
      <c r="AE167" s="62"/>
      <c r="AF167" s="63" t="b">
        <v>0</v>
      </c>
      <c r="AG167" s="63" t="b">
        <v>0</v>
      </c>
      <c r="AH167" s="62"/>
      <c r="AI167" s="64">
        <f t="shared" si="7"/>
        <v>43492</v>
      </c>
      <c r="AJ167" s="65" t="str">
        <f t="shared" si="340"/>
        <v>LAB</v>
      </c>
      <c r="AK167" s="66" t="str">
        <f t="shared" si="9"/>
        <v>HOLD</v>
      </c>
      <c r="AL167" s="67" t="e">
        <f t="shared" ca="1" si="10"/>
        <v>#NAME?</v>
      </c>
      <c r="AM167" s="68">
        <f t="shared" si="443"/>
        <v>12736</v>
      </c>
      <c r="AN167" s="69">
        <f t="shared" si="444"/>
        <v>0.29283546399337812</v>
      </c>
      <c r="AO167" s="62"/>
      <c r="AP167" s="70">
        <f t="shared" ref="AP167:AT167" si="505">H167/$AI167</f>
        <v>0.49130874643612621</v>
      </c>
      <c r="AQ167" s="70">
        <f t="shared" si="505"/>
        <v>0.19847328244274809</v>
      </c>
      <c r="AR167" s="70">
        <f t="shared" si="505"/>
        <v>0.1183206106870229</v>
      </c>
      <c r="AS167" s="70">
        <f t="shared" si="505"/>
        <v>5.787271222293755E-2</v>
      </c>
      <c r="AT167" s="70">
        <f t="shared" si="505"/>
        <v>8.5372022440908676E-2</v>
      </c>
      <c r="AU167" s="70"/>
      <c r="AV167" s="70"/>
      <c r="AW167" s="81">
        <f t="shared" si="14"/>
        <v>4.865262577025653E-2</v>
      </c>
      <c r="AX167" s="70">
        <f t="shared" ref="AX167:BG167" si="506">O167/$AI167</f>
        <v>3.3293479260553663E-2</v>
      </c>
      <c r="AY167" s="70">
        <f t="shared" si="506"/>
        <v>1.5359146509702933E-2</v>
      </c>
      <c r="AZ167" s="70">
        <f t="shared" si="506"/>
        <v>0</v>
      </c>
      <c r="BA167" s="70">
        <f t="shared" si="506"/>
        <v>0</v>
      </c>
      <c r="BB167" s="70">
        <f t="shared" si="506"/>
        <v>0</v>
      </c>
      <c r="BC167" s="70">
        <f t="shared" si="506"/>
        <v>0</v>
      </c>
      <c r="BD167" s="70">
        <f t="shared" si="506"/>
        <v>0</v>
      </c>
      <c r="BE167" s="70">
        <f t="shared" si="506"/>
        <v>0</v>
      </c>
      <c r="BF167" s="70">
        <f t="shared" si="506"/>
        <v>0</v>
      </c>
      <c r="BG167" s="70">
        <f t="shared" si="506"/>
        <v>0</v>
      </c>
      <c r="BH167" s="70">
        <f t="shared" si="16"/>
        <v>-6.9388939039072284E-17</v>
      </c>
      <c r="BI167" s="62"/>
      <c r="BJ167" s="69">
        <v>0.53300000000000003</v>
      </c>
      <c r="BK167" s="69">
        <v>0.35899999999999999</v>
      </c>
      <c r="BL167" s="69">
        <v>1.7999999999999999E-2</v>
      </c>
      <c r="BM167" s="69">
        <v>6.5000000000000002E-2</v>
      </c>
      <c r="BN167" s="69">
        <v>2.4E-2</v>
      </c>
      <c r="BO167" s="69">
        <v>0</v>
      </c>
      <c r="BP167" s="69">
        <v>0</v>
      </c>
      <c r="BQ167" s="69">
        <v>0</v>
      </c>
      <c r="BR167" s="62"/>
      <c r="BS167" s="72">
        <f t="shared" ref="BS167:BW167" si="507">AP167-BJ167</f>
        <v>-4.169125356387382E-2</v>
      </c>
      <c r="BT167" s="72">
        <f t="shared" si="507"/>
        <v>-0.1605267175572519</v>
      </c>
      <c r="BU167" s="72">
        <f t="shared" si="507"/>
        <v>0.1003206106870229</v>
      </c>
      <c r="BV167" s="72">
        <f t="shared" si="507"/>
        <v>-7.1272877770624521E-3</v>
      </c>
      <c r="BW167" s="72">
        <f t="shared" si="507"/>
        <v>6.1372022440908676E-2</v>
      </c>
      <c r="BX167" s="72"/>
      <c r="BY167" s="72"/>
      <c r="BZ167" s="72">
        <f t="shared" si="18"/>
        <v>4.865262577025653E-2</v>
      </c>
    </row>
    <row r="168" spans="1:78" ht="13.15">
      <c r="A168" s="73" t="s">
        <v>6</v>
      </c>
      <c r="B168" s="74" t="s">
        <v>379</v>
      </c>
      <c r="C168" s="75" t="s">
        <v>380</v>
      </c>
      <c r="D168" s="75" t="s">
        <v>78</v>
      </c>
      <c r="E168" s="76"/>
      <c r="F168" s="59"/>
      <c r="G168" s="60"/>
      <c r="H168" s="77">
        <v>12356</v>
      </c>
      <c r="I168" s="77">
        <v>18038</v>
      </c>
      <c r="J168" s="77"/>
      <c r="K168" s="77">
        <v>5268</v>
      </c>
      <c r="L168" s="77">
        <v>2486</v>
      </c>
      <c r="M168" s="77"/>
      <c r="N168" s="77"/>
      <c r="O168" s="77">
        <v>3037</v>
      </c>
      <c r="P168" s="77"/>
      <c r="Q168" s="77"/>
      <c r="R168" s="77"/>
      <c r="S168" s="77"/>
      <c r="T168" s="77"/>
      <c r="U168" s="77"/>
      <c r="V168" s="77"/>
      <c r="W168" s="77"/>
      <c r="X168" s="77"/>
      <c r="Y168" s="77">
        <v>568</v>
      </c>
      <c r="Z168" s="77"/>
      <c r="AA168" s="77"/>
      <c r="AB168" s="77"/>
      <c r="AC168" s="77"/>
      <c r="AD168" s="77"/>
      <c r="AE168" s="62"/>
      <c r="AF168" s="63" t="b">
        <v>0</v>
      </c>
      <c r="AG168" s="63" t="b">
        <v>0</v>
      </c>
      <c r="AH168" s="62"/>
      <c r="AI168" s="64">
        <f t="shared" si="7"/>
        <v>41753</v>
      </c>
      <c r="AJ168" s="65" t="str">
        <f t="shared" si="340"/>
        <v>CON</v>
      </c>
      <c r="AK168" s="66" t="str">
        <f t="shared" si="9"/>
        <v>HOLD</v>
      </c>
      <c r="AL168" s="67" t="e">
        <f t="shared" ca="1" si="10"/>
        <v>#NAME?</v>
      </c>
      <c r="AM168" s="68">
        <f t="shared" si="443"/>
        <v>5682</v>
      </c>
      <c r="AN168" s="69">
        <f t="shared" si="444"/>
        <v>0.13608602974636552</v>
      </c>
      <c r="AO168" s="62"/>
      <c r="AP168" s="70">
        <f t="shared" ref="AP168:AT168" si="508">H168/$AI168</f>
        <v>0.29593083131751013</v>
      </c>
      <c r="AQ168" s="70">
        <f t="shared" si="508"/>
        <v>0.43201686106387566</v>
      </c>
      <c r="AR168" s="70">
        <f t="shared" si="508"/>
        <v>0</v>
      </c>
      <c r="AS168" s="70">
        <f t="shared" si="508"/>
        <v>0.12617057456949202</v>
      </c>
      <c r="AT168" s="70">
        <f t="shared" si="508"/>
        <v>5.954063181088784E-2</v>
      </c>
      <c r="AU168" s="70"/>
      <c r="AV168" s="70"/>
      <c r="AW168" s="81">
        <f t="shared" si="14"/>
        <v>8.6341101238234352E-2</v>
      </c>
      <c r="AX168" s="70">
        <f t="shared" ref="AX168:BG168" si="509">O168/$AI168</f>
        <v>7.2737288338562495E-2</v>
      </c>
      <c r="AY168" s="70">
        <f t="shared" si="509"/>
        <v>0</v>
      </c>
      <c r="AZ168" s="70">
        <f t="shared" si="509"/>
        <v>0</v>
      </c>
      <c r="BA168" s="70">
        <f t="shared" si="509"/>
        <v>0</v>
      </c>
      <c r="BB168" s="70">
        <f t="shared" si="509"/>
        <v>0</v>
      </c>
      <c r="BC168" s="70">
        <f t="shared" si="509"/>
        <v>0</v>
      </c>
      <c r="BD168" s="70">
        <f t="shared" si="509"/>
        <v>0</v>
      </c>
      <c r="BE168" s="70">
        <f t="shared" si="509"/>
        <v>0</v>
      </c>
      <c r="BF168" s="70">
        <f t="shared" si="509"/>
        <v>0</v>
      </c>
      <c r="BG168" s="70">
        <f t="shared" si="509"/>
        <v>0</v>
      </c>
      <c r="BH168" s="70">
        <f t="shared" si="16"/>
        <v>1.3603812899671858E-2</v>
      </c>
      <c r="BI168" s="62"/>
      <c r="BJ168" s="69">
        <v>0.20300000000000001</v>
      </c>
      <c r="BK168" s="69">
        <v>0.64400000000000002</v>
      </c>
      <c r="BL168" s="69">
        <v>0</v>
      </c>
      <c r="BM168" s="69">
        <v>0.107</v>
      </c>
      <c r="BN168" s="69">
        <v>3.9E-2</v>
      </c>
      <c r="BO168" s="69">
        <v>0</v>
      </c>
      <c r="BP168" s="69">
        <v>0</v>
      </c>
      <c r="BQ168" s="69">
        <v>7.0000000000000001E-3</v>
      </c>
      <c r="BR168" s="62"/>
      <c r="BS168" s="72">
        <f t="shared" ref="BS168:BW168" si="510">AP168-BJ168</f>
        <v>9.2930831317510121E-2</v>
      </c>
      <c r="BT168" s="72">
        <f t="shared" si="510"/>
        <v>-0.21198313893612436</v>
      </c>
      <c r="BU168" s="72">
        <f t="shared" si="510"/>
        <v>0</v>
      </c>
      <c r="BV168" s="72">
        <f t="shared" si="510"/>
        <v>1.9170574569492019E-2</v>
      </c>
      <c r="BW168" s="72">
        <f t="shared" si="510"/>
        <v>2.054063181088784E-2</v>
      </c>
      <c r="BX168" s="72"/>
      <c r="BY168" s="72"/>
      <c r="BZ168" s="72">
        <f t="shared" si="18"/>
        <v>7.9341101238234346E-2</v>
      </c>
    </row>
    <row r="169" spans="1:78" ht="13.15">
      <c r="A169" s="73" t="s">
        <v>6</v>
      </c>
      <c r="B169" s="74" t="s">
        <v>381</v>
      </c>
      <c r="C169" s="75" t="s">
        <v>382</v>
      </c>
      <c r="D169" s="75" t="s">
        <v>44</v>
      </c>
      <c r="E169" s="76"/>
      <c r="F169" s="59"/>
      <c r="G169" s="60"/>
      <c r="H169" s="77">
        <v>8325</v>
      </c>
      <c r="I169" s="77">
        <v>16988</v>
      </c>
      <c r="J169" s="77">
        <v>5795</v>
      </c>
      <c r="K169" s="77">
        <v>20674</v>
      </c>
      <c r="L169" s="77">
        <v>1745</v>
      </c>
      <c r="M169" s="77"/>
      <c r="N169" s="77"/>
      <c r="O169" s="77"/>
      <c r="P169" s="77"/>
      <c r="Q169" s="77">
        <v>153</v>
      </c>
      <c r="R169" s="77"/>
      <c r="S169" s="77"/>
      <c r="T169" s="77"/>
      <c r="U169" s="77"/>
      <c r="V169" s="77"/>
      <c r="W169" s="77"/>
      <c r="X169" s="77"/>
      <c r="Y169" s="77">
        <v>845</v>
      </c>
      <c r="Z169" s="77"/>
      <c r="AA169" s="77"/>
      <c r="AB169" s="77"/>
      <c r="AC169" s="77"/>
      <c r="AD169" s="77"/>
      <c r="AE169" s="62"/>
      <c r="AF169" s="63" t="b">
        <v>0</v>
      </c>
      <c r="AG169" s="63" t="b">
        <v>0</v>
      </c>
      <c r="AH169" s="62"/>
      <c r="AI169" s="64">
        <f t="shared" si="7"/>
        <v>54525</v>
      </c>
      <c r="AJ169" s="65" t="str">
        <f t="shared" si="340"/>
        <v>LDM</v>
      </c>
      <c r="AK169" s="66" t="str">
        <f t="shared" si="9"/>
        <v>GAIN</v>
      </c>
      <c r="AL169" s="67" t="e">
        <f t="shared" ca="1" si="10"/>
        <v>#NAME?</v>
      </c>
      <c r="AM169" s="68">
        <f t="shared" si="443"/>
        <v>3686</v>
      </c>
      <c r="AN169" s="69">
        <f t="shared" si="444"/>
        <v>6.7602017423200322E-2</v>
      </c>
      <c r="AO169" s="62"/>
      <c r="AP169" s="70">
        <f t="shared" ref="AP169:AT169" si="511">H169/$AI169</f>
        <v>0.15268225584594222</v>
      </c>
      <c r="AQ169" s="70">
        <f t="shared" si="511"/>
        <v>0.31156350298028429</v>
      </c>
      <c r="AR169" s="70">
        <f t="shared" si="511"/>
        <v>0.10628152223750573</v>
      </c>
      <c r="AS169" s="70">
        <f t="shared" si="511"/>
        <v>0.37916552040348461</v>
      </c>
      <c r="AT169" s="70">
        <f t="shared" si="511"/>
        <v>3.2003668042182486E-2</v>
      </c>
      <c r="AU169" s="70"/>
      <c r="AV169" s="70"/>
      <c r="AW169" s="81">
        <f t="shared" si="14"/>
        <v>1.8303530490600628E-2</v>
      </c>
      <c r="AX169" s="70">
        <f t="shared" ref="AX169:BG169" si="512">O169/$AI169</f>
        <v>0</v>
      </c>
      <c r="AY169" s="70">
        <f t="shared" si="512"/>
        <v>0</v>
      </c>
      <c r="AZ169" s="70">
        <f t="shared" si="512"/>
        <v>2.8060522696011004E-3</v>
      </c>
      <c r="BA169" s="70">
        <f t="shared" si="512"/>
        <v>0</v>
      </c>
      <c r="BB169" s="70">
        <f t="shared" si="512"/>
        <v>0</v>
      </c>
      <c r="BC169" s="70">
        <f t="shared" si="512"/>
        <v>0</v>
      </c>
      <c r="BD169" s="70">
        <f t="shared" si="512"/>
        <v>0</v>
      </c>
      <c r="BE169" s="70">
        <f t="shared" si="512"/>
        <v>0</v>
      </c>
      <c r="BF169" s="70">
        <f t="shared" si="512"/>
        <v>0</v>
      </c>
      <c r="BG169" s="70">
        <f t="shared" si="512"/>
        <v>0</v>
      </c>
      <c r="BH169" s="70">
        <f t="shared" si="16"/>
        <v>1.5497478220999528E-2</v>
      </c>
      <c r="BI169" s="62"/>
      <c r="BJ169" s="69">
        <v>0.16800000000000001</v>
      </c>
      <c r="BK169" s="69">
        <v>0.53600000000000003</v>
      </c>
      <c r="BL169" s="69">
        <v>0</v>
      </c>
      <c r="BM169" s="69">
        <v>0.24199999999999999</v>
      </c>
      <c r="BN169" s="69">
        <v>3.3000000000000002E-2</v>
      </c>
      <c r="BO169" s="69">
        <v>0</v>
      </c>
      <c r="BP169" s="69">
        <v>0</v>
      </c>
      <c r="BQ169" s="69">
        <v>2.1000000000000001E-2</v>
      </c>
      <c r="BR169" s="62"/>
      <c r="BS169" s="72">
        <f t="shared" ref="BS169:BW169" si="513">AP169-BJ169</f>
        <v>-1.5317744154057789E-2</v>
      </c>
      <c r="BT169" s="72">
        <f t="shared" si="513"/>
        <v>-0.22443649701971574</v>
      </c>
      <c r="BU169" s="72">
        <f t="shared" si="513"/>
        <v>0.10628152223750573</v>
      </c>
      <c r="BV169" s="72">
        <f t="shared" si="513"/>
        <v>0.13716552040348462</v>
      </c>
      <c r="BW169" s="72">
        <f t="shared" si="513"/>
        <v>-9.9633195781751588E-4</v>
      </c>
      <c r="BX169" s="72"/>
      <c r="BY169" s="72"/>
      <c r="BZ169" s="72">
        <f t="shared" si="18"/>
        <v>-2.6964695093993733E-3</v>
      </c>
    </row>
    <row r="170" spans="1:78" ht="13.15">
      <c r="A170" s="73" t="s">
        <v>6</v>
      </c>
      <c r="B170" s="74" t="s">
        <v>383</v>
      </c>
      <c r="C170" s="75" t="s">
        <v>384</v>
      </c>
      <c r="D170" s="75" t="s">
        <v>53</v>
      </c>
      <c r="E170" s="76">
        <v>72519</v>
      </c>
      <c r="F170" s="59">
        <v>0.59299999999999997</v>
      </c>
      <c r="G170" s="60"/>
      <c r="H170" s="77">
        <v>17224</v>
      </c>
      <c r="I170" s="77">
        <v>11365</v>
      </c>
      <c r="J170" s="77">
        <v>9162</v>
      </c>
      <c r="K170" s="77">
        <v>2426</v>
      </c>
      <c r="L170" s="77">
        <v>2478</v>
      </c>
      <c r="M170" s="77"/>
      <c r="N170" s="77"/>
      <c r="O170" s="77">
        <v>351</v>
      </c>
      <c r="P170" s="77"/>
      <c r="Q170" s="77"/>
      <c r="R170" s="77"/>
      <c r="S170" s="77"/>
      <c r="T170" s="77"/>
      <c r="U170" s="77"/>
      <c r="V170" s="77"/>
      <c r="W170" s="77"/>
      <c r="X170" s="77"/>
      <c r="Y170" s="77"/>
      <c r="Z170" s="77"/>
      <c r="AA170" s="77"/>
      <c r="AB170" s="77"/>
      <c r="AC170" s="77"/>
      <c r="AD170" s="77"/>
      <c r="AE170" s="62"/>
      <c r="AF170" s="63" t="b">
        <v>0</v>
      </c>
      <c r="AG170" s="63" t="b">
        <v>0</v>
      </c>
      <c r="AH170" s="62"/>
      <c r="AI170" s="64">
        <f t="shared" si="7"/>
        <v>43006</v>
      </c>
      <c r="AJ170" s="65" t="str">
        <f t="shared" si="340"/>
        <v>LAB</v>
      </c>
      <c r="AK170" s="66" t="str">
        <f t="shared" si="9"/>
        <v>GAIN</v>
      </c>
      <c r="AL170" s="67" t="e">
        <f t="shared" ca="1" si="10"/>
        <v>#NAME?</v>
      </c>
      <c r="AM170" s="68">
        <f t="shared" si="443"/>
        <v>5859</v>
      </c>
      <c r="AN170" s="69">
        <f t="shared" si="444"/>
        <v>0.13623680416686046</v>
      </c>
      <c r="AO170" s="62"/>
      <c r="AP170" s="70">
        <f t="shared" ref="AP170:AT170" si="514">H170/$AI170</f>
        <v>0.40050225549923268</v>
      </c>
      <c r="AQ170" s="70">
        <f t="shared" si="514"/>
        <v>0.26426545133237223</v>
      </c>
      <c r="AR170" s="70">
        <f t="shared" si="514"/>
        <v>0.21304004092452217</v>
      </c>
      <c r="AS170" s="70">
        <f t="shared" si="514"/>
        <v>5.6410733386039157E-2</v>
      </c>
      <c r="AT170" s="70">
        <f t="shared" si="514"/>
        <v>5.7619866995302978E-2</v>
      </c>
      <c r="AU170" s="70"/>
      <c r="AV170" s="70"/>
      <c r="AW170" s="81">
        <f t="shared" si="14"/>
        <v>8.1616518625308165E-3</v>
      </c>
      <c r="AX170" s="70">
        <f t="shared" ref="AX170:BG170" si="515">O170/$AI170</f>
        <v>8.1616518625308096E-3</v>
      </c>
      <c r="AY170" s="70">
        <f t="shared" si="515"/>
        <v>0</v>
      </c>
      <c r="AZ170" s="70">
        <f t="shared" si="515"/>
        <v>0</v>
      </c>
      <c r="BA170" s="70">
        <f t="shared" si="515"/>
        <v>0</v>
      </c>
      <c r="BB170" s="70">
        <f t="shared" si="515"/>
        <v>0</v>
      </c>
      <c r="BC170" s="70">
        <f t="shared" si="515"/>
        <v>0</v>
      </c>
      <c r="BD170" s="70">
        <f t="shared" si="515"/>
        <v>0</v>
      </c>
      <c r="BE170" s="70">
        <f t="shared" si="515"/>
        <v>0</v>
      </c>
      <c r="BF170" s="70">
        <f t="shared" si="515"/>
        <v>0</v>
      </c>
      <c r="BG170" s="70">
        <f t="shared" si="515"/>
        <v>0</v>
      </c>
      <c r="BH170" s="70">
        <f t="shared" si="16"/>
        <v>0</v>
      </c>
      <c r="BI170" s="62"/>
      <c r="BJ170" s="69">
        <v>0.34699999999999998</v>
      </c>
      <c r="BK170" s="69">
        <v>0.56499999999999995</v>
      </c>
      <c r="BL170" s="69">
        <v>0</v>
      </c>
      <c r="BM170" s="69">
        <v>5.0999999999999997E-2</v>
      </c>
      <c r="BN170" s="69">
        <v>2.3E-2</v>
      </c>
      <c r="BO170" s="69">
        <v>0</v>
      </c>
      <c r="BP170" s="69">
        <v>0</v>
      </c>
      <c r="BQ170" s="69">
        <v>1.4E-2</v>
      </c>
      <c r="BR170" s="62"/>
      <c r="BS170" s="72">
        <f t="shared" ref="BS170:BW170" si="516">AP170-BJ170</f>
        <v>5.3502255499232709E-2</v>
      </c>
      <c r="BT170" s="72">
        <f t="shared" si="516"/>
        <v>-0.30073454866762772</v>
      </c>
      <c r="BU170" s="72">
        <f t="shared" si="516"/>
        <v>0.21304004092452217</v>
      </c>
      <c r="BV170" s="72">
        <f t="shared" si="516"/>
        <v>5.4107333860391599E-3</v>
      </c>
      <c r="BW170" s="72">
        <f t="shared" si="516"/>
        <v>3.4619866995302978E-2</v>
      </c>
      <c r="BX170" s="72"/>
      <c r="BY170" s="72"/>
      <c r="BZ170" s="72">
        <f t="shared" si="18"/>
        <v>-5.8383481374691907E-3</v>
      </c>
    </row>
    <row r="171" spans="1:78" ht="13.15">
      <c r="A171" s="78" t="s">
        <v>5</v>
      </c>
      <c r="B171" s="74" t="s">
        <v>385</v>
      </c>
      <c r="C171" s="75" t="s">
        <v>386</v>
      </c>
      <c r="D171" s="75" t="s">
        <v>68</v>
      </c>
      <c r="E171" s="76"/>
      <c r="F171" s="59"/>
      <c r="G171" s="60"/>
      <c r="H171" s="77">
        <v>22246</v>
      </c>
      <c r="I171" s="77">
        <v>5564</v>
      </c>
      <c r="J171" s="77">
        <v>5944</v>
      </c>
      <c r="K171" s="77">
        <v>1872</v>
      </c>
      <c r="L171" s="77">
        <v>3482</v>
      </c>
      <c r="M171" s="77"/>
      <c r="N171" s="77"/>
      <c r="O171" s="77">
        <v>200</v>
      </c>
      <c r="P171" s="77">
        <v>1071</v>
      </c>
      <c r="Q171" s="77"/>
      <c r="R171" s="77"/>
      <c r="S171" s="77"/>
      <c r="T171" s="77"/>
      <c r="U171" s="77"/>
      <c r="V171" s="77"/>
      <c r="W171" s="77"/>
      <c r="X171" s="77"/>
      <c r="Y171" s="77"/>
      <c r="Z171" s="77"/>
      <c r="AA171" s="77"/>
      <c r="AB171" s="77"/>
      <c r="AC171" s="77"/>
      <c r="AD171" s="77"/>
      <c r="AE171" s="62"/>
      <c r="AF171" s="63" t="b">
        <v>0</v>
      </c>
      <c r="AG171" s="63" t="b">
        <v>0</v>
      </c>
      <c r="AH171" s="62"/>
      <c r="AI171" s="64">
        <f t="shared" si="7"/>
        <v>40379</v>
      </c>
      <c r="AJ171" s="65" t="str">
        <f t="shared" si="340"/>
        <v>LAB</v>
      </c>
      <c r="AK171" s="66" t="str">
        <f t="shared" si="9"/>
        <v>HOLD</v>
      </c>
      <c r="AL171" s="67" t="e">
        <f t="shared" ca="1" si="10"/>
        <v>#NAME?</v>
      </c>
      <c r="AM171" s="68">
        <f t="shared" si="443"/>
        <v>16302</v>
      </c>
      <c r="AN171" s="69">
        <f t="shared" si="444"/>
        <v>0.40372470838802343</v>
      </c>
      <c r="AO171" s="62"/>
      <c r="AP171" s="70">
        <f t="shared" ref="AP171:AT171" si="517">H171/$AI171</f>
        <v>0.55092993882958963</v>
      </c>
      <c r="AQ171" s="70">
        <f t="shared" si="517"/>
        <v>0.13779439807820898</v>
      </c>
      <c r="AR171" s="70">
        <f t="shared" si="517"/>
        <v>0.14720523044156616</v>
      </c>
      <c r="AS171" s="70">
        <f t="shared" si="517"/>
        <v>4.6360732063696473E-2</v>
      </c>
      <c r="AT171" s="70">
        <f t="shared" si="517"/>
        <v>8.6232942866341408E-2</v>
      </c>
      <c r="AU171" s="70"/>
      <c r="AV171" s="70"/>
      <c r="AW171" s="81">
        <f t="shared" si="14"/>
        <v>3.1476757720597215E-2</v>
      </c>
      <c r="AX171" s="70">
        <f t="shared" ref="AX171:BG171" si="518">O171/$AI171</f>
        <v>4.9530696649248375E-3</v>
      </c>
      <c r="AY171" s="70">
        <f t="shared" si="518"/>
        <v>2.6523688055672501E-2</v>
      </c>
      <c r="AZ171" s="70">
        <f t="shared" si="518"/>
        <v>0</v>
      </c>
      <c r="BA171" s="70">
        <f t="shared" si="518"/>
        <v>0</v>
      </c>
      <c r="BB171" s="70">
        <f t="shared" si="518"/>
        <v>0</v>
      </c>
      <c r="BC171" s="70">
        <f t="shared" si="518"/>
        <v>0</v>
      </c>
      <c r="BD171" s="70">
        <f t="shared" si="518"/>
        <v>0</v>
      </c>
      <c r="BE171" s="70">
        <f t="shared" si="518"/>
        <v>0</v>
      </c>
      <c r="BF171" s="70">
        <f t="shared" si="518"/>
        <v>0</v>
      </c>
      <c r="BG171" s="70">
        <f t="shared" si="518"/>
        <v>0</v>
      </c>
      <c r="BH171" s="70">
        <f t="shared" si="16"/>
        <v>-1.2490009027033011E-16</v>
      </c>
      <c r="BI171" s="62"/>
      <c r="BJ171" s="69">
        <v>0.58399999999999996</v>
      </c>
      <c r="BK171" s="69">
        <v>0.28199999999999997</v>
      </c>
      <c r="BL171" s="69">
        <v>5.0999999999999997E-2</v>
      </c>
      <c r="BM171" s="69">
        <v>4.9000000000000002E-2</v>
      </c>
      <c r="BN171" s="69">
        <v>2.9000000000000001E-2</v>
      </c>
      <c r="BO171" s="69">
        <v>0</v>
      </c>
      <c r="BP171" s="69">
        <v>0</v>
      </c>
      <c r="BQ171" s="69">
        <v>6.0000000000000001E-3</v>
      </c>
      <c r="BR171" s="62"/>
      <c r="BS171" s="72">
        <f t="shared" ref="BS171:BW171" si="519">AP171-BJ171</f>
        <v>-3.3070061170410336E-2</v>
      </c>
      <c r="BT171" s="72">
        <f t="shared" si="519"/>
        <v>-0.14420560192179099</v>
      </c>
      <c r="BU171" s="72">
        <f t="shared" si="519"/>
        <v>9.6205230441566175E-2</v>
      </c>
      <c r="BV171" s="72">
        <f t="shared" si="519"/>
        <v>-2.6392679363035285E-3</v>
      </c>
      <c r="BW171" s="72">
        <f t="shared" si="519"/>
        <v>5.723294286634141E-2</v>
      </c>
      <c r="BX171" s="72"/>
      <c r="BY171" s="72"/>
      <c r="BZ171" s="72">
        <f t="shared" si="18"/>
        <v>2.5476757720597216E-2</v>
      </c>
    </row>
    <row r="172" spans="1:78" ht="13.15">
      <c r="A172" s="73" t="s">
        <v>6</v>
      </c>
      <c r="B172" s="74" t="s">
        <v>387</v>
      </c>
      <c r="C172" s="75" t="s">
        <v>388</v>
      </c>
      <c r="D172" s="75" t="s">
        <v>44</v>
      </c>
      <c r="E172" s="76"/>
      <c r="F172" s="59"/>
      <c r="G172" s="60"/>
      <c r="H172" s="77">
        <v>2846</v>
      </c>
      <c r="I172" s="77">
        <v>16312</v>
      </c>
      <c r="J172" s="77">
        <v>4777</v>
      </c>
      <c r="K172" s="77">
        <v>28315</v>
      </c>
      <c r="L172" s="77">
        <v>1396</v>
      </c>
      <c r="M172" s="77"/>
      <c r="N172" s="77"/>
      <c r="O172" s="77"/>
      <c r="P172" s="77"/>
      <c r="Q172" s="77">
        <v>234</v>
      </c>
      <c r="R172" s="77"/>
      <c r="S172" s="77"/>
      <c r="T172" s="77"/>
      <c r="U172" s="77"/>
      <c r="V172" s="77"/>
      <c r="W172" s="77"/>
      <c r="X172" s="77"/>
      <c r="Y172" s="77"/>
      <c r="Z172" s="77"/>
      <c r="AA172" s="77"/>
      <c r="AB172" s="77"/>
      <c r="AC172" s="77"/>
      <c r="AD172" s="77"/>
      <c r="AE172" s="62"/>
      <c r="AF172" s="63" t="b">
        <v>0</v>
      </c>
      <c r="AG172" s="63" t="b">
        <v>0</v>
      </c>
      <c r="AH172" s="62"/>
      <c r="AI172" s="64">
        <f t="shared" si="7"/>
        <v>53880</v>
      </c>
      <c r="AJ172" s="65" t="str">
        <f t="shared" si="340"/>
        <v>LDM</v>
      </c>
      <c r="AK172" s="66" t="str">
        <f t="shared" si="9"/>
        <v>GAIN</v>
      </c>
      <c r="AL172" s="67" t="e">
        <f t="shared" ca="1" si="10"/>
        <v>#NAME?</v>
      </c>
      <c r="AM172" s="68">
        <f t="shared" si="443"/>
        <v>12003</v>
      </c>
      <c r="AN172" s="69">
        <f t="shared" si="444"/>
        <v>0.22277282850779512</v>
      </c>
      <c r="AO172" s="62"/>
      <c r="AP172" s="70">
        <f t="shared" ref="AP172:AT172" si="520">H172/$AI172</f>
        <v>5.2821083890126207E-2</v>
      </c>
      <c r="AQ172" s="70">
        <f t="shared" si="520"/>
        <v>0.30274684484038605</v>
      </c>
      <c r="AR172" s="70">
        <f t="shared" si="520"/>
        <v>8.8659985152190049E-2</v>
      </c>
      <c r="AS172" s="70">
        <f t="shared" si="520"/>
        <v>0.52551967334818117</v>
      </c>
      <c r="AT172" s="70">
        <f t="shared" si="520"/>
        <v>2.5909428359317001E-2</v>
      </c>
      <c r="AU172" s="70"/>
      <c r="AV172" s="70"/>
      <c r="AW172" s="81">
        <f t="shared" si="14"/>
        <v>4.3429844097996329E-3</v>
      </c>
      <c r="AX172" s="70">
        <f t="shared" ref="AX172:BG172" si="521">O172/$AI172</f>
        <v>0</v>
      </c>
      <c r="AY172" s="70">
        <f t="shared" si="521"/>
        <v>0</v>
      </c>
      <c r="AZ172" s="70">
        <f t="shared" si="521"/>
        <v>4.3429844097995548E-3</v>
      </c>
      <c r="BA172" s="70">
        <f t="shared" si="521"/>
        <v>0</v>
      </c>
      <c r="BB172" s="70">
        <f t="shared" si="521"/>
        <v>0</v>
      </c>
      <c r="BC172" s="70">
        <f t="shared" si="521"/>
        <v>0</v>
      </c>
      <c r="BD172" s="70">
        <f t="shared" si="521"/>
        <v>0</v>
      </c>
      <c r="BE172" s="70">
        <f t="shared" si="521"/>
        <v>0</v>
      </c>
      <c r="BF172" s="70">
        <f t="shared" si="521"/>
        <v>0</v>
      </c>
      <c r="BG172" s="70">
        <f t="shared" si="521"/>
        <v>0</v>
      </c>
      <c r="BH172" s="70">
        <f t="shared" si="16"/>
        <v>7.8062556418956319E-17</v>
      </c>
      <c r="BI172" s="62"/>
      <c r="BJ172" s="69">
        <v>4.8000000000000001E-2</v>
      </c>
      <c r="BK172" s="69">
        <v>0.495</v>
      </c>
      <c r="BL172" s="69">
        <v>0</v>
      </c>
      <c r="BM172" s="69">
        <v>0.442</v>
      </c>
      <c r="BN172" s="69">
        <v>2E-3</v>
      </c>
      <c r="BO172" s="69">
        <v>0</v>
      </c>
      <c r="BP172" s="69">
        <v>0</v>
      </c>
      <c r="BQ172" s="69">
        <v>1.2999999999999999E-2</v>
      </c>
      <c r="BR172" s="62"/>
      <c r="BS172" s="72">
        <f t="shared" ref="BS172:BW172" si="522">AP172-BJ172</f>
        <v>4.8210838901262057E-3</v>
      </c>
      <c r="BT172" s="72">
        <f t="shared" si="522"/>
        <v>-0.19225315515961394</v>
      </c>
      <c r="BU172" s="72">
        <f t="shared" si="522"/>
        <v>8.8659985152190049E-2</v>
      </c>
      <c r="BV172" s="72">
        <f t="shared" si="522"/>
        <v>8.3519673348181167E-2</v>
      </c>
      <c r="BW172" s="72">
        <f t="shared" si="522"/>
        <v>2.3909428359317003E-2</v>
      </c>
      <c r="BX172" s="72"/>
      <c r="BY172" s="72"/>
      <c r="BZ172" s="72">
        <f t="shared" si="18"/>
        <v>-8.6570155902003666E-3</v>
      </c>
    </row>
    <row r="173" spans="1:78" ht="13.15">
      <c r="A173" s="78" t="s">
        <v>5</v>
      </c>
      <c r="B173" s="74" t="s">
        <v>389</v>
      </c>
      <c r="C173" s="75" t="s">
        <v>390</v>
      </c>
      <c r="D173" s="75" t="s">
        <v>85</v>
      </c>
      <c r="E173" s="76"/>
      <c r="F173" s="59"/>
      <c r="G173" s="60"/>
      <c r="H173" s="77">
        <v>18225</v>
      </c>
      <c r="I173" s="77">
        <v>6288</v>
      </c>
      <c r="J173" s="77">
        <v>4914</v>
      </c>
      <c r="K173" s="77">
        <v>4201</v>
      </c>
      <c r="L173" s="77">
        <v>5907</v>
      </c>
      <c r="M173" s="77"/>
      <c r="N173" s="77"/>
      <c r="O173" s="77">
        <v>466</v>
      </c>
      <c r="P173" s="77"/>
      <c r="Q173" s="77"/>
      <c r="R173" s="77"/>
      <c r="S173" s="77"/>
      <c r="T173" s="77"/>
      <c r="U173" s="77"/>
      <c r="V173" s="77"/>
      <c r="W173" s="77"/>
      <c r="X173" s="77"/>
      <c r="Y173" s="77">
        <v>194</v>
      </c>
      <c r="Z173" s="77"/>
      <c r="AA173" s="77"/>
      <c r="AB173" s="77"/>
      <c r="AC173" s="77"/>
      <c r="AD173" s="77"/>
      <c r="AE173" s="62"/>
      <c r="AF173" s="63" t="b">
        <v>0</v>
      </c>
      <c r="AG173" s="63" t="b">
        <v>0</v>
      </c>
      <c r="AH173" s="62"/>
      <c r="AI173" s="64">
        <f t="shared" si="7"/>
        <v>40195</v>
      </c>
      <c r="AJ173" s="65" t="str">
        <f t="shared" si="340"/>
        <v>LAB</v>
      </c>
      <c r="AK173" s="66" t="str">
        <f t="shared" si="9"/>
        <v>HOLD</v>
      </c>
      <c r="AL173" s="67" t="e">
        <f t="shared" ca="1" si="10"/>
        <v>#NAME?</v>
      </c>
      <c r="AM173" s="68">
        <f t="shared" si="443"/>
        <v>11937</v>
      </c>
      <c r="AN173" s="69">
        <f t="shared" si="444"/>
        <v>0.29697723597462372</v>
      </c>
      <c r="AO173" s="62"/>
      <c r="AP173" s="70">
        <f t="shared" ref="AP173:AT173" si="523">H173/$AI173</f>
        <v>0.45341460380644361</v>
      </c>
      <c r="AQ173" s="70">
        <f t="shared" si="523"/>
        <v>0.15643736783181988</v>
      </c>
      <c r="AR173" s="70">
        <f t="shared" si="523"/>
        <v>0.12225401169299664</v>
      </c>
      <c r="AS173" s="70">
        <f t="shared" si="523"/>
        <v>0.10451548700087075</v>
      </c>
      <c r="AT173" s="70">
        <f t="shared" si="523"/>
        <v>0.14695857693743003</v>
      </c>
      <c r="AU173" s="70"/>
      <c r="AV173" s="70"/>
      <c r="AW173" s="81">
        <f t="shared" si="14"/>
        <v>1.6419952730438947E-2</v>
      </c>
      <c r="AX173" s="70">
        <f t="shared" ref="AX173:BG173" si="524">O173/$AI173</f>
        <v>1.159348177634034E-2</v>
      </c>
      <c r="AY173" s="70">
        <f t="shared" si="524"/>
        <v>0</v>
      </c>
      <c r="AZ173" s="70">
        <f t="shared" si="524"/>
        <v>0</v>
      </c>
      <c r="BA173" s="70">
        <f t="shared" si="524"/>
        <v>0</v>
      </c>
      <c r="BB173" s="70">
        <f t="shared" si="524"/>
        <v>0</v>
      </c>
      <c r="BC173" s="70">
        <f t="shared" si="524"/>
        <v>0</v>
      </c>
      <c r="BD173" s="70">
        <f t="shared" si="524"/>
        <v>0</v>
      </c>
      <c r="BE173" s="70">
        <f t="shared" si="524"/>
        <v>0</v>
      </c>
      <c r="BF173" s="70">
        <f t="shared" si="524"/>
        <v>0</v>
      </c>
      <c r="BG173" s="70">
        <f t="shared" si="524"/>
        <v>0</v>
      </c>
      <c r="BH173" s="70">
        <f t="shared" si="16"/>
        <v>4.8264709540986068E-3</v>
      </c>
      <c r="BI173" s="62"/>
      <c r="BJ173" s="69">
        <v>0.54800000000000004</v>
      </c>
      <c r="BK173" s="69">
        <v>0.32100000000000001</v>
      </c>
      <c r="BL173" s="69">
        <v>2.5999999999999999E-2</v>
      </c>
      <c r="BM173" s="69">
        <v>0</v>
      </c>
      <c r="BN173" s="69">
        <v>9.2999999999999999E-2</v>
      </c>
      <c r="BO173" s="69">
        <v>0</v>
      </c>
      <c r="BP173" s="69">
        <v>0</v>
      </c>
      <c r="BQ173" s="69">
        <v>1.2E-2</v>
      </c>
      <c r="BR173" s="62"/>
      <c r="BS173" s="72">
        <f t="shared" ref="BS173:BW173" si="525">AP173-BJ173</f>
        <v>-9.4585396193556437E-2</v>
      </c>
      <c r="BT173" s="72">
        <f t="shared" si="525"/>
        <v>-0.16456263216818012</v>
      </c>
      <c r="BU173" s="72">
        <f t="shared" si="525"/>
        <v>9.6254011692996647E-2</v>
      </c>
      <c r="BV173" s="72">
        <f t="shared" si="525"/>
        <v>0.10451548700087075</v>
      </c>
      <c r="BW173" s="72">
        <f t="shared" si="525"/>
        <v>5.3958576937430031E-2</v>
      </c>
      <c r="BX173" s="72"/>
      <c r="BY173" s="72"/>
      <c r="BZ173" s="72">
        <f t="shared" si="18"/>
        <v>4.4199527304389467E-3</v>
      </c>
    </row>
    <row r="174" spans="1:78" ht="13.15">
      <c r="A174" s="73" t="s">
        <v>6</v>
      </c>
      <c r="B174" s="74" t="s">
        <v>391</v>
      </c>
      <c r="C174" s="75" t="s">
        <v>392</v>
      </c>
      <c r="D174" s="75" t="s">
        <v>85</v>
      </c>
      <c r="E174" s="76"/>
      <c r="F174" s="59"/>
      <c r="G174" s="60"/>
      <c r="H174" s="77">
        <v>14607</v>
      </c>
      <c r="I174" s="77">
        <v>14728</v>
      </c>
      <c r="J174" s="77">
        <v>7085</v>
      </c>
      <c r="K174" s="77">
        <v>11387</v>
      </c>
      <c r="L174" s="77">
        <v>2331</v>
      </c>
      <c r="M174" s="77"/>
      <c r="N174" s="77"/>
      <c r="O174" s="77">
        <v>590</v>
      </c>
      <c r="P174" s="77"/>
      <c r="Q174" s="77"/>
      <c r="R174" s="77"/>
      <c r="S174" s="77"/>
      <c r="T174" s="77"/>
      <c r="U174" s="77"/>
      <c r="V174" s="77"/>
      <c r="W174" s="77"/>
      <c r="X174" s="77"/>
      <c r="Y174" s="77">
        <v>454</v>
      </c>
      <c r="Z174" s="77">
        <v>134</v>
      </c>
      <c r="AA174" s="77"/>
      <c r="AB174" s="77"/>
      <c r="AC174" s="77"/>
      <c r="AD174" s="77"/>
      <c r="AE174" s="62"/>
      <c r="AF174" s="63" t="b">
        <v>0</v>
      </c>
      <c r="AG174" s="63" t="b">
        <v>0</v>
      </c>
      <c r="AH174" s="62"/>
      <c r="AI174" s="64">
        <f t="shared" si="7"/>
        <v>51316</v>
      </c>
      <c r="AJ174" s="65" t="str">
        <f t="shared" si="340"/>
        <v>CON</v>
      </c>
      <c r="AK174" s="66" t="str">
        <f t="shared" si="9"/>
        <v>HOLD</v>
      </c>
      <c r="AL174" s="67" t="e">
        <f t="shared" ca="1" si="10"/>
        <v>#NAME?</v>
      </c>
      <c r="AM174" s="68">
        <f t="shared" si="443"/>
        <v>121</v>
      </c>
      <c r="AN174" s="69">
        <f t="shared" si="444"/>
        <v>2.3579390443526083E-3</v>
      </c>
      <c r="AO174" s="62"/>
      <c r="AP174" s="70">
        <f t="shared" ref="AP174:AT174" si="526">H174/$AI174</f>
        <v>0.28464806298230572</v>
      </c>
      <c r="AQ174" s="70">
        <f t="shared" si="526"/>
        <v>0.28700600202665832</v>
      </c>
      <c r="AR174" s="70">
        <f t="shared" si="526"/>
        <v>0.13806610024164004</v>
      </c>
      <c r="AS174" s="70">
        <f t="shared" si="526"/>
        <v>0.22189960246316939</v>
      </c>
      <c r="AT174" s="70">
        <f t="shared" si="526"/>
        <v>4.5424429027983472E-2</v>
      </c>
      <c r="AU174" s="70"/>
      <c r="AV174" s="70"/>
      <c r="AW174" s="81">
        <f t="shared" si="14"/>
        <v>2.2955803258242979E-2</v>
      </c>
      <c r="AX174" s="70">
        <f t="shared" ref="AX174:BG174" si="527">O174/$AI174</f>
        <v>1.1497388728661627E-2</v>
      </c>
      <c r="AY174" s="70">
        <f t="shared" si="527"/>
        <v>0</v>
      </c>
      <c r="AZ174" s="70">
        <f t="shared" si="527"/>
        <v>0</v>
      </c>
      <c r="BA174" s="70">
        <f t="shared" si="527"/>
        <v>0</v>
      </c>
      <c r="BB174" s="70">
        <f t="shared" si="527"/>
        <v>0</v>
      </c>
      <c r="BC174" s="70">
        <f t="shared" si="527"/>
        <v>0</v>
      </c>
      <c r="BD174" s="70">
        <f t="shared" si="527"/>
        <v>0</v>
      </c>
      <c r="BE174" s="70">
        <f t="shared" si="527"/>
        <v>0</v>
      </c>
      <c r="BF174" s="70">
        <f t="shared" si="527"/>
        <v>0</v>
      </c>
      <c r="BG174" s="70">
        <f t="shared" si="527"/>
        <v>0</v>
      </c>
      <c r="BH174" s="70">
        <f t="shared" si="16"/>
        <v>1.1458414529581353E-2</v>
      </c>
      <c r="BI174" s="62"/>
      <c r="BJ174" s="69">
        <v>0.105</v>
      </c>
      <c r="BK174" s="69">
        <v>0.498</v>
      </c>
      <c r="BL174" s="69">
        <v>3.0000000000000001E-3</v>
      </c>
      <c r="BM174" s="69">
        <v>0.03</v>
      </c>
      <c r="BN174" s="69">
        <v>1.7000000000000001E-2</v>
      </c>
      <c r="BO174" s="69">
        <v>0</v>
      </c>
      <c r="BP174" s="69">
        <v>0</v>
      </c>
      <c r="BQ174" s="69">
        <v>0.34599999999999997</v>
      </c>
      <c r="BR174" s="62"/>
      <c r="BS174" s="72">
        <f t="shared" ref="BS174:BW174" si="528">AP174-BJ174</f>
        <v>0.17964806298230573</v>
      </c>
      <c r="BT174" s="72">
        <f t="shared" si="528"/>
        <v>-0.21099399797334167</v>
      </c>
      <c r="BU174" s="72">
        <f t="shared" si="528"/>
        <v>0.13506610024164004</v>
      </c>
      <c r="BV174" s="72">
        <f t="shared" si="528"/>
        <v>0.19189960246316939</v>
      </c>
      <c r="BW174" s="72">
        <f t="shared" si="528"/>
        <v>2.8424429027983471E-2</v>
      </c>
      <c r="BX174" s="72"/>
      <c r="BY174" s="72"/>
      <c r="BZ174" s="72">
        <f t="shared" si="18"/>
        <v>-0.32304419674175699</v>
      </c>
    </row>
    <row r="175" spans="1:78" ht="13.15">
      <c r="A175" s="73" t="s">
        <v>6</v>
      </c>
      <c r="B175" s="74" t="s">
        <v>393</v>
      </c>
      <c r="C175" s="75" t="s">
        <v>394</v>
      </c>
      <c r="D175" s="75" t="s">
        <v>44</v>
      </c>
      <c r="E175" s="76"/>
      <c r="F175" s="59"/>
      <c r="G175" s="60"/>
      <c r="H175" s="77">
        <v>11482</v>
      </c>
      <c r="I175" s="77">
        <v>17561</v>
      </c>
      <c r="J175" s="77">
        <v>9084</v>
      </c>
      <c r="K175" s="77">
        <v>9533</v>
      </c>
      <c r="L175" s="77">
        <v>2036</v>
      </c>
      <c r="M175" s="77"/>
      <c r="N175" s="77"/>
      <c r="O175" s="77"/>
      <c r="P175" s="77"/>
      <c r="Q175" s="77"/>
      <c r="R175" s="77"/>
      <c r="S175" s="77"/>
      <c r="T175" s="77"/>
      <c r="U175" s="77"/>
      <c r="V175" s="77"/>
      <c r="W175" s="77"/>
      <c r="X175" s="77"/>
      <c r="Y175" s="77">
        <v>217</v>
      </c>
      <c r="Z175" s="77">
        <v>210</v>
      </c>
      <c r="AA175" s="77"/>
      <c r="AB175" s="77"/>
      <c r="AC175" s="77"/>
      <c r="AD175" s="77"/>
      <c r="AE175" s="62"/>
      <c r="AF175" s="63" t="b">
        <v>0</v>
      </c>
      <c r="AG175" s="63" t="b">
        <v>0</v>
      </c>
      <c r="AH175" s="62"/>
      <c r="AI175" s="64">
        <f t="shared" si="7"/>
        <v>50123</v>
      </c>
      <c r="AJ175" s="65" t="str">
        <f t="shared" si="340"/>
        <v>CON</v>
      </c>
      <c r="AK175" s="66" t="str">
        <f t="shared" si="9"/>
        <v>HOLD</v>
      </c>
      <c r="AL175" s="67" t="e">
        <f t="shared" ca="1" si="10"/>
        <v>#NAME?</v>
      </c>
      <c r="AM175" s="68">
        <f t="shared" si="443"/>
        <v>6079</v>
      </c>
      <c r="AN175" s="69">
        <f t="shared" si="444"/>
        <v>0.12128164714801587</v>
      </c>
      <c r="AO175" s="62"/>
      <c r="AP175" s="70">
        <f t="shared" ref="AP175:AT175" si="529">H175/$AI175</f>
        <v>0.22907647187917723</v>
      </c>
      <c r="AQ175" s="70">
        <f t="shared" si="529"/>
        <v>0.3503581190271931</v>
      </c>
      <c r="AR175" s="70">
        <f t="shared" si="529"/>
        <v>0.18123416395666661</v>
      </c>
      <c r="AS175" s="70">
        <f t="shared" si="529"/>
        <v>0.19019212736667798</v>
      </c>
      <c r="AT175" s="70">
        <f t="shared" si="529"/>
        <v>4.0620074616443548E-2</v>
      </c>
      <c r="AU175" s="70"/>
      <c r="AV175" s="70"/>
      <c r="AW175" s="81">
        <f t="shared" si="14"/>
        <v>8.5190431538415545E-3</v>
      </c>
      <c r="AX175" s="70">
        <f t="shared" ref="AX175:BG175" si="530">O175/$AI175</f>
        <v>0</v>
      </c>
      <c r="AY175" s="70">
        <f t="shared" si="530"/>
        <v>0</v>
      </c>
      <c r="AZ175" s="70">
        <f t="shared" si="530"/>
        <v>0</v>
      </c>
      <c r="BA175" s="70">
        <f t="shared" si="530"/>
        <v>0</v>
      </c>
      <c r="BB175" s="70">
        <f t="shared" si="530"/>
        <v>0</v>
      </c>
      <c r="BC175" s="70">
        <f t="shared" si="530"/>
        <v>0</v>
      </c>
      <c r="BD175" s="70">
        <f t="shared" si="530"/>
        <v>0</v>
      </c>
      <c r="BE175" s="70">
        <f t="shared" si="530"/>
        <v>0</v>
      </c>
      <c r="BF175" s="70">
        <f t="shared" si="530"/>
        <v>0</v>
      </c>
      <c r="BG175" s="70">
        <f t="shared" si="530"/>
        <v>0</v>
      </c>
      <c r="BH175" s="70">
        <f t="shared" si="16"/>
        <v>8.5190431538415545E-3</v>
      </c>
      <c r="BI175" s="62"/>
      <c r="BJ175" s="69">
        <v>0.158</v>
      </c>
      <c r="BK175" s="69">
        <v>0.61199999999999999</v>
      </c>
      <c r="BL175" s="69">
        <v>0</v>
      </c>
      <c r="BM175" s="69">
        <v>0.189</v>
      </c>
      <c r="BN175" s="69">
        <v>4.1000000000000002E-2</v>
      </c>
      <c r="BO175" s="69">
        <v>0</v>
      </c>
      <c r="BP175" s="69">
        <v>0</v>
      </c>
      <c r="BQ175" s="69">
        <v>0</v>
      </c>
      <c r="BR175" s="62"/>
      <c r="BS175" s="72">
        <f t="shared" ref="BS175:BW175" si="531">AP175-BJ175</f>
        <v>7.1076471879177233E-2</v>
      </c>
      <c r="BT175" s="72">
        <f t="shared" si="531"/>
        <v>-0.26164188097280688</v>
      </c>
      <c r="BU175" s="72">
        <f t="shared" si="531"/>
        <v>0.18123416395666661</v>
      </c>
      <c r="BV175" s="72">
        <f t="shared" si="531"/>
        <v>1.1921273666779808E-3</v>
      </c>
      <c r="BW175" s="72">
        <f t="shared" si="531"/>
        <v>-3.7992538355645367E-4</v>
      </c>
      <c r="BX175" s="72"/>
      <c r="BY175" s="72"/>
      <c r="BZ175" s="72">
        <f t="shared" si="18"/>
        <v>8.5190431538415545E-3</v>
      </c>
    </row>
    <row r="176" spans="1:78" ht="13.15">
      <c r="A176" s="73" t="s">
        <v>6</v>
      </c>
      <c r="B176" s="74" t="s">
        <v>395</v>
      </c>
      <c r="C176" s="75" t="s">
        <v>396</v>
      </c>
      <c r="D176" s="75" t="s">
        <v>44</v>
      </c>
      <c r="E176" s="76"/>
      <c r="F176" s="59"/>
      <c r="G176" s="60"/>
      <c r="H176" s="77">
        <v>7328</v>
      </c>
      <c r="I176" s="77">
        <v>18951</v>
      </c>
      <c r="J176" s="77">
        <v>6217</v>
      </c>
      <c r="K176" s="77">
        <v>17602</v>
      </c>
      <c r="L176" s="77">
        <v>2496</v>
      </c>
      <c r="M176" s="77"/>
      <c r="N176" s="77"/>
      <c r="O176" s="77"/>
      <c r="P176" s="77"/>
      <c r="Q176" s="77"/>
      <c r="R176" s="77">
        <v>421</v>
      </c>
      <c r="S176" s="77"/>
      <c r="T176" s="77"/>
      <c r="U176" s="77"/>
      <c r="V176" s="77"/>
      <c r="W176" s="77"/>
      <c r="X176" s="77"/>
      <c r="Y176" s="77"/>
      <c r="Z176" s="77"/>
      <c r="AA176" s="77"/>
      <c r="AB176" s="77"/>
      <c r="AC176" s="77"/>
      <c r="AD176" s="77"/>
      <c r="AE176" s="62"/>
      <c r="AF176" s="63" t="b">
        <v>0</v>
      </c>
      <c r="AG176" s="63" t="b">
        <v>0</v>
      </c>
      <c r="AH176" s="62"/>
      <c r="AI176" s="64">
        <f t="shared" si="7"/>
        <v>53015</v>
      </c>
      <c r="AJ176" s="65" t="str">
        <f t="shared" si="340"/>
        <v>CON</v>
      </c>
      <c r="AK176" s="66" t="str">
        <f t="shared" si="9"/>
        <v>HOLD</v>
      </c>
      <c r="AL176" s="67" t="e">
        <f t="shared" ca="1" si="10"/>
        <v>#NAME?</v>
      </c>
      <c r="AM176" s="68">
        <f t="shared" si="443"/>
        <v>1349</v>
      </c>
      <c r="AN176" s="69">
        <f t="shared" si="444"/>
        <v>2.5445628595680447E-2</v>
      </c>
      <c r="AO176" s="62"/>
      <c r="AP176" s="70">
        <f t="shared" ref="AP176:AT176" si="532">H176/$AI176</f>
        <v>0.13822503065170236</v>
      </c>
      <c r="AQ176" s="70">
        <f t="shared" si="532"/>
        <v>0.3574648684334622</v>
      </c>
      <c r="AR176" s="70">
        <f t="shared" si="532"/>
        <v>0.11726869753843253</v>
      </c>
      <c r="AS176" s="70">
        <f t="shared" si="532"/>
        <v>0.33201923983778175</v>
      </c>
      <c r="AT176" s="70">
        <f t="shared" si="532"/>
        <v>4.7081014807130055E-2</v>
      </c>
      <c r="AU176" s="70"/>
      <c r="AV176" s="70"/>
      <c r="AW176" s="81">
        <f t="shared" si="14"/>
        <v>7.9411487314912099E-3</v>
      </c>
      <c r="AX176" s="70">
        <f t="shared" ref="AX176:BG176" si="533">O176/$AI176</f>
        <v>0</v>
      </c>
      <c r="AY176" s="70">
        <f t="shared" si="533"/>
        <v>0</v>
      </c>
      <c r="AZ176" s="70">
        <f t="shared" si="533"/>
        <v>0</v>
      </c>
      <c r="BA176" s="70">
        <f t="shared" si="533"/>
        <v>7.9411487314910868E-3</v>
      </c>
      <c r="BB176" s="70">
        <f t="shared" si="533"/>
        <v>0</v>
      </c>
      <c r="BC176" s="70">
        <f t="shared" si="533"/>
        <v>0</v>
      </c>
      <c r="BD176" s="70">
        <f t="shared" si="533"/>
        <v>0</v>
      </c>
      <c r="BE176" s="70">
        <f t="shared" si="533"/>
        <v>0</v>
      </c>
      <c r="BF176" s="70">
        <f t="shared" si="533"/>
        <v>0</v>
      </c>
      <c r="BG176" s="70">
        <f t="shared" si="533"/>
        <v>0</v>
      </c>
      <c r="BH176" s="70">
        <f t="shared" si="16"/>
        <v>1.231653667943533E-16</v>
      </c>
      <c r="BI176" s="62"/>
      <c r="BJ176" s="69">
        <v>6.8000000000000005E-2</v>
      </c>
      <c r="BK176" s="69">
        <v>0.59399999999999997</v>
      </c>
      <c r="BL176" s="69">
        <v>0</v>
      </c>
      <c r="BM176" s="69">
        <v>0.32900000000000001</v>
      </c>
      <c r="BN176" s="69">
        <v>8.9999999999999993E-3</v>
      </c>
      <c r="BO176" s="69">
        <v>0</v>
      </c>
      <c r="BP176" s="69">
        <v>0</v>
      </c>
      <c r="BQ176" s="69">
        <v>0</v>
      </c>
      <c r="BR176" s="62"/>
      <c r="BS176" s="72">
        <f t="shared" ref="BS176:BW176" si="534">AP176-BJ176</f>
        <v>7.0225030651702353E-2</v>
      </c>
      <c r="BT176" s="72">
        <f t="shared" si="534"/>
        <v>-0.23653513156653777</v>
      </c>
      <c r="BU176" s="72">
        <f t="shared" si="534"/>
        <v>0.11726869753843253</v>
      </c>
      <c r="BV176" s="72">
        <f t="shared" si="534"/>
        <v>3.0192398377817398E-3</v>
      </c>
      <c r="BW176" s="72">
        <f t="shared" si="534"/>
        <v>3.8081014807130054E-2</v>
      </c>
      <c r="BX176" s="72"/>
      <c r="BY176" s="72"/>
      <c r="BZ176" s="72">
        <f t="shared" si="18"/>
        <v>7.9411487314912099E-3</v>
      </c>
    </row>
    <row r="177" spans="1:78" ht="13.15">
      <c r="A177" s="73" t="s">
        <v>6</v>
      </c>
      <c r="B177" s="74" t="s">
        <v>397</v>
      </c>
      <c r="C177" s="75" t="s">
        <v>398</v>
      </c>
      <c r="D177" s="75" t="s">
        <v>44</v>
      </c>
      <c r="E177" s="76"/>
      <c r="F177" s="59"/>
      <c r="G177" s="60"/>
      <c r="H177" s="77">
        <v>13347</v>
      </c>
      <c r="I177" s="77">
        <v>14816</v>
      </c>
      <c r="J177" s="77">
        <v>9884</v>
      </c>
      <c r="K177" s="77">
        <v>4158</v>
      </c>
      <c r="L177" s="77">
        <v>4218</v>
      </c>
      <c r="M177" s="77"/>
      <c r="N177" s="77"/>
      <c r="O177" s="77"/>
      <c r="P177" s="77"/>
      <c r="Q177" s="77"/>
      <c r="R177" s="77"/>
      <c r="S177" s="77"/>
      <c r="T177" s="77"/>
      <c r="U177" s="77"/>
      <c r="V177" s="77"/>
      <c r="W177" s="77"/>
      <c r="X177" s="77"/>
      <c r="Y177" s="77">
        <v>171</v>
      </c>
      <c r="Z177" s="77"/>
      <c r="AA177" s="77"/>
      <c r="AB177" s="77"/>
      <c r="AC177" s="77"/>
      <c r="AD177" s="77"/>
      <c r="AE177" s="62"/>
      <c r="AF177" s="63" t="b">
        <v>0</v>
      </c>
      <c r="AG177" s="63" t="b">
        <v>0</v>
      </c>
      <c r="AH177" s="62"/>
      <c r="AI177" s="64">
        <f t="shared" si="7"/>
        <v>46594</v>
      </c>
      <c r="AJ177" s="65" t="str">
        <f t="shared" si="340"/>
        <v>CON</v>
      </c>
      <c r="AK177" s="66" t="str">
        <f t="shared" si="9"/>
        <v>HOLD</v>
      </c>
      <c r="AL177" s="67" t="e">
        <f t="shared" ca="1" si="10"/>
        <v>#NAME?</v>
      </c>
      <c r="AM177" s="68">
        <f t="shared" si="443"/>
        <v>1469</v>
      </c>
      <c r="AN177" s="69">
        <f t="shared" si="444"/>
        <v>3.152766450615957E-2</v>
      </c>
      <c r="AO177" s="62"/>
      <c r="AP177" s="70">
        <f t="shared" ref="AP177:AT177" si="535">H177/$AI177</f>
        <v>0.2864531913980341</v>
      </c>
      <c r="AQ177" s="70">
        <f t="shared" si="535"/>
        <v>0.31798085590419367</v>
      </c>
      <c r="AR177" s="70">
        <f t="shared" si="535"/>
        <v>0.21213031720822423</v>
      </c>
      <c r="AS177" s="70">
        <f t="shared" si="535"/>
        <v>8.9238957805726063E-2</v>
      </c>
      <c r="AT177" s="70">
        <f t="shared" si="535"/>
        <v>9.0526677254582133E-2</v>
      </c>
      <c r="AU177" s="70"/>
      <c r="AV177" s="70"/>
      <c r="AW177" s="81">
        <f t="shared" si="14"/>
        <v>3.6700004292395949E-3</v>
      </c>
      <c r="AX177" s="70">
        <f t="shared" ref="AX177:BG177" si="536">O177/$AI177</f>
        <v>0</v>
      </c>
      <c r="AY177" s="70">
        <f t="shared" si="536"/>
        <v>0</v>
      </c>
      <c r="AZ177" s="70">
        <f t="shared" si="536"/>
        <v>0</v>
      </c>
      <c r="BA177" s="70">
        <f t="shared" si="536"/>
        <v>0</v>
      </c>
      <c r="BB177" s="70">
        <f t="shared" si="536"/>
        <v>0</v>
      </c>
      <c r="BC177" s="70">
        <f t="shared" si="536"/>
        <v>0</v>
      </c>
      <c r="BD177" s="70">
        <f t="shared" si="536"/>
        <v>0</v>
      </c>
      <c r="BE177" s="70">
        <f t="shared" si="536"/>
        <v>0</v>
      </c>
      <c r="BF177" s="70">
        <f t="shared" si="536"/>
        <v>0</v>
      </c>
      <c r="BG177" s="70">
        <f t="shared" si="536"/>
        <v>0</v>
      </c>
      <c r="BH177" s="70">
        <f t="shared" si="16"/>
        <v>3.6700004292395949E-3</v>
      </c>
      <c r="BI177" s="62"/>
      <c r="BJ177" s="69">
        <v>0.19900000000000001</v>
      </c>
      <c r="BK177" s="69">
        <v>0.626</v>
      </c>
      <c r="BL177" s="69">
        <v>0</v>
      </c>
      <c r="BM177" s="69">
        <v>0.125</v>
      </c>
      <c r="BN177" s="69">
        <v>4.1000000000000002E-2</v>
      </c>
      <c r="BO177" s="69">
        <v>0</v>
      </c>
      <c r="BP177" s="69">
        <v>0</v>
      </c>
      <c r="BQ177" s="69">
        <v>0.01</v>
      </c>
      <c r="BR177" s="62"/>
      <c r="BS177" s="72">
        <f t="shared" ref="BS177:BW177" si="537">AP177-BJ177</f>
        <v>8.7453191398034091E-2</v>
      </c>
      <c r="BT177" s="72">
        <f t="shared" si="537"/>
        <v>-0.30801914409580633</v>
      </c>
      <c r="BU177" s="72">
        <f t="shared" si="537"/>
        <v>0.21213031720822423</v>
      </c>
      <c r="BV177" s="72">
        <f t="shared" si="537"/>
        <v>-3.5761042194273937E-2</v>
      </c>
      <c r="BW177" s="72">
        <f t="shared" si="537"/>
        <v>4.9526677254582131E-2</v>
      </c>
      <c r="BX177" s="72"/>
      <c r="BY177" s="72"/>
      <c r="BZ177" s="72">
        <f t="shared" si="18"/>
        <v>-6.3299995707604053E-3</v>
      </c>
    </row>
    <row r="178" spans="1:78" ht="13.15">
      <c r="A178" s="78" t="s">
        <v>5</v>
      </c>
      <c r="B178" s="74" t="s">
        <v>399</v>
      </c>
      <c r="C178" s="75" t="s">
        <v>400</v>
      </c>
      <c r="D178" s="75" t="s">
        <v>68</v>
      </c>
      <c r="E178" s="76"/>
      <c r="F178" s="59"/>
      <c r="G178" s="60"/>
      <c r="H178" s="77">
        <v>16139</v>
      </c>
      <c r="I178" s="77">
        <v>8195</v>
      </c>
      <c r="J178" s="77">
        <v>5130</v>
      </c>
      <c r="K178" s="77">
        <v>1821</v>
      </c>
      <c r="L178" s="77">
        <v>2543</v>
      </c>
      <c r="M178" s="77"/>
      <c r="N178" s="77"/>
      <c r="O178" s="77">
        <v>1658</v>
      </c>
      <c r="P178" s="77"/>
      <c r="Q178" s="77"/>
      <c r="R178" s="77"/>
      <c r="S178" s="77"/>
      <c r="T178" s="77"/>
      <c r="U178" s="77"/>
      <c r="V178" s="77"/>
      <c r="W178" s="77"/>
      <c r="X178" s="77"/>
      <c r="Y178" s="77">
        <v>454</v>
      </c>
      <c r="Z178" s="77">
        <v>373</v>
      </c>
      <c r="AA178" s="77">
        <v>373</v>
      </c>
      <c r="AB178" s="77"/>
      <c r="AC178" s="77"/>
      <c r="AD178" s="77"/>
      <c r="AE178" s="62"/>
      <c r="AF178" s="63" t="b">
        <v>0</v>
      </c>
      <c r="AG178" s="63" t="b">
        <v>0</v>
      </c>
      <c r="AH178" s="62"/>
      <c r="AI178" s="64">
        <f t="shared" si="7"/>
        <v>36686</v>
      </c>
      <c r="AJ178" s="65" t="str">
        <f t="shared" si="340"/>
        <v>LAB</v>
      </c>
      <c r="AK178" s="66" t="str">
        <f t="shared" si="9"/>
        <v>HOLD</v>
      </c>
      <c r="AL178" s="67" t="e">
        <f t="shared" ca="1" si="10"/>
        <v>#NAME?</v>
      </c>
      <c r="AM178" s="68">
        <f t="shared" si="443"/>
        <v>7944</v>
      </c>
      <c r="AN178" s="69">
        <f t="shared" si="444"/>
        <v>0.21654036962328954</v>
      </c>
      <c r="AO178" s="62"/>
      <c r="AP178" s="70">
        <f t="shared" ref="AP178:AT178" si="538">H178/$AI178</f>
        <v>0.4399225862726926</v>
      </c>
      <c r="AQ178" s="70">
        <f t="shared" si="538"/>
        <v>0.22338221664940305</v>
      </c>
      <c r="AR178" s="70">
        <f t="shared" si="538"/>
        <v>0.13983535953769829</v>
      </c>
      <c r="AS178" s="70">
        <f t="shared" si="538"/>
        <v>4.963746388268004E-2</v>
      </c>
      <c r="AT178" s="70">
        <f t="shared" si="538"/>
        <v>6.9317995965763504E-2</v>
      </c>
      <c r="AU178" s="70"/>
      <c r="AV178" s="70"/>
      <c r="AW178" s="81">
        <f t="shared" si="14"/>
        <v>7.7904377691762505E-2</v>
      </c>
      <c r="AX178" s="70">
        <f t="shared" ref="AX178:BG178" si="539">O178/$AI178</f>
        <v>4.5194352068909122E-2</v>
      </c>
      <c r="AY178" s="70">
        <f t="shared" si="539"/>
        <v>0</v>
      </c>
      <c r="AZ178" s="70">
        <f t="shared" si="539"/>
        <v>0</v>
      </c>
      <c r="BA178" s="70">
        <f t="shared" si="539"/>
        <v>0</v>
      </c>
      <c r="BB178" s="70">
        <f t="shared" si="539"/>
        <v>0</v>
      </c>
      <c r="BC178" s="70">
        <f t="shared" si="539"/>
        <v>0</v>
      </c>
      <c r="BD178" s="70">
        <f t="shared" si="539"/>
        <v>0</v>
      </c>
      <c r="BE178" s="70">
        <f t="shared" si="539"/>
        <v>0</v>
      </c>
      <c r="BF178" s="70">
        <f t="shared" si="539"/>
        <v>0</v>
      </c>
      <c r="BG178" s="70">
        <f t="shared" si="539"/>
        <v>0</v>
      </c>
      <c r="BH178" s="70">
        <f t="shared" si="16"/>
        <v>3.2710025622853384E-2</v>
      </c>
      <c r="BI178" s="62"/>
      <c r="BJ178" s="69">
        <v>0.51700000000000002</v>
      </c>
      <c r="BK178" s="69">
        <v>0.35799999999999998</v>
      </c>
      <c r="BL178" s="69">
        <v>3.5000000000000003E-2</v>
      </c>
      <c r="BM178" s="69">
        <v>6.6000000000000003E-2</v>
      </c>
      <c r="BN178" s="69">
        <v>2.4E-2</v>
      </c>
      <c r="BO178" s="69">
        <v>0</v>
      </c>
      <c r="BP178" s="69">
        <v>0</v>
      </c>
      <c r="BQ178" s="69">
        <v>0</v>
      </c>
      <c r="BR178" s="62"/>
      <c r="BS178" s="72">
        <f t="shared" ref="BS178:BW178" si="540">AP178-BJ178</f>
        <v>-7.707741372730742E-2</v>
      </c>
      <c r="BT178" s="72">
        <f t="shared" si="540"/>
        <v>-0.13461778335059693</v>
      </c>
      <c r="BU178" s="72">
        <f t="shared" si="540"/>
        <v>0.10483535953769829</v>
      </c>
      <c r="BV178" s="72">
        <f t="shared" si="540"/>
        <v>-1.6362536117319963E-2</v>
      </c>
      <c r="BW178" s="72">
        <f t="shared" si="540"/>
        <v>4.5317995965763504E-2</v>
      </c>
      <c r="BX178" s="72"/>
      <c r="BY178" s="72"/>
      <c r="BZ178" s="72">
        <f t="shared" si="18"/>
        <v>7.7904377691762505E-2</v>
      </c>
    </row>
    <row r="179" spans="1:78" ht="13.15">
      <c r="A179" s="73" t="s">
        <v>6</v>
      </c>
      <c r="B179" s="74" t="s">
        <v>401</v>
      </c>
      <c r="C179" s="75" t="s">
        <v>402</v>
      </c>
      <c r="D179" s="75" t="s">
        <v>85</v>
      </c>
      <c r="E179" s="76"/>
      <c r="F179" s="59"/>
      <c r="G179" s="60"/>
      <c r="H179" s="77">
        <v>22905</v>
      </c>
      <c r="I179" s="77">
        <v>12905</v>
      </c>
      <c r="J179" s="77">
        <v>6819</v>
      </c>
      <c r="K179" s="77">
        <v>3596</v>
      </c>
      <c r="L179" s="77">
        <v>4142</v>
      </c>
      <c r="M179" s="77"/>
      <c r="N179" s="77"/>
      <c r="O179" s="77"/>
      <c r="P179" s="77"/>
      <c r="Q179" s="77"/>
      <c r="R179" s="77"/>
      <c r="S179" s="77"/>
      <c r="T179" s="77"/>
      <c r="U179" s="77"/>
      <c r="V179" s="77"/>
      <c r="W179" s="77"/>
      <c r="X179" s="77"/>
      <c r="Y179" s="77"/>
      <c r="Z179" s="77"/>
      <c r="AA179" s="77"/>
      <c r="AB179" s="77"/>
      <c r="AC179" s="77"/>
      <c r="AD179" s="77"/>
      <c r="AE179" s="62"/>
      <c r="AF179" s="63" t="b">
        <v>0</v>
      </c>
      <c r="AG179" s="63" t="b">
        <v>0</v>
      </c>
      <c r="AH179" s="62"/>
      <c r="AI179" s="64">
        <f t="shared" si="7"/>
        <v>50367</v>
      </c>
      <c r="AJ179" s="65" t="str">
        <f t="shared" si="340"/>
        <v>LAB</v>
      </c>
      <c r="AK179" s="66" t="str">
        <f t="shared" si="9"/>
        <v>GAIN</v>
      </c>
      <c r="AL179" s="67" t="e">
        <f t="shared" ca="1" si="10"/>
        <v>#NAME?</v>
      </c>
      <c r="AM179" s="68">
        <f t="shared" si="443"/>
        <v>10000</v>
      </c>
      <c r="AN179" s="69">
        <f t="shared" si="444"/>
        <v>0.19854269660690532</v>
      </c>
      <c r="AO179" s="62"/>
      <c r="AP179" s="70">
        <f t="shared" ref="AP179:AT179" si="541">H179/$AI179</f>
        <v>0.45476204657811664</v>
      </c>
      <c r="AQ179" s="70">
        <f t="shared" si="541"/>
        <v>0.25621934997121132</v>
      </c>
      <c r="AR179" s="70">
        <f t="shared" si="541"/>
        <v>0.13538626481624874</v>
      </c>
      <c r="AS179" s="70">
        <f t="shared" si="541"/>
        <v>7.1395953699843154E-2</v>
      </c>
      <c r="AT179" s="70">
        <f t="shared" si="541"/>
        <v>8.2236384934580187E-2</v>
      </c>
      <c r="AU179" s="70"/>
      <c r="AV179" s="70"/>
      <c r="AW179" s="81">
        <f t="shared" si="14"/>
        <v>0</v>
      </c>
      <c r="AX179" s="70">
        <f t="shared" ref="AX179:BG179" si="542">O179/$AI179</f>
        <v>0</v>
      </c>
      <c r="AY179" s="70">
        <f t="shared" si="542"/>
        <v>0</v>
      </c>
      <c r="AZ179" s="70">
        <f t="shared" si="542"/>
        <v>0</v>
      </c>
      <c r="BA179" s="70">
        <f t="shared" si="542"/>
        <v>0</v>
      </c>
      <c r="BB179" s="70">
        <f t="shared" si="542"/>
        <v>0</v>
      </c>
      <c r="BC179" s="70">
        <f t="shared" si="542"/>
        <v>0</v>
      </c>
      <c r="BD179" s="70">
        <f t="shared" si="542"/>
        <v>0</v>
      </c>
      <c r="BE179" s="70">
        <f t="shared" si="542"/>
        <v>0</v>
      </c>
      <c r="BF179" s="70">
        <f t="shared" si="542"/>
        <v>0</v>
      </c>
      <c r="BG179" s="70">
        <f t="shared" si="542"/>
        <v>0</v>
      </c>
      <c r="BH179" s="70">
        <f t="shared" si="16"/>
        <v>0</v>
      </c>
      <c r="BI179" s="62"/>
      <c r="BJ179" s="69">
        <v>0.35799999999999998</v>
      </c>
      <c r="BK179" s="69">
        <v>0.51</v>
      </c>
      <c r="BL179" s="69">
        <v>0</v>
      </c>
      <c r="BM179" s="69">
        <v>0.1</v>
      </c>
      <c r="BN179" s="69">
        <v>2.7E-2</v>
      </c>
      <c r="BO179" s="69">
        <v>0</v>
      </c>
      <c r="BP179" s="69">
        <v>0</v>
      </c>
      <c r="BQ179" s="69">
        <v>5.0000000000000001E-3</v>
      </c>
      <c r="BR179" s="62"/>
      <c r="BS179" s="72">
        <f t="shared" ref="BS179:BW179" si="543">AP179-BJ179</f>
        <v>9.6762046578116656E-2</v>
      </c>
      <c r="BT179" s="72">
        <f t="shared" si="543"/>
        <v>-0.25378065002878869</v>
      </c>
      <c r="BU179" s="72">
        <f t="shared" si="543"/>
        <v>0.13538626481624874</v>
      </c>
      <c r="BV179" s="72">
        <f t="shared" si="543"/>
        <v>-2.8604046300156852E-2</v>
      </c>
      <c r="BW179" s="72">
        <f t="shared" si="543"/>
        <v>5.523638493458019E-2</v>
      </c>
      <c r="BX179" s="72"/>
      <c r="BY179" s="72"/>
      <c r="BZ179" s="72">
        <f t="shared" si="18"/>
        <v>-5.0000000000000001E-3</v>
      </c>
    </row>
    <row r="180" spans="1:78" ht="13.15">
      <c r="A180" s="73" t="s">
        <v>6</v>
      </c>
      <c r="B180" s="74" t="s">
        <v>403</v>
      </c>
      <c r="C180" s="75" t="s">
        <v>404</v>
      </c>
      <c r="D180" s="75" t="s">
        <v>68</v>
      </c>
      <c r="E180" s="76"/>
      <c r="F180" s="59"/>
      <c r="G180" s="60"/>
      <c r="H180" s="77">
        <v>21857</v>
      </c>
      <c r="I180" s="77">
        <v>17276</v>
      </c>
      <c r="J180" s="77">
        <v>2598</v>
      </c>
      <c r="K180" s="77">
        <v>3375</v>
      </c>
      <c r="L180" s="77">
        <v>3107</v>
      </c>
      <c r="M180" s="77"/>
      <c r="N180" s="77"/>
      <c r="O180" s="77">
        <v>272</v>
      </c>
      <c r="P180" s="77"/>
      <c r="Q180" s="77"/>
      <c r="R180" s="77"/>
      <c r="S180" s="77"/>
      <c r="T180" s="77"/>
      <c r="U180" s="77"/>
      <c r="V180" s="77"/>
      <c r="W180" s="77"/>
      <c r="X180" s="77"/>
      <c r="Y180" s="77">
        <v>486</v>
      </c>
      <c r="Z180" s="77">
        <v>318</v>
      </c>
      <c r="AA180" s="77"/>
      <c r="AB180" s="77"/>
      <c r="AC180" s="77"/>
      <c r="AD180" s="77"/>
      <c r="AE180" s="62"/>
      <c r="AF180" s="63" t="b">
        <v>0</v>
      </c>
      <c r="AG180" s="63" t="b">
        <v>0</v>
      </c>
      <c r="AH180" s="62"/>
      <c r="AI180" s="64">
        <f t="shared" si="7"/>
        <v>49289</v>
      </c>
      <c r="AJ180" s="65" t="str">
        <f t="shared" si="340"/>
        <v>LAB</v>
      </c>
      <c r="AK180" s="66" t="str">
        <f t="shared" si="9"/>
        <v>GAIN</v>
      </c>
      <c r="AL180" s="67" t="e">
        <f t="shared" ca="1" si="10"/>
        <v>#NAME?</v>
      </c>
      <c r="AM180" s="68">
        <f t="shared" si="443"/>
        <v>4581</v>
      </c>
      <c r="AN180" s="69">
        <f t="shared" si="444"/>
        <v>9.2941629978291307E-2</v>
      </c>
      <c r="AO180" s="62"/>
      <c r="AP180" s="70">
        <f t="shared" ref="AP180:AT180" si="544">H180/$AI180</f>
        <v>0.44344579926555622</v>
      </c>
      <c r="AQ180" s="70">
        <f t="shared" si="544"/>
        <v>0.35050416928726491</v>
      </c>
      <c r="AR180" s="70">
        <f t="shared" si="544"/>
        <v>5.2709529509626894E-2</v>
      </c>
      <c r="AS180" s="70">
        <f t="shared" si="544"/>
        <v>6.8473695956501449E-2</v>
      </c>
      <c r="AT180" s="70">
        <f t="shared" si="544"/>
        <v>6.303637728499259E-2</v>
      </c>
      <c r="AU180" s="70"/>
      <c r="AV180" s="70"/>
      <c r="AW180" s="81">
        <f t="shared" si="14"/>
        <v>2.1830428696058002E-2</v>
      </c>
      <c r="AX180" s="70">
        <f t="shared" ref="AX180:BG180" si="545">O180/$AI180</f>
        <v>5.5184726815313764E-3</v>
      </c>
      <c r="AY180" s="70">
        <f t="shared" si="545"/>
        <v>0</v>
      </c>
      <c r="AZ180" s="70">
        <f t="shared" si="545"/>
        <v>0</v>
      </c>
      <c r="BA180" s="70">
        <f t="shared" si="545"/>
        <v>0</v>
      </c>
      <c r="BB180" s="70">
        <f t="shared" si="545"/>
        <v>0</v>
      </c>
      <c r="BC180" s="70">
        <f t="shared" si="545"/>
        <v>0</v>
      </c>
      <c r="BD180" s="70">
        <f t="shared" si="545"/>
        <v>0</v>
      </c>
      <c r="BE180" s="70">
        <f t="shared" si="545"/>
        <v>0</v>
      </c>
      <c r="BF180" s="70">
        <f t="shared" si="545"/>
        <v>0</v>
      </c>
      <c r="BG180" s="70">
        <f t="shared" si="545"/>
        <v>0</v>
      </c>
      <c r="BH180" s="70">
        <f t="shared" si="16"/>
        <v>1.6311956014526625E-2</v>
      </c>
      <c r="BI180" s="62"/>
      <c r="BJ180" s="69">
        <v>0.24399999999999999</v>
      </c>
      <c r="BK180" s="69">
        <v>0.438</v>
      </c>
      <c r="BL180" s="69">
        <v>0</v>
      </c>
      <c r="BM180" s="69">
        <v>0.318</v>
      </c>
      <c r="BN180" s="69">
        <v>0</v>
      </c>
      <c r="BO180" s="69">
        <v>0</v>
      </c>
      <c r="BP180" s="69">
        <v>0</v>
      </c>
      <c r="BQ180" s="69">
        <v>0</v>
      </c>
      <c r="BR180" s="62"/>
      <c r="BS180" s="72">
        <f t="shared" ref="BS180:BW180" si="546">AP180-BJ180</f>
        <v>0.19944579926555622</v>
      </c>
      <c r="BT180" s="72">
        <f t="shared" si="546"/>
        <v>-8.749583071273509E-2</v>
      </c>
      <c r="BU180" s="72">
        <f t="shared" si="546"/>
        <v>5.2709529509626894E-2</v>
      </c>
      <c r="BV180" s="72">
        <f t="shared" si="546"/>
        <v>-0.24952630404349857</v>
      </c>
      <c r="BW180" s="72">
        <f t="shared" si="546"/>
        <v>6.303637728499259E-2</v>
      </c>
      <c r="BX180" s="72"/>
      <c r="BY180" s="72"/>
      <c r="BZ180" s="72">
        <f t="shared" si="18"/>
        <v>2.1830428696058002E-2</v>
      </c>
    </row>
    <row r="181" spans="1:78" ht="13.15">
      <c r="A181" s="73" t="s">
        <v>6</v>
      </c>
      <c r="B181" s="74" t="s">
        <v>405</v>
      </c>
      <c r="C181" s="75" t="s">
        <v>406</v>
      </c>
      <c r="D181" s="75" t="s">
        <v>44</v>
      </c>
      <c r="E181" s="76"/>
      <c r="F181" s="59"/>
      <c r="G181" s="60"/>
      <c r="H181" s="77">
        <v>15020</v>
      </c>
      <c r="I181" s="77">
        <v>11291</v>
      </c>
      <c r="J181" s="77">
        <v>10685</v>
      </c>
      <c r="K181" s="77">
        <v>1736</v>
      </c>
      <c r="L181" s="77">
        <v>3954</v>
      </c>
      <c r="M181" s="77"/>
      <c r="N181" s="77"/>
      <c r="O181" s="77"/>
      <c r="P181" s="77"/>
      <c r="Q181" s="77"/>
      <c r="R181" s="77"/>
      <c r="S181" s="77"/>
      <c r="T181" s="77"/>
      <c r="U181" s="77"/>
      <c r="V181" s="77"/>
      <c r="W181" s="77"/>
      <c r="X181" s="77"/>
      <c r="Y181" s="77">
        <v>249</v>
      </c>
      <c r="Z181" s="77">
        <v>240</v>
      </c>
      <c r="AA181" s="77">
        <v>71</v>
      </c>
      <c r="AB181" s="77"/>
      <c r="AC181" s="77"/>
      <c r="AD181" s="77"/>
      <c r="AE181" s="62"/>
      <c r="AF181" s="63" t="b">
        <v>0</v>
      </c>
      <c r="AG181" s="63" t="b">
        <v>0</v>
      </c>
      <c r="AH181" s="62"/>
      <c r="AI181" s="64">
        <f t="shared" si="7"/>
        <v>43246</v>
      </c>
      <c r="AJ181" s="65" t="str">
        <f t="shared" si="340"/>
        <v>LAB</v>
      </c>
      <c r="AK181" s="66" t="str">
        <f t="shared" si="9"/>
        <v>GAIN</v>
      </c>
      <c r="AL181" s="67" t="e">
        <f t="shared" ca="1" si="10"/>
        <v>#NAME?</v>
      </c>
      <c r="AM181" s="68">
        <f t="shared" si="443"/>
        <v>3729</v>
      </c>
      <c r="AN181" s="69">
        <f t="shared" si="444"/>
        <v>8.6227627988715694E-2</v>
      </c>
      <c r="AO181" s="62"/>
      <c r="AP181" s="70">
        <f t="shared" ref="AP181:AT181" si="547">H181/$AI181</f>
        <v>0.34731535864588631</v>
      </c>
      <c r="AQ181" s="70">
        <f t="shared" si="547"/>
        <v>0.26108773065717061</v>
      </c>
      <c r="AR181" s="70">
        <f t="shared" si="547"/>
        <v>0.24707487397678399</v>
      </c>
      <c r="AS181" s="70">
        <f t="shared" si="547"/>
        <v>4.0142440919391391E-2</v>
      </c>
      <c r="AT181" s="70">
        <f t="shared" si="547"/>
        <v>9.1430421310641441E-2</v>
      </c>
      <c r="AU181" s="70"/>
      <c r="AV181" s="70"/>
      <c r="AW181" s="81">
        <f t="shared" si="14"/>
        <v>1.2949174490126225E-2</v>
      </c>
      <c r="AX181" s="70">
        <f t="shared" ref="AX181:BG181" si="548">O181/$AI181</f>
        <v>0</v>
      </c>
      <c r="AY181" s="70">
        <f t="shared" si="548"/>
        <v>0</v>
      </c>
      <c r="AZ181" s="70">
        <f t="shared" si="548"/>
        <v>0</v>
      </c>
      <c r="BA181" s="70">
        <f t="shared" si="548"/>
        <v>0</v>
      </c>
      <c r="BB181" s="70">
        <f t="shared" si="548"/>
        <v>0</v>
      </c>
      <c r="BC181" s="70">
        <f t="shared" si="548"/>
        <v>0</v>
      </c>
      <c r="BD181" s="70">
        <f t="shared" si="548"/>
        <v>0</v>
      </c>
      <c r="BE181" s="70">
        <f t="shared" si="548"/>
        <v>0</v>
      </c>
      <c r="BF181" s="70">
        <f t="shared" si="548"/>
        <v>0</v>
      </c>
      <c r="BG181" s="70">
        <f t="shared" si="548"/>
        <v>0</v>
      </c>
      <c r="BH181" s="70">
        <f t="shared" si="16"/>
        <v>1.2949174490126225E-2</v>
      </c>
      <c r="BI181" s="62"/>
      <c r="BJ181" s="69">
        <v>0.26800000000000002</v>
      </c>
      <c r="BK181" s="69">
        <v>0.56299999999999994</v>
      </c>
      <c r="BL181" s="69">
        <v>0</v>
      </c>
      <c r="BM181" s="69">
        <v>0.1</v>
      </c>
      <c r="BN181" s="69">
        <v>4.9000000000000002E-2</v>
      </c>
      <c r="BO181" s="69">
        <v>0</v>
      </c>
      <c r="BP181" s="69">
        <v>0</v>
      </c>
      <c r="BQ181" s="69">
        <v>0.02</v>
      </c>
      <c r="BR181" s="62"/>
      <c r="BS181" s="72">
        <f t="shared" ref="BS181:BW181" si="549">AP181-BJ181</f>
        <v>7.9315358645886291E-2</v>
      </c>
      <c r="BT181" s="72">
        <f t="shared" si="549"/>
        <v>-0.30191226934282933</v>
      </c>
      <c r="BU181" s="72">
        <f t="shared" si="549"/>
        <v>0.24707487397678399</v>
      </c>
      <c r="BV181" s="72">
        <f t="shared" si="549"/>
        <v>-5.9857559080608615E-2</v>
      </c>
      <c r="BW181" s="72">
        <f t="shared" si="549"/>
        <v>4.2430421310641439E-2</v>
      </c>
      <c r="BX181" s="72"/>
      <c r="BY181" s="72"/>
      <c r="BZ181" s="72">
        <f t="shared" si="18"/>
        <v>-7.0508255098737753E-3</v>
      </c>
    </row>
    <row r="182" spans="1:78" ht="13.15">
      <c r="A182" s="73" t="s">
        <v>6</v>
      </c>
      <c r="B182" s="74" t="s">
        <v>407</v>
      </c>
      <c r="C182" s="75" t="s">
        <v>408</v>
      </c>
      <c r="D182" s="75" t="s">
        <v>85</v>
      </c>
      <c r="E182" s="76"/>
      <c r="F182" s="59"/>
      <c r="G182" s="60"/>
      <c r="H182" s="77">
        <v>16373</v>
      </c>
      <c r="I182" s="77">
        <v>16095</v>
      </c>
      <c r="J182" s="77">
        <v>8194</v>
      </c>
      <c r="K182" s="77">
        <v>2604</v>
      </c>
      <c r="L182" s="77">
        <v>4735</v>
      </c>
      <c r="M182" s="77"/>
      <c r="N182" s="77"/>
      <c r="O182" s="77"/>
      <c r="P182" s="77"/>
      <c r="Q182" s="77"/>
      <c r="R182" s="77"/>
      <c r="S182" s="77"/>
      <c r="T182" s="77"/>
      <c r="U182" s="77"/>
      <c r="V182" s="77"/>
      <c r="W182" s="77"/>
      <c r="X182" s="77"/>
      <c r="Y182" s="77">
        <v>90</v>
      </c>
      <c r="Z182" s="77"/>
      <c r="AA182" s="77"/>
      <c r="AB182" s="77"/>
      <c r="AC182" s="77"/>
      <c r="AD182" s="77"/>
      <c r="AE182" s="62"/>
      <c r="AF182" s="63" t="b">
        <v>0</v>
      </c>
      <c r="AG182" s="63" t="b">
        <v>0</v>
      </c>
      <c r="AH182" s="62"/>
      <c r="AI182" s="64">
        <f t="shared" si="7"/>
        <v>48091</v>
      </c>
      <c r="AJ182" s="65" t="str">
        <f t="shared" si="340"/>
        <v>LAB</v>
      </c>
      <c r="AK182" s="66" t="str">
        <f t="shared" si="9"/>
        <v>GAIN</v>
      </c>
      <c r="AL182" s="67" t="e">
        <f t="shared" ca="1" si="10"/>
        <v>#NAME?</v>
      </c>
      <c r="AM182" s="68">
        <f t="shared" si="443"/>
        <v>278</v>
      </c>
      <c r="AN182" s="69">
        <f t="shared" si="444"/>
        <v>5.7807074088706556E-3</v>
      </c>
      <c r="AO182" s="62"/>
      <c r="AP182" s="70">
        <f t="shared" ref="AP182:AT182" si="550">H182/$AI182</f>
        <v>0.34045871368863195</v>
      </c>
      <c r="AQ182" s="70">
        <f t="shared" si="550"/>
        <v>0.3346780062797613</v>
      </c>
      <c r="AR182" s="70">
        <f t="shared" si="550"/>
        <v>0.17038531118088623</v>
      </c>
      <c r="AS182" s="70">
        <f t="shared" si="550"/>
        <v>5.4147345657191571E-2</v>
      </c>
      <c r="AT182" s="70">
        <f t="shared" si="550"/>
        <v>9.8459171154685901E-2</v>
      </c>
      <c r="AU182" s="70"/>
      <c r="AV182" s="70"/>
      <c r="AW182" s="81">
        <f t="shared" si="14"/>
        <v>1.8714520388429801E-3</v>
      </c>
      <c r="AX182" s="70">
        <f t="shared" ref="AX182:BG182" si="551">O182/$AI182</f>
        <v>0</v>
      </c>
      <c r="AY182" s="70">
        <f t="shared" si="551"/>
        <v>0</v>
      </c>
      <c r="AZ182" s="70">
        <f t="shared" si="551"/>
        <v>0</v>
      </c>
      <c r="BA182" s="70">
        <f t="shared" si="551"/>
        <v>0</v>
      </c>
      <c r="BB182" s="70">
        <f t="shared" si="551"/>
        <v>0</v>
      </c>
      <c r="BC182" s="70">
        <f t="shared" si="551"/>
        <v>0</v>
      </c>
      <c r="BD182" s="70">
        <f t="shared" si="551"/>
        <v>0</v>
      </c>
      <c r="BE182" s="70">
        <f t="shared" si="551"/>
        <v>0</v>
      </c>
      <c r="BF182" s="70">
        <f t="shared" si="551"/>
        <v>0</v>
      </c>
      <c r="BG182" s="70">
        <f t="shared" si="551"/>
        <v>0</v>
      </c>
      <c r="BH182" s="70">
        <f t="shared" si="16"/>
        <v>1.8714520388429801E-3</v>
      </c>
      <c r="BI182" s="62"/>
      <c r="BJ182" s="69">
        <v>0.28799999999999998</v>
      </c>
      <c r="BK182" s="69">
        <v>0.59599999999999997</v>
      </c>
      <c r="BL182" s="69">
        <v>0</v>
      </c>
      <c r="BM182" s="69">
        <v>0</v>
      </c>
      <c r="BN182" s="69">
        <v>9.0999999999999998E-2</v>
      </c>
      <c r="BO182" s="69">
        <v>0</v>
      </c>
      <c r="BP182" s="69">
        <v>0</v>
      </c>
      <c r="BQ182" s="69">
        <v>2.5000000000000001E-2</v>
      </c>
      <c r="BR182" s="62"/>
      <c r="BS182" s="72">
        <f t="shared" ref="BS182:BW182" si="552">AP182-BJ182</f>
        <v>5.2458713688631975E-2</v>
      </c>
      <c r="BT182" s="72">
        <f t="shared" si="552"/>
        <v>-0.26132199372023868</v>
      </c>
      <c r="BU182" s="72">
        <f t="shared" si="552"/>
        <v>0.17038531118088623</v>
      </c>
      <c r="BV182" s="72">
        <f t="shared" si="552"/>
        <v>5.4147345657191571E-2</v>
      </c>
      <c r="BW182" s="72">
        <f t="shared" si="552"/>
        <v>7.4591711546859035E-3</v>
      </c>
      <c r="BX182" s="72"/>
      <c r="BY182" s="72"/>
      <c r="BZ182" s="72">
        <f t="shared" si="18"/>
        <v>-2.3128547961157021E-2</v>
      </c>
    </row>
    <row r="183" spans="1:78" ht="13.15">
      <c r="A183" s="73" t="s">
        <v>6</v>
      </c>
      <c r="B183" s="74" t="s">
        <v>409</v>
      </c>
      <c r="C183" s="75" t="s">
        <v>410</v>
      </c>
      <c r="D183" s="75" t="s">
        <v>85</v>
      </c>
      <c r="E183" s="76"/>
      <c r="F183" s="59"/>
      <c r="G183" s="60"/>
      <c r="H183" s="77">
        <v>6416</v>
      </c>
      <c r="I183" s="77">
        <v>11165</v>
      </c>
      <c r="J183" s="77">
        <v>6441</v>
      </c>
      <c r="K183" s="77">
        <v>16580</v>
      </c>
      <c r="L183" s="77">
        <v>5083</v>
      </c>
      <c r="M183" s="77"/>
      <c r="N183" s="77"/>
      <c r="O183" s="77">
        <v>737</v>
      </c>
      <c r="P183" s="77"/>
      <c r="Q183" s="77"/>
      <c r="R183" s="77"/>
      <c r="S183" s="77"/>
      <c r="T183" s="77"/>
      <c r="U183" s="77"/>
      <c r="V183" s="77"/>
      <c r="W183" s="77"/>
      <c r="X183" s="77"/>
      <c r="Y183" s="77">
        <v>294</v>
      </c>
      <c r="Z183" s="77"/>
      <c r="AA183" s="77"/>
      <c r="AB183" s="77"/>
      <c r="AC183" s="77"/>
      <c r="AD183" s="77"/>
      <c r="AE183" s="62"/>
      <c r="AF183" s="63" t="b">
        <v>0</v>
      </c>
      <c r="AG183" s="63" t="b">
        <v>0</v>
      </c>
      <c r="AH183" s="62"/>
      <c r="AI183" s="64">
        <f t="shared" si="7"/>
        <v>46716</v>
      </c>
      <c r="AJ183" s="65" t="str">
        <f t="shared" si="340"/>
        <v>LDM</v>
      </c>
      <c r="AK183" s="66" t="str">
        <f t="shared" si="9"/>
        <v>GAIN</v>
      </c>
      <c r="AL183" s="67" t="e">
        <f t="shared" ca="1" si="10"/>
        <v>#NAME?</v>
      </c>
      <c r="AM183" s="68">
        <f t="shared" si="443"/>
        <v>5415</v>
      </c>
      <c r="AN183" s="69">
        <f t="shared" si="444"/>
        <v>0.11591317749807348</v>
      </c>
      <c r="AO183" s="62"/>
      <c r="AP183" s="70">
        <f t="shared" ref="AP183:AT183" si="553">H183/$AI183</f>
        <v>0.13734052572994263</v>
      </c>
      <c r="AQ183" s="70">
        <f t="shared" si="553"/>
        <v>0.23899734566315609</v>
      </c>
      <c r="AR183" s="70">
        <f t="shared" si="553"/>
        <v>0.13787567428718212</v>
      </c>
      <c r="AS183" s="70">
        <f t="shared" si="553"/>
        <v>0.35491052316122956</v>
      </c>
      <c r="AT183" s="70">
        <f t="shared" si="553"/>
        <v>0.10880640465793304</v>
      </c>
      <c r="AU183" s="70"/>
      <c r="AV183" s="70"/>
      <c r="AW183" s="81">
        <f t="shared" si="14"/>
        <v>2.2069526500556713E-2</v>
      </c>
      <c r="AX183" s="70">
        <f t="shared" ref="AX183:BG183" si="554">O183/$AI183</f>
        <v>1.5776179467420156E-2</v>
      </c>
      <c r="AY183" s="70">
        <f t="shared" si="554"/>
        <v>0</v>
      </c>
      <c r="AZ183" s="70">
        <f t="shared" si="554"/>
        <v>0</v>
      </c>
      <c r="BA183" s="70">
        <f t="shared" si="554"/>
        <v>0</v>
      </c>
      <c r="BB183" s="70">
        <f t="shared" si="554"/>
        <v>0</v>
      </c>
      <c r="BC183" s="70">
        <f t="shared" si="554"/>
        <v>0</v>
      </c>
      <c r="BD183" s="70">
        <f t="shared" si="554"/>
        <v>0</v>
      </c>
      <c r="BE183" s="70">
        <f t="shared" si="554"/>
        <v>0</v>
      </c>
      <c r="BF183" s="70">
        <f t="shared" si="554"/>
        <v>0</v>
      </c>
      <c r="BG183" s="70">
        <f t="shared" si="554"/>
        <v>0</v>
      </c>
      <c r="BH183" s="70">
        <f t="shared" si="16"/>
        <v>6.2933470331365572E-3</v>
      </c>
      <c r="BI183" s="62"/>
      <c r="BJ183" s="69">
        <v>0.21199999999999999</v>
      </c>
      <c r="BK183" s="69">
        <v>0.49299999999999999</v>
      </c>
      <c r="BL183" s="69">
        <v>0</v>
      </c>
      <c r="BM183" s="69">
        <v>0.23499999999999999</v>
      </c>
      <c r="BN183" s="69">
        <v>6.0999999999999999E-2</v>
      </c>
      <c r="BO183" s="69">
        <v>0</v>
      </c>
      <c r="BP183" s="69">
        <v>0</v>
      </c>
      <c r="BQ183" s="69">
        <v>0</v>
      </c>
      <c r="BR183" s="62"/>
      <c r="BS183" s="72">
        <f t="shared" ref="BS183:BW183" si="555">AP183-BJ183</f>
        <v>-7.4659474270057369E-2</v>
      </c>
      <c r="BT183" s="72">
        <f t="shared" si="555"/>
        <v>-0.25400265433684388</v>
      </c>
      <c r="BU183" s="72">
        <f t="shared" si="555"/>
        <v>0.13787567428718212</v>
      </c>
      <c r="BV183" s="72">
        <f t="shared" si="555"/>
        <v>0.11991052316122958</v>
      </c>
      <c r="BW183" s="72">
        <f t="shared" si="555"/>
        <v>4.7806404657933038E-2</v>
      </c>
      <c r="BX183" s="72"/>
      <c r="BY183" s="72"/>
      <c r="BZ183" s="72">
        <f t="shared" si="18"/>
        <v>2.2069526500556713E-2</v>
      </c>
    </row>
    <row r="184" spans="1:78" ht="13.15">
      <c r="A184" s="73" t="s">
        <v>6</v>
      </c>
      <c r="B184" s="74" t="s">
        <v>411</v>
      </c>
      <c r="C184" s="75" t="s">
        <v>412</v>
      </c>
      <c r="D184" s="75" t="s">
        <v>50</v>
      </c>
      <c r="E184" s="76"/>
      <c r="F184" s="59"/>
      <c r="G184" s="60"/>
      <c r="H184" s="77">
        <v>15356</v>
      </c>
      <c r="I184" s="77">
        <v>15917</v>
      </c>
      <c r="J184" s="77">
        <v>8295</v>
      </c>
      <c r="K184" s="77">
        <v>2120</v>
      </c>
      <c r="L184" s="77">
        <v>1560</v>
      </c>
      <c r="M184" s="77"/>
      <c r="N184" s="77"/>
      <c r="O184" s="77">
        <v>4513</v>
      </c>
      <c r="P184" s="77"/>
      <c r="Q184" s="77"/>
      <c r="R184" s="77"/>
      <c r="S184" s="77"/>
      <c r="T184" s="77"/>
      <c r="U184" s="77"/>
      <c r="V184" s="77"/>
      <c r="W184" s="77"/>
      <c r="X184" s="77"/>
      <c r="Y184" s="77">
        <v>199</v>
      </c>
      <c r="Z184" s="77"/>
      <c r="AA184" s="77"/>
      <c r="AB184" s="77"/>
      <c r="AC184" s="77"/>
      <c r="AD184" s="77"/>
      <c r="AE184" s="62"/>
      <c r="AF184" s="63" t="b">
        <v>0</v>
      </c>
      <c r="AG184" s="63" t="b">
        <v>0</v>
      </c>
      <c r="AH184" s="62"/>
      <c r="AI184" s="64">
        <f t="shared" si="7"/>
        <v>47960</v>
      </c>
      <c r="AJ184" s="65" t="str">
        <f t="shared" si="340"/>
        <v>CON</v>
      </c>
      <c r="AK184" s="66" t="str">
        <f t="shared" si="9"/>
        <v>HOLD</v>
      </c>
      <c r="AL184" s="67" t="e">
        <f t="shared" ca="1" si="10"/>
        <v>#NAME?</v>
      </c>
      <c r="AM184" s="68">
        <f t="shared" si="443"/>
        <v>561</v>
      </c>
      <c r="AN184" s="69">
        <f t="shared" si="444"/>
        <v>1.1697247706422054E-2</v>
      </c>
      <c r="AO184" s="62"/>
      <c r="AP184" s="70">
        <f t="shared" ref="AP184:AT184" si="556">H184/$AI184</f>
        <v>0.3201834862385321</v>
      </c>
      <c r="AQ184" s="70">
        <f t="shared" si="556"/>
        <v>0.33188073394495415</v>
      </c>
      <c r="AR184" s="70">
        <f t="shared" si="556"/>
        <v>0.17295663052543786</v>
      </c>
      <c r="AS184" s="70">
        <f t="shared" si="556"/>
        <v>4.4203502919099247E-2</v>
      </c>
      <c r="AT184" s="70">
        <f t="shared" si="556"/>
        <v>3.2527105921601338E-2</v>
      </c>
      <c r="AU184" s="70"/>
      <c r="AV184" s="70"/>
      <c r="AW184" s="81">
        <f t="shared" si="14"/>
        <v>9.8248540450375232E-2</v>
      </c>
      <c r="AX184" s="70">
        <f t="shared" ref="AX184:BG184" si="557">O184/$AI184</f>
        <v>9.4099249374478736E-2</v>
      </c>
      <c r="AY184" s="70">
        <f t="shared" si="557"/>
        <v>0</v>
      </c>
      <c r="AZ184" s="70">
        <f t="shared" si="557"/>
        <v>0</v>
      </c>
      <c r="BA184" s="70">
        <f t="shared" si="557"/>
        <v>0</v>
      </c>
      <c r="BB184" s="70">
        <f t="shared" si="557"/>
        <v>0</v>
      </c>
      <c r="BC184" s="70">
        <f t="shared" si="557"/>
        <v>0</v>
      </c>
      <c r="BD184" s="70">
        <f t="shared" si="557"/>
        <v>0</v>
      </c>
      <c r="BE184" s="70">
        <f t="shared" si="557"/>
        <v>0</v>
      </c>
      <c r="BF184" s="70">
        <f t="shared" si="557"/>
        <v>0</v>
      </c>
      <c r="BG184" s="70">
        <f t="shared" si="557"/>
        <v>0</v>
      </c>
      <c r="BH184" s="70">
        <f t="shared" si="16"/>
        <v>4.1492910758964968E-3</v>
      </c>
      <c r="BI184" s="62"/>
      <c r="BJ184" s="69">
        <v>0.252</v>
      </c>
      <c r="BK184" s="69">
        <v>0.622</v>
      </c>
      <c r="BL184" s="69">
        <v>0</v>
      </c>
      <c r="BM184" s="69">
        <v>7.3999999999999996E-2</v>
      </c>
      <c r="BN184" s="69">
        <v>3.5000000000000003E-2</v>
      </c>
      <c r="BO184" s="69">
        <v>0</v>
      </c>
      <c r="BP184" s="69">
        <v>0</v>
      </c>
      <c r="BQ184" s="69">
        <v>1.7999999999999999E-2</v>
      </c>
      <c r="BR184" s="62"/>
      <c r="BS184" s="72">
        <f t="shared" ref="BS184:BW184" si="558">AP184-BJ184</f>
        <v>6.8183486238532098E-2</v>
      </c>
      <c r="BT184" s="72">
        <f t="shared" si="558"/>
        <v>-0.29011926605504584</v>
      </c>
      <c r="BU184" s="72">
        <f t="shared" si="558"/>
        <v>0.17295663052543786</v>
      </c>
      <c r="BV184" s="72">
        <f t="shared" si="558"/>
        <v>-2.979649708090075E-2</v>
      </c>
      <c r="BW184" s="72">
        <f t="shared" si="558"/>
        <v>-2.4728940783986658E-3</v>
      </c>
      <c r="BX184" s="72"/>
      <c r="BY184" s="72"/>
      <c r="BZ184" s="72">
        <f t="shared" si="18"/>
        <v>8.024854045037523E-2</v>
      </c>
    </row>
    <row r="185" spans="1:78" ht="13.15">
      <c r="A185" s="73" t="s">
        <v>6</v>
      </c>
      <c r="B185" s="74" t="s">
        <v>413</v>
      </c>
      <c r="C185" s="75" t="s">
        <v>414</v>
      </c>
      <c r="D185" s="75" t="s">
        <v>53</v>
      </c>
      <c r="E185" s="76"/>
      <c r="F185" s="59"/>
      <c r="G185" s="60"/>
      <c r="H185" s="77">
        <v>13104</v>
      </c>
      <c r="I185" s="77">
        <v>16636</v>
      </c>
      <c r="J185" s="77">
        <v>9916</v>
      </c>
      <c r="K185" s="77">
        <v>5001</v>
      </c>
      <c r="L185" s="77">
        <v>1832</v>
      </c>
      <c r="M185" s="77"/>
      <c r="N185" s="77"/>
      <c r="O185" s="77"/>
      <c r="P185" s="77"/>
      <c r="Q185" s="77">
        <v>196</v>
      </c>
      <c r="R185" s="77"/>
      <c r="S185" s="77"/>
      <c r="T185" s="77"/>
      <c r="U185" s="77"/>
      <c r="V185" s="77"/>
      <c r="W185" s="77"/>
      <c r="X185" s="77"/>
      <c r="Y185" s="77"/>
      <c r="Z185" s="77"/>
      <c r="AA185" s="77"/>
      <c r="AB185" s="77"/>
      <c r="AC185" s="77"/>
      <c r="AD185" s="77"/>
      <c r="AE185" s="62"/>
      <c r="AF185" s="63" t="b">
        <v>0</v>
      </c>
      <c r="AG185" s="63" t="b">
        <v>0</v>
      </c>
      <c r="AH185" s="62"/>
      <c r="AI185" s="64">
        <f t="shared" si="7"/>
        <v>46685</v>
      </c>
      <c r="AJ185" s="65" t="str">
        <f t="shared" si="340"/>
        <v>CON</v>
      </c>
      <c r="AK185" s="66" t="str">
        <f t="shared" si="9"/>
        <v>HOLD</v>
      </c>
      <c r="AL185" s="67" t="e">
        <f t="shared" ca="1" si="10"/>
        <v>#NAME?</v>
      </c>
      <c r="AM185" s="68">
        <f t="shared" si="443"/>
        <v>3532</v>
      </c>
      <c r="AN185" s="69">
        <f t="shared" si="444"/>
        <v>7.5655992288743756E-2</v>
      </c>
      <c r="AO185" s="62"/>
      <c r="AP185" s="70">
        <f t="shared" ref="AP185:AT185" si="559">H185/$AI185</f>
        <v>0.28068972903502193</v>
      </c>
      <c r="AQ185" s="70">
        <f t="shared" si="559"/>
        <v>0.35634572132376569</v>
      </c>
      <c r="AR185" s="70">
        <f t="shared" si="559"/>
        <v>0.21240227053657493</v>
      </c>
      <c r="AS185" s="70">
        <f t="shared" si="559"/>
        <v>0.10712220199207455</v>
      </c>
      <c r="AT185" s="70">
        <f t="shared" si="559"/>
        <v>3.9241726464603194E-2</v>
      </c>
      <c r="AU185" s="70"/>
      <c r="AV185" s="70"/>
      <c r="AW185" s="81">
        <f t="shared" si="14"/>
        <v>4.1983506479597033E-3</v>
      </c>
      <c r="AX185" s="70">
        <f t="shared" ref="AX185:BG185" si="560">O185/$AI185</f>
        <v>0</v>
      </c>
      <c r="AY185" s="70">
        <f t="shared" si="560"/>
        <v>0</v>
      </c>
      <c r="AZ185" s="70">
        <f t="shared" si="560"/>
        <v>4.1983506479597301E-3</v>
      </c>
      <c r="BA185" s="70">
        <f t="shared" si="560"/>
        <v>0</v>
      </c>
      <c r="BB185" s="70">
        <f t="shared" si="560"/>
        <v>0</v>
      </c>
      <c r="BC185" s="70">
        <f t="shared" si="560"/>
        <v>0</v>
      </c>
      <c r="BD185" s="70">
        <f t="shared" si="560"/>
        <v>0</v>
      </c>
      <c r="BE185" s="70">
        <f t="shared" si="560"/>
        <v>0</v>
      </c>
      <c r="BF185" s="70">
        <f t="shared" si="560"/>
        <v>0</v>
      </c>
      <c r="BG185" s="70">
        <f t="shared" si="560"/>
        <v>0</v>
      </c>
      <c r="BH185" s="70">
        <f t="shared" si="16"/>
        <v>-2.688821387764051E-17</v>
      </c>
      <c r="BI185" s="62"/>
      <c r="BJ185" s="69">
        <v>0.21199999999999999</v>
      </c>
      <c r="BK185" s="69">
        <v>0.66300000000000003</v>
      </c>
      <c r="BL185" s="69">
        <v>0</v>
      </c>
      <c r="BM185" s="69">
        <v>0.104</v>
      </c>
      <c r="BN185" s="69">
        <v>0</v>
      </c>
      <c r="BO185" s="69">
        <v>0</v>
      </c>
      <c r="BP185" s="69">
        <v>0</v>
      </c>
      <c r="BQ185" s="69">
        <v>2.1999999999999999E-2</v>
      </c>
      <c r="BR185" s="62"/>
      <c r="BS185" s="72">
        <f t="shared" ref="BS185:BW185" si="561">AP185-BJ185</f>
        <v>6.8689729035021935E-2</v>
      </c>
      <c r="BT185" s="72">
        <f t="shared" si="561"/>
        <v>-0.30665427867623435</v>
      </c>
      <c r="BU185" s="72">
        <f t="shared" si="561"/>
        <v>0.21240227053657493</v>
      </c>
      <c r="BV185" s="72">
        <f t="shared" si="561"/>
        <v>3.1222019920745525E-3</v>
      </c>
      <c r="BW185" s="72">
        <f t="shared" si="561"/>
        <v>3.9241726464603194E-2</v>
      </c>
      <c r="BX185" s="72"/>
      <c r="BY185" s="72"/>
      <c r="BZ185" s="72">
        <f t="shared" si="18"/>
        <v>-1.7801649352040295E-2</v>
      </c>
    </row>
    <row r="186" spans="1:78" ht="13.15">
      <c r="A186" s="78" t="s">
        <v>5</v>
      </c>
      <c r="B186" s="74" t="s">
        <v>415</v>
      </c>
      <c r="C186" s="75" t="s">
        <v>416</v>
      </c>
      <c r="D186" s="75" t="s">
        <v>129</v>
      </c>
      <c r="E186" s="76"/>
      <c r="F186" s="59"/>
      <c r="G186" s="60"/>
      <c r="H186" s="77">
        <v>18245</v>
      </c>
      <c r="I186" s="77">
        <v>4628</v>
      </c>
      <c r="J186" s="77">
        <v>8601</v>
      </c>
      <c r="K186" s="77">
        <v>4987</v>
      </c>
      <c r="L186" s="77">
        <v>3217</v>
      </c>
      <c r="M186" s="77"/>
      <c r="N186" s="77"/>
      <c r="O186" s="77"/>
      <c r="P186" s="77"/>
      <c r="Q186" s="77"/>
      <c r="R186" s="77"/>
      <c r="S186" s="77"/>
      <c r="T186" s="77"/>
      <c r="U186" s="77"/>
      <c r="V186" s="77"/>
      <c r="W186" s="77"/>
      <c r="X186" s="77"/>
      <c r="Y186" s="77">
        <v>369</v>
      </c>
      <c r="Z186" s="77">
        <v>170</v>
      </c>
      <c r="AA186" s="77"/>
      <c r="AB186" s="77"/>
      <c r="AC186" s="77"/>
      <c r="AD186" s="77"/>
      <c r="AE186" s="62"/>
      <c r="AF186" s="63" t="b">
        <v>0</v>
      </c>
      <c r="AG186" s="63" t="b">
        <v>0</v>
      </c>
      <c r="AH186" s="62"/>
      <c r="AI186" s="64">
        <f t="shared" si="7"/>
        <v>40217</v>
      </c>
      <c r="AJ186" s="65" t="str">
        <f t="shared" si="340"/>
        <v>LAB</v>
      </c>
      <c r="AK186" s="66" t="str">
        <f t="shared" si="9"/>
        <v>HOLD</v>
      </c>
      <c r="AL186" s="67" t="e">
        <f t="shared" ca="1" si="10"/>
        <v>#NAME?</v>
      </c>
      <c r="AM186" s="68">
        <f t="shared" si="443"/>
        <v>9644</v>
      </c>
      <c r="AN186" s="69">
        <f t="shared" si="444"/>
        <v>0.23979908993709129</v>
      </c>
      <c r="AO186" s="62"/>
      <c r="AP186" s="70">
        <f t="shared" ref="AP186:AT186" si="562">H186/$AI186</f>
        <v>0.45366387348633663</v>
      </c>
      <c r="AQ186" s="70">
        <f t="shared" si="562"/>
        <v>0.11507571425019271</v>
      </c>
      <c r="AR186" s="70">
        <f t="shared" si="562"/>
        <v>0.21386478354924535</v>
      </c>
      <c r="AS186" s="70">
        <f t="shared" si="562"/>
        <v>0.12400228758982519</v>
      </c>
      <c r="AT186" s="70">
        <f t="shared" si="562"/>
        <v>7.9991048561553577E-2</v>
      </c>
      <c r="AU186" s="70"/>
      <c r="AV186" s="70"/>
      <c r="AW186" s="81">
        <f t="shared" si="14"/>
        <v>1.3402292562846529E-2</v>
      </c>
      <c r="AX186" s="70">
        <f t="shared" ref="AX186:BG186" si="563">O186/$AI186</f>
        <v>0</v>
      </c>
      <c r="AY186" s="70">
        <f t="shared" si="563"/>
        <v>0</v>
      </c>
      <c r="AZ186" s="70">
        <f t="shared" si="563"/>
        <v>0</v>
      </c>
      <c r="BA186" s="70">
        <f t="shared" si="563"/>
        <v>0</v>
      </c>
      <c r="BB186" s="70">
        <f t="shared" si="563"/>
        <v>0</v>
      </c>
      <c r="BC186" s="70">
        <f t="shared" si="563"/>
        <v>0</v>
      </c>
      <c r="BD186" s="70">
        <f t="shared" si="563"/>
        <v>0</v>
      </c>
      <c r="BE186" s="70">
        <f t="shared" si="563"/>
        <v>0</v>
      </c>
      <c r="BF186" s="70">
        <f t="shared" si="563"/>
        <v>0</v>
      </c>
      <c r="BG186" s="70">
        <f t="shared" si="563"/>
        <v>0</v>
      </c>
      <c r="BH186" s="70">
        <f t="shared" si="16"/>
        <v>1.3402292562846529E-2</v>
      </c>
      <c r="BI186" s="62"/>
      <c r="BJ186" s="69">
        <v>0.47099999999999997</v>
      </c>
      <c r="BK186" s="69">
        <v>0.33</v>
      </c>
      <c r="BL186" s="69">
        <v>3.9E-2</v>
      </c>
      <c r="BM186" s="69">
        <v>0.122</v>
      </c>
      <c r="BN186" s="69">
        <v>3.7999999999999999E-2</v>
      </c>
      <c r="BO186" s="69">
        <v>0</v>
      </c>
      <c r="BP186" s="69">
        <v>0</v>
      </c>
      <c r="BQ186" s="69">
        <v>0</v>
      </c>
      <c r="BR186" s="62"/>
      <c r="BS186" s="72">
        <f t="shared" ref="BS186:BW186" si="564">AP186-BJ186</f>
        <v>-1.7336126513663341E-2</v>
      </c>
      <c r="BT186" s="72">
        <f t="shared" si="564"/>
        <v>-0.21492428574980732</v>
      </c>
      <c r="BU186" s="72">
        <f t="shared" si="564"/>
        <v>0.17486478354924534</v>
      </c>
      <c r="BV186" s="72">
        <f t="shared" si="564"/>
        <v>2.0022875898251941E-3</v>
      </c>
      <c r="BW186" s="72">
        <f t="shared" si="564"/>
        <v>4.1991048561553578E-2</v>
      </c>
      <c r="BX186" s="72"/>
      <c r="BY186" s="72"/>
      <c r="BZ186" s="72">
        <f t="shared" si="18"/>
        <v>1.3402292562846529E-2</v>
      </c>
    </row>
    <row r="187" spans="1:78" ht="13.15">
      <c r="A187" s="73" t="s">
        <v>6</v>
      </c>
      <c r="B187" s="74" t="s">
        <v>417</v>
      </c>
      <c r="C187" s="75" t="s">
        <v>418</v>
      </c>
      <c r="D187" s="75" t="s">
        <v>53</v>
      </c>
      <c r="E187" s="76"/>
      <c r="F187" s="59"/>
      <c r="G187" s="60"/>
      <c r="H187" s="77">
        <v>23278</v>
      </c>
      <c r="I187" s="77">
        <v>11397</v>
      </c>
      <c r="J187" s="77">
        <v>8211</v>
      </c>
      <c r="K187" s="77">
        <v>2473</v>
      </c>
      <c r="L187" s="77">
        <v>3122</v>
      </c>
      <c r="M187" s="77"/>
      <c r="N187" s="77"/>
      <c r="O187" s="77">
        <v>241</v>
      </c>
      <c r="P187" s="77"/>
      <c r="Q187" s="77"/>
      <c r="R187" s="77"/>
      <c r="S187" s="77"/>
      <c r="T187" s="77"/>
      <c r="U187" s="77"/>
      <c r="V187" s="77"/>
      <c r="W187" s="77"/>
      <c r="X187" s="77"/>
      <c r="Y187" s="77"/>
      <c r="Z187" s="77"/>
      <c r="AA187" s="77"/>
      <c r="AB187" s="77"/>
      <c r="AC187" s="77"/>
      <c r="AD187" s="77"/>
      <c r="AE187" s="62"/>
      <c r="AF187" s="63" t="b">
        <v>0</v>
      </c>
      <c r="AG187" s="63" t="b">
        <v>0</v>
      </c>
      <c r="AH187" s="62"/>
      <c r="AI187" s="64">
        <f t="shared" si="7"/>
        <v>48722</v>
      </c>
      <c r="AJ187" s="65" t="str">
        <f t="shared" si="340"/>
        <v>LAB</v>
      </c>
      <c r="AK187" s="66" t="str">
        <f t="shared" si="9"/>
        <v>GAIN</v>
      </c>
      <c r="AL187" s="67" t="e">
        <f t="shared" ca="1" si="10"/>
        <v>#NAME?</v>
      </c>
      <c r="AM187" s="68">
        <f t="shared" si="443"/>
        <v>11881</v>
      </c>
      <c r="AN187" s="69">
        <f t="shared" si="444"/>
        <v>0.2438528796026436</v>
      </c>
      <c r="AO187" s="62"/>
      <c r="AP187" s="70">
        <f t="shared" ref="AP187:AT187" si="565">H187/$AI187</f>
        <v>0.47777184844628712</v>
      </c>
      <c r="AQ187" s="70">
        <f t="shared" si="565"/>
        <v>0.23391896884364352</v>
      </c>
      <c r="AR187" s="70">
        <f t="shared" si="565"/>
        <v>0.16852756454989531</v>
      </c>
      <c r="AS187" s="70">
        <f t="shared" si="565"/>
        <v>5.0757358072328722E-2</v>
      </c>
      <c r="AT187" s="70">
        <f t="shared" si="565"/>
        <v>6.4077829317351509E-2</v>
      </c>
      <c r="AU187" s="70"/>
      <c r="AV187" s="70"/>
      <c r="AW187" s="81">
        <f t="shared" si="14"/>
        <v>4.9464307704938371E-3</v>
      </c>
      <c r="AX187" s="70">
        <f t="shared" ref="AX187:BG187" si="566">O187/$AI187</f>
        <v>4.9464307704938223E-3</v>
      </c>
      <c r="AY187" s="70">
        <f t="shared" si="566"/>
        <v>0</v>
      </c>
      <c r="AZ187" s="70">
        <f t="shared" si="566"/>
        <v>0</v>
      </c>
      <c r="BA187" s="70">
        <f t="shared" si="566"/>
        <v>0</v>
      </c>
      <c r="BB187" s="70">
        <f t="shared" si="566"/>
        <v>0</v>
      </c>
      <c r="BC187" s="70">
        <f t="shared" si="566"/>
        <v>0</v>
      </c>
      <c r="BD187" s="70">
        <f t="shared" si="566"/>
        <v>0</v>
      </c>
      <c r="BE187" s="70">
        <f t="shared" si="566"/>
        <v>0</v>
      </c>
      <c r="BF187" s="70">
        <f t="shared" si="566"/>
        <v>0</v>
      </c>
      <c r="BG187" s="70">
        <f t="shared" si="566"/>
        <v>0</v>
      </c>
      <c r="BH187" s="70">
        <f t="shared" si="16"/>
        <v>1.474514954580286E-17</v>
      </c>
      <c r="BI187" s="62"/>
      <c r="BJ187" s="69">
        <v>0.42799999999999999</v>
      </c>
      <c r="BK187" s="69">
        <v>0.47199999999999998</v>
      </c>
      <c r="BL187" s="69">
        <v>3.4000000000000002E-2</v>
      </c>
      <c r="BM187" s="69">
        <v>4.4999999999999998E-2</v>
      </c>
      <c r="BN187" s="69">
        <v>2.1999999999999999E-2</v>
      </c>
      <c r="BO187" s="69">
        <v>0</v>
      </c>
      <c r="BP187" s="69">
        <v>0</v>
      </c>
      <c r="BQ187" s="69">
        <v>0</v>
      </c>
      <c r="BR187" s="62"/>
      <c r="BS187" s="72">
        <f t="shared" ref="BS187:BW187" si="567">AP187-BJ187</f>
        <v>4.9771848446287126E-2</v>
      </c>
      <c r="BT187" s="72">
        <f t="shared" si="567"/>
        <v>-0.23808103115635645</v>
      </c>
      <c r="BU187" s="72">
        <f t="shared" si="567"/>
        <v>0.13452756454989531</v>
      </c>
      <c r="BV187" s="72">
        <f t="shared" si="567"/>
        <v>5.7573580723287235E-3</v>
      </c>
      <c r="BW187" s="72">
        <f t="shared" si="567"/>
        <v>4.207782931735151E-2</v>
      </c>
      <c r="BX187" s="72"/>
      <c r="BY187" s="72"/>
      <c r="BZ187" s="72">
        <f t="shared" si="18"/>
        <v>4.9464307704938371E-3</v>
      </c>
    </row>
    <row r="188" spans="1:78" ht="13.15">
      <c r="A188" s="73" t="s">
        <v>6</v>
      </c>
      <c r="B188" s="74" t="s">
        <v>419</v>
      </c>
      <c r="C188" s="75" t="s">
        <v>420</v>
      </c>
      <c r="D188" s="75" t="s">
        <v>44</v>
      </c>
      <c r="E188" s="76"/>
      <c r="F188" s="59"/>
      <c r="G188" s="60"/>
      <c r="H188" s="77">
        <v>15562</v>
      </c>
      <c r="I188" s="77">
        <v>11590</v>
      </c>
      <c r="J188" s="77">
        <v>8792</v>
      </c>
      <c r="K188" s="77">
        <v>2248</v>
      </c>
      <c r="L188" s="77">
        <v>2318</v>
      </c>
      <c r="M188" s="77"/>
      <c r="N188" s="77"/>
      <c r="O188" s="77">
        <v>344</v>
      </c>
      <c r="P188" s="77"/>
      <c r="Q188" s="77">
        <v>111</v>
      </c>
      <c r="R188" s="77"/>
      <c r="S188" s="77"/>
      <c r="T188" s="77"/>
      <c r="U188" s="77"/>
      <c r="V188" s="77"/>
      <c r="W188" s="77"/>
      <c r="X188" s="77"/>
      <c r="Y188" s="77">
        <v>175</v>
      </c>
      <c r="Z188" s="77"/>
      <c r="AA188" s="77"/>
      <c r="AB188" s="77"/>
      <c r="AC188" s="77"/>
      <c r="AD188" s="77"/>
      <c r="AE188" s="62"/>
      <c r="AF188" s="63" t="b">
        <v>0</v>
      </c>
      <c r="AG188" s="63" t="b">
        <v>0</v>
      </c>
      <c r="AH188" s="62"/>
      <c r="AI188" s="64">
        <f t="shared" si="7"/>
        <v>41140</v>
      </c>
      <c r="AJ188" s="65" t="str">
        <f t="shared" si="340"/>
        <v>LAB</v>
      </c>
      <c r="AK188" s="66" t="str">
        <f t="shared" si="9"/>
        <v>GAIN</v>
      </c>
      <c r="AL188" s="67" t="e">
        <f t="shared" ca="1" si="10"/>
        <v>#NAME?</v>
      </c>
      <c r="AM188" s="68">
        <f t="shared" si="443"/>
        <v>3972</v>
      </c>
      <c r="AN188" s="69">
        <f t="shared" si="444"/>
        <v>9.6548371414681589E-2</v>
      </c>
      <c r="AO188" s="62"/>
      <c r="AP188" s="70">
        <f t="shared" ref="AP188:AT188" si="568">H188/$AI188</f>
        <v>0.37826932425862908</v>
      </c>
      <c r="AQ188" s="70">
        <f t="shared" si="568"/>
        <v>0.28172095284394749</v>
      </c>
      <c r="AR188" s="70">
        <f t="shared" si="568"/>
        <v>0.21370928536703937</v>
      </c>
      <c r="AS188" s="70">
        <f t="shared" si="568"/>
        <v>5.4642683519688866E-2</v>
      </c>
      <c r="AT188" s="70">
        <f t="shared" si="568"/>
        <v>5.6344190568789497E-2</v>
      </c>
      <c r="AU188" s="70"/>
      <c r="AV188" s="70"/>
      <c r="AW188" s="81">
        <f t="shared" si="14"/>
        <v>1.531356344190582E-2</v>
      </c>
      <c r="AX188" s="70">
        <f t="shared" ref="AX188:BG188" si="569">O188/$AI188</f>
        <v>8.3616917841516768E-3</v>
      </c>
      <c r="AY188" s="70">
        <f t="shared" si="569"/>
        <v>0</v>
      </c>
      <c r="AZ188" s="70">
        <f t="shared" si="569"/>
        <v>2.6981040350024309E-3</v>
      </c>
      <c r="BA188" s="70">
        <f t="shared" si="569"/>
        <v>0</v>
      </c>
      <c r="BB188" s="70">
        <f t="shared" si="569"/>
        <v>0</v>
      </c>
      <c r="BC188" s="70">
        <f t="shared" si="569"/>
        <v>0</v>
      </c>
      <c r="BD188" s="70">
        <f t="shared" si="569"/>
        <v>0</v>
      </c>
      <c r="BE188" s="70">
        <f t="shared" si="569"/>
        <v>0</v>
      </c>
      <c r="BF188" s="70">
        <f t="shared" si="569"/>
        <v>0</v>
      </c>
      <c r="BG188" s="70">
        <f t="shared" si="569"/>
        <v>0</v>
      </c>
      <c r="BH188" s="70">
        <f t="shared" si="16"/>
        <v>4.2537676227517116E-3</v>
      </c>
      <c r="BI188" s="62"/>
      <c r="BJ188" s="69">
        <v>0.28399999999999997</v>
      </c>
      <c r="BK188" s="69">
        <v>0.61299999999999999</v>
      </c>
      <c r="BL188" s="69">
        <v>0</v>
      </c>
      <c r="BM188" s="69">
        <v>5.5E-2</v>
      </c>
      <c r="BN188" s="69">
        <v>2.3E-2</v>
      </c>
      <c r="BO188" s="69">
        <v>0</v>
      </c>
      <c r="BP188" s="69">
        <v>0</v>
      </c>
      <c r="BQ188" s="69">
        <v>2.5999999999999999E-2</v>
      </c>
      <c r="BR188" s="62"/>
      <c r="BS188" s="72">
        <f t="shared" ref="BS188:BW188" si="570">AP188-BJ188</f>
        <v>9.4269324258629106E-2</v>
      </c>
      <c r="BT188" s="72">
        <f t="shared" si="570"/>
        <v>-0.3312790471560525</v>
      </c>
      <c r="BU188" s="72">
        <f t="shared" si="570"/>
        <v>0.21370928536703937</v>
      </c>
      <c r="BV188" s="72">
        <f t="shared" si="570"/>
        <v>-3.573164803111345E-4</v>
      </c>
      <c r="BW188" s="72">
        <f t="shared" si="570"/>
        <v>3.3344190568789497E-2</v>
      </c>
      <c r="BX188" s="72"/>
      <c r="BY188" s="72"/>
      <c r="BZ188" s="72">
        <f t="shared" si="18"/>
        <v>-1.0686436558094179E-2</v>
      </c>
    </row>
    <row r="189" spans="1:78" ht="13.15">
      <c r="A189" s="73" t="s">
        <v>6</v>
      </c>
      <c r="B189" s="74" t="s">
        <v>421</v>
      </c>
      <c r="C189" s="75" t="s">
        <v>422</v>
      </c>
      <c r="D189" s="75" t="s">
        <v>85</v>
      </c>
      <c r="E189" s="76"/>
      <c r="F189" s="59"/>
      <c r="G189" s="60"/>
      <c r="H189" s="77">
        <v>3111</v>
      </c>
      <c r="I189" s="77">
        <v>13753</v>
      </c>
      <c r="J189" s="77">
        <v>7678</v>
      </c>
      <c r="K189" s="77">
        <v>20364</v>
      </c>
      <c r="L189" s="77">
        <v>2736</v>
      </c>
      <c r="M189" s="77"/>
      <c r="N189" s="77"/>
      <c r="O189" s="77"/>
      <c r="P189" s="77"/>
      <c r="Q189" s="77"/>
      <c r="R189" s="77"/>
      <c r="S189" s="77"/>
      <c r="T189" s="77"/>
      <c r="U189" s="77"/>
      <c r="V189" s="77"/>
      <c r="W189" s="77"/>
      <c r="X189" s="77"/>
      <c r="Y189" s="77"/>
      <c r="Z189" s="77"/>
      <c r="AA189" s="77"/>
      <c r="AB189" s="77"/>
      <c r="AC189" s="77"/>
      <c r="AD189" s="77"/>
      <c r="AE189" s="62"/>
      <c r="AF189" s="63" t="b">
        <v>0</v>
      </c>
      <c r="AG189" s="63" t="b">
        <v>0</v>
      </c>
      <c r="AH189" s="62"/>
      <c r="AI189" s="64">
        <f t="shared" si="7"/>
        <v>47642</v>
      </c>
      <c r="AJ189" s="65" t="str">
        <f t="shared" si="340"/>
        <v>LDM</v>
      </c>
      <c r="AK189" s="66" t="str">
        <f t="shared" si="9"/>
        <v>GAIN</v>
      </c>
      <c r="AL189" s="67" t="e">
        <f t="shared" ca="1" si="10"/>
        <v>#NAME?</v>
      </c>
      <c r="AM189" s="68">
        <f t="shared" si="443"/>
        <v>6611</v>
      </c>
      <c r="AN189" s="69">
        <f t="shared" si="444"/>
        <v>0.13876411569623442</v>
      </c>
      <c r="AO189" s="62"/>
      <c r="AP189" s="70">
        <f t="shared" ref="AP189:AT189" si="571">H189/$AI189</f>
        <v>6.5299525628646993E-2</v>
      </c>
      <c r="AQ189" s="70">
        <f t="shared" si="571"/>
        <v>0.28867385919986566</v>
      </c>
      <c r="AR189" s="70">
        <f t="shared" si="571"/>
        <v>0.16116032072541034</v>
      </c>
      <c r="AS189" s="70">
        <f t="shared" si="571"/>
        <v>0.42743797489610008</v>
      </c>
      <c r="AT189" s="70">
        <f t="shared" si="571"/>
        <v>5.742831954997691E-2</v>
      </c>
      <c r="AU189" s="70"/>
      <c r="AV189" s="70"/>
      <c r="AW189" s="81">
        <f t="shared" si="14"/>
        <v>0</v>
      </c>
      <c r="AX189" s="70">
        <f t="shared" ref="AX189:BG189" si="572">O189/$AI189</f>
        <v>0</v>
      </c>
      <c r="AY189" s="70">
        <f t="shared" si="572"/>
        <v>0</v>
      </c>
      <c r="AZ189" s="70">
        <f t="shared" si="572"/>
        <v>0</v>
      </c>
      <c r="BA189" s="70">
        <f t="shared" si="572"/>
        <v>0</v>
      </c>
      <c r="BB189" s="70">
        <f t="shared" si="572"/>
        <v>0</v>
      </c>
      <c r="BC189" s="70">
        <f t="shared" si="572"/>
        <v>0</v>
      </c>
      <c r="BD189" s="70">
        <f t="shared" si="572"/>
        <v>0</v>
      </c>
      <c r="BE189" s="70">
        <f t="shared" si="572"/>
        <v>0</v>
      </c>
      <c r="BF189" s="70">
        <f t="shared" si="572"/>
        <v>0</v>
      </c>
      <c r="BG189" s="70">
        <f t="shared" si="572"/>
        <v>0</v>
      </c>
      <c r="BH189" s="70">
        <f t="shared" si="16"/>
        <v>0</v>
      </c>
      <c r="BI189" s="62"/>
      <c r="BJ189" s="69">
        <v>9.6000000000000002E-2</v>
      </c>
      <c r="BK189" s="69">
        <v>0.57499999999999996</v>
      </c>
      <c r="BL189" s="69">
        <v>0</v>
      </c>
      <c r="BM189" s="69">
        <v>0.309</v>
      </c>
      <c r="BN189" s="69">
        <v>0.02</v>
      </c>
      <c r="BO189" s="69">
        <v>0</v>
      </c>
      <c r="BP189" s="69">
        <v>0</v>
      </c>
      <c r="BQ189" s="69">
        <v>0</v>
      </c>
      <c r="BR189" s="62"/>
      <c r="BS189" s="72">
        <f t="shared" ref="BS189:BW189" si="573">AP189-BJ189</f>
        <v>-3.0700474371353009E-2</v>
      </c>
      <c r="BT189" s="72">
        <f t="shared" si="573"/>
        <v>-0.2863261408001343</v>
      </c>
      <c r="BU189" s="72">
        <f t="shared" si="573"/>
        <v>0.16116032072541034</v>
      </c>
      <c r="BV189" s="72">
        <f t="shared" si="573"/>
        <v>0.11843797489610008</v>
      </c>
      <c r="BW189" s="72">
        <f t="shared" si="573"/>
        <v>3.7428319549976913E-2</v>
      </c>
      <c r="BX189" s="72"/>
      <c r="BY189" s="72"/>
      <c r="BZ189" s="72">
        <f t="shared" si="18"/>
        <v>0</v>
      </c>
    </row>
    <row r="190" spans="1:78" ht="13.15">
      <c r="A190" s="73" t="s">
        <v>6</v>
      </c>
      <c r="B190" s="74" t="s">
        <v>423</v>
      </c>
      <c r="C190" s="75" t="s">
        <v>424</v>
      </c>
      <c r="D190" s="75" t="s">
        <v>85</v>
      </c>
      <c r="E190" s="76"/>
      <c r="F190" s="59"/>
      <c r="G190" s="60"/>
      <c r="H190" s="77">
        <v>16472</v>
      </c>
      <c r="I190" s="77">
        <v>13041</v>
      </c>
      <c r="J190" s="77">
        <v>7307</v>
      </c>
      <c r="K190" s="77">
        <v>4759</v>
      </c>
      <c r="L190" s="77">
        <v>2307</v>
      </c>
      <c r="M190" s="77"/>
      <c r="N190" s="77"/>
      <c r="O190" s="77">
        <v>336</v>
      </c>
      <c r="P190" s="77">
        <v>974</v>
      </c>
      <c r="Q190" s="77"/>
      <c r="R190" s="77"/>
      <c r="S190" s="77"/>
      <c r="T190" s="77"/>
      <c r="U190" s="77"/>
      <c r="V190" s="77"/>
      <c r="W190" s="77"/>
      <c r="X190" s="77"/>
      <c r="Y190" s="77">
        <v>496</v>
      </c>
      <c r="Z190" s="77"/>
      <c r="AA190" s="77"/>
      <c r="AB190" s="77"/>
      <c r="AC190" s="77"/>
      <c r="AD190" s="77"/>
      <c r="AE190" s="62"/>
      <c r="AF190" s="63" t="b">
        <v>0</v>
      </c>
      <c r="AG190" s="63" t="b">
        <v>0</v>
      </c>
      <c r="AH190" s="62"/>
      <c r="AI190" s="64">
        <f t="shared" si="7"/>
        <v>45692</v>
      </c>
      <c r="AJ190" s="65" t="str">
        <f t="shared" si="340"/>
        <v>LAB</v>
      </c>
      <c r="AK190" s="66" t="str">
        <f t="shared" si="9"/>
        <v>GAIN</v>
      </c>
      <c r="AL190" s="67" t="e">
        <f t="shared" ca="1" si="10"/>
        <v>#NAME?</v>
      </c>
      <c r="AM190" s="68">
        <f t="shared" si="443"/>
        <v>3431</v>
      </c>
      <c r="AN190" s="69">
        <f t="shared" si="444"/>
        <v>7.5089731243981439E-2</v>
      </c>
      <c r="AO190" s="62"/>
      <c r="AP190" s="70">
        <f t="shared" ref="AP190:AT190" si="574">H190/$AI190</f>
        <v>0.36050074411275496</v>
      </c>
      <c r="AQ190" s="70">
        <f t="shared" si="574"/>
        <v>0.28541101286877352</v>
      </c>
      <c r="AR190" s="70">
        <f t="shared" si="574"/>
        <v>0.15991858531033878</v>
      </c>
      <c r="AS190" s="70">
        <f t="shared" si="574"/>
        <v>0.10415390002626281</v>
      </c>
      <c r="AT190" s="70">
        <f t="shared" si="574"/>
        <v>5.0490238991508361E-2</v>
      </c>
      <c r="AU190" s="70"/>
      <c r="AV190" s="70"/>
      <c r="AW190" s="81">
        <f t="shared" si="14"/>
        <v>3.9525518690361583E-2</v>
      </c>
      <c r="AX190" s="70">
        <f t="shared" ref="AX190:BG190" si="575">O190/$AI190</f>
        <v>7.3535848726254049E-3</v>
      </c>
      <c r="AY190" s="70">
        <f t="shared" si="575"/>
        <v>2.1316641862908169E-2</v>
      </c>
      <c r="AZ190" s="70">
        <f t="shared" si="575"/>
        <v>0</v>
      </c>
      <c r="BA190" s="70">
        <f t="shared" si="575"/>
        <v>0</v>
      </c>
      <c r="BB190" s="70">
        <f t="shared" si="575"/>
        <v>0</v>
      </c>
      <c r="BC190" s="70">
        <f t="shared" si="575"/>
        <v>0</v>
      </c>
      <c r="BD190" s="70">
        <f t="shared" si="575"/>
        <v>0</v>
      </c>
      <c r="BE190" s="70">
        <f t="shared" si="575"/>
        <v>0</v>
      </c>
      <c r="BF190" s="70">
        <f t="shared" si="575"/>
        <v>0</v>
      </c>
      <c r="BG190" s="70">
        <f t="shared" si="575"/>
        <v>0</v>
      </c>
      <c r="BH190" s="70">
        <f t="shared" si="16"/>
        <v>1.0855291954828008E-2</v>
      </c>
      <c r="BI190" s="62"/>
      <c r="BJ190" s="69">
        <v>0.35199999999999998</v>
      </c>
      <c r="BK190" s="69">
        <v>0.54600000000000004</v>
      </c>
      <c r="BL190" s="69">
        <v>0</v>
      </c>
      <c r="BM190" s="69">
        <v>7.6999999999999999E-2</v>
      </c>
      <c r="BN190" s="69">
        <v>2.5000000000000001E-2</v>
      </c>
      <c r="BO190" s="69">
        <v>0</v>
      </c>
      <c r="BP190" s="69">
        <v>0</v>
      </c>
      <c r="BQ190" s="69">
        <v>0</v>
      </c>
      <c r="BR190" s="62"/>
      <c r="BS190" s="72">
        <f t="shared" ref="BS190:BW190" si="576">AP190-BJ190</f>
        <v>8.5007441127549765E-3</v>
      </c>
      <c r="BT190" s="72">
        <f t="shared" si="576"/>
        <v>-0.26058898713122652</v>
      </c>
      <c r="BU190" s="72">
        <f t="shared" si="576"/>
        <v>0.15991858531033878</v>
      </c>
      <c r="BV190" s="72">
        <f t="shared" si="576"/>
        <v>2.7153900026262806E-2</v>
      </c>
      <c r="BW190" s="72">
        <f t="shared" si="576"/>
        <v>2.549023899150836E-2</v>
      </c>
      <c r="BX190" s="72"/>
      <c r="BY190" s="72"/>
      <c r="BZ190" s="72">
        <f t="shared" si="18"/>
        <v>3.9525518690361583E-2</v>
      </c>
    </row>
    <row r="191" spans="1:78" ht="13.15">
      <c r="A191" s="73" t="s">
        <v>6</v>
      </c>
      <c r="B191" s="74" t="s">
        <v>425</v>
      </c>
      <c r="C191" s="75" t="s">
        <v>426</v>
      </c>
      <c r="D191" s="75" t="s">
        <v>44</v>
      </c>
      <c r="E191" s="76"/>
      <c r="F191" s="59"/>
      <c r="G191" s="60"/>
      <c r="H191" s="77">
        <v>2748</v>
      </c>
      <c r="I191" s="77">
        <v>23293</v>
      </c>
      <c r="J191" s="77">
        <v>4815</v>
      </c>
      <c r="K191" s="77">
        <v>22402</v>
      </c>
      <c r="L191" s="77">
        <v>1243</v>
      </c>
      <c r="M191" s="77"/>
      <c r="N191" s="77"/>
      <c r="O191" s="77"/>
      <c r="P191" s="77"/>
      <c r="Q191" s="77"/>
      <c r="R191" s="77"/>
      <c r="S191" s="77"/>
      <c r="T191" s="77"/>
      <c r="U191" s="77"/>
      <c r="V191" s="77"/>
      <c r="W191" s="77"/>
      <c r="X191" s="77"/>
      <c r="Y191" s="77">
        <v>195</v>
      </c>
      <c r="Z191" s="77"/>
      <c r="AA191" s="77"/>
      <c r="AB191" s="77"/>
      <c r="AC191" s="77"/>
      <c r="AD191" s="77"/>
      <c r="AE191" s="62"/>
      <c r="AF191" s="63" t="b">
        <v>0</v>
      </c>
      <c r="AG191" s="63" t="b">
        <v>0</v>
      </c>
      <c r="AH191" s="62"/>
      <c r="AI191" s="64">
        <f t="shared" si="7"/>
        <v>54696</v>
      </c>
      <c r="AJ191" s="65" t="str">
        <f t="shared" si="340"/>
        <v>CON</v>
      </c>
      <c r="AK191" s="66" t="str">
        <f t="shared" si="9"/>
        <v>HOLD</v>
      </c>
      <c r="AL191" s="67" t="e">
        <f t="shared" ca="1" si="10"/>
        <v>#NAME?</v>
      </c>
      <c r="AM191" s="68">
        <f t="shared" si="443"/>
        <v>891</v>
      </c>
      <c r="AN191" s="69">
        <f t="shared" si="444"/>
        <v>1.6290039491004826E-2</v>
      </c>
      <c r="AO191" s="62"/>
      <c r="AP191" s="70">
        <f t="shared" ref="AP191:AT191" si="577">H191/$AI191</f>
        <v>5.0241333918385256E-2</v>
      </c>
      <c r="AQ191" s="70">
        <f t="shared" si="577"/>
        <v>0.42586295158695336</v>
      </c>
      <c r="AR191" s="70">
        <f t="shared" si="577"/>
        <v>8.8032031592803858E-2</v>
      </c>
      <c r="AS191" s="70">
        <f t="shared" si="577"/>
        <v>0.40957291209594854</v>
      </c>
      <c r="AT191" s="70">
        <f t="shared" si="577"/>
        <v>2.2725610647945003E-2</v>
      </c>
      <c r="AU191" s="70"/>
      <c r="AV191" s="70"/>
      <c r="AW191" s="81">
        <f t="shared" si="14"/>
        <v>3.5651601579640424E-3</v>
      </c>
      <c r="AX191" s="70">
        <f t="shared" ref="AX191:BG191" si="578">O191/$AI191</f>
        <v>0</v>
      </c>
      <c r="AY191" s="70">
        <f t="shared" si="578"/>
        <v>0</v>
      </c>
      <c r="AZ191" s="70">
        <f t="shared" si="578"/>
        <v>0</v>
      </c>
      <c r="BA191" s="70">
        <f t="shared" si="578"/>
        <v>0</v>
      </c>
      <c r="BB191" s="70">
        <f t="shared" si="578"/>
        <v>0</v>
      </c>
      <c r="BC191" s="70">
        <f t="shared" si="578"/>
        <v>0</v>
      </c>
      <c r="BD191" s="70">
        <f t="shared" si="578"/>
        <v>0</v>
      </c>
      <c r="BE191" s="70">
        <f t="shared" si="578"/>
        <v>0</v>
      </c>
      <c r="BF191" s="70">
        <f t="shared" si="578"/>
        <v>0</v>
      </c>
      <c r="BG191" s="70">
        <f t="shared" si="578"/>
        <v>0</v>
      </c>
      <c r="BH191" s="70">
        <f t="shared" si="16"/>
        <v>3.5651601579640424E-3</v>
      </c>
      <c r="BI191" s="62"/>
      <c r="BJ191" s="69">
        <v>8.8999999999999996E-2</v>
      </c>
      <c r="BK191" s="69">
        <v>0.53400000000000003</v>
      </c>
      <c r="BL191" s="69">
        <v>0</v>
      </c>
      <c r="BM191" s="69">
        <v>0.34100000000000003</v>
      </c>
      <c r="BN191" s="69">
        <v>1.6E-2</v>
      </c>
      <c r="BO191" s="69">
        <v>0</v>
      </c>
      <c r="BP191" s="69">
        <v>0</v>
      </c>
      <c r="BQ191" s="69">
        <v>1.9E-2</v>
      </c>
      <c r="BR191" s="62"/>
      <c r="BS191" s="72">
        <f t="shared" ref="BS191:BW191" si="579">AP191-BJ191</f>
        <v>-3.875866608161474E-2</v>
      </c>
      <c r="BT191" s="72">
        <f t="shared" si="579"/>
        <v>-0.10813704841304667</v>
      </c>
      <c r="BU191" s="72">
        <f t="shared" si="579"/>
        <v>8.8032031592803858E-2</v>
      </c>
      <c r="BV191" s="72">
        <f t="shared" si="579"/>
        <v>6.8572912095948513E-2</v>
      </c>
      <c r="BW191" s="72">
        <f t="shared" si="579"/>
        <v>6.7256106479450031E-3</v>
      </c>
      <c r="BX191" s="72"/>
      <c r="BY191" s="72"/>
      <c r="BZ191" s="72">
        <f t="shared" si="18"/>
        <v>-1.5434839842035957E-2</v>
      </c>
    </row>
    <row r="192" spans="1:78" ht="13.15">
      <c r="A192" s="73" t="s">
        <v>6</v>
      </c>
      <c r="B192" s="74" t="s">
        <v>427</v>
      </c>
      <c r="C192" s="75" t="s">
        <v>428</v>
      </c>
      <c r="D192" s="75" t="s">
        <v>71</v>
      </c>
      <c r="E192" s="76"/>
      <c r="F192" s="59"/>
      <c r="G192" s="60"/>
      <c r="H192" s="77">
        <v>15409</v>
      </c>
      <c r="I192" s="77">
        <v>18981</v>
      </c>
      <c r="J192" s="77">
        <v>9054</v>
      </c>
      <c r="K192" s="77">
        <v>3380</v>
      </c>
      <c r="L192" s="77">
        <v>2451</v>
      </c>
      <c r="M192" s="77"/>
      <c r="N192" s="77"/>
      <c r="O192" s="77">
        <v>467</v>
      </c>
      <c r="P192" s="77"/>
      <c r="Q192" s="77"/>
      <c r="R192" s="77"/>
      <c r="S192" s="77"/>
      <c r="T192" s="77"/>
      <c r="U192" s="77"/>
      <c r="V192" s="77"/>
      <c r="W192" s="77"/>
      <c r="X192" s="77"/>
      <c r="Y192" s="77"/>
      <c r="Z192" s="77"/>
      <c r="AA192" s="77"/>
      <c r="AB192" s="77"/>
      <c r="AC192" s="77"/>
      <c r="AD192" s="77"/>
      <c r="AE192" s="62"/>
      <c r="AF192" s="63" t="b">
        <v>0</v>
      </c>
      <c r="AG192" s="63" t="b">
        <v>0</v>
      </c>
      <c r="AH192" s="62"/>
      <c r="AI192" s="64">
        <f t="shared" si="7"/>
        <v>49742</v>
      </c>
      <c r="AJ192" s="65" t="str">
        <f t="shared" si="340"/>
        <v>CON</v>
      </c>
      <c r="AK192" s="66" t="str">
        <f t="shared" si="9"/>
        <v>HOLD</v>
      </c>
      <c r="AL192" s="67" t="e">
        <f t="shared" ca="1" si="10"/>
        <v>#NAME?</v>
      </c>
      <c r="AM192" s="68">
        <f t="shared" si="443"/>
        <v>3572</v>
      </c>
      <c r="AN192" s="69">
        <f t="shared" si="444"/>
        <v>7.1810542398777655E-2</v>
      </c>
      <c r="AO192" s="62"/>
      <c r="AP192" s="70">
        <f t="shared" ref="AP192:AT192" si="580">H192/$AI192</f>
        <v>0.30977845683728039</v>
      </c>
      <c r="AQ192" s="70">
        <f t="shared" si="580"/>
        <v>0.38158899923605805</v>
      </c>
      <c r="AR192" s="70">
        <f t="shared" si="580"/>
        <v>0.18201921917092195</v>
      </c>
      <c r="AS192" s="70">
        <f t="shared" si="580"/>
        <v>6.7950625226167016E-2</v>
      </c>
      <c r="AT192" s="70">
        <f t="shared" si="580"/>
        <v>4.9274255156608097E-2</v>
      </c>
      <c r="AU192" s="70"/>
      <c r="AV192" s="70"/>
      <c r="AW192" s="81">
        <f t="shared" si="14"/>
        <v>9.3884443729643774E-3</v>
      </c>
      <c r="AX192" s="70">
        <f t="shared" ref="AX192:BG192" si="581">O192/$AI192</f>
        <v>9.3884443729644971E-3</v>
      </c>
      <c r="AY192" s="70">
        <f t="shared" si="581"/>
        <v>0</v>
      </c>
      <c r="AZ192" s="70">
        <f t="shared" si="581"/>
        <v>0</v>
      </c>
      <c r="BA192" s="70">
        <f t="shared" si="581"/>
        <v>0</v>
      </c>
      <c r="BB192" s="70">
        <f t="shared" si="581"/>
        <v>0</v>
      </c>
      <c r="BC192" s="70">
        <f t="shared" si="581"/>
        <v>0</v>
      </c>
      <c r="BD192" s="70">
        <f t="shared" si="581"/>
        <v>0</v>
      </c>
      <c r="BE192" s="70">
        <f t="shared" si="581"/>
        <v>0</v>
      </c>
      <c r="BF192" s="70">
        <f t="shared" si="581"/>
        <v>0</v>
      </c>
      <c r="BG192" s="70">
        <f t="shared" si="581"/>
        <v>0</v>
      </c>
      <c r="BH192" s="70">
        <f t="shared" si="16"/>
        <v>-1.1969591984239969E-16</v>
      </c>
      <c r="BI192" s="62"/>
      <c r="BJ192" s="69">
        <v>0.20399999999999999</v>
      </c>
      <c r="BK192" s="69">
        <v>0.65100000000000002</v>
      </c>
      <c r="BL192" s="69">
        <v>0</v>
      </c>
      <c r="BM192" s="69">
        <v>7.8E-2</v>
      </c>
      <c r="BN192" s="69">
        <v>3.9E-2</v>
      </c>
      <c r="BO192" s="69">
        <v>0</v>
      </c>
      <c r="BP192" s="69">
        <v>0</v>
      </c>
      <c r="BQ192" s="69">
        <v>2.8000000000000001E-2</v>
      </c>
      <c r="BR192" s="62"/>
      <c r="BS192" s="72">
        <f t="shared" ref="BS192:BW192" si="582">AP192-BJ192</f>
        <v>0.1057784568372804</v>
      </c>
      <c r="BT192" s="72">
        <f t="shared" si="582"/>
        <v>-0.26941100076394198</v>
      </c>
      <c r="BU192" s="72">
        <f t="shared" si="582"/>
        <v>0.18201921917092195</v>
      </c>
      <c r="BV192" s="72">
        <f t="shared" si="582"/>
        <v>-1.0049374773832984E-2</v>
      </c>
      <c r="BW192" s="72">
        <f t="shared" si="582"/>
        <v>1.0274255156608098E-2</v>
      </c>
      <c r="BX192" s="72"/>
      <c r="BY192" s="72"/>
      <c r="BZ192" s="72">
        <f t="shared" si="18"/>
        <v>-1.8611555627035623E-2</v>
      </c>
    </row>
    <row r="193" spans="1:78" ht="13.15">
      <c r="A193" s="78" t="s">
        <v>5</v>
      </c>
      <c r="B193" s="74" t="s">
        <v>429</v>
      </c>
      <c r="C193" s="75" t="s">
        <v>430</v>
      </c>
      <c r="D193" s="75" t="s">
        <v>50</v>
      </c>
      <c r="E193" s="76"/>
      <c r="F193" s="59"/>
      <c r="G193" s="60"/>
      <c r="H193" s="77">
        <v>18555</v>
      </c>
      <c r="I193" s="77">
        <v>2888</v>
      </c>
      <c r="J193" s="77">
        <v>5142</v>
      </c>
      <c r="K193" s="77">
        <v>1399</v>
      </c>
      <c r="L193" s="77">
        <v>4810</v>
      </c>
      <c r="M193" s="77"/>
      <c r="N193" s="77"/>
      <c r="O193" s="77"/>
      <c r="P193" s="77">
        <v>3766</v>
      </c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62"/>
      <c r="AF193" s="63" t="b">
        <v>0</v>
      </c>
      <c r="AG193" s="63" t="b">
        <v>0</v>
      </c>
      <c r="AH193" s="62"/>
      <c r="AI193" s="64">
        <f t="shared" si="7"/>
        <v>36560</v>
      </c>
      <c r="AJ193" s="65" t="str">
        <f t="shared" si="340"/>
        <v>LAB</v>
      </c>
      <c r="AK193" s="66" t="str">
        <f t="shared" si="9"/>
        <v>HOLD</v>
      </c>
      <c r="AL193" s="67" t="e">
        <f t="shared" ca="1" si="10"/>
        <v>#NAME?</v>
      </c>
      <c r="AM193" s="68">
        <f t="shared" si="443"/>
        <v>13413</v>
      </c>
      <c r="AN193" s="69">
        <f t="shared" si="444"/>
        <v>0.36687636761487974</v>
      </c>
      <c r="AO193" s="62"/>
      <c r="AP193" s="70">
        <f t="shared" ref="AP193:AT193" si="583">H193/$AI193</f>
        <v>0.50752188183807445</v>
      </c>
      <c r="AQ193" s="70">
        <f t="shared" si="583"/>
        <v>7.8993435448577676E-2</v>
      </c>
      <c r="AR193" s="70">
        <f t="shared" si="583"/>
        <v>0.14064551422319474</v>
      </c>
      <c r="AS193" s="70">
        <f t="shared" si="583"/>
        <v>3.8265864332603941E-2</v>
      </c>
      <c r="AT193" s="70">
        <f t="shared" si="583"/>
        <v>0.13156455142231949</v>
      </c>
      <c r="AU193" s="70"/>
      <c r="AV193" s="70"/>
      <c r="AW193" s="81">
        <f t="shared" si="14"/>
        <v>0.10300875273522969</v>
      </c>
      <c r="AX193" s="70">
        <f t="shared" ref="AX193:BG193" si="584">O193/$AI193</f>
        <v>0</v>
      </c>
      <c r="AY193" s="70">
        <f t="shared" si="584"/>
        <v>0.10300875273522976</v>
      </c>
      <c r="AZ193" s="70">
        <f t="shared" si="584"/>
        <v>0</v>
      </c>
      <c r="BA193" s="70">
        <f t="shared" si="584"/>
        <v>0</v>
      </c>
      <c r="BB193" s="70">
        <f t="shared" si="584"/>
        <v>0</v>
      </c>
      <c r="BC193" s="70">
        <f t="shared" si="584"/>
        <v>0</v>
      </c>
      <c r="BD193" s="70">
        <f t="shared" si="584"/>
        <v>0</v>
      </c>
      <c r="BE193" s="70">
        <f t="shared" si="584"/>
        <v>0</v>
      </c>
      <c r="BF193" s="70">
        <f t="shared" si="584"/>
        <v>0</v>
      </c>
      <c r="BG193" s="70">
        <f t="shared" si="584"/>
        <v>0</v>
      </c>
      <c r="BH193" s="70">
        <f t="shared" si="16"/>
        <v>0</v>
      </c>
      <c r="BI193" s="62"/>
      <c r="BJ193" s="69">
        <v>0.67200000000000004</v>
      </c>
      <c r="BK193" s="69">
        <v>0.189</v>
      </c>
      <c r="BL193" s="69">
        <v>4.9000000000000002E-2</v>
      </c>
      <c r="BM193" s="69">
        <v>5.8000000000000003E-2</v>
      </c>
      <c r="BN193" s="69">
        <v>2.5000000000000001E-2</v>
      </c>
      <c r="BO193" s="69">
        <v>0</v>
      </c>
      <c r="BP193" s="69">
        <v>0</v>
      </c>
      <c r="BQ193" s="69">
        <v>7.0000000000000001E-3</v>
      </c>
      <c r="BR193" s="62"/>
      <c r="BS193" s="72">
        <f t="shared" ref="BS193:BW193" si="585">AP193-BJ193</f>
        <v>-0.16447811816192559</v>
      </c>
      <c r="BT193" s="72">
        <f t="shared" si="585"/>
        <v>-0.11000656455142233</v>
      </c>
      <c r="BU193" s="72">
        <f t="shared" si="585"/>
        <v>9.1645514223194738E-2</v>
      </c>
      <c r="BV193" s="72">
        <f t="shared" si="585"/>
        <v>-1.9734135667396062E-2</v>
      </c>
      <c r="BW193" s="72">
        <f t="shared" si="585"/>
        <v>0.10656455142231949</v>
      </c>
      <c r="BX193" s="72"/>
      <c r="BY193" s="72"/>
      <c r="BZ193" s="72">
        <f t="shared" si="18"/>
        <v>9.6008752735229755E-2</v>
      </c>
    </row>
    <row r="194" spans="1:78" ht="13.15">
      <c r="A194" s="73" t="s">
        <v>6</v>
      </c>
      <c r="B194" s="74" t="s">
        <v>431</v>
      </c>
      <c r="C194" s="75" t="s">
        <v>432</v>
      </c>
      <c r="D194" s="75" t="s">
        <v>44</v>
      </c>
      <c r="E194" s="76"/>
      <c r="F194" s="59"/>
      <c r="G194" s="60"/>
      <c r="H194" s="77">
        <v>11776</v>
      </c>
      <c r="I194" s="77">
        <v>17830</v>
      </c>
      <c r="J194" s="77">
        <v>7983</v>
      </c>
      <c r="K194" s="77">
        <v>4039</v>
      </c>
      <c r="L194" s="77">
        <v>1948</v>
      </c>
      <c r="M194" s="77"/>
      <c r="N194" s="77"/>
      <c r="O194" s="77">
        <v>334</v>
      </c>
      <c r="P194" s="77"/>
      <c r="Q194" s="77"/>
      <c r="R194" s="77"/>
      <c r="S194" s="77"/>
      <c r="T194" s="77"/>
      <c r="U194" s="77"/>
      <c r="V194" s="77"/>
      <c r="W194" s="77"/>
      <c r="X194" s="77"/>
      <c r="Y194" s="77">
        <v>319</v>
      </c>
      <c r="Z194" s="77">
        <v>48</v>
      </c>
      <c r="AA194" s="77"/>
      <c r="AB194" s="77"/>
      <c r="AC194" s="77"/>
      <c r="AD194" s="77"/>
      <c r="AE194" s="62"/>
      <c r="AF194" s="63" t="b">
        <v>0</v>
      </c>
      <c r="AG194" s="63" t="b">
        <v>0</v>
      </c>
      <c r="AH194" s="62"/>
      <c r="AI194" s="64">
        <f t="shared" si="7"/>
        <v>44277</v>
      </c>
      <c r="AJ194" s="65" t="str">
        <f t="shared" si="340"/>
        <v>CON</v>
      </c>
      <c r="AK194" s="66" t="str">
        <f t="shared" si="9"/>
        <v>HOLD</v>
      </c>
      <c r="AL194" s="67" t="e">
        <f t="shared" ca="1" si="10"/>
        <v>#NAME?</v>
      </c>
      <c r="AM194" s="68">
        <f t="shared" si="443"/>
        <v>6054</v>
      </c>
      <c r="AN194" s="69">
        <f t="shared" si="444"/>
        <v>0.13673013076766716</v>
      </c>
      <c r="AO194" s="62"/>
      <c r="AP194" s="70">
        <f t="shared" ref="AP194:AT194" si="586">H194/$AI194</f>
        <v>0.26596201187975699</v>
      </c>
      <c r="AQ194" s="70">
        <f t="shared" si="586"/>
        <v>0.40269214264742414</v>
      </c>
      <c r="AR194" s="70">
        <f t="shared" si="586"/>
        <v>0.18029676807371772</v>
      </c>
      <c r="AS194" s="70">
        <f t="shared" si="586"/>
        <v>9.122117577975021E-2</v>
      </c>
      <c r="AT194" s="70">
        <f t="shared" si="586"/>
        <v>4.3995754003207085E-2</v>
      </c>
      <c r="AU194" s="70"/>
      <c r="AV194" s="70"/>
      <c r="AW194" s="81">
        <f t="shared" si="14"/>
        <v>1.5832147616143821E-2</v>
      </c>
      <c r="AX194" s="70">
        <f t="shared" ref="AX194:BG194" si="587">O194/$AI194</f>
        <v>7.5434198342254448E-3</v>
      </c>
      <c r="AY194" s="70">
        <f t="shared" si="587"/>
        <v>0</v>
      </c>
      <c r="AZ194" s="70">
        <f t="shared" si="587"/>
        <v>0</v>
      </c>
      <c r="BA194" s="70">
        <f t="shared" si="587"/>
        <v>0</v>
      </c>
      <c r="BB194" s="70">
        <f t="shared" si="587"/>
        <v>0</v>
      </c>
      <c r="BC194" s="70">
        <f t="shared" si="587"/>
        <v>0</v>
      </c>
      <c r="BD194" s="70">
        <f t="shared" si="587"/>
        <v>0</v>
      </c>
      <c r="BE194" s="70">
        <f t="shared" si="587"/>
        <v>0</v>
      </c>
      <c r="BF194" s="70">
        <f t="shared" si="587"/>
        <v>0</v>
      </c>
      <c r="BG194" s="70">
        <f t="shared" si="587"/>
        <v>0</v>
      </c>
      <c r="BH194" s="70">
        <f t="shared" si="16"/>
        <v>8.2887277819183765E-3</v>
      </c>
      <c r="BI194" s="62"/>
      <c r="BJ194" s="69">
        <v>0.185</v>
      </c>
      <c r="BK194" s="69">
        <v>0.66500000000000004</v>
      </c>
      <c r="BL194" s="69">
        <v>0</v>
      </c>
      <c r="BM194" s="69">
        <v>0.113</v>
      </c>
      <c r="BN194" s="69">
        <v>3.6999999999999998E-2</v>
      </c>
      <c r="BO194" s="69">
        <v>0</v>
      </c>
      <c r="BP194" s="69">
        <v>0</v>
      </c>
      <c r="BQ194" s="69">
        <v>0</v>
      </c>
      <c r="BR194" s="62"/>
      <c r="BS194" s="72">
        <f t="shared" ref="BS194:BW194" si="588">AP194-BJ194</f>
        <v>8.096201187975699E-2</v>
      </c>
      <c r="BT194" s="72">
        <f t="shared" si="588"/>
        <v>-0.26230785735257589</v>
      </c>
      <c r="BU194" s="72">
        <f t="shared" si="588"/>
        <v>0.18029676807371772</v>
      </c>
      <c r="BV194" s="72">
        <f t="shared" si="588"/>
        <v>-2.1778824220249793E-2</v>
      </c>
      <c r="BW194" s="72">
        <f t="shared" si="588"/>
        <v>6.9957540032070872E-3</v>
      </c>
      <c r="BX194" s="72"/>
      <c r="BY194" s="72"/>
      <c r="BZ194" s="72">
        <f t="shared" si="18"/>
        <v>1.5832147616143821E-2</v>
      </c>
    </row>
    <row r="195" spans="1:78" ht="13.15">
      <c r="A195" s="73" t="s">
        <v>6</v>
      </c>
      <c r="B195" s="74" t="s">
        <v>433</v>
      </c>
      <c r="C195" s="75" t="s">
        <v>434</v>
      </c>
      <c r="D195" s="75" t="s">
        <v>53</v>
      </c>
      <c r="E195" s="76"/>
      <c r="F195" s="59"/>
      <c r="G195" s="60"/>
      <c r="H195" s="77">
        <v>12274</v>
      </c>
      <c r="I195" s="77">
        <v>16770</v>
      </c>
      <c r="J195" s="77">
        <v>9393</v>
      </c>
      <c r="K195" s="77">
        <v>2027</v>
      </c>
      <c r="L195" s="77">
        <v>2570</v>
      </c>
      <c r="M195" s="77"/>
      <c r="N195" s="77"/>
      <c r="O195" s="77">
        <v>1642</v>
      </c>
      <c r="P195" s="77"/>
      <c r="Q195" s="77">
        <v>204</v>
      </c>
      <c r="R195" s="77">
        <v>1245</v>
      </c>
      <c r="S195" s="77"/>
      <c r="T195" s="77"/>
      <c r="U195" s="77"/>
      <c r="V195" s="77"/>
      <c r="W195" s="77"/>
      <c r="X195" s="77"/>
      <c r="Y195" s="77"/>
      <c r="Z195" s="77"/>
      <c r="AA195" s="77"/>
      <c r="AB195" s="77"/>
      <c r="AC195" s="77"/>
      <c r="AD195" s="77"/>
      <c r="AE195" s="62"/>
      <c r="AF195" s="63" t="b">
        <v>0</v>
      </c>
      <c r="AG195" s="63" t="b">
        <v>0</v>
      </c>
      <c r="AH195" s="62"/>
      <c r="AI195" s="64">
        <f t="shared" si="7"/>
        <v>46125</v>
      </c>
      <c r="AJ195" s="65" t="str">
        <f t="shared" si="340"/>
        <v>CON</v>
      </c>
      <c r="AK195" s="66" t="str">
        <f t="shared" si="9"/>
        <v>HOLD</v>
      </c>
      <c r="AL195" s="67" t="e">
        <f t="shared" ca="1" si="10"/>
        <v>#NAME?</v>
      </c>
      <c r="AM195" s="68">
        <f t="shared" si="443"/>
        <v>4496</v>
      </c>
      <c r="AN195" s="69">
        <f t="shared" si="444"/>
        <v>9.747425474254745E-2</v>
      </c>
      <c r="AO195" s="62"/>
      <c r="AP195" s="70">
        <f t="shared" ref="AP195:AT195" si="589">H195/$AI195</f>
        <v>0.26610298102981028</v>
      </c>
      <c r="AQ195" s="70">
        <f t="shared" si="589"/>
        <v>0.36357723577235773</v>
      </c>
      <c r="AR195" s="70">
        <f t="shared" si="589"/>
        <v>0.20364227642276422</v>
      </c>
      <c r="AS195" s="70">
        <f t="shared" si="589"/>
        <v>4.394579945799458E-2</v>
      </c>
      <c r="AT195" s="70">
        <f t="shared" si="589"/>
        <v>5.5718157181571817E-2</v>
      </c>
      <c r="AU195" s="70"/>
      <c r="AV195" s="70"/>
      <c r="AW195" s="81">
        <f t="shared" si="14"/>
        <v>6.7013550135501365E-2</v>
      </c>
      <c r="AX195" s="70">
        <f t="shared" ref="AX195:BG195" si="590">O195/$AI195</f>
        <v>3.5598915989159895E-2</v>
      </c>
      <c r="AY195" s="70">
        <f t="shared" si="590"/>
        <v>0</v>
      </c>
      <c r="AZ195" s="70">
        <f t="shared" si="590"/>
        <v>4.4227642276422766E-3</v>
      </c>
      <c r="BA195" s="70">
        <f t="shared" si="590"/>
        <v>2.6991869918699188E-2</v>
      </c>
      <c r="BB195" s="70">
        <f t="shared" si="590"/>
        <v>0</v>
      </c>
      <c r="BC195" s="70">
        <f t="shared" si="590"/>
        <v>0</v>
      </c>
      <c r="BD195" s="70">
        <f t="shared" si="590"/>
        <v>0</v>
      </c>
      <c r="BE195" s="70">
        <f t="shared" si="590"/>
        <v>0</v>
      </c>
      <c r="BF195" s="70">
        <f t="shared" si="590"/>
        <v>0</v>
      </c>
      <c r="BG195" s="70">
        <f t="shared" si="590"/>
        <v>0</v>
      </c>
      <c r="BH195" s="70">
        <f t="shared" si="16"/>
        <v>0</v>
      </c>
      <c r="BI195" s="62"/>
      <c r="BJ195" s="69">
        <v>0.2</v>
      </c>
      <c r="BK195" s="69">
        <v>0.65800000000000003</v>
      </c>
      <c r="BL195" s="69">
        <v>0</v>
      </c>
      <c r="BM195" s="69">
        <v>0.09</v>
      </c>
      <c r="BN195" s="69">
        <v>4.2999999999999997E-2</v>
      </c>
      <c r="BO195" s="69">
        <v>0</v>
      </c>
      <c r="BP195" s="69">
        <v>0</v>
      </c>
      <c r="BQ195" s="69">
        <v>8.9999999999999993E-3</v>
      </c>
      <c r="BR195" s="62"/>
      <c r="BS195" s="72">
        <f t="shared" ref="BS195:BW195" si="591">AP195-BJ195</f>
        <v>6.610298102981027E-2</v>
      </c>
      <c r="BT195" s="72">
        <f t="shared" si="591"/>
        <v>-0.2944227642276423</v>
      </c>
      <c r="BU195" s="72">
        <f t="shared" si="591"/>
        <v>0.20364227642276422</v>
      </c>
      <c r="BV195" s="72">
        <f t="shared" si="591"/>
        <v>-4.6054200542005416E-2</v>
      </c>
      <c r="BW195" s="72">
        <f t="shared" si="591"/>
        <v>1.2718157181571821E-2</v>
      </c>
      <c r="BX195" s="72"/>
      <c r="BY195" s="72"/>
      <c r="BZ195" s="72">
        <f t="shared" si="18"/>
        <v>5.8013550135501364E-2</v>
      </c>
    </row>
    <row r="196" spans="1:78" ht="13.15">
      <c r="A196" s="73" t="s">
        <v>6</v>
      </c>
      <c r="B196" s="74" t="s">
        <v>435</v>
      </c>
      <c r="C196" s="75" t="s">
        <v>436</v>
      </c>
      <c r="D196" s="75" t="s">
        <v>44</v>
      </c>
      <c r="E196" s="76"/>
      <c r="F196" s="59"/>
      <c r="G196" s="60"/>
      <c r="H196" s="77">
        <v>16623</v>
      </c>
      <c r="I196" s="77">
        <v>13911</v>
      </c>
      <c r="J196" s="77">
        <v>8910</v>
      </c>
      <c r="K196" s="77">
        <v>1534</v>
      </c>
      <c r="L196" s="77">
        <v>2254</v>
      </c>
      <c r="M196" s="77"/>
      <c r="N196" s="77"/>
      <c r="O196" s="77"/>
      <c r="P196" s="77"/>
      <c r="Q196" s="77"/>
      <c r="R196" s="77"/>
      <c r="S196" s="77"/>
      <c r="T196" s="77"/>
      <c r="U196" s="77"/>
      <c r="V196" s="77"/>
      <c r="W196" s="77"/>
      <c r="X196" s="77"/>
      <c r="Y196" s="77"/>
      <c r="Z196" s="77"/>
      <c r="AA196" s="77"/>
      <c r="AB196" s="77"/>
      <c r="AC196" s="77"/>
      <c r="AD196" s="77"/>
      <c r="AE196" s="62"/>
      <c r="AF196" s="63" t="b">
        <v>0</v>
      </c>
      <c r="AG196" s="63" t="b">
        <v>0</v>
      </c>
      <c r="AH196" s="62"/>
      <c r="AI196" s="64">
        <f t="shared" si="7"/>
        <v>43232</v>
      </c>
      <c r="AJ196" s="65" t="str">
        <f t="shared" si="340"/>
        <v>LAB</v>
      </c>
      <c r="AK196" s="66" t="str">
        <f t="shared" si="9"/>
        <v>GAIN</v>
      </c>
      <c r="AL196" s="67" t="e">
        <f t="shared" ca="1" si="10"/>
        <v>#NAME?</v>
      </c>
      <c r="AM196" s="68">
        <f t="shared" si="443"/>
        <v>2712</v>
      </c>
      <c r="AN196" s="69">
        <f t="shared" si="444"/>
        <v>6.2731310140636543E-2</v>
      </c>
      <c r="AO196" s="62"/>
      <c r="AP196" s="70">
        <f t="shared" ref="AP196:AT196" si="592">H196/$AI196</f>
        <v>0.38450684678016284</v>
      </c>
      <c r="AQ196" s="70">
        <f t="shared" si="592"/>
        <v>0.32177553663952629</v>
      </c>
      <c r="AR196" s="70">
        <f t="shared" si="592"/>
        <v>0.20609733530717986</v>
      </c>
      <c r="AS196" s="70">
        <f t="shared" si="592"/>
        <v>3.5482975573649149E-2</v>
      </c>
      <c r="AT196" s="70">
        <f t="shared" si="592"/>
        <v>5.2137305699481863E-2</v>
      </c>
      <c r="AU196" s="70"/>
      <c r="AV196" s="70"/>
      <c r="AW196" s="81">
        <f t="shared" si="14"/>
        <v>0</v>
      </c>
      <c r="AX196" s="70">
        <f t="shared" ref="AX196:BG196" si="593">O196/$AI196</f>
        <v>0</v>
      </c>
      <c r="AY196" s="70">
        <f t="shared" si="593"/>
        <v>0</v>
      </c>
      <c r="AZ196" s="70">
        <f t="shared" si="593"/>
        <v>0</v>
      </c>
      <c r="BA196" s="70">
        <f t="shared" si="593"/>
        <v>0</v>
      </c>
      <c r="BB196" s="70">
        <f t="shared" si="593"/>
        <v>0</v>
      </c>
      <c r="BC196" s="70">
        <f t="shared" si="593"/>
        <v>0</v>
      </c>
      <c r="BD196" s="70">
        <f t="shared" si="593"/>
        <v>0</v>
      </c>
      <c r="BE196" s="70">
        <f t="shared" si="593"/>
        <v>0</v>
      </c>
      <c r="BF196" s="70">
        <f t="shared" si="593"/>
        <v>0</v>
      </c>
      <c r="BG196" s="70">
        <f t="shared" si="593"/>
        <v>0</v>
      </c>
      <c r="BH196" s="70">
        <f t="shared" si="16"/>
        <v>0</v>
      </c>
      <c r="BI196" s="62"/>
      <c r="BJ196" s="69">
        <v>0.29399999999999998</v>
      </c>
      <c r="BK196" s="69">
        <v>0.622</v>
      </c>
      <c r="BL196" s="69">
        <v>0</v>
      </c>
      <c r="BM196" s="69">
        <v>5.3999999999999999E-2</v>
      </c>
      <c r="BN196" s="69">
        <v>2.9000000000000001E-2</v>
      </c>
      <c r="BO196" s="69">
        <v>0</v>
      </c>
      <c r="BP196" s="69">
        <v>0</v>
      </c>
      <c r="BQ196" s="69">
        <v>0</v>
      </c>
      <c r="BR196" s="62"/>
      <c r="BS196" s="72">
        <f t="shared" ref="BS196:BW196" si="594">AP196-BJ196</f>
        <v>9.0506846780162853E-2</v>
      </c>
      <c r="BT196" s="72">
        <f t="shared" si="594"/>
        <v>-0.3002244633604737</v>
      </c>
      <c r="BU196" s="72">
        <f t="shared" si="594"/>
        <v>0.20609733530717986</v>
      </c>
      <c r="BV196" s="72">
        <f t="shared" si="594"/>
        <v>-1.851702442635085E-2</v>
      </c>
      <c r="BW196" s="72">
        <f t="shared" si="594"/>
        <v>2.3137305699481862E-2</v>
      </c>
      <c r="BX196" s="72"/>
      <c r="BY196" s="72"/>
      <c r="BZ196" s="72">
        <f t="shared" si="18"/>
        <v>0</v>
      </c>
    </row>
    <row r="197" spans="1:78" ht="13.15">
      <c r="A197" s="73" t="s">
        <v>6</v>
      </c>
      <c r="B197" s="74" t="s">
        <v>437</v>
      </c>
      <c r="C197" s="75" t="s">
        <v>438</v>
      </c>
      <c r="D197" s="75" t="s">
        <v>71</v>
      </c>
      <c r="E197" s="76"/>
      <c r="F197" s="59"/>
      <c r="G197" s="60"/>
      <c r="H197" s="77">
        <v>15336</v>
      </c>
      <c r="I197" s="77">
        <v>8269</v>
      </c>
      <c r="J197" s="77">
        <v>10533</v>
      </c>
      <c r="K197" s="77">
        <v>1036</v>
      </c>
      <c r="L197" s="77">
        <v>1115</v>
      </c>
      <c r="M197" s="77"/>
      <c r="N197" s="77"/>
      <c r="O197" s="77"/>
      <c r="P197" s="77"/>
      <c r="Q197" s="77">
        <v>108</v>
      </c>
      <c r="R197" s="77"/>
      <c r="S197" s="77"/>
      <c r="T197" s="77"/>
      <c r="U197" s="77"/>
      <c r="V197" s="77"/>
      <c r="W197" s="77"/>
      <c r="X197" s="77"/>
      <c r="Y197" s="77">
        <v>222</v>
      </c>
      <c r="Z197" s="77"/>
      <c r="AA197" s="77"/>
      <c r="AB197" s="77"/>
      <c r="AC197" s="77"/>
      <c r="AD197" s="77"/>
      <c r="AE197" s="62"/>
      <c r="AF197" s="63" t="b">
        <v>0</v>
      </c>
      <c r="AG197" s="63" t="b">
        <v>0</v>
      </c>
      <c r="AH197" s="62"/>
      <c r="AI197" s="64">
        <f t="shared" si="7"/>
        <v>36619</v>
      </c>
      <c r="AJ197" s="65" t="str">
        <f t="shared" si="340"/>
        <v>LAB</v>
      </c>
      <c r="AK197" s="66" t="str">
        <f t="shared" si="9"/>
        <v>GAIN</v>
      </c>
      <c r="AL197" s="67" t="e">
        <f t="shared" ca="1" si="10"/>
        <v>#NAME?</v>
      </c>
      <c r="AM197" s="68">
        <f t="shared" si="443"/>
        <v>4803</v>
      </c>
      <c r="AN197" s="69">
        <f t="shared" si="444"/>
        <v>0.13116141893552524</v>
      </c>
      <c r="AO197" s="62"/>
      <c r="AP197" s="70">
        <f t="shared" ref="AP197:AT197" si="595">H197/$AI197</f>
        <v>0.41879898413391953</v>
      </c>
      <c r="AQ197" s="70">
        <f t="shared" si="595"/>
        <v>0.22581173707638111</v>
      </c>
      <c r="AR197" s="70">
        <f t="shared" si="595"/>
        <v>0.28763756519839428</v>
      </c>
      <c r="AS197" s="70">
        <f t="shared" si="595"/>
        <v>2.8291324175974221E-2</v>
      </c>
      <c r="AT197" s="70">
        <f t="shared" si="595"/>
        <v>3.0448674185532102E-2</v>
      </c>
      <c r="AU197" s="70"/>
      <c r="AV197" s="70"/>
      <c r="AW197" s="81">
        <f t="shared" si="14"/>
        <v>9.0117152297987113E-3</v>
      </c>
      <c r="AX197" s="70">
        <f t="shared" ref="AX197:BG197" si="596">O197/$AI197</f>
        <v>0</v>
      </c>
      <c r="AY197" s="70">
        <f t="shared" si="596"/>
        <v>0</v>
      </c>
      <c r="AZ197" s="70">
        <f t="shared" si="596"/>
        <v>2.9492886206614051E-3</v>
      </c>
      <c r="BA197" s="70">
        <f t="shared" si="596"/>
        <v>0</v>
      </c>
      <c r="BB197" s="70">
        <f t="shared" si="596"/>
        <v>0</v>
      </c>
      <c r="BC197" s="70">
        <f t="shared" si="596"/>
        <v>0</v>
      </c>
      <c r="BD197" s="70">
        <f t="shared" si="596"/>
        <v>0</v>
      </c>
      <c r="BE197" s="70">
        <f t="shared" si="596"/>
        <v>0</v>
      </c>
      <c r="BF197" s="70">
        <f t="shared" si="596"/>
        <v>0</v>
      </c>
      <c r="BG197" s="70">
        <f t="shared" si="596"/>
        <v>0</v>
      </c>
      <c r="BH197" s="70">
        <f t="shared" si="16"/>
        <v>6.0624266091373058E-3</v>
      </c>
      <c r="BI197" s="62"/>
      <c r="BJ197" s="69">
        <v>0.32200000000000001</v>
      </c>
      <c r="BK197" s="69">
        <v>0.55600000000000005</v>
      </c>
      <c r="BL197" s="69">
        <v>4.9000000000000002E-2</v>
      </c>
      <c r="BM197" s="69">
        <v>4.9000000000000002E-2</v>
      </c>
      <c r="BN197" s="69">
        <v>0.02</v>
      </c>
      <c r="BO197" s="69">
        <v>0</v>
      </c>
      <c r="BP197" s="69">
        <v>0</v>
      </c>
      <c r="BQ197" s="69">
        <v>4.0000000000000001E-3</v>
      </c>
      <c r="BR197" s="62"/>
      <c r="BS197" s="72">
        <f t="shared" ref="BS197:BW197" si="597">AP197-BJ197</f>
        <v>9.6798984133919519E-2</v>
      </c>
      <c r="BT197" s="72">
        <f t="shared" si="597"/>
        <v>-0.33018826292361891</v>
      </c>
      <c r="BU197" s="72">
        <f t="shared" si="597"/>
        <v>0.2386375651983943</v>
      </c>
      <c r="BV197" s="72">
        <f t="shared" si="597"/>
        <v>-2.0708675824025781E-2</v>
      </c>
      <c r="BW197" s="72">
        <f t="shared" si="597"/>
        <v>1.0448674185532102E-2</v>
      </c>
      <c r="BX197" s="72"/>
      <c r="BY197" s="72"/>
      <c r="BZ197" s="72">
        <f t="shared" si="18"/>
        <v>5.0117152297987112E-3</v>
      </c>
    </row>
    <row r="198" spans="1:78" ht="13.15">
      <c r="A198" s="73" t="s">
        <v>6</v>
      </c>
      <c r="B198" s="74" t="s">
        <v>439</v>
      </c>
      <c r="C198" s="75" t="s">
        <v>440</v>
      </c>
      <c r="D198" s="75" t="s">
        <v>78</v>
      </c>
      <c r="E198" s="76"/>
      <c r="F198" s="59"/>
      <c r="G198" s="60"/>
      <c r="H198" s="77">
        <v>12959</v>
      </c>
      <c r="I198" s="77">
        <v>10034</v>
      </c>
      <c r="J198" s="77">
        <v>14385</v>
      </c>
      <c r="K198" s="77">
        <v>1102</v>
      </c>
      <c r="L198" s="77">
        <v>1736</v>
      </c>
      <c r="M198" s="77"/>
      <c r="N198" s="77"/>
      <c r="O198" s="77">
        <v>230</v>
      </c>
      <c r="P198" s="77"/>
      <c r="Q198" s="77"/>
      <c r="R198" s="77"/>
      <c r="S198" s="77"/>
      <c r="T198" s="77"/>
      <c r="U198" s="77"/>
      <c r="V198" s="77"/>
      <c r="W198" s="77"/>
      <c r="X198" s="77"/>
      <c r="Y198" s="77">
        <v>171</v>
      </c>
      <c r="Z198" s="77">
        <v>131</v>
      </c>
      <c r="AA198" s="77"/>
      <c r="AB198" s="77"/>
      <c r="AC198" s="77"/>
      <c r="AD198" s="77"/>
      <c r="AE198" s="62"/>
      <c r="AF198" s="63" t="b">
        <v>0</v>
      </c>
      <c r="AG198" s="63" t="b">
        <v>0</v>
      </c>
      <c r="AH198" s="62"/>
      <c r="AI198" s="64">
        <f t="shared" si="7"/>
        <v>40748</v>
      </c>
      <c r="AJ198" s="65" t="str">
        <f t="shared" si="340"/>
        <v>RFM</v>
      </c>
      <c r="AK198" s="66" t="str">
        <f t="shared" si="9"/>
        <v>GAIN</v>
      </c>
      <c r="AL198" s="67" t="e">
        <f t="shared" ca="1" si="10"/>
        <v>#NAME?</v>
      </c>
      <c r="AM198" s="68">
        <f t="shared" si="443"/>
        <v>1426</v>
      </c>
      <c r="AN198" s="69">
        <f t="shared" si="444"/>
        <v>3.4995582605281239E-2</v>
      </c>
      <c r="AO198" s="62"/>
      <c r="AP198" s="70">
        <f t="shared" ref="AP198:AT198" si="598">H198/$AI198</f>
        <v>0.31802787866889171</v>
      </c>
      <c r="AQ198" s="70">
        <f t="shared" si="598"/>
        <v>0.24624521448905468</v>
      </c>
      <c r="AR198" s="70">
        <f t="shared" si="598"/>
        <v>0.35302346127417294</v>
      </c>
      <c r="AS198" s="70">
        <f t="shared" si="598"/>
        <v>2.7044272111514677E-2</v>
      </c>
      <c r="AT198" s="70">
        <f t="shared" si="598"/>
        <v>4.2603317954255426E-2</v>
      </c>
      <c r="AU198" s="70"/>
      <c r="AV198" s="70"/>
      <c r="AW198" s="81">
        <f t="shared" si="14"/>
        <v>1.3055855502110525E-2</v>
      </c>
      <c r="AX198" s="70">
        <f t="shared" ref="AX198:BG198" si="599">O198/$AI198</f>
        <v>5.6444488073034262E-3</v>
      </c>
      <c r="AY198" s="70">
        <f t="shared" si="599"/>
        <v>0</v>
      </c>
      <c r="AZ198" s="70">
        <f t="shared" si="599"/>
        <v>0</v>
      </c>
      <c r="BA198" s="70">
        <f t="shared" si="599"/>
        <v>0</v>
      </c>
      <c r="BB198" s="70">
        <f t="shared" si="599"/>
        <v>0</v>
      </c>
      <c r="BC198" s="70">
        <f t="shared" si="599"/>
        <v>0</v>
      </c>
      <c r="BD198" s="70">
        <f t="shared" si="599"/>
        <v>0</v>
      </c>
      <c r="BE198" s="70">
        <f t="shared" si="599"/>
        <v>0</v>
      </c>
      <c r="BF198" s="70">
        <f t="shared" si="599"/>
        <v>0</v>
      </c>
      <c r="BG198" s="70">
        <f t="shared" si="599"/>
        <v>0</v>
      </c>
      <c r="BH198" s="70">
        <f t="shared" si="16"/>
        <v>7.4114066948070987E-3</v>
      </c>
      <c r="BI198" s="62"/>
      <c r="BJ198" s="69">
        <v>0.252</v>
      </c>
      <c r="BK198" s="69">
        <v>0.65800000000000003</v>
      </c>
      <c r="BL198" s="69">
        <v>0</v>
      </c>
      <c r="BM198" s="69">
        <v>3.7999999999999999E-2</v>
      </c>
      <c r="BN198" s="69">
        <v>2.5000000000000001E-2</v>
      </c>
      <c r="BO198" s="69">
        <v>0</v>
      </c>
      <c r="BP198" s="69">
        <v>0</v>
      </c>
      <c r="BQ198" s="69">
        <v>2.8000000000000001E-2</v>
      </c>
      <c r="BR198" s="62"/>
      <c r="BS198" s="72">
        <f t="shared" ref="BS198:BW198" si="600">AP198-BJ198</f>
        <v>6.6027878668891704E-2</v>
      </c>
      <c r="BT198" s="72">
        <f t="shared" si="600"/>
        <v>-0.41175478551094535</v>
      </c>
      <c r="BU198" s="72">
        <f t="shared" si="600"/>
        <v>0.35302346127417294</v>
      </c>
      <c r="BV198" s="72">
        <f t="shared" si="600"/>
        <v>-1.0955727888485322E-2</v>
      </c>
      <c r="BW198" s="72">
        <f t="shared" si="600"/>
        <v>1.7603317954255425E-2</v>
      </c>
      <c r="BX198" s="72"/>
      <c r="BY198" s="72"/>
      <c r="BZ198" s="72">
        <f t="shared" si="18"/>
        <v>-1.4944144497889476E-2</v>
      </c>
    </row>
    <row r="199" spans="1:78" ht="13.15">
      <c r="A199" s="78" t="s">
        <v>5</v>
      </c>
      <c r="B199" s="74" t="s">
        <v>441</v>
      </c>
      <c r="C199" s="75" t="s">
        <v>442</v>
      </c>
      <c r="D199" s="75" t="s">
        <v>68</v>
      </c>
      <c r="E199" s="76"/>
      <c r="F199" s="59"/>
      <c r="G199" s="60"/>
      <c r="H199" s="77">
        <v>23999</v>
      </c>
      <c r="I199" s="77">
        <v>4863</v>
      </c>
      <c r="J199" s="77">
        <v>3305</v>
      </c>
      <c r="K199" s="77">
        <v>3865</v>
      </c>
      <c r="L199" s="77">
        <v>5633</v>
      </c>
      <c r="M199" s="77"/>
      <c r="N199" s="77"/>
      <c r="O199" s="77">
        <v>311</v>
      </c>
      <c r="P199" s="77">
        <v>570</v>
      </c>
      <c r="Q199" s="77"/>
      <c r="R199" s="77"/>
      <c r="S199" s="77"/>
      <c r="T199" s="77"/>
      <c r="U199" s="77"/>
      <c r="V199" s="77"/>
      <c r="W199" s="77"/>
      <c r="X199" s="77"/>
      <c r="Y199" s="77">
        <v>173</v>
      </c>
      <c r="Z199" s="77"/>
      <c r="AA199" s="77"/>
      <c r="AB199" s="77"/>
      <c r="AC199" s="77"/>
      <c r="AD199" s="77"/>
      <c r="AE199" s="62"/>
      <c r="AF199" s="63" t="b">
        <v>0</v>
      </c>
      <c r="AG199" s="63" t="b">
        <v>0</v>
      </c>
      <c r="AH199" s="62"/>
      <c r="AI199" s="64">
        <f t="shared" si="7"/>
        <v>42719</v>
      </c>
      <c r="AJ199" s="65" t="str">
        <f t="shared" si="340"/>
        <v>LAB</v>
      </c>
      <c r="AK199" s="66" t="str">
        <f t="shared" si="9"/>
        <v>HOLD</v>
      </c>
      <c r="AL199" s="67" t="e">
        <f t="shared" ca="1" si="10"/>
        <v>#NAME?</v>
      </c>
      <c r="AM199" s="68">
        <f t="shared" si="443"/>
        <v>18366</v>
      </c>
      <c r="AN199" s="69">
        <f t="shared" si="444"/>
        <v>0.42992579414312138</v>
      </c>
      <c r="AO199" s="62"/>
      <c r="AP199" s="70">
        <f t="shared" ref="AP199:AT199" si="601">H199/$AI199</f>
        <v>0.56178749502563263</v>
      </c>
      <c r="AQ199" s="70">
        <f t="shared" si="601"/>
        <v>0.11383693438516819</v>
      </c>
      <c r="AR199" s="70">
        <f t="shared" si="601"/>
        <v>7.7366043212622013E-2</v>
      </c>
      <c r="AS199" s="70">
        <f t="shared" si="601"/>
        <v>9.047496430159882E-2</v>
      </c>
      <c r="AT199" s="70">
        <f t="shared" si="601"/>
        <v>0.13186170088251128</v>
      </c>
      <c r="AU199" s="70"/>
      <c r="AV199" s="70"/>
      <c r="AW199" s="81">
        <f t="shared" si="14"/>
        <v>2.4672862192467115E-2</v>
      </c>
      <c r="AX199" s="70">
        <f t="shared" ref="AX199:BG199" si="602">O199/$AI199</f>
        <v>7.2801329619139026E-3</v>
      </c>
      <c r="AY199" s="70">
        <f t="shared" si="602"/>
        <v>1.3343008965565673E-2</v>
      </c>
      <c r="AZ199" s="70">
        <f t="shared" si="602"/>
        <v>0</v>
      </c>
      <c r="BA199" s="70">
        <f t="shared" si="602"/>
        <v>0</v>
      </c>
      <c r="BB199" s="70">
        <f t="shared" si="602"/>
        <v>0</v>
      </c>
      <c r="BC199" s="70">
        <f t="shared" si="602"/>
        <v>0</v>
      </c>
      <c r="BD199" s="70">
        <f t="shared" si="602"/>
        <v>0</v>
      </c>
      <c r="BE199" s="70">
        <f t="shared" si="602"/>
        <v>0</v>
      </c>
      <c r="BF199" s="70">
        <f t="shared" si="602"/>
        <v>0</v>
      </c>
      <c r="BG199" s="70">
        <f t="shared" si="602"/>
        <v>0</v>
      </c>
      <c r="BH199" s="70">
        <f t="shared" si="16"/>
        <v>4.0497202649875386E-3</v>
      </c>
      <c r="BI199" s="62"/>
      <c r="BJ199" s="69">
        <v>0.55000000000000004</v>
      </c>
      <c r="BK199" s="69">
        <v>0.22700000000000001</v>
      </c>
      <c r="BL199" s="69">
        <v>2.3E-2</v>
      </c>
      <c r="BM199" s="69">
        <v>0.14599999999999999</v>
      </c>
      <c r="BN199" s="69">
        <v>4.5999999999999999E-2</v>
      </c>
      <c r="BO199" s="69">
        <v>0</v>
      </c>
      <c r="BP199" s="69">
        <v>0</v>
      </c>
      <c r="BQ199" s="69">
        <v>8.0000000000000002E-3</v>
      </c>
      <c r="BR199" s="62"/>
      <c r="BS199" s="72">
        <f t="shared" ref="BS199:BW199" si="603">AP199-BJ199</f>
        <v>1.1787495025632588E-2</v>
      </c>
      <c r="BT199" s="72">
        <f t="shared" si="603"/>
        <v>-0.11316306561483182</v>
      </c>
      <c r="BU199" s="72">
        <f t="shared" si="603"/>
        <v>5.4366043212622013E-2</v>
      </c>
      <c r="BV199" s="72">
        <f t="shared" si="603"/>
        <v>-5.5525035698401171E-2</v>
      </c>
      <c r="BW199" s="72">
        <f t="shared" si="603"/>
        <v>8.5861700882511285E-2</v>
      </c>
      <c r="BX199" s="72"/>
      <c r="BY199" s="72"/>
      <c r="BZ199" s="72">
        <f t="shared" si="18"/>
        <v>1.6672862192467115E-2</v>
      </c>
    </row>
    <row r="200" spans="1:78" ht="13.15">
      <c r="A200" s="73" t="s">
        <v>6</v>
      </c>
      <c r="B200" s="74" t="s">
        <v>443</v>
      </c>
      <c r="C200" s="75" t="s">
        <v>444</v>
      </c>
      <c r="D200" s="75" t="s">
        <v>44</v>
      </c>
      <c r="E200" s="76"/>
      <c r="F200" s="59"/>
      <c r="G200" s="60"/>
      <c r="H200" s="84">
        <v>3931</v>
      </c>
      <c r="I200" s="85">
        <v>14508</v>
      </c>
      <c r="J200" s="85">
        <v>4395</v>
      </c>
      <c r="K200" s="85">
        <v>22937</v>
      </c>
      <c r="L200" s="85">
        <v>2268</v>
      </c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5">
        <v>255</v>
      </c>
      <c r="Z200" s="86"/>
      <c r="AA200" s="86"/>
      <c r="AB200" s="86"/>
      <c r="AC200" s="86"/>
      <c r="AD200" s="86"/>
      <c r="AE200" s="62"/>
      <c r="AF200" s="63" t="b">
        <v>0</v>
      </c>
      <c r="AG200" s="63" t="b">
        <v>0</v>
      </c>
      <c r="AH200" s="62"/>
      <c r="AI200" s="64">
        <f t="shared" si="7"/>
        <v>48294</v>
      </c>
      <c r="AJ200" s="65" t="str">
        <f t="shared" si="340"/>
        <v>LDM</v>
      </c>
      <c r="AK200" s="66" t="str">
        <f t="shared" si="9"/>
        <v>GAIN</v>
      </c>
      <c r="AL200" s="67" t="e">
        <f t="shared" ca="1" si="10"/>
        <v>#NAME?</v>
      </c>
      <c r="AM200" s="68">
        <f t="shared" si="443"/>
        <v>8429</v>
      </c>
      <c r="AN200" s="69">
        <f t="shared" si="444"/>
        <v>0.17453513894065514</v>
      </c>
      <c r="AO200" s="62"/>
      <c r="AP200" s="70">
        <f t="shared" ref="AP200:AT200" si="604">H200/$AI200</f>
        <v>8.1397275023812485E-2</v>
      </c>
      <c r="AQ200" s="70">
        <f t="shared" si="604"/>
        <v>0.3004099888184868</v>
      </c>
      <c r="AR200" s="70">
        <f t="shared" si="604"/>
        <v>9.1005093800472114E-2</v>
      </c>
      <c r="AS200" s="70">
        <f t="shared" si="604"/>
        <v>0.47494512775914194</v>
      </c>
      <c r="AT200" s="70">
        <f t="shared" si="604"/>
        <v>4.6962355572120758E-2</v>
      </c>
      <c r="AU200" s="70"/>
      <c r="AV200" s="70"/>
      <c r="AW200" s="81">
        <f t="shared" si="14"/>
        <v>5.2801590259659026E-3</v>
      </c>
      <c r="AX200" s="70">
        <f t="shared" ref="AX200:BG200" si="605">O200/$AI200</f>
        <v>0</v>
      </c>
      <c r="AY200" s="70">
        <f t="shared" si="605"/>
        <v>0</v>
      </c>
      <c r="AZ200" s="70">
        <f t="shared" si="605"/>
        <v>0</v>
      </c>
      <c r="BA200" s="70">
        <f t="shared" si="605"/>
        <v>0</v>
      </c>
      <c r="BB200" s="70">
        <f t="shared" si="605"/>
        <v>0</v>
      </c>
      <c r="BC200" s="70">
        <f t="shared" si="605"/>
        <v>0</v>
      </c>
      <c r="BD200" s="70">
        <f t="shared" si="605"/>
        <v>0</v>
      </c>
      <c r="BE200" s="70">
        <f t="shared" si="605"/>
        <v>0</v>
      </c>
      <c r="BF200" s="70">
        <f t="shared" si="605"/>
        <v>0</v>
      </c>
      <c r="BG200" s="70">
        <f t="shared" si="605"/>
        <v>0</v>
      </c>
      <c r="BH200" s="70">
        <f t="shared" si="16"/>
        <v>5.2801590259659026E-3</v>
      </c>
      <c r="BI200" s="62"/>
      <c r="BJ200" s="69">
        <v>8.4000000000000005E-2</v>
      </c>
      <c r="BK200" s="69">
        <v>0.45100000000000001</v>
      </c>
      <c r="BL200" s="69">
        <v>0</v>
      </c>
      <c r="BM200" s="69">
        <v>0.39200000000000002</v>
      </c>
      <c r="BN200" s="69">
        <v>4.0000000000000001E-3</v>
      </c>
      <c r="BO200" s="69">
        <v>0</v>
      </c>
      <c r="BP200" s="69">
        <v>0</v>
      </c>
      <c r="BQ200" s="69">
        <v>7.0000000000000007E-2</v>
      </c>
      <c r="BR200" s="62"/>
      <c r="BS200" s="72">
        <f t="shared" ref="BS200:BW200" si="606">AP200-BJ200</f>
        <v>-2.6027249761875204E-3</v>
      </c>
      <c r="BT200" s="72">
        <f t="shared" si="606"/>
        <v>-0.15059001118151322</v>
      </c>
      <c r="BU200" s="72">
        <f t="shared" si="606"/>
        <v>9.1005093800472114E-2</v>
      </c>
      <c r="BV200" s="72">
        <f t="shared" si="606"/>
        <v>8.2945127759141923E-2</v>
      </c>
      <c r="BW200" s="72">
        <f t="shared" si="606"/>
        <v>4.2962355572120761E-2</v>
      </c>
      <c r="BX200" s="72"/>
      <c r="BY200" s="72"/>
      <c r="BZ200" s="72">
        <f t="shared" si="18"/>
        <v>-6.4719840974034104E-2</v>
      </c>
    </row>
    <row r="201" spans="1:78" ht="13.15">
      <c r="A201" s="78" t="s">
        <v>5</v>
      </c>
      <c r="B201" s="74" t="s">
        <v>445</v>
      </c>
      <c r="C201" s="75" t="s">
        <v>446</v>
      </c>
      <c r="D201" s="75" t="s">
        <v>68</v>
      </c>
      <c r="E201" s="76"/>
      <c r="F201" s="59"/>
      <c r="G201" s="60"/>
      <c r="H201" s="77">
        <v>24355</v>
      </c>
      <c r="I201" s="77">
        <v>3457</v>
      </c>
      <c r="J201" s="77">
        <v>1283</v>
      </c>
      <c r="K201" s="77">
        <v>1562</v>
      </c>
      <c r="L201" s="77">
        <v>9275</v>
      </c>
      <c r="M201" s="77"/>
      <c r="N201" s="77"/>
      <c r="O201" s="77">
        <v>621</v>
      </c>
      <c r="P201" s="77"/>
      <c r="Q201" s="77"/>
      <c r="R201" s="77"/>
      <c r="S201" s="77"/>
      <c r="T201" s="77"/>
      <c r="U201" s="77"/>
      <c r="V201" s="77"/>
      <c r="W201" s="77"/>
      <c r="X201" s="77"/>
      <c r="Y201" s="77">
        <v>224</v>
      </c>
      <c r="Z201" s="77">
        <v>182</v>
      </c>
      <c r="AA201" s="77"/>
      <c r="AB201" s="77"/>
      <c r="AC201" s="77"/>
      <c r="AD201" s="77"/>
      <c r="AE201" s="62"/>
      <c r="AF201" s="63" t="b">
        <v>0</v>
      </c>
      <c r="AG201" s="63" t="b">
        <v>0</v>
      </c>
      <c r="AH201" s="62"/>
      <c r="AI201" s="64">
        <f t="shared" si="7"/>
        <v>40959</v>
      </c>
      <c r="AJ201" s="65" t="str">
        <f t="shared" si="340"/>
        <v>LAB</v>
      </c>
      <c r="AK201" s="66" t="str">
        <f t="shared" si="9"/>
        <v>HOLD</v>
      </c>
      <c r="AL201" s="67" t="e">
        <f t="shared" ca="1" si="10"/>
        <v>#NAME?</v>
      </c>
      <c r="AM201" s="68">
        <f t="shared" si="443"/>
        <v>15080</v>
      </c>
      <c r="AN201" s="69">
        <f t="shared" si="444"/>
        <v>0.36817305109988036</v>
      </c>
      <c r="AO201" s="62"/>
      <c r="AP201" s="70">
        <f t="shared" ref="AP201:AT201" si="607">H201/$AI201</f>
        <v>0.59461900925315558</v>
      </c>
      <c r="AQ201" s="70">
        <f t="shared" si="607"/>
        <v>8.4401474645377089E-2</v>
      </c>
      <c r="AR201" s="70">
        <f t="shared" si="607"/>
        <v>3.1324006933763034E-2</v>
      </c>
      <c r="AS201" s="70">
        <f t="shared" si="607"/>
        <v>3.8135696672282039E-2</v>
      </c>
      <c r="AT201" s="70">
        <f t="shared" si="607"/>
        <v>0.22644595815327523</v>
      </c>
      <c r="AU201" s="70"/>
      <c r="AV201" s="70"/>
      <c r="AW201" s="81">
        <f t="shared" si="14"/>
        <v>2.507385434214715E-2</v>
      </c>
      <c r="AX201" s="70">
        <f t="shared" ref="AX201:BG201" si="608">O201/$AI201</f>
        <v>1.5161502966381015E-2</v>
      </c>
      <c r="AY201" s="70">
        <f t="shared" si="608"/>
        <v>0</v>
      </c>
      <c r="AZ201" s="70">
        <f t="shared" si="608"/>
        <v>0</v>
      </c>
      <c r="BA201" s="70">
        <f t="shared" si="608"/>
        <v>0</v>
      </c>
      <c r="BB201" s="70">
        <f t="shared" si="608"/>
        <v>0</v>
      </c>
      <c r="BC201" s="70">
        <f t="shared" si="608"/>
        <v>0</v>
      </c>
      <c r="BD201" s="70">
        <f t="shared" si="608"/>
        <v>0</v>
      </c>
      <c r="BE201" s="70">
        <f t="shared" si="608"/>
        <v>0</v>
      </c>
      <c r="BF201" s="70">
        <f t="shared" si="608"/>
        <v>0</v>
      </c>
      <c r="BG201" s="70">
        <f t="shared" si="608"/>
        <v>0</v>
      </c>
      <c r="BH201" s="70">
        <f t="shared" si="16"/>
        <v>9.912351375766135E-3</v>
      </c>
      <c r="BI201" s="62"/>
      <c r="BJ201" s="69">
        <v>0.69799999999999995</v>
      </c>
      <c r="BK201" s="69">
        <v>0.13</v>
      </c>
      <c r="BL201" s="69">
        <v>0.01</v>
      </c>
      <c r="BM201" s="69">
        <v>7.6999999999999999E-2</v>
      </c>
      <c r="BN201" s="69">
        <v>0.08</v>
      </c>
      <c r="BO201" s="69">
        <v>0</v>
      </c>
      <c r="BP201" s="69">
        <v>0</v>
      </c>
      <c r="BQ201" s="69">
        <v>4.0000000000000001E-3</v>
      </c>
      <c r="BR201" s="62"/>
      <c r="BS201" s="72">
        <f t="shared" ref="BS201:BW201" si="609">AP201-BJ201</f>
        <v>-0.10338099074684437</v>
      </c>
      <c r="BT201" s="72">
        <f t="shared" si="609"/>
        <v>-4.5598525354622915E-2</v>
      </c>
      <c r="BU201" s="72">
        <f t="shared" si="609"/>
        <v>2.1324006933763032E-2</v>
      </c>
      <c r="BV201" s="72">
        <f t="shared" si="609"/>
        <v>-3.886430332771796E-2</v>
      </c>
      <c r="BW201" s="72">
        <f t="shared" si="609"/>
        <v>0.14644595815327521</v>
      </c>
      <c r="BX201" s="72"/>
      <c r="BY201" s="72"/>
      <c r="BZ201" s="72">
        <f t="shared" si="18"/>
        <v>2.107385434214715E-2</v>
      </c>
    </row>
    <row r="202" spans="1:78" ht="13.15">
      <c r="A202" s="78" t="s">
        <v>5</v>
      </c>
      <c r="B202" s="74" t="s">
        <v>447</v>
      </c>
      <c r="C202" s="75" t="s">
        <v>448</v>
      </c>
      <c r="D202" s="75" t="s">
        <v>68</v>
      </c>
      <c r="E202" s="76"/>
      <c r="F202" s="59"/>
      <c r="G202" s="60"/>
      <c r="H202" s="77">
        <v>24724</v>
      </c>
      <c r="I202" s="77">
        <v>2076</v>
      </c>
      <c r="J202" s="77">
        <v>1601</v>
      </c>
      <c r="K202" s="77">
        <v>1996</v>
      </c>
      <c r="L202" s="77">
        <v>9987</v>
      </c>
      <c r="M202" s="77"/>
      <c r="N202" s="77"/>
      <c r="O202" s="77"/>
      <c r="P202" s="77">
        <v>1007</v>
      </c>
      <c r="Q202" s="77"/>
      <c r="R202" s="77"/>
      <c r="S202" s="77"/>
      <c r="T202" s="77"/>
      <c r="U202" s="77"/>
      <c r="V202" s="77"/>
      <c r="W202" s="77"/>
      <c r="X202" s="77"/>
      <c r="Y202" s="77">
        <v>310</v>
      </c>
      <c r="Z202" s="77"/>
      <c r="AA202" s="77"/>
      <c r="AB202" s="77"/>
      <c r="AC202" s="77"/>
      <c r="AD202" s="77"/>
      <c r="AE202" s="62"/>
      <c r="AF202" s="63" t="b">
        <v>0</v>
      </c>
      <c r="AG202" s="63" t="b">
        <v>0</v>
      </c>
      <c r="AH202" s="62"/>
      <c r="AI202" s="64">
        <f t="shared" si="7"/>
        <v>41701</v>
      </c>
      <c r="AJ202" s="65" t="str">
        <f t="shared" si="340"/>
        <v>LAB</v>
      </c>
      <c r="AK202" s="66" t="str">
        <f t="shared" si="9"/>
        <v>HOLD</v>
      </c>
      <c r="AL202" s="67" t="e">
        <f t="shared" ca="1" si="10"/>
        <v>#NAME?</v>
      </c>
      <c r="AM202" s="68">
        <f t="shared" si="443"/>
        <v>14737</v>
      </c>
      <c r="AN202" s="69">
        <f t="shared" si="444"/>
        <v>0.3533968010359464</v>
      </c>
      <c r="AO202" s="62"/>
      <c r="AP202" s="70">
        <f t="shared" ref="AP202:AT202" si="610">H202/$AI202</f>
        <v>0.59288746073235654</v>
      </c>
      <c r="AQ202" s="70">
        <f t="shared" si="610"/>
        <v>4.9782978825447834E-2</v>
      </c>
      <c r="AR202" s="70">
        <f t="shared" si="610"/>
        <v>3.8392364691494207E-2</v>
      </c>
      <c r="AS202" s="70">
        <f t="shared" si="610"/>
        <v>4.786455960288722E-2</v>
      </c>
      <c r="AT202" s="70">
        <f t="shared" si="610"/>
        <v>0.23949065969641015</v>
      </c>
      <c r="AU202" s="70"/>
      <c r="AV202" s="70"/>
      <c r="AW202" s="81">
        <f t="shared" si="14"/>
        <v>3.1581976451404037E-2</v>
      </c>
      <c r="AX202" s="70">
        <f t="shared" ref="AX202:BG202" si="611">O202/$AI202</f>
        <v>0</v>
      </c>
      <c r="AY202" s="70">
        <f t="shared" si="611"/>
        <v>2.4148101963981677E-2</v>
      </c>
      <c r="AZ202" s="70">
        <f t="shared" si="611"/>
        <v>0</v>
      </c>
      <c r="BA202" s="70">
        <f t="shared" si="611"/>
        <v>0</v>
      </c>
      <c r="BB202" s="70">
        <f t="shared" si="611"/>
        <v>0</v>
      </c>
      <c r="BC202" s="70">
        <f t="shared" si="611"/>
        <v>0</v>
      </c>
      <c r="BD202" s="70">
        <f t="shared" si="611"/>
        <v>0</v>
      </c>
      <c r="BE202" s="70">
        <f t="shared" si="611"/>
        <v>0</v>
      </c>
      <c r="BF202" s="70">
        <f t="shared" si="611"/>
        <v>0</v>
      </c>
      <c r="BG202" s="70">
        <f t="shared" si="611"/>
        <v>0</v>
      </c>
      <c r="BH202" s="70">
        <f t="shared" si="16"/>
        <v>7.4338744874223595E-3</v>
      </c>
      <c r="BI202" s="62"/>
      <c r="BJ202" s="69">
        <v>0.73399999999999999</v>
      </c>
      <c r="BK202" s="69">
        <v>0.104</v>
      </c>
      <c r="BL202" s="69">
        <v>1.4E-2</v>
      </c>
      <c r="BM202" s="69">
        <v>8.2000000000000003E-2</v>
      </c>
      <c r="BN202" s="69">
        <v>6.4000000000000001E-2</v>
      </c>
      <c r="BO202" s="69">
        <v>0</v>
      </c>
      <c r="BP202" s="69">
        <v>0</v>
      </c>
      <c r="BQ202" s="69">
        <v>2E-3</v>
      </c>
      <c r="BR202" s="62"/>
      <c r="BS202" s="72">
        <f t="shared" ref="BS202:BW202" si="612">AP202-BJ202</f>
        <v>-0.14111253926764344</v>
      </c>
      <c r="BT202" s="72">
        <f t="shared" si="612"/>
        <v>-5.4217021174552162E-2</v>
      </c>
      <c r="BU202" s="72">
        <f t="shared" si="612"/>
        <v>2.4392364691494209E-2</v>
      </c>
      <c r="BV202" s="72">
        <f t="shared" si="612"/>
        <v>-3.4135440397112783E-2</v>
      </c>
      <c r="BW202" s="72">
        <f t="shared" si="612"/>
        <v>0.17549065969641015</v>
      </c>
      <c r="BX202" s="72"/>
      <c r="BY202" s="72"/>
      <c r="BZ202" s="72">
        <f t="shared" si="18"/>
        <v>2.9581976451404035E-2</v>
      </c>
    </row>
    <row r="203" spans="1:78" ht="13.15">
      <c r="A203" s="73" t="s">
        <v>6</v>
      </c>
      <c r="B203" s="74" t="s">
        <v>449</v>
      </c>
      <c r="C203" s="75" t="s">
        <v>450</v>
      </c>
      <c r="D203" s="75" t="s">
        <v>47</v>
      </c>
      <c r="E203" s="76"/>
      <c r="F203" s="59"/>
      <c r="G203" s="60"/>
      <c r="H203" s="77">
        <v>15023</v>
      </c>
      <c r="I203" s="77">
        <v>10659</v>
      </c>
      <c r="J203" s="77">
        <v>8484</v>
      </c>
      <c r="K203" s="77">
        <v>2261</v>
      </c>
      <c r="L203" s="77">
        <v>2151</v>
      </c>
      <c r="M203" s="77"/>
      <c r="N203" s="77"/>
      <c r="O203" s="77"/>
      <c r="P203" s="77"/>
      <c r="Q203" s="77"/>
      <c r="R203" s="77"/>
      <c r="S203" s="77"/>
      <c r="T203" s="77"/>
      <c r="U203" s="77"/>
      <c r="V203" s="77"/>
      <c r="W203" s="77"/>
      <c r="X203" s="77"/>
      <c r="Y203" s="77"/>
      <c r="Z203" s="77"/>
      <c r="AA203" s="77"/>
      <c r="AB203" s="77"/>
      <c r="AC203" s="77"/>
      <c r="AD203" s="77"/>
      <c r="AE203" s="62"/>
      <c r="AF203" s="63" t="b">
        <v>0</v>
      </c>
      <c r="AG203" s="63" t="b">
        <v>0</v>
      </c>
      <c r="AH203" s="62"/>
      <c r="AI203" s="64">
        <f t="shared" si="7"/>
        <v>38578</v>
      </c>
      <c r="AJ203" s="65" t="str">
        <f t="shared" si="340"/>
        <v>LAB</v>
      </c>
      <c r="AK203" s="66" t="str">
        <f t="shared" si="9"/>
        <v>GAIN</v>
      </c>
      <c r="AL203" s="67" t="e">
        <f t="shared" ca="1" si="10"/>
        <v>#NAME?</v>
      </c>
      <c r="AM203" s="68">
        <f t="shared" si="443"/>
        <v>4364</v>
      </c>
      <c r="AN203" s="69">
        <f t="shared" si="444"/>
        <v>0.11312146819430763</v>
      </c>
      <c r="AO203" s="62"/>
      <c r="AP203" s="70">
        <f t="shared" ref="AP203:AT203" si="613">H203/$AI203</f>
        <v>0.38941883975322722</v>
      </c>
      <c r="AQ203" s="70">
        <f t="shared" si="613"/>
        <v>0.27629737155891959</v>
      </c>
      <c r="AR203" s="70">
        <f t="shared" si="613"/>
        <v>0.21991808802944685</v>
      </c>
      <c r="AS203" s="70">
        <f t="shared" si="613"/>
        <v>5.8608533360982942E-2</v>
      </c>
      <c r="AT203" s="70">
        <f t="shared" si="613"/>
        <v>5.5757167297423402E-2</v>
      </c>
      <c r="AU203" s="70"/>
      <c r="AV203" s="70"/>
      <c r="AW203" s="81">
        <f t="shared" si="14"/>
        <v>0</v>
      </c>
      <c r="AX203" s="70">
        <f t="shared" ref="AX203:BG203" si="614">O203/$AI203</f>
        <v>0</v>
      </c>
      <c r="AY203" s="70">
        <f t="shared" si="614"/>
        <v>0</v>
      </c>
      <c r="AZ203" s="70">
        <f t="shared" si="614"/>
        <v>0</v>
      </c>
      <c r="BA203" s="70">
        <f t="shared" si="614"/>
        <v>0</v>
      </c>
      <c r="BB203" s="70">
        <f t="shared" si="614"/>
        <v>0</v>
      </c>
      <c r="BC203" s="70">
        <f t="shared" si="614"/>
        <v>0</v>
      </c>
      <c r="BD203" s="70">
        <f t="shared" si="614"/>
        <v>0</v>
      </c>
      <c r="BE203" s="70">
        <f t="shared" si="614"/>
        <v>0</v>
      </c>
      <c r="BF203" s="70">
        <f t="shared" si="614"/>
        <v>0</v>
      </c>
      <c r="BG203" s="70">
        <f t="shared" si="614"/>
        <v>0</v>
      </c>
      <c r="BH203" s="70">
        <f t="shared" si="16"/>
        <v>0</v>
      </c>
      <c r="BI203" s="62"/>
      <c r="BJ203" s="69">
        <v>0.32600000000000001</v>
      </c>
      <c r="BK203" s="69">
        <v>0.60199999999999998</v>
      </c>
      <c r="BL203" s="69">
        <v>0</v>
      </c>
      <c r="BM203" s="69">
        <v>3.5000000000000003E-2</v>
      </c>
      <c r="BN203" s="69">
        <v>2.4E-2</v>
      </c>
      <c r="BO203" s="69">
        <v>0</v>
      </c>
      <c r="BP203" s="69">
        <v>0</v>
      </c>
      <c r="BQ203" s="69">
        <v>1.2E-2</v>
      </c>
      <c r="BR203" s="62"/>
      <c r="BS203" s="72">
        <f t="shared" ref="BS203:BW203" si="615">AP203-BJ203</f>
        <v>6.3418839753227207E-2</v>
      </c>
      <c r="BT203" s="72">
        <f t="shared" si="615"/>
        <v>-0.32570262844108039</v>
      </c>
      <c r="BU203" s="72">
        <f t="shared" si="615"/>
        <v>0.21991808802944685</v>
      </c>
      <c r="BV203" s="72">
        <f t="shared" si="615"/>
        <v>2.3608533360982939E-2</v>
      </c>
      <c r="BW203" s="72">
        <f t="shared" si="615"/>
        <v>3.1757167297423401E-2</v>
      </c>
      <c r="BX203" s="72"/>
      <c r="BY203" s="72"/>
      <c r="BZ203" s="72">
        <f t="shared" si="18"/>
        <v>-1.2E-2</v>
      </c>
    </row>
    <row r="204" spans="1:78" ht="13.15">
      <c r="A204" s="78" t="s">
        <v>5</v>
      </c>
      <c r="B204" s="74" t="s">
        <v>451</v>
      </c>
      <c r="C204" s="75" t="s">
        <v>452</v>
      </c>
      <c r="D204" s="75" t="s">
        <v>71</v>
      </c>
      <c r="E204" s="76"/>
      <c r="F204" s="59"/>
      <c r="G204" s="60"/>
      <c r="H204" s="77">
        <v>14135</v>
      </c>
      <c r="I204" s="77">
        <v>7866</v>
      </c>
      <c r="J204" s="77">
        <v>7811</v>
      </c>
      <c r="K204" s="77">
        <v>2359</v>
      </c>
      <c r="L204" s="77">
        <v>4133</v>
      </c>
      <c r="M204" s="77"/>
      <c r="N204" s="77"/>
      <c r="O204" s="77">
        <v>1367</v>
      </c>
      <c r="P204" s="77">
        <v>2543</v>
      </c>
      <c r="Q204" s="77"/>
      <c r="R204" s="77"/>
      <c r="S204" s="77"/>
      <c r="T204" s="77"/>
      <c r="U204" s="77"/>
      <c r="V204" s="77"/>
      <c r="W204" s="77"/>
      <c r="X204" s="77"/>
      <c r="Y204" s="77"/>
      <c r="Z204" s="77"/>
      <c r="AA204" s="77"/>
      <c r="AB204" s="77"/>
      <c r="AC204" s="77"/>
      <c r="AD204" s="77"/>
      <c r="AE204" s="62"/>
      <c r="AF204" s="63" t="b">
        <v>0</v>
      </c>
      <c r="AG204" s="63" t="b">
        <v>0</v>
      </c>
      <c r="AH204" s="62"/>
      <c r="AI204" s="64">
        <f t="shared" si="7"/>
        <v>40214</v>
      </c>
      <c r="AJ204" s="65" t="str">
        <f t="shared" si="340"/>
        <v>LAB</v>
      </c>
      <c r="AK204" s="66" t="str">
        <f t="shared" si="9"/>
        <v>HOLD</v>
      </c>
      <c r="AL204" s="67" t="e">
        <f t="shared" ca="1" si="10"/>
        <v>#NAME?</v>
      </c>
      <c r="AM204" s="68">
        <f t="shared" si="443"/>
        <v>6269</v>
      </c>
      <c r="AN204" s="69">
        <f t="shared" si="444"/>
        <v>0.1558909832396678</v>
      </c>
      <c r="AO204" s="62"/>
      <c r="AP204" s="70">
        <f t="shared" ref="AP204:AT204" si="616">H204/$AI204</f>
        <v>0.35149450440145225</v>
      </c>
      <c r="AQ204" s="70">
        <f t="shared" si="616"/>
        <v>0.19560352116178445</v>
      </c>
      <c r="AR204" s="70">
        <f t="shared" si="616"/>
        <v>0.19423583826528074</v>
      </c>
      <c r="AS204" s="70">
        <f t="shared" si="616"/>
        <v>5.8661162779131644E-2</v>
      </c>
      <c r="AT204" s="70">
        <f t="shared" si="616"/>
        <v>0.10277515293181479</v>
      </c>
      <c r="AU204" s="70"/>
      <c r="AV204" s="70"/>
      <c r="AW204" s="81">
        <f t="shared" si="14"/>
        <v>9.7229820460536076E-2</v>
      </c>
      <c r="AX204" s="70">
        <f t="shared" ref="AX204:BG204" si="617">O204/$AI204</f>
        <v>3.3993136718555729E-2</v>
      </c>
      <c r="AY204" s="70">
        <f t="shared" si="617"/>
        <v>6.323668374198041E-2</v>
      </c>
      <c r="AZ204" s="70">
        <f t="shared" si="617"/>
        <v>0</v>
      </c>
      <c r="BA204" s="70">
        <f t="shared" si="617"/>
        <v>0</v>
      </c>
      <c r="BB204" s="70">
        <f t="shared" si="617"/>
        <v>0</v>
      </c>
      <c r="BC204" s="70">
        <f t="shared" si="617"/>
        <v>0</v>
      </c>
      <c r="BD204" s="70">
        <f t="shared" si="617"/>
        <v>0</v>
      </c>
      <c r="BE204" s="70">
        <f t="shared" si="617"/>
        <v>0</v>
      </c>
      <c r="BF204" s="70">
        <f t="shared" si="617"/>
        <v>0</v>
      </c>
      <c r="BG204" s="70">
        <f t="shared" si="617"/>
        <v>0</v>
      </c>
      <c r="BH204" s="70">
        <f t="shared" si="16"/>
        <v>0</v>
      </c>
      <c r="BI204" s="62"/>
      <c r="BJ204" s="69">
        <v>0.45700000000000002</v>
      </c>
      <c r="BK204" s="69">
        <v>0.41699999999999998</v>
      </c>
      <c r="BL204" s="69">
        <v>5.8999999999999997E-2</v>
      </c>
      <c r="BM204" s="69">
        <v>4.8000000000000001E-2</v>
      </c>
      <c r="BN204" s="69">
        <v>0.02</v>
      </c>
      <c r="BO204" s="69">
        <v>0</v>
      </c>
      <c r="BP204" s="69">
        <v>0</v>
      </c>
      <c r="BQ204" s="69">
        <v>0</v>
      </c>
      <c r="BR204" s="62"/>
      <c r="BS204" s="72">
        <f t="shared" ref="BS204:BW204" si="618">AP204-BJ204</f>
        <v>-0.10550549559854777</v>
      </c>
      <c r="BT204" s="72">
        <f t="shared" si="618"/>
        <v>-0.22139647883821553</v>
      </c>
      <c r="BU204" s="72">
        <f t="shared" si="618"/>
        <v>0.13523583826528074</v>
      </c>
      <c r="BV204" s="72">
        <f t="shared" si="618"/>
        <v>1.0661162779131643E-2</v>
      </c>
      <c r="BW204" s="72">
        <f t="shared" si="618"/>
        <v>8.2775152931814783E-2</v>
      </c>
      <c r="BX204" s="72"/>
      <c r="BY204" s="72"/>
      <c r="BZ204" s="72">
        <f t="shared" si="18"/>
        <v>9.7229820460536132E-2</v>
      </c>
    </row>
    <row r="205" spans="1:78" ht="13.15">
      <c r="A205" s="73" t="s">
        <v>6</v>
      </c>
      <c r="B205" s="74" t="s">
        <v>453</v>
      </c>
      <c r="C205" s="75" t="s">
        <v>454</v>
      </c>
      <c r="D205" s="75" t="s">
        <v>44</v>
      </c>
      <c r="E205" s="76"/>
      <c r="F205" s="59"/>
      <c r="G205" s="60"/>
      <c r="H205" s="77">
        <v>8753</v>
      </c>
      <c r="I205" s="77">
        <v>19671</v>
      </c>
      <c r="J205" s="77">
        <v>8216</v>
      </c>
      <c r="K205" s="77">
        <v>14869</v>
      </c>
      <c r="L205" s="77">
        <v>2310</v>
      </c>
      <c r="M205" s="77"/>
      <c r="N205" s="77"/>
      <c r="O205" s="77"/>
      <c r="P205" s="77"/>
      <c r="Q205" s="77"/>
      <c r="R205" s="77">
        <v>185</v>
      </c>
      <c r="S205" s="77"/>
      <c r="T205" s="77"/>
      <c r="U205" s="77"/>
      <c r="V205" s="77"/>
      <c r="W205" s="77"/>
      <c r="X205" s="77"/>
      <c r="Y205" s="77"/>
      <c r="Z205" s="77"/>
      <c r="AA205" s="77"/>
      <c r="AB205" s="77"/>
      <c r="AC205" s="77"/>
      <c r="AD205" s="77"/>
      <c r="AE205" s="62"/>
      <c r="AF205" s="63" t="b">
        <v>0</v>
      </c>
      <c r="AG205" s="63" t="b">
        <v>0</v>
      </c>
      <c r="AH205" s="62"/>
      <c r="AI205" s="64">
        <f t="shared" si="7"/>
        <v>54004</v>
      </c>
      <c r="AJ205" s="65" t="str">
        <f t="shared" si="340"/>
        <v>CON</v>
      </c>
      <c r="AK205" s="66" t="str">
        <f t="shared" si="9"/>
        <v>HOLD</v>
      </c>
      <c r="AL205" s="67" t="e">
        <f t="shared" ca="1" si="10"/>
        <v>#NAME?</v>
      </c>
      <c r="AM205" s="68">
        <f t="shared" si="443"/>
        <v>4802</v>
      </c>
      <c r="AN205" s="69">
        <f t="shared" si="444"/>
        <v>8.8919339308199397E-2</v>
      </c>
      <c r="AO205" s="62"/>
      <c r="AP205" s="70">
        <f t="shared" ref="AP205:AT205" si="619">H205/$AI205</f>
        <v>0.16208058662321309</v>
      </c>
      <c r="AQ205" s="70">
        <f t="shared" si="619"/>
        <v>0.36425079623731577</v>
      </c>
      <c r="AR205" s="70">
        <f t="shared" si="619"/>
        <v>0.15213687874972223</v>
      </c>
      <c r="AS205" s="70">
        <f t="shared" si="619"/>
        <v>0.27533145692911637</v>
      </c>
      <c r="AT205" s="70">
        <f t="shared" si="619"/>
        <v>4.2774609288200871E-2</v>
      </c>
      <c r="AU205" s="70"/>
      <c r="AV205" s="70"/>
      <c r="AW205" s="81">
        <f t="shared" si="14"/>
        <v>3.4256721724317263E-3</v>
      </c>
      <c r="AX205" s="70">
        <f t="shared" ref="AX205:BG205" si="620">O205/$AI205</f>
        <v>0</v>
      </c>
      <c r="AY205" s="70">
        <f t="shared" si="620"/>
        <v>0</v>
      </c>
      <c r="AZ205" s="70">
        <f t="shared" si="620"/>
        <v>0</v>
      </c>
      <c r="BA205" s="70">
        <f t="shared" si="620"/>
        <v>3.4256721724316716E-3</v>
      </c>
      <c r="BB205" s="70">
        <f t="shared" si="620"/>
        <v>0</v>
      </c>
      <c r="BC205" s="70">
        <f t="shared" si="620"/>
        <v>0</v>
      </c>
      <c r="BD205" s="70">
        <f t="shared" si="620"/>
        <v>0</v>
      </c>
      <c r="BE205" s="70">
        <f t="shared" si="620"/>
        <v>0</v>
      </c>
      <c r="BF205" s="70">
        <f t="shared" si="620"/>
        <v>0</v>
      </c>
      <c r="BG205" s="70">
        <f t="shared" si="620"/>
        <v>0</v>
      </c>
      <c r="BH205" s="70">
        <f t="shared" si="16"/>
        <v>5.4643789493269423E-17</v>
      </c>
      <c r="BI205" s="62"/>
      <c r="BJ205" s="69">
        <v>0.13600000000000001</v>
      </c>
      <c r="BK205" s="69">
        <v>0.622</v>
      </c>
      <c r="BL205" s="69">
        <v>0</v>
      </c>
      <c r="BM205" s="69">
        <v>0.21099999999999999</v>
      </c>
      <c r="BN205" s="69">
        <v>3.2000000000000001E-2</v>
      </c>
      <c r="BO205" s="69">
        <v>0</v>
      </c>
      <c r="BP205" s="69">
        <v>0</v>
      </c>
      <c r="BQ205" s="69">
        <v>0</v>
      </c>
      <c r="BR205" s="62"/>
      <c r="BS205" s="72">
        <f t="shared" ref="BS205:BW205" si="621">AP205-BJ205</f>
        <v>2.6080586623213081E-2</v>
      </c>
      <c r="BT205" s="72">
        <f t="shared" si="621"/>
        <v>-0.25774920376268423</v>
      </c>
      <c r="BU205" s="72">
        <f t="shared" si="621"/>
        <v>0.15213687874972223</v>
      </c>
      <c r="BV205" s="72">
        <f t="shared" si="621"/>
        <v>6.4331456929116376E-2</v>
      </c>
      <c r="BW205" s="72">
        <f t="shared" si="621"/>
        <v>1.077460928820087E-2</v>
      </c>
      <c r="BX205" s="72"/>
      <c r="BY205" s="72"/>
      <c r="BZ205" s="72">
        <f t="shared" si="18"/>
        <v>3.4256721724317263E-3</v>
      </c>
    </row>
    <row r="206" spans="1:78" ht="13.15">
      <c r="A206" s="78" t="s">
        <v>5</v>
      </c>
      <c r="B206" s="74" t="s">
        <v>455</v>
      </c>
      <c r="C206" s="75" t="s">
        <v>456</v>
      </c>
      <c r="D206" s="75" t="s">
        <v>68</v>
      </c>
      <c r="E206" s="76"/>
      <c r="F206" s="59"/>
      <c r="G206" s="60"/>
      <c r="H206" s="77">
        <v>24073</v>
      </c>
      <c r="I206" s="77">
        <v>8783</v>
      </c>
      <c r="J206" s="77">
        <v>2929</v>
      </c>
      <c r="K206" s="77">
        <v>4292</v>
      </c>
      <c r="L206" s="77">
        <v>4468</v>
      </c>
      <c r="M206" s="77"/>
      <c r="N206" s="77"/>
      <c r="O206" s="77"/>
      <c r="P206" s="77">
        <v>439</v>
      </c>
      <c r="Q206" s="77"/>
      <c r="R206" s="77"/>
      <c r="S206" s="77"/>
      <c r="T206" s="77"/>
      <c r="U206" s="77"/>
      <c r="V206" s="77"/>
      <c r="W206" s="77"/>
      <c r="X206" s="77"/>
      <c r="Y206" s="77">
        <v>821</v>
      </c>
      <c r="Z206" s="77">
        <v>216</v>
      </c>
      <c r="AA206" s="77"/>
      <c r="AB206" s="77"/>
      <c r="AC206" s="77"/>
      <c r="AD206" s="77"/>
      <c r="AE206" s="62"/>
      <c r="AF206" s="63" t="b">
        <v>0</v>
      </c>
      <c r="AG206" s="63" t="b">
        <v>0</v>
      </c>
      <c r="AH206" s="62"/>
      <c r="AI206" s="64">
        <f t="shared" si="7"/>
        <v>46021</v>
      </c>
      <c r="AJ206" s="65" t="str">
        <f t="shared" si="340"/>
        <v>LAB</v>
      </c>
      <c r="AK206" s="66" t="str">
        <f t="shared" si="9"/>
        <v>HOLD</v>
      </c>
      <c r="AL206" s="67" t="e">
        <f t="shared" ca="1" si="10"/>
        <v>#NAME?</v>
      </c>
      <c r="AM206" s="68">
        <f t="shared" si="443"/>
        <v>15290</v>
      </c>
      <c r="AN206" s="69">
        <f t="shared" si="444"/>
        <v>0.3322396297342517</v>
      </c>
      <c r="AO206" s="62"/>
      <c r="AP206" s="70">
        <f t="shared" ref="AP206:AT206" si="622">H206/$AI206</f>
        <v>0.52308728623889089</v>
      </c>
      <c r="AQ206" s="70">
        <f t="shared" si="622"/>
        <v>0.1908476565046392</v>
      </c>
      <c r="AR206" s="70">
        <f t="shared" si="622"/>
        <v>6.3644857782316766E-2</v>
      </c>
      <c r="AS206" s="70">
        <f t="shared" si="622"/>
        <v>9.3261771799830515E-2</v>
      </c>
      <c r="AT206" s="70">
        <f t="shared" si="622"/>
        <v>9.7086112861519747E-2</v>
      </c>
      <c r="AU206" s="70"/>
      <c r="AV206" s="70"/>
      <c r="AW206" s="81">
        <f t="shared" si="14"/>
        <v>3.2072314812802816E-2</v>
      </c>
      <c r="AX206" s="70">
        <f t="shared" ref="AX206:BG206" si="623">O206/$AI206</f>
        <v>0</v>
      </c>
      <c r="AY206" s="70">
        <f t="shared" si="623"/>
        <v>9.5391234436452924E-3</v>
      </c>
      <c r="AZ206" s="70">
        <f t="shared" si="623"/>
        <v>0</v>
      </c>
      <c r="BA206" s="70">
        <f t="shared" si="623"/>
        <v>0</v>
      </c>
      <c r="BB206" s="70">
        <f t="shared" si="623"/>
        <v>0</v>
      </c>
      <c r="BC206" s="70">
        <f t="shared" si="623"/>
        <v>0</v>
      </c>
      <c r="BD206" s="70">
        <f t="shared" si="623"/>
        <v>0</v>
      </c>
      <c r="BE206" s="70">
        <f t="shared" si="623"/>
        <v>0</v>
      </c>
      <c r="BF206" s="70">
        <f t="shared" si="623"/>
        <v>0</v>
      </c>
      <c r="BG206" s="70">
        <f t="shared" si="623"/>
        <v>0</v>
      </c>
      <c r="BH206" s="70">
        <f t="shared" si="16"/>
        <v>2.2533191369157525E-2</v>
      </c>
      <c r="BI206" s="62"/>
      <c r="BJ206" s="69">
        <v>0.50800000000000001</v>
      </c>
      <c r="BK206" s="69">
        <v>0.30499999999999999</v>
      </c>
      <c r="BL206" s="69">
        <v>1.7999999999999999E-2</v>
      </c>
      <c r="BM206" s="69">
        <v>0.13900000000000001</v>
      </c>
      <c r="BN206" s="69">
        <v>3.1E-2</v>
      </c>
      <c r="BO206" s="69">
        <v>0</v>
      </c>
      <c r="BP206" s="69">
        <v>0</v>
      </c>
      <c r="BQ206" s="69">
        <v>0</v>
      </c>
      <c r="BR206" s="62"/>
      <c r="BS206" s="72">
        <f t="shared" ref="BS206:BW206" si="624">AP206-BJ206</f>
        <v>1.5087286238890885E-2</v>
      </c>
      <c r="BT206" s="72">
        <f t="shared" si="624"/>
        <v>-0.1141523434953608</v>
      </c>
      <c r="BU206" s="72">
        <f t="shared" si="624"/>
        <v>4.5644857782316764E-2</v>
      </c>
      <c r="BV206" s="72">
        <f t="shared" si="624"/>
        <v>-4.5738228200169498E-2</v>
      </c>
      <c r="BW206" s="72">
        <f t="shared" si="624"/>
        <v>6.6086112861519747E-2</v>
      </c>
      <c r="BX206" s="72"/>
      <c r="BY206" s="72"/>
      <c r="BZ206" s="72">
        <f t="shared" si="18"/>
        <v>3.2072314812802816E-2</v>
      </c>
    </row>
    <row r="207" spans="1:78" ht="13.15">
      <c r="A207" s="78" t="s">
        <v>5</v>
      </c>
      <c r="B207" s="74" t="s">
        <v>457</v>
      </c>
      <c r="C207" s="75" t="s">
        <v>458</v>
      </c>
      <c r="D207" s="75" t="s">
        <v>68</v>
      </c>
      <c r="E207" s="76"/>
      <c r="F207" s="59"/>
      <c r="G207" s="60"/>
      <c r="H207" s="77">
        <v>23432</v>
      </c>
      <c r="I207" s="77">
        <v>8462</v>
      </c>
      <c r="J207" s="77">
        <v>2940</v>
      </c>
      <c r="K207" s="77">
        <v>6181</v>
      </c>
      <c r="L207" s="77">
        <v>6630</v>
      </c>
      <c r="M207" s="77"/>
      <c r="N207" s="77"/>
      <c r="O207" s="77">
        <v>373</v>
      </c>
      <c r="P207" s="77"/>
      <c r="Q207" s="77"/>
      <c r="R207" s="77"/>
      <c r="S207" s="77"/>
      <c r="T207" s="77"/>
      <c r="U207" s="77"/>
      <c r="V207" s="77"/>
      <c r="W207" s="77"/>
      <c r="X207" s="77"/>
      <c r="Y207" s="77">
        <v>532</v>
      </c>
      <c r="Z207" s="77"/>
      <c r="AA207" s="77"/>
      <c r="AB207" s="77"/>
      <c r="AC207" s="77"/>
      <c r="AD207" s="77"/>
      <c r="AE207" s="62"/>
      <c r="AF207" s="63" t="b">
        <v>0</v>
      </c>
      <c r="AG207" s="63" t="b">
        <v>0</v>
      </c>
      <c r="AH207" s="62"/>
      <c r="AI207" s="64">
        <f t="shared" si="7"/>
        <v>48550</v>
      </c>
      <c r="AJ207" s="65" t="str">
        <f t="shared" si="340"/>
        <v>LAB</v>
      </c>
      <c r="AK207" s="66" t="str">
        <f t="shared" si="9"/>
        <v>HOLD</v>
      </c>
      <c r="AL207" s="67" t="e">
        <f t="shared" ca="1" si="10"/>
        <v>#NAME?</v>
      </c>
      <c r="AM207" s="68">
        <f t="shared" si="443"/>
        <v>14970</v>
      </c>
      <c r="AN207" s="69">
        <f t="shared" si="444"/>
        <v>0.3083419155509784</v>
      </c>
      <c r="AO207" s="62"/>
      <c r="AP207" s="70">
        <f t="shared" ref="AP207:AT207" si="625">H207/$AI207</f>
        <v>0.48263645726055615</v>
      </c>
      <c r="AQ207" s="70">
        <f t="shared" si="625"/>
        <v>0.17429454170957775</v>
      </c>
      <c r="AR207" s="70">
        <f t="shared" si="625"/>
        <v>6.0556127703398556E-2</v>
      </c>
      <c r="AS207" s="70">
        <f t="shared" si="625"/>
        <v>0.12731204943357363</v>
      </c>
      <c r="AT207" s="70">
        <f t="shared" si="625"/>
        <v>0.13656024716786819</v>
      </c>
      <c r="AU207" s="70"/>
      <c r="AV207" s="70"/>
      <c r="AW207" s="81">
        <f t="shared" si="14"/>
        <v>1.8640576725025615E-2</v>
      </c>
      <c r="AX207" s="70">
        <f t="shared" ref="AX207:BG207" si="626">O207/$AI207</f>
        <v>7.6828012358393406E-3</v>
      </c>
      <c r="AY207" s="70">
        <f t="shared" si="626"/>
        <v>0</v>
      </c>
      <c r="AZ207" s="70">
        <f t="shared" si="626"/>
        <v>0</v>
      </c>
      <c r="BA207" s="70">
        <f t="shared" si="626"/>
        <v>0</v>
      </c>
      <c r="BB207" s="70">
        <f t="shared" si="626"/>
        <v>0</v>
      </c>
      <c r="BC207" s="70">
        <f t="shared" si="626"/>
        <v>0</v>
      </c>
      <c r="BD207" s="70">
        <f t="shared" si="626"/>
        <v>0</v>
      </c>
      <c r="BE207" s="70">
        <f t="shared" si="626"/>
        <v>0</v>
      </c>
      <c r="BF207" s="70">
        <f t="shared" si="626"/>
        <v>0</v>
      </c>
      <c r="BG207" s="70">
        <f t="shared" si="626"/>
        <v>0</v>
      </c>
      <c r="BH207" s="70">
        <f t="shared" si="16"/>
        <v>1.0957775489186274E-2</v>
      </c>
      <c r="BI207" s="62"/>
      <c r="BJ207" s="69">
        <v>0.47599999999999998</v>
      </c>
      <c r="BK207" s="69">
        <v>0.23200000000000001</v>
      </c>
      <c r="BL207" s="69">
        <v>1.2999999999999999E-2</v>
      </c>
      <c r="BM207" s="69">
        <v>0.24299999999999999</v>
      </c>
      <c r="BN207" s="69">
        <v>3.6999999999999998E-2</v>
      </c>
      <c r="BO207" s="69">
        <v>0</v>
      </c>
      <c r="BP207" s="69">
        <v>0</v>
      </c>
      <c r="BQ207" s="69">
        <v>0</v>
      </c>
      <c r="BR207" s="62"/>
      <c r="BS207" s="72">
        <f t="shared" ref="BS207:BW207" si="627">AP207-BJ207</f>
        <v>6.6364572605561722E-3</v>
      </c>
      <c r="BT207" s="72">
        <f t="shared" si="627"/>
        <v>-5.7705458290422257E-2</v>
      </c>
      <c r="BU207" s="72">
        <f t="shared" si="627"/>
        <v>4.7556127703398558E-2</v>
      </c>
      <c r="BV207" s="72">
        <f t="shared" si="627"/>
        <v>-0.11568795056642636</v>
      </c>
      <c r="BW207" s="72">
        <f t="shared" si="627"/>
        <v>9.9560247167868182E-2</v>
      </c>
      <c r="BX207" s="72"/>
      <c r="BY207" s="72"/>
      <c r="BZ207" s="72">
        <f t="shared" si="18"/>
        <v>1.8640576725025615E-2</v>
      </c>
    </row>
    <row r="208" spans="1:78" ht="13.15">
      <c r="A208" s="73" t="s">
        <v>6</v>
      </c>
      <c r="B208" s="74" t="s">
        <v>459</v>
      </c>
      <c r="C208" s="75" t="s">
        <v>460</v>
      </c>
      <c r="D208" s="75" t="s">
        <v>53</v>
      </c>
      <c r="E208" s="76"/>
      <c r="F208" s="59"/>
      <c r="G208" s="60"/>
      <c r="H208" s="77">
        <v>16236</v>
      </c>
      <c r="I208" s="77">
        <v>18614</v>
      </c>
      <c r="J208" s="77">
        <v>6332</v>
      </c>
      <c r="K208" s="77">
        <v>4732</v>
      </c>
      <c r="L208" s="77">
        <v>4269</v>
      </c>
      <c r="M208" s="77"/>
      <c r="N208" s="77"/>
      <c r="O208" s="77"/>
      <c r="P208" s="77"/>
      <c r="Q208" s="77">
        <v>203</v>
      </c>
      <c r="R208" s="77"/>
      <c r="S208" s="77"/>
      <c r="T208" s="77"/>
      <c r="U208" s="77"/>
      <c r="V208" s="77"/>
      <c r="W208" s="77"/>
      <c r="X208" s="77"/>
      <c r="Y208" s="77"/>
      <c r="Z208" s="77"/>
      <c r="AA208" s="77"/>
      <c r="AB208" s="77"/>
      <c r="AC208" s="77"/>
      <c r="AD208" s="77"/>
      <c r="AE208" s="62"/>
      <c r="AF208" s="63" t="b">
        <v>0</v>
      </c>
      <c r="AG208" s="63" t="b">
        <v>0</v>
      </c>
      <c r="AH208" s="62"/>
      <c r="AI208" s="64">
        <f t="shared" si="7"/>
        <v>50386</v>
      </c>
      <c r="AJ208" s="65" t="str">
        <f t="shared" si="340"/>
        <v>CON</v>
      </c>
      <c r="AK208" s="66" t="str">
        <f t="shared" si="9"/>
        <v>HOLD</v>
      </c>
      <c r="AL208" s="67" t="e">
        <f t="shared" ca="1" si="10"/>
        <v>#NAME?</v>
      </c>
      <c r="AM208" s="68">
        <f t="shared" si="443"/>
        <v>2378</v>
      </c>
      <c r="AN208" s="69">
        <f t="shared" si="444"/>
        <v>4.7195649585202282E-2</v>
      </c>
      <c r="AO208" s="62"/>
      <c r="AP208" s="70">
        <f t="shared" ref="AP208:AT208" si="628">H208/$AI208</f>
        <v>0.32223236613344974</v>
      </c>
      <c r="AQ208" s="70">
        <f t="shared" si="628"/>
        <v>0.36942801571865203</v>
      </c>
      <c r="AR208" s="70">
        <f t="shared" si="628"/>
        <v>0.12566982892073195</v>
      </c>
      <c r="AS208" s="70">
        <f t="shared" si="628"/>
        <v>9.391497638232843E-2</v>
      </c>
      <c r="AT208" s="70">
        <f t="shared" si="628"/>
        <v>8.4725915929027909E-2</v>
      </c>
      <c r="AU208" s="70"/>
      <c r="AV208" s="70"/>
      <c r="AW208" s="81">
        <f t="shared" si="14"/>
        <v>4.0288969158099874E-3</v>
      </c>
      <c r="AX208" s="70">
        <f t="shared" ref="AX208:BG208" si="629">O208/$AI208</f>
        <v>0</v>
      </c>
      <c r="AY208" s="70">
        <f t="shared" si="629"/>
        <v>0</v>
      </c>
      <c r="AZ208" s="70">
        <f t="shared" si="629"/>
        <v>4.0288969158099475E-3</v>
      </c>
      <c r="BA208" s="70">
        <f t="shared" si="629"/>
        <v>0</v>
      </c>
      <c r="BB208" s="70">
        <f t="shared" si="629"/>
        <v>0</v>
      </c>
      <c r="BC208" s="70">
        <f t="shared" si="629"/>
        <v>0</v>
      </c>
      <c r="BD208" s="70">
        <f t="shared" si="629"/>
        <v>0</v>
      </c>
      <c r="BE208" s="70">
        <f t="shared" si="629"/>
        <v>0</v>
      </c>
      <c r="BF208" s="70">
        <f t="shared" si="629"/>
        <v>0</v>
      </c>
      <c r="BG208" s="70">
        <f t="shared" si="629"/>
        <v>0</v>
      </c>
      <c r="BH208" s="70">
        <f t="shared" si="16"/>
        <v>3.9898639947466563E-17</v>
      </c>
      <c r="BI208" s="62"/>
      <c r="BJ208" s="69">
        <v>0.248</v>
      </c>
      <c r="BK208" s="69">
        <v>0.54500000000000004</v>
      </c>
      <c r="BL208" s="69">
        <v>0</v>
      </c>
      <c r="BM208" s="69">
        <v>0.17</v>
      </c>
      <c r="BN208" s="69">
        <v>3.1E-2</v>
      </c>
      <c r="BO208" s="69">
        <v>0</v>
      </c>
      <c r="BP208" s="69">
        <v>0</v>
      </c>
      <c r="BQ208" s="69">
        <v>7.0000000000000001E-3</v>
      </c>
      <c r="BR208" s="62"/>
      <c r="BS208" s="72">
        <f t="shared" ref="BS208:BW208" si="630">AP208-BJ208</f>
        <v>7.4232366133449745E-2</v>
      </c>
      <c r="BT208" s="72">
        <f t="shared" si="630"/>
        <v>-0.17557198428134801</v>
      </c>
      <c r="BU208" s="72">
        <f t="shared" si="630"/>
        <v>0.12566982892073195</v>
      </c>
      <c r="BV208" s="72">
        <f t="shared" si="630"/>
        <v>-7.6085023617671582E-2</v>
      </c>
      <c r="BW208" s="72">
        <f t="shared" si="630"/>
        <v>5.3725915929027909E-2</v>
      </c>
      <c r="BX208" s="72"/>
      <c r="BY208" s="72"/>
      <c r="BZ208" s="72">
        <f t="shared" si="18"/>
        <v>-2.9711030841900127E-3</v>
      </c>
    </row>
    <row r="209" spans="1:78" ht="13.15">
      <c r="A209" s="73" t="s">
        <v>6</v>
      </c>
      <c r="B209" s="74" t="s">
        <v>461</v>
      </c>
      <c r="C209" s="75" t="s">
        <v>462</v>
      </c>
      <c r="D209" s="75" t="s">
        <v>78</v>
      </c>
      <c r="E209" s="76"/>
      <c r="F209" s="59"/>
      <c r="G209" s="60"/>
      <c r="H209" s="77">
        <v>16313</v>
      </c>
      <c r="I209" s="77">
        <v>13809</v>
      </c>
      <c r="J209" s="77">
        <v>9461</v>
      </c>
      <c r="K209" s="77">
        <v>1350</v>
      </c>
      <c r="L209" s="77">
        <v>2267</v>
      </c>
      <c r="M209" s="77"/>
      <c r="N209" s="77"/>
      <c r="O209" s="77"/>
      <c r="P209" s="77"/>
      <c r="Q209" s="77"/>
      <c r="R209" s="77"/>
      <c r="S209" s="77"/>
      <c r="T209" s="77"/>
      <c r="U209" s="77"/>
      <c r="V209" s="77"/>
      <c r="W209" s="77"/>
      <c r="X209" s="77"/>
      <c r="Y209" s="77">
        <v>157</v>
      </c>
      <c r="Z209" s="77"/>
      <c r="AA209" s="77"/>
      <c r="AB209" s="77"/>
      <c r="AC209" s="77"/>
      <c r="AD209" s="77"/>
      <c r="AE209" s="62"/>
      <c r="AF209" s="63" t="b">
        <v>0</v>
      </c>
      <c r="AG209" s="63" t="b">
        <v>0</v>
      </c>
      <c r="AH209" s="62"/>
      <c r="AI209" s="64">
        <f t="shared" si="7"/>
        <v>43357</v>
      </c>
      <c r="AJ209" s="65" t="str">
        <f t="shared" si="340"/>
        <v>LAB</v>
      </c>
      <c r="AK209" s="66" t="str">
        <f t="shared" si="9"/>
        <v>GAIN</v>
      </c>
      <c r="AL209" s="67" t="e">
        <f t="shared" ca="1" si="10"/>
        <v>#NAME?</v>
      </c>
      <c r="AM209" s="68">
        <f t="shared" si="443"/>
        <v>2504</v>
      </c>
      <c r="AN209" s="69">
        <f t="shared" si="444"/>
        <v>5.7753073321493653E-2</v>
      </c>
      <c r="AO209" s="62"/>
      <c r="AP209" s="70">
        <f t="shared" ref="AP209:AT209" si="631">H209/$AI209</f>
        <v>0.37624835666674356</v>
      </c>
      <c r="AQ209" s="70">
        <f t="shared" si="631"/>
        <v>0.3184952833452499</v>
      </c>
      <c r="AR209" s="70">
        <f t="shared" si="631"/>
        <v>0.21821159213045183</v>
      </c>
      <c r="AS209" s="70">
        <f t="shared" si="631"/>
        <v>3.1136840648568857E-2</v>
      </c>
      <c r="AT209" s="70">
        <f t="shared" si="631"/>
        <v>5.2286827963189335E-2</v>
      </c>
      <c r="AU209" s="70"/>
      <c r="AV209" s="70"/>
      <c r="AW209" s="81">
        <f t="shared" si="14"/>
        <v>3.6210992457965663E-3</v>
      </c>
      <c r="AX209" s="70">
        <f t="shared" ref="AX209:BG209" si="632">O209/$AI209</f>
        <v>0</v>
      </c>
      <c r="AY209" s="70">
        <f t="shared" si="632"/>
        <v>0</v>
      </c>
      <c r="AZ209" s="70">
        <f t="shared" si="632"/>
        <v>0</v>
      </c>
      <c r="BA209" s="70">
        <f t="shared" si="632"/>
        <v>0</v>
      </c>
      <c r="BB209" s="70">
        <f t="shared" si="632"/>
        <v>0</v>
      </c>
      <c r="BC209" s="70">
        <f t="shared" si="632"/>
        <v>0</v>
      </c>
      <c r="BD209" s="70">
        <f t="shared" si="632"/>
        <v>0</v>
      </c>
      <c r="BE209" s="70">
        <f t="shared" si="632"/>
        <v>0</v>
      </c>
      <c r="BF209" s="70">
        <f t="shared" si="632"/>
        <v>0</v>
      </c>
      <c r="BG209" s="70">
        <f t="shared" si="632"/>
        <v>0</v>
      </c>
      <c r="BH209" s="70">
        <f t="shared" si="16"/>
        <v>3.6210992457965663E-3</v>
      </c>
      <c r="BI209" s="62"/>
      <c r="BJ209" s="69">
        <v>0.29299999999999998</v>
      </c>
      <c r="BK209" s="69">
        <v>0.64600000000000002</v>
      </c>
      <c r="BL209" s="69">
        <v>0</v>
      </c>
      <c r="BM209" s="69">
        <v>5.8999999999999997E-2</v>
      </c>
      <c r="BN209" s="69">
        <v>3.0000000000000001E-3</v>
      </c>
      <c r="BO209" s="69">
        <v>0</v>
      </c>
      <c r="BP209" s="69">
        <v>0</v>
      </c>
      <c r="BQ209" s="69">
        <v>0</v>
      </c>
      <c r="BR209" s="62"/>
      <c r="BS209" s="72">
        <f t="shared" ref="BS209:BW209" si="633">AP209-BJ209</f>
        <v>8.3248356666743573E-2</v>
      </c>
      <c r="BT209" s="72">
        <f t="shared" si="633"/>
        <v>-0.32750471665475012</v>
      </c>
      <c r="BU209" s="72">
        <f t="shared" si="633"/>
        <v>0.21821159213045183</v>
      </c>
      <c r="BV209" s="72">
        <f t="shared" si="633"/>
        <v>-2.786315935143114E-2</v>
      </c>
      <c r="BW209" s="72">
        <f t="shared" si="633"/>
        <v>4.9286827963189332E-2</v>
      </c>
      <c r="BX209" s="72"/>
      <c r="BY209" s="72"/>
      <c r="BZ209" s="72">
        <f t="shared" si="18"/>
        <v>3.6210992457965663E-3</v>
      </c>
    </row>
    <row r="210" spans="1:78" ht="13.15">
      <c r="A210" s="73" t="s">
        <v>6</v>
      </c>
      <c r="B210" s="74" t="s">
        <v>463</v>
      </c>
      <c r="C210" s="75" t="s">
        <v>464</v>
      </c>
      <c r="D210" s="75" t="s">
        <v>78</v>
      </c>
      <c r="E210" s="76"/>
      <c r="F210" s="59"/>
      <c r="G210" s="60"/>
      <c r="H210" s="77">
        <v>4061</v>
      </c>
      <c r="I210" s="77">
        <v>16574</v>
      </c>
      <c r="J210" s="77">
        <v>4245</v>
      </c>
      <c r="K210" s="77">
        <v>27282</v>
      </c>
      <c r="L210" s="77">
        <v>1951</v>
      </c>
      <c r="M210" s="77"/>
      <c r="N210" s="77"/>
      <c r="O210" s="77"/>
      <c r="P210" s="77"/>
      <c r="Q210" s="77">
        <v>223</v>
      </c>
      <c r="R210" s="77"/>
      <c r="S210" s="77"/>
      <c r="T210" s="77"/>
      <c r="U210" s="77"/>
      <c r="V210" s="77"/>
      <c r="W210" s="77"/>
      <c r="X210" s="77"/>
      <c r="Y210" s="77"/>
      <c r="Z210" s="77"/>
      <c r="AA210" s="77"/>
      <c r="AB210" s="77"/>
      <c r="AC210" s="77"/>
      <c r="AD210" s="77"/>
      <c r="AE210" s="62"/>
      <c r="AF210" s="63" t="b">
        <v>0</v>
      </c>
      <c r="AG210" s="63" t="b">
        <v>0</v>
      </c>
      <c r="AH210" s="62"/>
      <c r="AI210" s="64">
        <f t="shared" si="7"/>
        <v>54336</v>
      </c>
      <c r="AJ210" s="65" t="str">
        <f t="shared" si="340"/>
        <v>LDM</v>
      </c>
      <c r="AK210" s="66" t="str">
        <f t="shared" si="9"/>
        <v>GAIN</v>
      </c>
      <c r="AL210" s="67" t="e">
        <f t="shared" ca="1" si="10"/>
        <v>#NAME?</v>
      </c>
      <c r="AM210" s="68">
        <f>LARGE(I210:X210,1)-LARGE(I210:X210,2)</f>
        <v>10708</v>
      </c>
      <c r="AN210" s="69">
        <f>(LARGE(I210:X210,1)/AI210)-(LARGE(I210:X210,2)/AI210)</f>
        <v>0.19707008244994112</v>
      </c>
      <c r="AO210" s="62"/>
      <c r="AP210" s="70">
        <f t="shared" ref="AP210:AT210" si="634">H210/$AI210</f>
        <v>7.4738663133097766E-2</v>
      </c>
      <c r="AQ210" s="70">
        <f t="shared" si="634"/>
        <v>0.30502797408716137</v>
      </c>
      <c r="AR210" s="70">
        <f t="shared" si="634"/>
        <v>7.8125E-2</v>
      </c>
      <c r="AS210" s="70">
        <f t="shared" si="634"/>
        <v>0.50209805653710249</v>
      </c>
      <c r="AT210" s="70">
        <f t="shared" si="634"/>
        <v>3.5906213191990576E-2</v>
      </c>
      <c r="AU210" s="70"/>
      <c r="AV210" s="70"/>
      <c r="AW210" s="81">
        <f t="shared" si="14"/>
        <v>4.1040930506477391E-3</v>
      </c>
      <c r="AX210" s="70">
        <f t="shared" ref="AX210:BG210" si="635">O210/$AI210</f>
        <v>0</v>
      </c>
      <c r="AY210" s="70">
        <f t="shared" si="635"/>
        <v>0</v>
      </c>
      <c r="AZ210" s="70">
        <f t="shared" si="635"/>
        <v>4.1040930506478206E-3</v>
      </c>
      <c r="BA210" s="70">
        <f t="shared" si="635"/>
        <v>0</v>
      </c>
      <c r="BB210" s="70">
        <f t="shared" si="635"/>
        <v>0</v>
      </c>
      <c r="BC210" s="70">
        <f t="shared" si="635"/>
        <v>0</v>
      </c>
      <c r="BD210" s="70">
        <f t="shared" si="635"/>
        <v>0</v>
      </c>
      <c r="BE210" s="70">
        <f t="shared" si="635"/>
        <v>0</v>
      </c>
      <c r="BF210" s="70">
        <f t="shared" si="635"/>
        <v>0</v>
      </c>
      <c r="BG210" s="70">
        <f t="shared" si="635"/>
        <v>0</v>
      </c>
      <c r="BH210" s="70">
        <f t="shared" si="16"/>
        <v>-8.1532003370909933E-17</v>
      </c>
      <c r="BI210" s="62"/>
      <c r="BJ210" s="69">
        <v>0.106</v>
      </c>
      <c r="BK210" s="69">
        <v>0.52300000000000002</v>
      </c>
      <c r="BL210" s="69">
        <v>0</v>
      </c>
      <c r="BM210" s="69">
        <v>0.253</v>
      </c>
      <c r="BN210" s="69">
        <v>1.6E-2</v>
      </c>
      <c r="BO210" s="69">
        <v>0</v>
      </c>
      <c r="BP210" s="69">
        <v>0</v>
      </c>
      <c r="BQ210" s="69">
        <v>0.10199999999999999</v>
      </c>
      <c r="BR210" s="62"/>
      <c r="BS210" s="72">
        <f t="shared" ref="BS210:BW210" si="636">AP210-BJ210</f>
        <v>-3.1261336866902231E-2</v>
      </c>
      <c r="BT210" s="72">
        <f t="shared" si="636"/>
        <v>-0.21797202591283865</v>
      </c>
      <c r="BU210" s="72">
        <f t="shared" si="636"/>
        <v>7.8125E-2</v>
      </c>
      <c r="BV210" s="72">
        <f t="shared" si="636"/>
        <v>0.24909805653710249</v>
      </c>
      <c r="BW210" s="72">
        <f t="shared" si="636"/>
        <v>1.9906213191990575E-2</v>
      </c>
      <c r="BX210" s="72"/>
      <c r="BY210" s="72"/>
      <c r="BZ210" s="72">
        <f t="shared" si="18"/>
        <v>-9.7895906949352254E-2</v>
      </c>
    </row>
    <row r="211" spans="1:78" ht="13.15">
      <c r="A211" s="73" t="s">
        <v>6</v>
      </c>
      <c r="B211" s="74" t="s">
        <v>465</v>
      </c>
      <c r="C211" s="75" t="s">
        <v>466</v>
      </c>
      <c r="D211" s="75" t="s">
        <v>71</v>
      </c>
      <c r="E211" s="76">
        <v>77970</v>
      </c>
      <c r="F211" s="59">
        <v>0.66800000000000004</v>
      </c>
      <c r="G211" s="60"/>
      <c r="H211" s="77">
        <v>4153</v>
      </c>
      <c r="I211" s="77">
        <v>15738</v>
      </c>
      <c r="J211" s="77">
        <v>5679</v>
      </c>
      <c r="K211" s="77">
        <v>23976</v>
      </c>
      <c r="L211" s="77">
        <v>1762</v>
      </c>
      <c r="M211" s="77"/>
      <c r="N211" s="77"/>
      <c r="O211" s="77">
        <v>620</v>
      </c>
      <c r="P211" s="77"/>
      <c r="Q211" s="77"/>
      <c r="R211" s="77"/>
      <c r="S211" s="77"/>
      <c r="T211" s="77"/>
      <c r="U211" s="77"/>
      <c r="V211" s="77"/>
      <c r="W211" s="77"/>
      <c r="X211" s="77"/>
      <c r="Y211" s="77"/>
      <c r="Z211" s="77"/>
      <c r="AA211" s="77"/>
      <c r="AB211" s="77"/>
      <c r="AC211" s="77"/>
      <c r="AD211" s="77"/>
      <c r="AE211" s="62"/>
      <c r="AF211" s="63" t="b">
        <v>0</v>
      </c>
      <c r="AG211" s="63" t="b">
        <v>0</v>
      </c>
      <c r="AH211" s="62"/>
      <c r="AI211" s="64">
        <f t="shared" si="7"/>
        <v>51928</v>
      </c>
      <c r="AJ211" s="65" t="str">
        <f t="shared" si="340"/>
        <v>LDM</v>
      </c>
      <c r="AK211" s="66" t="str">
        <f t="shared" si="9"/>
        <v>GAIN</v>
      </c>
      <c r="AL211" s="67" t="e">
        <f t="shared" ca="1" si="10"/>
        <v>#NAME?</v>
      </c>
      <c r="AM211" s="68">
        <f t="shared" ref="AM211:AM465" si="637">LARGE(H211:X211,1)-LARGE(H211:X211,2)</f>
        <v>8238</v>
      </c>
      <c r="AN211" s="69">
        <f t="shared" ref="AN211:AN465" si="638">(LARGE(H211:X211,1)/AI211)-(LARGE(H211:X211,2)/AI211)</f>
        <v>0.15864273609613311</v>
      </c>
      <c r="AO211" s="62"/>
      <c r="AP211" s="70">
        <f t="shared" ref="AP211:AT211" si="639">H211/$AI211</f>
        <v>7.997612078262209E-2</v>
      </c>
      <c r="AQ211" s="70">
        <f t="shared" si="639"/>
        <v>0.30307348636573717</v>
      </c>
      <c r="AR211" s="70">
        <f t="shared" si="639"/>
        <v>0.1093629641041442</v>
      </c>
      <c r="AS211" s="70">
        <f t="shared" si="639"/>
        <v>0.46171622246187027</v>
      </c>
      <c r="AT211" s="70">
        <f t="shared" si="639"/>
        <v>3.3931597596672317E-2</v>
      </c>
      <c r="AU211" s="70"/>
      <c r="AV211" s="70"/>
      <c r="AW211" s="81">
        <f t="shared" si="14"/>
        <v>1.1939608688954051E-2</v>
      </c>
      <c r="AX211" s="70">
        <f t="shared" ref="AX211:BG211" si="640">O211/$AI211</f>
        <v>1.1939608688953936E-2</v>
      </c>
      <c r="AY211" s="70">
        <f t="shared" si="640"/>
        <v>0</v>
      </c>
      <c r="AZ211" s="70">
        <f t="shared" si="640"/>
        <v>0</v>
      </c>
      <c r="BA211" s="70">
        <f t="shared" si="640"/>
        <v>0</v>
      </c>
      <c r="BB211" s="70">
        <f t="shared" si="640"/>
        <v>0</v>
      </c>
      <c r="BC211" s="70">
        <f t="shared" si="640"/>
        <v>0</v>
      </c>
      <c r="BD211" s="70">
        <f t="shared" si="640"/>
        <v>0</v>
      </c>
      <c r="BE211" s="70">
        <f t="shared" si="640"/>
        <v>0</v>
      </c>
      <c r="BF211" s="70">
        <f t="shared" si="640"/>
        <v>0</v>
      </c>
      <c r="BG211" s="70">
        <f t="shared" si="640"/>
        <v>0</v>
      </c>
      <c r="BH211" s="70">
        <f t="shared" si="16"/>
        <v>1.1449174941446927E-16</v>
      </c>
      <c r="BI211" s="62"/>
      <c r="BJ211" s="69">
        <v>9.6000000000000002E-2</v>
      </c>
      <c r="BK211" s="69">
        <v>0.52</v>
      </c>
      <c r="BL211" s="69">
        <v>0</v>
      </c>
      <c r="BM211" s="69">
        <v>0.36199999999999999</v>
      </c>
      <c r="BN211" s="69">
        <v>1E-3</v>
      </c>
      <c r="BO211" s="69">
        <v>0</v>
      </c>
      <c r="BP211" s="69">
        <v>0</v>
      </c>
      <c r="BQ211" s="69">
        <v>2.1999999999999999E-2</v>
      </c>
      <c r="BR211" s="62"/>
      <c r="BS211" s="72">
        <f t="shared" ref="BS211:BW211" si="641">AP211-BJ211</f>
        <v>-1.6023879217377912E-2</v>
      </c>
      <c r="BT211" s="72">
        <f t="shared" si="641"/>
        <v>-0.21692651363426285</v>
      </c>
      <c r="BU211" s="72">
        <f t="shared" si="641"/>
        <v>0.1093629641041442</v>
      </c>
      <c r="BV211" s="72">
        <f t="shared" si="641"/>
        <v>9.9716222461870285E-2</v>
      </c>
      <c r="BW211" s="72">
        <f t="shared" si="641"/>
        <v>3.2931597596672316E-2</v>
      </c>
      <c r="BX211" s="72"/>
      <c r="BY211" s="72"/>
      <c r="BZ211" s="72">
        <f t="shared" si="18"/>
        <v>-1.0060391311045948E-2</v>
      </c>
    </row>
    <row r="212" spans="1:78" ht="13.15">
      <c r="A212" s="73" t="s">
        <v>6</v>
      </c>
      <c r="B212" s="74" t="s">
        <v>467</v>
      </c>
      <c r="C212" s="75" t="s">
        <v>468</v>
      </c>
      <c r="D212" s="75" t="s">
        <v>68</v>
      </c>
      <c r="E212" s="76"/>
      <c r="F212" s="59"/>
      <c r="G212" s="60"/>
      <c r="H212" s="77">
        <v>13786</v>
      </c>
      <c r="I212" s="77">
        <v>25466</v>
      </c>
      <c r="J212" s="77">
        <v>2188</v>
      </c>
      <c r="K212" s="77">
        <v>1511</v>
      </c>
      <c r="L212" s="77">
        <v>2006</v>
      </c>
      <c r="M212" s="77"/>
      <c r="N212" s="77"/>
      <c r="O212" s="77">
        <v>2097</v>
      </c>
      <c r="P212" s="77">
        <v>723</v>
      </c>
      <c r="Q212" s="77"/>
      <c r="R212" s="77"/>
      <c r="S212" s="77"/>
      <c r="T212" s="77"/>
      <c r="U212" s="77"/>
      <c r="V212" s="77"/>
      <c r="W212" s="77"/>
      <c r="X212" s="77"/>
      <c r="Y212" s="77"/>
      <c r="Z212" s="77"/>
      <c r="AA212" s="77"/>
      <c r="AB212" s="77"/>
      <c r="AC212" s="77"/>
      <c r="AD212" s="77"/>
      <c r="AE212" s="62"/>
      <c r="AF212" s="63" t="b">
        <v>0</v>
      </c>
      <c r="AG212" s="63" t="b">
        <v>0</v>
      </c>
      <c r="AH212" s="62"/>
      <c r="AI212" s="64">
        <f t="shared" si="7"/>
        <v>47777</v>
      </c>
      <c r="AJ212" s="65" t="str">
        <f t="shared" si="340"/>
        <v>CON</v>
      </c>
      <c r="AK212" s="66" t="str">
        <f t="shared" si="9"/>
        <v>HOLD</v>
      </c>
      <c r="AL212" s="67" t="e">
        <f t="shared" ca="1" si="10"/>
        <v>#NAME?</v>
      </c>
      <c r="AM212" s="68">
        <f t="shared" si="637"/>
        <v>11680</v>
      </c>
      <c r="AN212" s="69">
        <f t="shared" si="638"/>
        <v>0.24446909600853972</v>
      </c>
      <c r="AO212" s="62"/>
      <c r="AP212" s="70">
        <f t="shared" ref="AP212:AT212" si="642">H212/$AI212</f>
        <v>0.28854888335391504</v>
      </c>
      <c r="AQ212" s="70">
        <f t="shared" si="642"/>
        <v>0.53301797936245476</v>
      </c>
      <c r="AR212" s="70">
        <f t="shared" si="642"/>
        <v>4.5796094355024387E-2</v>
      </c>
      <c r="AS212" s="70">
        <f t="shared" si="642"/>
        <v>3.1626096238775978E-2</v>
      </c>
      <c r="AT212" s="70">
        <f t="shared" si="642"/>
        <v>4.1986730016535155E-2</v>
      </c>
      <c r="AU212" s="70"/>
      <c r="AV212" s="70"/>
      <c r="AW212" s="81">
        <f t="shared" si="14"/>
        <v>5.9024216673294605E-2</v>
      </c>
      <c r="AX212" s="70">
        <f t="shared" ref="AX212:BG212" si="643">O212/$AI212</f>
        <v>4.3891412185779771E-2</v>
      </c>
      <c r="AY212" s="70">
        <f t="shared" si="643"/>
        <v>1.5132804487514914E-2</v>
      </c>
      <c r="AZ212" s="70">
        <f t="shared" si="643"/>
        <v>0</v>
      </c>
      <c r="BA212" s="70">
        <f t="shared" si="643"/>
        <v>0</v>
      </c>
      <c r="BB212" s="70">
        <f t="shared" si="643"/>
        <v>0</v>
      </c>
      <c r="BC212" s="70">
        <f t="shared" si="643"/>
        <v>0</v>
      </c>
      <c r="BD212" s="70">
        <f t="shared" si="643"/>
        <v>0</v>
      </c>
      <c r="BE212" s="70">
        <f t="shared" si="643"/>
        <v>0</v>
      </c>
      <c r="BF212" s="70">
        <f t="shared" si="643"/>
        <v>0</v>
      </c>
      <c r="BG212" s="70">
        <f t="shared" si="643"/>
        <v>0</v>
      </c>
      <c r="BH212" s="70">
        <f t="shared" si="16"/>
        <v>-8.3266726846886741E-17</v>
      </c>
      <c r="BI212" s="62"/>
      <c r="BJ212" s="69">
        <v>0.374</v>
      </c>
      <c r="BK212" s="69">
        <v>0.54600000000000004</v>
      </c>
      <c r="BL212" s="69">
        <v>2E-3</v>
      </c>
      <c r="BM212" s="69">
        <v>7.4999999999999997E-2</v>
      </c>
      <c r="BN212" s="69">
        <v>3.0000000000000001E-3</v>
      </c>
      <c r="BO212" s="69">
        <v>0</v>
      </c>
      <c r="BP212" s="69">
        <v>0</v>
      </c>
      <c r="BQ212" s="69">
        <v>0</v>
      </c>
      <c r="BR212" s="62"/>
      <c r="BS212" s="72">
        <f t="shared" ref="BS212:BW212" si="644">AP212-BJ212</f>
        <v>-8.5451116646084957E-2</v>
      </c>
      <c r="BT212" s="72">
        <f t="shared" si="644"/>
        <v>-1.2982020637545277E-2</v>
      </c>
      <c r="BU212" s="72">
        <f t="shared" si="644"/>
        <v>4.3796094355024386E-2</v>
      </c>
      <c r="BV212" s="72">
        <f t="shared" si="644"/>
        <v>-4.337390376122402E-2</v>
      </c>
      <c r="BW212" s="72">
        <f t="shared" si="644"/>
        <v>3.8986730016535152E-2</v>
      </c>
      <c r="BX212" s="72"/>
      <c r="BY212" s="72"/>
      <c r="BZ212" s="72">
        <f t="shared" si="18"/>
        <v>5.9024216673294605E-2</v>
      </c>
    </row>
    <row r="213" spans="1:78" ht="13.15">
      <c r="A213" s="78" t="s">
        <v>5</v>
      </c>
      <c r="B213" s="74" t="s">
        <v>469</v>
      </c>
      <c r="C213" s="75" t="s">
        <v>470</v>
      </c>
      <c r="D213" s="75" t="s">
        <v>68</v>
      </c>
      <c r="E213" s="76"/>
      <c r="F213" s="59"/>
      <c r="G213" s="60"/>
      <c r="H213" s="77">
        <v>19833</v>
      </c>
      <c r="I213" s="77">
        <v>13191</v>
      </c>
      <c r="J213" s="77">
        <v>2639</v>
      </c>
      <c r="K213" s="77">
        <v>2404</v>
      </c>
      <c r="L213" s="77">
        <v>2438</v>
      </c>
      <c r="M213" s="77"/>
      <c r="N213" s="77"/>
      <c r="O213" s="77">
        <v>4120</v>
      </c>
      <c r="P213" s="77"/>
      <c r="Q213" s="77"/>
      <c r="R213" s="77"/>
      <c r="S213" s="77"/>
      <c r="T213" s="77"/>
      <c r="U213" s="77"/>
      <c r="V213" s="77"/>
      <c r="W213" s="77"/>
      <c r="X213" s="77"/>
      <c r="Y213" s="77">
        <v>616</v>
      </c>
      <c r="Z213" s="77"/>
      <c r="AA213" s="77"/>
      <c r="AB213" s="77"/>
      <c r="AC213" s="77"/>
      <c r="AD213" s="77"/>
      <c r="AE213" s="62"/>
      <c r="AF213" s="63" t="b">
        <v>0</v>
      </c>
      <c r="AG213" s="63" t="b">
        <v>0</v>
      </c>
      <c r="AH213" s="62"/>
      <c r="AI213" s="64">
        <f t="shared" si="7"/>
        <v>45241</v>
      </c>
      <c r="AJ213" s="65" t="str">
        <f t="shared" si="340"/>
        <v>LAB</v>
      </c>
      <c r="AK213" s="66" t="str">
        <f t="shared" si="9"/>
        <v>HOLD</v>
      </c>
      <c r="AL213" s="67" t="e">
        <f t="shared" ca="1" si="10"/>
        <v>#NAME?</v>
      </c>
      <c r="AM213" s="68">
        <f t="shared" si="637"/>
        <v>6642</v>
      </c>
      <c r="AN213" s="69">
        <f t="shared" si="638"/>
        <v>0.14681373090780486</v>
      </c>
      <c r="AO213" s="62"/>
      <c r="AP213" s="70">
        <f t="shared" ref="AP213:AT213" si="645">H213/$AI213</f>
        <v>0.43838553524457902</v>
      </c>
      <c r="AQ213" s="70">
        <f t="shared" si="645"/>
        <v>0.29157180433677415</v>
      </c>
      <c r="AR213" s="70">
        <f t="shared" si="645"/>
        <v>5.833204394244159E-2</v>
      </c>
      <c r="AS213" s="70">
        <f t="shared" si="645"/>
        <v>5.313764063570655E-2</v>
      </c>
      <c r="AT213" s="70">
        <f t="shared" si="645"/>
        <v>5.3889171326893748E-2</v>
      </c>
      <c r="AU213" s="70"/>
      <c r="AV213" s="70"/>
      <c r="AW213" s="81">
        <f t="shared" si="14"/>
        <v>0.10468380451360482</v>
      </c>
      <c r="AX213" s="70">
        <f t="shared" ref="AX213:BG213" si="646">O213/$AI213</f>
        <v>9.1067836696801574E-2</v>
      </c>
      <c r="AY213" s="70">
        <f t="shared" si="646"/>
        <v>0</v>
      </c>
      <c r="AZ213" s="70">
        <f t="shared" si="646"/>
        <v>0</v>
      </c>
      <c r="BA213" s="70">
        <f t="shared" si="646"/>
        <v>0</v>
      </c>
      <c r="BB213" s="70">
        <f t="shared" si="646"/>
        <v>0</v>
      </c>
      <c r="BC213" s="70">
        <f t="shared" si="646"/>
        <v>0</v>
      </c>
      <c r="BD213" s="70">
        <f t="shared" si="646"/>
        <v>0</v>
      </c>
      <c r="BE213" s="70">
        <f t="shared" si="646"/>
        <v>0</v>
      </c>
      <c r="BF213" s="70">
        <f t="shared" si="646"/>
        <v>0</v>
      </c>
      <c r="BG213" s="70">
        <f t="shared" si="646"/>
        <v>0</v>
      </c>
      <c r="BH213" s="70">
        <f t="shared" si="16"/>
        <v>1.3615967816803243E-2</v>
      </c>
      <c r="BI213" s="62"/>
      <c r="BJ213" s="69">
        <v>0.53100000000000003</v>
      </c>
      <c r="BK213" s="69">
        <v>0.34799999999999998</v>
      </c>
      <c r="BL213" s="69">
        <v>1.7999999999999999E-2</v>
      </c>
      <c r="BM213" s="69">
        <v>8.3000000000000004E-2</v>
      </c>
      <c r="BN213" s="69">
        <v>2.1000000000000001E-2</v>
      </c>
      <c r="BO213" s="69">
        <v>0</v>
      </c>
      <c r="BP213" s="69">
        <v>0</v>
      </c>
      <c r="BQ213" s="69">
        <v>0</v>
      </c>
      <c r="BR213" s="62"/>
      <c r="BS213" s="72">
        <f t="shared" ref="BS213:BW213" si="647">AP213-BJ213</f>
        <v>-9.2614464755421011E-2</v>
      </c>
      <c r="BT213" s="72">
        <f t="shared" si="647"/>
        <v>-5.6428195663225822E-2</v>
      </c>
      <c r="BU213" s="72">
        <f t="shared" si="647"/>
        <v>4.0332043942441595E-2</v>
      </c>
      <c r="BV213" s="72">
        <f t="shared" si="647"/>
        <v>-2.9862359364293455E-2</v>
      </c>
      <c r="BW213" s="72">
        <f t="shared" si="647"/>
        <v>3.2889171326893743E-2</v>
      </c>
      <c r="BX213" s="72"/>
      <c r="BY213" s="72"/>
      <c r="BZ213" s="72">
        <f t="shared" si="18"/>
        <v>0.10468380451360482</v>
      </c>
    </row>
    <row r="214" spans="1:78" ht="13.15">
      <c r="A214" s="78" t="s">
        <v>5</v>
      </c>
      <c r="B214" s="74" t="s">
        <v>471</v>
      </c>
      <c r="C214" s="75" t="s">
        <v>472</v>
      </c>
      <c r="D214" s="75" t="s">
        <v>129</v>
      </c>
      <c r="E214" s="76">
        <v>70855</v>
      </c>
      <c r="F214" s="59">
        <v>0.501</v>
      </c>
      <c r="G214" s="60"/>
      <c r="H214" s="77">
        <v>16414</v>
      </c>
      <c r="I214" s="77">
        <v>7767</v>
      </c>
      <c r="J214" s="77">
        <v>8716</v>
      </c>
      <c r="K214" s="77">
        <v>572</v>
      </c>
      <c r="L214" s="77">
        <v>834</v>
      </c>
      <c r="M214" s="77"/>
      <c r="N214" s="77"/>
      <c r="O214" s="77">
        <v>895</v>
      </c>
      <c r="P214" s="77">
        <v>248</v>
      </c>
      <c r="Q214" s="77"/>
      <c r="R214" s="77"/>
      <c r="S214" s="77"/>
      <c r="T214" s="77"/>
      <c r="U214" s="77"/>
      <c r="V214" s="77"/>
      <c r="W214" s="77"/>
      <c r="X214" s="77"/>
      <c r="Y214" s="77">
        <v>65</v>
      </c>
      <c r="Z214" s="77"/>
      <c r="AA214" s="77"/>
      <c r="AB214" s="77"/>
      <c r="AC214" s="77"/>
      <c r="AD214" s="77"/>
      <c r="AE214" s="62"/>
      <c r="AF214" s="63" t="b">
        <v>0</v>
      </c>
      <c r="AG214" s="63" t="b">
        <v>0</v>
      </c>
      <c r="AH214" s="62"/>
      <c r="AI214" s="64">
        <f t="shared" si="7"/>
        <v>35511</v>
      </c>
      <c r="AJ214" s="65" t="str">
        <f t="shared" si="340"/>
        <v>LAB</v>
      </c>
      <c r="AK214" s="66" t="str">
        <f t="shared" si="9"/>
        <v>HOLD</v>
      </c>
      <c r="AL214" s="67" t="e">
        <f t="shared" ca="1" si="10"/>
        <v>#NAME?</v>
      </c>
      <c r="AM214" s="68">
        <f t="shared" si="637"/>
        <v>7698</v>
      </c>
      <c r="AN214" s="69">
        <f t="shared" si="638"/>
        <v>0.21677789980569401</v>
      </c>
      <c r="AO214" s="62"/>
      <c r="AP214" s="70">
        <f t="shared" ref="AP214:AT214" si="648">H214/$AI214</f>
        <v>0.46222297316324518</v>
      </c>
      <c r="AQ214" s="70">
        <f t="shared" si="648"/>
        <v>0.21872095970262737</v>
      </c>
      <c r="AR214" s="70">
        <f t="shared" si="648"/>
        <v>0.24544507335755117</v>
      </c>
      <c r="AS214" s="70">
        <f t="shared" si="648"/>
        <v>1.6107684942693812E-2</v>
      </c>
      <c r="AT214" s="70">
        <f t="shared" si="648"/>
        <v>2.3485680493368251E-2</v>
      </c>
      <c r="AU214" s="70"/>
      <c r="AV214" s="70"/>
      <c r="AW214" s="81">
        <f t="shared" si="14"/>
        <v>3.401762834051425E-2</v>
      </c>
      <c r="AX214" s="70">
        <f t="shared" ref="AX214:BG214" si="649">O214/$AI214</f>
        <v>2.5203458083410773E-2</v>
      </c>
      <c r="AY214" s="70">
        <f t="shared" si="649"/>
        <v>6.9837515136154998E-3</v>
      </c>
      <c r="AZ214" s="70">
        <f t="shared" si="649"/>
        <v>0</v>
      </c>
      <c r="BA214" s="70">
        <f t="shared" si="649"/>
        <v>0</v>
      </c>
      <c r="BB214" s="70">
        <f t="shared" si="649"/>
        <v>0</v>
      </c>
      <c r="BC214" s="70">
        <f t="shared" si="649"/>
        <v>0</v>
      </c>
      <c r="BD214" s="70">
        <f t="shared" si="649"/>
        <v>0</v>
      </c>
      <c r="BE214" s="70">
        <f t="shared" si="649"/>
        <v>0</v>
      </c>
      <c r="BF214" s="70">
        <f t="shared" si="649"/>
        <v>0</v>
      </c>
      <c r="BG214" s="70">
        <f t="shared" si="649"/>
        <v>0</v>
      </c>
      <c r="BH214" s="70">
        <f t="shared" si="16"/>
        <v>1.8304187434879798E-3</v>
      </c>
      <c r="BI214" s="62"/>
      <c r="BJ214" s="69">
        <v>0.377</v>
      </c>
      <c r="BK214" s="69">
        <v>0.28899999999999998</v>
      </c>
      <c r="BL214" s="69">
        <v>0.25800000000000001</v>
      </c>
      <c r="BM214" s="69">
        <v>4.1000000000000002E-2</v>
      </c>
      <c r="BN214" s="69">
        <v>0</v>
      </c>
      <c r="BO214" s="69">
        <v>0</v>
      </c>
      <c r="BP214" s="69">
        <v>0</v>
      </c>
      <c r="BQ214" s="69">
        <v>3.4000000000000002E-2</v>
      </c>
      <c r="BR214" s="62"/>
      <c r="BS214" s="72">
        <f t="shared" ref="BS214:BW214" si="650">AP214-BJ214</f>
        <v>8.5222973163245175E-2</v>
      </c>
      <c r="BT214" s="72">
        <f t="shared" si="650"/>
        <v>-7.0279040297372614E-2</v>
      </c>
      <c r="BU214" s="72">
        <f t="shared" si="650"/>
        <v>-1.2554926642448838E-2</v>
      </c>
      <c r="BV214" s="72">
        <f t="shared" si="650"/>
        <v>-2.4892315057306189E-2</v>
      </c>
      <c r="BW214" s="72">
        <f t="shared" si="650"/>
        <v>2.3485680493368251E-2</v>
      </c>
      <c r="BX214" s="72"/>
      <c r="BY214" s="72"/>
      <c r="BZ214" s="72">
        <f t="shared" si="18"/>
        <v>1.7628340514247443E-5</v>
      </c>
    </row>
    <row r="215" spans="1:78" ht="13.15">
      <c r="A215" s="73" t="s">
        <v>6</v>
      </c>
      <c r="B215" s="74" t="s">
        <v>473</v>
      </c>
      <c r="C215" s="75" t="s">
        <v>474</v>
      </c>
      <c r="D215" s="75" t="s">
        <v>78</v>
      </c>
      <c r="E215" s="76"/>
      <c r="F215" s="59"/>
      <c r="G215" s="60"/>
      <c r="H215" s="77">
        <v>15360</v>
      </c>
      <c r="I215" s="77">
        <v>16522</v>
      </c>
      <c r="J215" s="77">
        <v>9806</v>
      </c>
      <c r="K215" s="77">
        <v>3561</v>
      </c>
      <c r="L215" s="77">
        <v>2794</v>
      </c>
      <c r="M215" s="77"/>
      <c r="N215" s="77"/>
      <c r="O215" s="77"/>
      <c r="P215" s="77"/>
      <c r="Q215" s="77"/>
      <c r="R215" s="77"/>
      <c r="S215" s="77"/>
      <c r="T215" s="77"/>
      <c r="U215" s="77"/>
      <c r="V215" s="77"/>
      <c r="W215" s="77"/>
      <c r="X215" s="77"/>
      <c r="Y215" s="77"/>
      <c r="Z215" s="77"/>
      <c r="AA215" s="77"/>
      <c r="AB215" s="77"/>
      <c r="AC215" s="77"/>
      <c r="AD215" s="77"/>
      <c r="AE215" s="62"/>
      <c r="AF215" s="63" t="b">
        <v>0</v>
      </c>
      <c r="AG215" s="63" t="b">
        <v>0</v>
      </c>
      <c r="AH215" s="62"/>
      <c r="AI215" s="64">
        <f t="shared" si="7"/>
        <v>48043</v>
      </c>
      <c r="AJ215" s="65" t="str">
        <f t="shared" si="340"/>
        <v>CON</v>
      </c>
      <c r="AK215" s="66" t="str">
        <f t="shared" si="9"/>
        <v>HOLD</v>
      </c>
      <c r="AL215" s="67" t="e">
        <f t="shared" ca="1" si="10"/>
        <v>#NAME?</v>
      </c>
      <c r="AM215" s="68">
        <f t="shared" si="637"/>
        <v>1162</v>
      </c>
      <c r="AN215" s="69">
        <f t="shared" si="638"/>
        <v>2.4186666111608357E-2</v>
      </c>
      <c r="AO215" s="62"/>
      <c r="AP215" s="70">
        <f t="shared" ref="AP215:AT215" si="651">H215/$AI215</f>
        <v>0.31971358990903981</v>
      </c>
      <c r="AQ215" s="70">
        <f t="shared" si="651"/>
        <v>0.34390025602064817</v>
      </c>
      <c r="AR215" s="70">
        <f t="shared" si="651"/>
        <v>0.2041088191828154</v>
      </c>
      <c r="AS215" s="70">
        <f t="shared" si="651"/>
        <v>7.4121099848052791E-2</v>
      </c>
      <c r="AT215" s="70">
        <f t="shared" si="651"/>
        <v>5.8156235039443831E-2</v>
      </c>
      <c r="AU215" s="70"/>
      <c r="AV215" s="70"/>
      <c r="AW215" s="81">
        <f t="shared" si="14"/>
        <v>0</v>
      </c>
      <c r="AX215" s="70">
        <f t="shared" ref="AX215:BG215" si="652">O215/$AI215</f>
        <v>0</v>
      </c>
      <c r="AY215" s="70">
        <f t="shared" si="652"/>
        <v>0</v>
      </c>
      <c r="AZ215" s="70">
        <f t="shared" si="652"/>
        <v>0</v>
      </c>
      <c r="BA215" s="70">
        <f t="shared" si="652"/>
        <v>0</v>
      </c>
      <c r="BB215" s="70">
        <f t="shared" si="652"/>
        <v>0</v>
      </c>
      <c r="BC215" s="70">
        <f t="shared" si="652"/>
        <v>0</v>
      </c>
      <c r="BD215" s="70">
        <f t="shared" si="652"/>
        <v>0</v>
      </c>
      <c r="BE215" s="70">
        <f t="shared" si="652"/>
        <v>0</v>
      </c>
      <c r="BF215" s="70">
        <f t="shared" si="652"/>
        <v>0</v>
      </c>
      <c r="BG215" s="70">
        <f t="shared" si="652"/>
        <v>0</v>
      </c>
      <c r="BH215" s="70">
        <f t="shared" si="16"/>
        <v>0</v>
      </c>
      <c r="BI215" s="62"/>
      <c r="BJ215" s="69">
        <v>0.25900000000000001</v>
      </c>
      <c r="BK215" s="69">
        <v>0.58599999999999997</v>
      </c>
      <c r="BL215" s="69">
        <v>0</v>
      </c>
      <c r="BM215" s="69">
        <v>0.107</v>
      </c>
      <c r="BN215" s="69">
        <v>3.5999999999999997E-2</v>
      </c>
      <c r="BO215" s="69">
        <v>0</v>
      </c>
      <c r="BP215" s="69">
        <v>0</v>
      </c>
      <c r="BQ215" s="69">
        <v>1.2999999999999999E-2</v>
      </c>
      <c r="BR215" s="62"/>
      <c r="BS215" s="72">
        <f t="shared" ref="BS215:BW215" si="653">AP215-BJ215</f>
        <v>6.07135899090398E-2</v>
      </c>
      <c r="BT215" s="72">
        <f t="shared" si="653"/>
        <v>-0.2420997439793518</v>
      </c>
      <c r="BU215" s="72">
        <f t="shared" si="653"/>
        <v>0.2041088191828154</v>
      </c>
      <c r="BV215" s="72">
        <f t="shared" si="653"/>
        <v>-3.2878900151947207E-2</v>
      </c>
      <c r="BW215" s="72">
        <f t="shared" si="653"/>
        <v>2.2156235039443833E-2</v>
      </c>
      <c r="BX215" s="72"/>
      <c r="BY215" s="72"/>
      <c r="BZ215" s="72">
        <f t="shared" si="18"/>
        <v>-1.2999999999999999E-2</v>
      </c>
    </row>
    <row r="216" spans="1:78" ht="13.15">
      <c r="A216" s="73" t="s">
        <v>6</v>
      </c>
      <c r="B216" s="74" t="s">
        <v>475</v>
      </c>
      <c r="C216" s="75" t="s">
        <v>476</v>
      </c>
      <c r="D216" s="75" t="s">
        <v>44</v>
      </c>
      <c r="E216" s="76"/>
      <c r="F216" s="59"/>
      <c r="G216" s="60"/>
      <c r="H216" s="77">
        <v>19134</v>
      </c>
      <c r="I216" s="77">
        <v>10481</v>
      </c>
      <c r="J216" s="77">
        <v>7401</v>
      </c>
      <c r="K216" s="77">
        <v>2586</v>
      </c>
      <c r="L216" s="77">
        <v>5761</v>
      </c>
      <c r="M216" s="77"/>
      <c r="N216" s="77"/>
      <c r="O216" s="77">
        <v>129</v>
      </c>
      <c r="P216" s="77">
        <v>362</v>
      </c>
      <c r="Q216" s="77"/>
      <c r="R216" s="77"/>
      <c r="S216" s="77"/>
      <c r="T216" s="77"/>
      <c r="U216" s="77"/>
      <c r="V216" s="77"/>
      <c r="W216" s="77"/>
      <c r="X216" s="77"/>
      <c r="Y216" s="77">
        <v>136</v>
      </c>
      <c r="Z216" s="77"/>
      <c r="AA216" s="77"/>
      <c r="AB216" s="77"/>
      <c r="AC216" s="77"/>
      <c r="AD216" s="77"/>
      <c r="AE216" s="62"/>
      <c r="AF216" s="63" t="b">
        <v>0</v>
      </c>
      <c r="AG216" s="63" t="b">
        <v>0</v>
      </c>
      <c r="AH216" s="62"/>
      <c r="AI216" s="64">
        <f t="shared" si="7"/>
        <v>45990</v>
      </c>
      <c r="AJ216" s="65" t="str">
        <f t="shared" si="340"/>
        <v>LAB</v>
      </c>
      <c r="AK216" s="66" t="str">
        <f t="shared" si="9"/>
        <v>GAIN</v>
      </c>
      <c r="AL216" s="67" t="e">
        <f t="shared" ca="1" si="10"/>
        <v>#NAME?</v>
      </c>
      <c r="AM216" s="68">
        <f t="shared" si="637"/>
        <v>8653</v>
      </c>
      <c r="AN216" s="69">
        <f t="shared" si="638"/>
        <v>0.18814959773863882</v>
      </c>
      <c r="AO216" s="62"/>
      <c r="AP216" s="70">
        <f t="shared" ref="AP216:AT216" si="654">H216/$AI216</f>
        <v>0.41604696673189823</v>
      </c>
      <c r="AQ216" s="70">
        <f t="shared" si="654"/>
        <v>0.22789736899325941</v>
      </c>
      <c r="AR216" s="70">
        <f t="shared" si="654"/>
        <v>0.16092628832354861</v>
      </c>
      <c r="AS216" s="70">
        <f t="shared" si="654"/>
        <v>5.6229615133724722E-2</v>
      </c>
      <c r="AT216" s="70">
        <f t="shared" si="654"/>
        <v>0.12526636225266363</v>
      </c>
      <c r="AU216" s="70"/>
      <c r="AV216" s="70"/>
      <c r="AW216" s="81">
        <f t="shared" si="14"/>
        <v>1.3633398564905419E-2</v>
      </c>
      <c r="AX216" s="70">
        <f t="shared" ref="AX216:BG216" si="655">O216/$AI216</f>
        <v>2.8049575994781475E-3</v>
      </c>
      <c r="AY216" s="70">
        <f t="shared" si="655"/>
        <v>7.8712763644270493E-3</v>
      </c>
      <c r="AZ216" s="70">
        <f t="shared" si="655"/>
        <v>0</v>
      </c>
      <c r="BA216" s="70">
        <f t="shared" si="655"/>
        <v>0</v>
      </c>
      <c r="BB216" s="70">
        <f t="shared" si="655"/>
        <v>0</v>
      </c>
      <c r="BC216" s="70">
        <f t="shared" si="655"/>
        <v>0</v>
      </c>
      <c r="BD216" s="70">
        <f t="shared" si="655"/>
        <v>0</v>
      </c>
      <c r="BE216" s="70">
        <f t="shared" si="655"/>
        <v>0</v>
      </c>
      <c r="BF216" s="70">
        <f t="shared" si="655"/>
        <v>0</v>
      </c>
      <c r="BG216" s="70">
        <f t="shared" si="655"/>
        <v>0</v>
      </c>
      <c r="BH216" s="70">
        <f t="shared" si="16"/>
        <v>2.9571646010002218E-3</v>
      </c>
      <c r="BI216" s="62"/>
      <c r="BJ216" s="69">
        <v>0.42399999999999999</v>
      </c>
      <c r="BK216" s="69">
        <v>0.49099999999999999</v>
      </c>
      <c r="BL216" s="69">
        <v>0</v>
      </c>
      <c r="BM216" s="69">
        <v>7.3999999999999996E-2</v>
      </c>
      <c r="BN216" s="69">
        <v>1E-3</v>
      </c>
      <c r="BO216" s="69">
        <v>0</v>
      </c>
      <c r="BP216" s="69">
        <v>0</v>
      </c>
      <c r="BQ216" s="69">
        <v>1.0999999999999999E-2</v>
      </c>
      <c r="BR216" s="62"/>
      <c r="BS216" s="72">
        <f t="shared" ref="BS216:BW216" si="656">AP216-BJ216</f>
        <v>-7.9530332681017613E-3</v>
      </c>
      <c r="BT216" s="72">
        <f t="shared" si="656"/>
        <v>-0.26310263100674058</v>
      </c>
      <c r="BU216" s="72">
        <f t="shared" si="656"/>
        <v>0.16092628832354861</v>
      </c>
      <c r="BV216" s="72">
        <f t="shared" si="656"/>
        <v>-1.7770384866275274E-2</v>
      </c>
      <c r="BW216" s="72">
        <f t="shared" si="656"/>
        <v>0.12426636225266363</v>
      </c>
      <c r="BX216" s="72"/>
      <c r="BY216" s="72"/>
      <c r="BZ216" s="72">
        <f t="shared" si="18"/>
        <v>2.6333985649054197E-3</v>
      </c>
    </row>
    <row r="217" spans="1:78" ht="13.15">
      <c r="A217" s="73" t="s">
        <v>6</v>
      </c>
      <c r="B217" s="74" t="s">
        <v>477</v>
      </c>
      <c r="C217" s="75" t="s">
        <v>478</v>
      </c>
      <c r="D217" s="75" t="s">
        <v>44</v>
      </c>
      <c r="E217" s="76"/>
      <c r="F217" s="59"/>
      <c r="G217" s="60"/>
      <c r="H217" s="77">
        <v>12894</v>
      </c>
      <c r="I217" s="77">
        <v>12986</v>
      </c>
      <c r="J217" s="77">
        <v>9959</v>
      </c>
      <c r="K217" s="77">
        <v>3275</v>
      </c>
      <c r="L217" s="77">
        <v>2861</v>
      </c>
      <c r="M217" s="77"/>
      <c r="N217" s="77"/>
      <c r="O217" s="77"/>
      <c r="P217" s="77">
        <v>211</v>
      </c>
      <c r="Q217" s="77"/>
      <c r="R217" s="77"/>
      <c r="S217" s="77"/>
      <c r="T217" s="77"/>
      <c r="U217" s="77"/>
      <c r="V217" s="77"/>
      <c r="W217" s="77"/>
      <c r="X217" s="77"/>
      <c r="Y217" s="77"/>
      <c r="Z217" s="77"/>
      <c r="AA217" s="77"/>
      <c r="AB217" s="77"/>
      <c r="AC217" s="77"/>
      <c r="AD217" s="77"/>
      <c r="AE217" s="62"/>
      <c r="AF217" s="63" t="b">
        <v>0</v>
      </c>
      <c r="AG217" s="63" t="b">
        <v>0</v>
      </c>
      <c r="AH217" s="62"/>
      <c r="AI217" s="64">
        <f t="shared" si="7"/>
        <v>42186</v>
      </c>
      <c r="AJ217" s="65" t="str">
        <f t="shared" si="340"/>
        <v>CON</v>
      </c>
      <c r="AK217" s="66" t="str">
        <f t="shared" si="9"/>
        <v>HOLD</v>
      </c>
      <c r="AL217" s="67" t="e">
        <f t="shared" ca="1" si="10"/>
        <v>#NAME?</v>
      </c>
      <c r="AM217" s="68">
        <f t="shared" si="637"/>
        <v>92</v>
      </c>
      <c r="AN217" s="69">
        <f t="shared" si="638"/>
        <v>2.180818280946295E-3</v>
      </c>
      <c r="AO217" s="62"/>
      <c r="AP217" s="70">
        <f t="shared" ref="AP217:AT217" si="657">H217/$AI217</f>
        <v>0.3056464229839283</v>
      </c>
      <c r="AQ217" s="70">
        <f t="shared" si="657"/>
        <v>0.3078272412648746</v>
      </c>
      <c r="AR217" s="70">
        <f t="shared" si="657"/>
        <v>0.23607357891243541</v>
      </c>
      <c r="AS217" s="70">
        <f t="shared" si="657"/>
        <v>7.7632389892381359E-2</v>
      </c>
      <c r="AT217" s="70">
        <f t="shared" si="657"/>
        <v>6.7818707628123073E-2</v>
      </c>
      <c r="AU217" s="70"/>
      <c r="AV217" s="70"/>
      <c r="AW217" s="81">
        <f t="shared" si="14"/>
        <v>5.0016593182572455E-3</v>
      </c>
      <c r="AX217" s="70">
        <f t="shared" ref="AX217:BG217" si="658">O217/$AI217</f>
        <v>0</v>
      </c>
      <c r="AY217" s="70">
        <f t="shared" si="658"/>
        <v>5.0016593182572421E-3</v>
      </c>
      <c r="AZ217" s="70">
        <f t="shared" si="658"/>
        <v>0</v>
      </c>
      <c r="BA217" s="70">
        <f t="shared" si="658"/>
        <v>0</v>
      </c>
      <c r="BB217" s="70">
        <f t="shared" si="658"/>
        <v>0</v>
      </c>
      <c r="BC217" s="70">
        <f t="shared" si="658"/>
        <v>0</v>
      </c>
      <c r="BD217" s="70">
        <f t="shared" si="658"/>
        <v>0</v>
      </c>
      <c r="BE217" s="70">
        <f t="shared" si="658"/>
        <v>0</v>
      </c>
      <c r="BF217" s="70">
        <f t="shared" si="658"/>
        <v>0</v>
      </c>
      <c r="BG217" s="70">
        <f t="shared" si="658"/>
        <v>0</v>
      </c>
      <c r="BH217" s="70">
        <f t="shared" si="16"/>
        <v>0</v>
      </c>
      <c r="BI217" s="62"/>
      <c r="BJ217" s="69">
        <v>0.18</v>
      </c>
      <c r="BK217" s="69">
        <v>0.65400000000000003</v>
      </c>
      <c r="BL217" s="69">
        <v>0</v>
      </c>
      <c r="BM217" s="69">
        <v>0.124</v>
      </c>
      <c r="BN217" s="69">
        <v>3.5000000000000003E-2</v>
      </c>
      <c r="BO217" s="69">
        <v>0</v>
      </c>
      <c r="BP217" s="69">
        <v>0</v>
      </c>
      <c r="BQ217" s="69">
        <v>8.0000000000000002E-3</v>
      </c>
      <c r="BR217" s="62"/>
      <c r="BS217" s="72">
        <f t="shared" ref="BS217:BW217" si="659">AP217-BJ217</f>
        <v>0.12564642298392831</v>
      </c>
      <c r="BT217" s="72">
        <f t="shared" si="659"/>
        <v>-0.34617275873512543</v>
      </c>
      <c r="BU217" s="72">
        <f t="shared" si="659"/>
        <v>0.23607357891243541</v>
      </c>
      <c r="BV217" s="72">
        <f t="shared" si="659"/>
        <v>-4.636761010761864E-2</v>
      </c>
      <c r="BW217" s="72">
        <f t="shared" si="659"/>
        <v>3.281870762812307E-2</v>
      </c>
      <c r="BX217" s="72"/>
      <c r="BY217" s="72"/>
      <c r="BZ217" s="72">
        <f t="shared" si="18"/>
        <v>-2.9983406817427581E-3</v>
      </c>
    </row>
    <row r="218" spans="1:78" ht="13.15">
      <c r="A218" s="78" t="s">
        <v>5</v>
      </c>
      <c r="B218" s="74" t="s">
        <v>479</v>
      </c>
      <c r="C218" s="75" t="s">
        <v>480</v>
      </c>
      <c r="D218" s="75" t="s">
        <v>68</v>
      </c>
      <c r="E218" s="76"/>
      <c r="F218" s="59"/>
      <c r="G218" s="60"/>
      <c r="H218" s="77">
        <v>20405</v>
      </c>
      <c r="I218" s="77">
        <v>8374</v>
      </c>
      <c r="J218" s="77">
        <v>4114</v>
      </c>
      <c r="K218" s="77">
        <v>1316</v>
      </c>
      <c r="L218" s="77">
        <v>2131</v>
      </c>
      <c r="M218" s="77"/>
      <c r="N218" s="77"/>
      <c r="O218" s="77"/>
      <c r="P218" s="77">
        <v>1975</v>
      </c>
      <c r="Q218" s="77"/>
      <c r="R218" s="77"/>
      <c r="S218" s="77"/>
      <c r="T218" s="77"/>
      <c r="U218" s="77"/>
      <c r="V218" s="77"/>
      <c r="W218" s="77"/>
      <c r="X218" s="77"/>
      <c r="Y218" s="77"/>
      <c r="Z218" s="77"/>
      <c r="AA218" s="77"/>
      <c r="AB218" s="77"/>
      <c r="AC218" s="77"/>
      <c r="AD218" s="77"/>
      <c r="AE218" s="62"/>
      <c r="AF218" s="63" t="b">
        <v>0</v>
      </c>
      <c r="AG218" s="63" t="b">
        <v>0</v>
      </c>
      <c r="AH218" s="62"/>
      <c r="AI218" s="64">
        <f t="shared" si="7"/>
        <v>38315</v>
      </c>
      <c r="AJ218" s="65" t="str">
        <f t="shared" si="340"/>
        <v>LAB</v>
      </c>
      <c r="AK218" s="66" t="str">
        <f t="shared" si="9"/>
        <v>HOLD</v>
      </c>
      <c r="AL218" s="67" t="e">
        <f t="shared" ca="1" si="10"/>
        <v>#NAME?</v>
      </c>
      <c r="AM218" s="68">
        <f t="shared" si="637"/>
        <v>12031</v>
      </c>
      <c r="AN218" s="69">
        <f t="shared" si="638"/>
        <v>0.31400234894949763</v>
      </c>
      <c r="AO218" s="62"/>
      <c r="AP218" s="70">
        <f t="shared" ref="AP218:AT218" si="660">H218/$AI218</f>
        <v>0.53255904998042547</v>
      </c>
      <c r="AQ218" s="70">
        <f t="shared" si="660"/>
        <v>0.21855670103092784</v>
      </c>
      <c r="AR218" s="70">
        <f t="shared" si="660"/>
        <v>0.10737309147853322</v>
      </c>
      <c r="AS218" s="70">
        <f t="shared" si="660"/>
        <v>3.4346861542476834E-2</v>
      </c>
      <c r="AT218" s="70">
        <f t="shared" si="660"/>
        <v>5.5617904215059376E-2</v>
      </c>
      <c r="AU218" s="70"/>
      <c r="AV218" s="70"/>
      <c r="AW218" s="81">
        <f t="shared" si="14"/>
        <v>5.1546391752577247E-2</v>
      </c>
      <c r="AX218" s="70">
        <f t="shared" ref="AX218:BG218" si="661">O218/$AI218</f>
        <v>0</v>
      </c>
      <c r="AY218" s="70">
        <f t="shared" si="661"/>
        <v>5.1546391752577317E-2</v>
      </c>
      <c r="AZ218" s="70">
        <f t="shared" si="661"/>
        <v>0</v>
      </c>
      <c r="BA218" s="70">
        <f t="shared" si="661"/>
        <v>0</v>
      </c>
      <c r="BB218" s="70">
        <f t="shared" si="661"/>
        <v>0</v>
      </c>
      <c r="BC218" s="70">
        <f t="shared" si="661"/>
        <v>0</v>
      </c>
      <c r="BD218" s="70">
        <f t="shared" si="661"/>
        <v>0</v>
      </c>
      <c r="BE218" s="70">
        <f t="shared" si="661"/>
        <v>0</v>
      </c>
      <c r="BF218" s="70">
        <f t="shared" si="661"/>
        <v>0</v>
      </c>
      <c r="BG218" s="70">
        <f t="shared" si="661"/>
        <v>0</v>
      </c>
      <c r="BH218" s="70">
        <f t="shared" si="16"/>
        <v>-6.9388939039072284E-17</v>
      </c>
      <c r="BI218" s="62"/>
      <c r="BJ218" s="69">
        <v>0.55800000000000005</v>
      </c>
      <c r="BK218" s="69">
        <v>0.34699999999999998</v>
      </c>
      <c r="BL218" s="69">
        <v>2.9000000000000001E-2</v>
      </c>
      <c r="BM218" s="69">
        <v>4.3999999999999997E-2</v>
      </c>
      <c r="BN218" s="69">
        <v>1.7000000000000001E-2</v>
      </c>
      <c r="BO218" s="69">
        <v>0</v>
      </c>
      <c r="BP218" s="69">
        <v>0</v>
      </c>
      <c r="BQ218" s="69">
        <v>4.0000000000000001E-3</v>
      </c>
      <c r="BR218" s="62"/>
      <c r="BS218" s="72">
        <f t="shared" ref="BS218:BW218" si="662">AP218-BJ218</f>
        <v>-2.5440950019574582E-2</v>
      </c>
      <c r="BT218" s="72">
        <f t="shared" si="662"/>
        <v>-0.12844329896907214</v>
      </c>
      <c r="BU218" s="72">
        <f t="shared" si="662"/>
        <v>7.8373091478533219E-2</v>
      </c>
      <c r="BV218" s="72">
        <f t="shared" si="662"/>
        <v>-9.6531384575231638E-3</v>
      </c>
      <c r="BW218" s="72">
        <f t="shared" si="662"/>
        <v>3.8617904215059375E-2</v>
      </c>
      <c r="BX218" s="72"/>
      <c r="BY218" s="72"/>
      <c r="BZ218" s="72">
        <f t="shared" si="18"/>
        <v>4.7546391752577244E-2</v>
      </c>
    </row>
    <row r="219" spans="1:78" ht="13.15">
      <c r="A219" s="73" t="s">
        <v>6</v>
      </c>
      <c r="B219" s="74" t="s">
        <v>481</v>
      </c>
      <c r="C219" s="75" t="s">
        <v>482</v>
      </c>
      <c r="D219" s="75" t="s">
        <v>50</v>
      </c>
      <c r="E219" s="76"/>
      <c r="F219" s="59"/>
      <c r="G219" s="60"/>
      <c r="H219" s="77">
        <v>10828</v>
      </c>
      <c r="I219" s="77">
        <v>9011</v>
      </c>
      <c r="J219" s="77">
        <v>6955</v>
      </c>
      <c r="K219" s="77">
        <v>17328</v>
      </c>
      <c r="L219" s="77">
        <v>1763</v>
      </c>
      <c r="M219" s="77"/>
      <c r="N219" s="77"/>
      <c r="O219" s="77"/>
      <c r="P219" s="77"/>
      <c r="Q219" s="77"/>
      <c r="R219" s="77"/>
      <c r="S219" s="77"/>
      <c r="T219" s="77"/>
      <c r="U219" s="77"/>
      <c r="V219" s="77"/>
      <c r="W219" s="77"/>
      <c r="X219" s="77"/>
      <c r="Y219" s="77">
        <v>113</v>
      </c>
      <c r="Z219" s="77"/>
      <c r="AA219" s="77"/>
      <c r="AB219" s="77"/>
      <c r="AC219" s="77"/>
      <c r="AD219" s="77"/>
      <c r="AE219" s="62"/>
      <c r="AF219" s="63" t="b">
        <v>0</v>
      </c>
      <c r="AG219" s="63" t="b">
        <v>0</v>
      </c>
      <c r="AH219" s="62"/>
      <c r="AI219" s="64">
        <f t="shared" si="7"/>
        <v>45998</v>
      </c>
      <c r="AJ219" s="65" t="str">
        <f t="shared" si="340"/>
        <v>LDM</v>
      </c>
      <c r="AK219" s="66" t="str">
        <f t="shared" si="9"/>
        <v>GAIN</v>
      </c>
      <c r="AL219" s="67" t="e">
        <f t="shared" ca="1" si="10"/>
        <v>#NAME?</v>
      </c>
      <c r="AM219" s="68">
        <f t="shared" si="637"/>
        <v>6500</v>
      </c>
      <c r="AN219" s="69">
        <f t="shared" si="638"/>
        <v>0.14131049176051136</v>
      </c>
      <c r="AO219" s="62"/>
      <c r="AP219" s="70">
        <f t="shared" ref="AP219:AT219" si="663">H219/$AI219</f>
        <v>0.2354015391973564</v>
      </c>
      <c r="AQ219" s="70">
        <f t="shared" si="663"/>
        <v>0.19589982173137963</v>
      </c>
      <c r="AR219" s="70">
        <f t="shared" si="663"/>
        <v>0.15120222618374712</v>
      </c>
      <c r="AS219" s="70">
        <f t="shared" si="663"/>
        <v>0.37671203095786776</v>
      </c>
      <c r="AT219" s="70">
        <f t="shared" si="663"/>
        <v>3.8327753380581767E-2</v>
      </c>
      <c r="AU219" s="70"/>
      <c r="AV219" s="70"/>
      <c r="AW219" s="81">
        <f t="shared" si="14"/>
        <v>2.4566285490672524E-3</v>
      </c>
      <c r="AX219" s="70">
        <f t="shared" ref="AX219:BG219" si="664">O219/$AI219</f>
        <v>0</v>
      </c>
      <c r="AY219" s="70">
        <f t="shared" si="664"/>
        <v>0</v>
      </c>
      <c r="AZ219" s="70">
        <f t="shared" si="664"/>
        <v>0</v>
      </c>
      <c r="BA219" s="70">
        <f t="shared" si="664"/>
        <v>0</v>
      </c>
      <c r="BB219" s="70">
        <f t="shared" si="664"/>
        <v>0</v>
      </c>
      <c r="BC219" s="70">
        <f t="shared" si="664"/>
        <v>0</v>
      </c>
      <c r="BD219" s="70">
        <f t="shared" si="664"/>
        <v>0</v>
      </c>
      <c r="BE219" s="70">
        <f t="shared" si="664"/>
        <v>0</v>
      </c>
      <c r="BF219" s="70">
        <f t="shared" si="664"/>
        <v>0</v>
      </c>
      <c r="BG219" s="70">
        <f t="shared" si="664"/>
        <v>0</v>
      </c>
      <c r="BH219" s="70">
        <f t="shared" si="16"/>
        <v>2.4566285490672524E-3</v>
      </c>
      <c r="BI219" s="62"/>
      <c r="BJ219" s="69">
        <v>0.16300000000000001</v>
      </c>
      <c r="BK219" s="69">
        <v>0.45600000000000002</v>
      </c>
      <c r="BL219" s="69">
        <v>6.0000000000000001E-3</v>
      </c>
      <c r="BM219" s="69">
        <v>0.372</v>
      </c>
      <c r="BN219" s="69">
        <v>3.0000000000000001E-3</v>
      </c>
      <c r="BO219" s="69">
        <v>0</v>
      </c>
      <c r="BP219" s="69">
        <v>0</v>
      </c>
      <c r="BQ219" s="69">
        <v>0</v>
      </c>
      <c r="BR219" s="62"/>
      <c r="BS219" s="72">
        <f t="shared" ref="BS219:BW219" si="665">AP219-BJ219</f>
        <v>7.2401539197356396E-2</v>
      </c>
      <c r="BT219" s="72">
        <f t="shared" si="665"/>
        <v>-0.26010017826862042</v>
      </c>
      <c r="BU219" s="72">
        <f t="shared" si="665"/>
        <v>0.14520222618374712</v>
      </c>
      <c r="BV219" s="72">
        <f t="shared" si="665"/>
        <v>4.7120309578677633E-3</v>
      </c>
      <c r="BW219" s="72">
        <f t="shared" si="665"/>
        <v>3.5327753380581764E-2</v>
      </c>
      <c r="BX219" s="72"/>
      <c r="BY219" s="72"/>
      <c r="BZ219" s="72">
        <f t="shared" si="18"/>
        <v>2.4566285490672524E-3</v>
      </c>
    </row>
    <row r="220" spans="1:78" ht="13.15">
      <c r="A220" s="73" t="s">
        <v>6</v>
      </c>
      <c r="B220" s="74" t="s">
        <v>483</v>
      </c>
      <c r="C220" s="75" t="s">
        <v>484</v>
      </c>
      <c r="D220" s="75" t="s">
        <v>78</v>
      </c>
      <c r="E220" s="76"/>
      <c r="F220" s="59"/>
      <c r="G220" s="60"/>
      <c r="H220" s="77">
        <v>16844</v>
      </c>
      <c r="I220" s="77">
        <v>11987</v>
      </c>
      <c r="J220" s="77">
        <v>7689</v>
      </c>
      <c r="K220" s="77">
        <v>5096</v>
      </c>
      <c r="L220" s="77">
        <v>2492</v>
      </c>
      <c r="M220" s="77"/>
      <c r="N220" s="77"/>
      <c r="O220" s="77"/>
      <c r="P220" s="77"/>
      <c r="Q220" s="77"/>
      <c r="R220" s="77"/>
      <c r="S220" s="77"/>
      <c r="T220" s="77"/>
      <c r="U220" s="77"/>
      <c r="V220" s="77"/>
      <c r="W220" s="77"/>
      <c r="X220" s="77"/>
      <c r="Y220" s="77"/>
      <c r="Z220" s="77"/>
      <c r="AA220" s="77"/>
      <c r="AB220" s="77"/>
      <c r="AC220" s="77"/>
      <c r="AD220" s="77"/>
      <c r="AE220" s="62"/>
      <c r="AF220" s="63" t="b">
        <v>0</v>
      </c>
      <c r="AG220" s="63" t="b">
        <v>0</v>
      </c>
      <c r="AH220" s="62"/>
      <c r="AI220" s="64">
        <f t="shared" si="7"/>
        <v>44108</v>
      </c>
      <c r="AJ220" s="65" t="str">
        <f t="shared" si="340"/>
        <v>LAB</v>
      </c>
      <c r="AK220" s="66" t="str">
        <f t="shared" si="9"/>
        <v>GAIN</v>
      </c>
      <c r="AL220" s="67" t="e">
        <f t="shared" ca="1" si="10"/>
        <v>#NAME?</v>
      </c>
      <c r="AM220" s="68">
        <f t="shared" si="637"/>
        <v>4857</v>
      </c>
      <c r="AN220" s="69">
        <f t="shared" si="638"/>
        <v>0.1101160787158792</v>
      </c>
      <c r="AO220" s="62"/>
      <c r="AP220" s="70">
        <f t="shared" ref="AP220:AT220" si="666">H220/$AI220</f>
        <v>0.38188083794323024</v>
      </c>
      <c r="AQ220" s="70">
        <f t="shared" si="666"/>
        <v>0.27176475922735105</v>
      </c>
      <c r="AR220" s="70">
        <f t="shared" si="666"/>
        <v>0.17432211843656478</v>
      </c>
      <c r="AS220" s="70">
        <f t="shared" si="666"/>
        <v>0.11553459689852182</v>
      </c>
      <c r="AT220" s="70">
        <f t="shared" si="666"/>
        <v>5.6497687494332094E-2</v>
      </c>
      <c r="AU220" s="70"/>
      <c r="AV220" s="70"/>
      <c r="AW220" s="81">
        <f t="shared" si="14"/>
        <v>0</v>
      </c>
      <c r="AX220" s="70">
        <f t="shared" ref="AX220:BG220" si="667">O220/$AI220</f>
        <v>0</v>
      </c>
      <c r="AY220" s="70">
        <f t="shared" si="667"/>
        <v>0</v>
      </c>
      <c r="AZ220" s="70">
        <f t="shared" si="667"/>
        <v>0</v>
      </c>
      <c r="BA220" s="70">
        <f t="shared" si="667"/>
        <v>0</v>
      </c>
      <c r="BB220" s="70">
        <f t="shared" si="667"/>
        <v>0</v>
      </c>
      <c r="BC220" s="70">
        <f t="shared" si="667"/>
        <v>0</v>
      </c>
      <c r="BD220" s="70">
        <f t="shared" si="667"/>
        <v>0</v>
      </c>
      <c r="BE220" s="70">
        <f t="shared" si="667"/>
        <v>0</v>
      </c>
      <c r="BF220" s="70">
        <f t="shared" si="667"/>
        <v>0</v>
      </c>
      <c r="BG220" s="70">
        <f t="shared" si="667"/>
        <v>0</v>
      </c>
      <c r="BH220" s="70">
        <f t="shared" si="16"/>
        <v>0</v>
      </c>
      <c r="BI220" s="62"/>
      <c r="BJ220" s="69">
        <v>0.28100000000000003</v>
      </c>
      <c r="BK220" s="69">
        <v>0.55000000000000004</v>
      </c>
      <c r="BL220" s="69">
        <v>0</v>
      </c>
      <c r="BM220" s="69">
        <v>0.114</v>
      </c>
      <c r="BN220" s="69">
        <v>2.9000000000000001E-2</v>
      </c>
      <c r="BO220" s="69">
        <v>0</v>
      </c>
      <c r="BP220" s="69">
        <v>0</v>
      </c>
      <c r="BQ220" s="69">
        <v>2.7E-2</v>
      </c>
      <c r="BR220" s="62"/>
      <c r="BS220" s="72">
        <f t="shared" ref="BS220:BW220" si="668">AP220-BJ220</f>
        <v>0.10088083794323022</v>
      </c>
      <c r="BT220" s="72">
        <f t="shared" si="668"/>
        <v>-0.278235240772649</v>
      </c>
      <c r="BU220" s="72">
        <f t="shared" si="668"/>
        <v>0.17432211843656478</v>
      </c>
      <c r="BV220" s="72">
        <f t="shared" si="668"/>
        <v>1.5345968985218117E-3</v>
      </c>
      <c r="BW220" s="72">
        <f t="shared" si="668"/>
        <v>2.7497687494332092E-2</v>
      </c>
      <c r="BX220" s="72"/>
      <c r="BY220" s="72"/>
      <c r="BZ220" s="72">
        <f t="shared" si="18"/>
        <v>-2.7E-2</v>
      </c>
    </row>
    <row r="221" spans="1:78" ht="13.15">
      <c r="A221" s="73" t="s">
        <v>6</v>
      </c>
      <c r="B221" s="74" t="s">
        <v>485</v>
      </c>
      <c r="C221" s="75" t="s">
        <v>486</v>
      </c>
      <c r="D221" s="75" t="s">
        <v>68</v>
      </c>
      <c r="E221" s="76"/>
      <c r="F221" s="59"/>
      <c r="G221" s="60"/>
      <c r="H221" s="77">
        <v>15855</v>
      </c>
      <c r="I221" s="77">
        <v>15840</v>
      </c>
      <c r="J221" s="77">
        <v>3038</v>
      </c>
      <c r="K221" s="77">
        <v>1966</v>
      </c>
      <c r="L221" s="77">
        <v>2667</v>
      </c>
      <c r="M221" s="77"/>
      <c r="N221" s="77"/>
      <c r="O221" s="77"/>
      <c r="P221" s="77">
        <v>1518</v>
      </c>
      <c r="Q221" s="77">
        <v>139</v>
      </c>
      <c r="R221" s="77"/>
      <c r="S221" s="77"/>
      <c r="T221" s="77"/>
      <c r="U221" s="77"/>
      <c r="V221" s="77"/>
      <c r="W221" s="77"/>
      <c r="X221" s="77"/>
      <c r="Y221" s="77">
        <v>233</v>
      </c>
      <c r="Z221" s="77"/>
      <c r="AA221" s="77"/>
      <c r="AB221" s="77"/>
      <c r="AC221" s="77"/>
      <c r="AD221" s="77"/>
      <c r="AE221" s="62"/>
      <c r="AF221" s="63" t="b">
        <v>0</v>
      </c>
      <c r="AG221" s="63" t="b">
        <v>0</v>
      </c>
      <c r="AH221" s="62"/>
      <c r="AI221" s="64">
        <f t="shared" si="7"/>
        <v>41256</v>
      </c>
      <c r="AJ221" s="65" t="str">
        <f t="shared" si="340"/>
        <v>LAB</v>
      </c>
      <c r="AK221" s="66" t="str">
        <f t="shared" si="9"/>
        <v>GAIN</v>
      </c>
      <c r="AL221" s="67" t="e">
        <f t="shared" ca="1" si="10"/>
        <v>#NAME?</v>
      </c>
      <c r="AM221" s="68">
        <f t="shared" si="637"/>
        <v>15</v>
      </c>
      <c r="AN221" s="69">
        <f t="shared" si="638"/>
        <v>3.6358347876674912E-4</v>
      </c>
      <c r="AO221" s="62"/>
      <c r="AP221" s="70">
        <f t="shared" ref="AP221:AT221" si="669">H221/$AI221</f>
        <v>0.38430773705642818</v>
      </c>
      <c r="AQ221" s="70">
        <f t="shared" si="669"/>
        <v>0.38394415357766143</v>
      </c>
      <c r="AR221" s="70">
        <f t="shared" si="669"/>
        <v>7.3637773899554004E-2</v>
      </c>
      <c r="AS221" s="70">
        <f t="shared" si="669"/>
        <v>4.7653674617025403E-2</v>
      </c>
      <c r="AT221" s="70">
        <f t="shared" si="669"/>
        <v>6.464514252472367E-2</v>
      </c>
      <c r="AU221" s="70"/>
      <c r="AV221" s="70"/>
      <c r="AW221" s="81">
        <f t="shared" si="14"/>
        <v>4.5811518324607392E-2</v>
      </c>
      <c r="AX221" s="70">
        <f t="shared" ref="AX221:BG221" si="670">O221/$AI221</f>
        <v>0</v>
      </c>
      <c r="AY221" s="70">
        <f t="shared" si="670"/>
        <v>3.6794648051192556E-2</v>
      </c>
      <c r="AZ221" s="70">
        <f t="shared" si="670"/>
        <v>3.3692069032383171E-3</v>
      </c>
      <c r="BA221" s="70">
        <f t="shared" si="670"/>
        <v>0</v>
      </c>
      <c r="BB221" s="70">
        <f t="shared" si="670"/>
        <v>0</v>
      </c>
      <c r="BC221" s="70">
        <f t="shared" si="670"/>
        <v>0</v>
      </c>
      <c r="BD221" s="70">
        <f t="shared" si="670"/>
        <v>0</v>
      </c>
      <c r="BE221" s="70">
        <f t="shared" si="670"/>
        <v>0</v>
      </c>
      <c r="BF221" s="70">
        <f t="shared" si="670"/>
        <v>0</v>
      </c>
      <c r="BG221" s="70">
        <f t="shared" si="670"/>
        <v>0</v>
      </c>
      <c r="BH221" s="70">
        <f t="shared" si="16"/>
        <v>5.6476633701765186E-3</v>
      </c>
      <c r="BI221" s="62"/>
      <c r="BJ221" s="69">
        <v>0.40899999999999997</v>
      </c>
      <c r="BK221" s="69">
        <v>0.48899999999999999</v>
      </c>
      <c r="BL221" s="69">
        <v>0</v>
      </c>
      <c r="BM221" s="69">
        <v>8.5999999999999993E-2</v>
      </c>
      <c r="BN221" s="69">
        <v>1.6E-2</v>
      </c>
      <c r="BO221" s="69">
        <v>0</v>
      </c>
      <c r="BP221" s="69">
        <v>0</v>
      </c>
      <c r="BQ221" s="69">
        <v>0</v>
      </c>
      <c r="BR221" s="62"/>
      <c r="BS221" s="72">
        <f t="shared" ref="BS221:BW221" si="671">AP221-BJ221</f>
        <v>-2.4692262943571797E-2</v>
      </c>
      <c r="BT221" s="72">
        <f t="shared" si="671"/>
        <v>-0.10505584642233856</v>
      </c>
      <c r="BU221" s="72">
        <f t="shared" si="671"/>
        <v>7.3637773899554004E-2</v>
      </c>
      <c r="BV221" s="72">
        <f t="shared" si="671"/>
        <v>-3.834632538297459E-2</v>
      </c>
      <c r="BW221" s="72">
        <f t="shared" si="671"/>
        <v>4.864514252472367E-2</v>
      </c>
      <c r="BX221" s="72"/>
      <c r="BY221" s="72"/>
      <c r="BZ221" s="72">
        <f t="shared" si="18"/>
        <v>4.5811518324607392E-2</v>
      </c>
    </row>
    <row r="222" spans="1:78" ht="13.15">
      <c r="A222" s="73" t="s">
        <v>6</v>
      </c>
      <c r="B222" s="74" t="s">
        <v>487</v>
      </c>
      <c r="C222" s="75" t="s">
        <v>488</v>
      </c>
      <c r="D222" s="75" t="s">
        <v>44</v>
      </c>
      <c r="E222" s="76"/>
      <c r="F222" s="59"/>
      <c r="G222" s="60"/>
      <c r="H222" s="77">
        <v>3574</v>
      </c>
      <c r="I222" s="77">
        <v>17637</v>
      </c>
      <c r="J222" s="77">
        <v>5213</v>
      </c>
      <c r="K222" s="77">
        <v>23904</v>
      </c>
      <c r="L222" s="77">
        <v>2008</v>
      </c>
      <c r="M222" s="77"/>
      <c r="N222" s="77"/>
      <c r="O222" s="77"/>
      <c r="P222" s="77">
        <v>306</v>
      </c>
      <c r="Q222" s="77">
        <v>515</v>
      </c>
      <c r="R222" s="77"/>
      <c r="S222" s="77"/>
      <c r="T222" s="77"/>
      <c r="U222" s="77"/>
      <c r="V222" s="77"/>
      <c r="W222" s="77"/>
      <c r="X222" s="77"/>
      <c r="Y222" s="77"/>
      <c r="Z222" s="77"/>
      <c r="AA222" s="77"/>
      <c r="AB222" s="77"/>
      <c r="AC222" s="77"/>
      <c r="AD222" s="77"/>
      <c r="AE222" s="62"/>
      <c r="AF222" s="63" t="b">
        <v>0</v>
      </c>
      <c r="AG222" s="63" t="b">
        <v>0</v>
      </c>
      <c r="AH222" s="62"/>
      <c r="AI222" s="64">
        <f t="shared" si="7"/>
        <v>53157</v>
      </c>
      <c r="AJ222" s="65" t="str">
        <f t="shared" si="340"/>
        <v>LDM</v>
      </c>
      <c r="AK222" s="66" t="str">
        <f t="shared" si="9"/>
        <v>GAIN</v>
      </c>
      <c r="AL222" s="67" t="e">
        <f t="shared" ca="1" si="10"/>
        <v>#NAME?</v>
      </c>
      <c r="AM222" s="68">
        <f t="shared" si="637"/>
        <v>6267</v>
      </c>
      <c r="AN222" s="69">
        <f t="shared" si="638"/>
        <v>0.11789604379479657</v>
      </c>
      <c r="AO222" s="62"/>
      <c r="AP222" s="70">
        <f t="shared" ref="AP222:AT222" si="672">H222/$AI222</f>
        <v>6.7234795041104647E-2</v>
      </c>
      <c r="AQ222" s="70">
        <f t="shared" si="672"/>
        <v>0.33179073311134938</v>
      </c>
      <c r="AR222" s="70">
        <f t="shared" si="672"/>
        <v>9.8067987282954266E-2</v>
      </c>
      <c r="AS222" s="70">
        <f t="shared" si="672"/>
        <v>0.44968677690614595</v>
      </c>
      <c r="AT222" s="70">
        <f t="shared" si="672"/>
        <v>3.7774893240777319E-2</v>
      </c>
      <c r="AU222" s="70"/>
      <c r="AV222" s="70"/>
      <c r="AW222" s="81">
        <f t="shared" si="14"/>
        <v>1.5444814417668429E-2</v>
      </c>
      <c r="AX222" s="70">
        <f t="shared" ref="AX222:BG222" si="673">O222/$AI222</f>
        <v>0</v>
      </c>
      <c r="AY222" s="70">
        <f t="shared" si="673"/>
        <v>5.7565325356961454E-3</v>
      </c>
      <c r="AZ222" s="70">
        <f t="shared" si="673"/>
        <v>9.6882818819722712E-3</v>
      </c>
      <c r="BA222" s="70">
        <f t="shared" si="673"/>
        <v>0</v>
      </c>
      <c r="BB222" s="70">
        <f t="shared" si="673"/>
        <v>0</v>
      </c>
      <c r="BC222" s="70">
        <f t="shared" si="673"/>
        <v>0</v>
      </c>
      <c r="BD222" s="70">
        <f t="shared" si="673"/>
        <v>0</v>
      </c>
      <c r="BE222" s="70">
        <f t="shared" si="673"/>
        <v>0</v>
      </c>
      <c r="BF222" s="70">
        <f t="shared" si="673"/>
        <v>0</v>
      </c>
      <c r="BG222" s="70">
        <f t="shared" si="673"/>
        <v>0</v>
      </c>
      <c r="BH222" s="70">
        <f t="shared" si="16"/>
        <v>0</v>
      </c>
      <c r="BI222" s="62"/>
      <c r="BJ222" s="69">
        <v>8.8999999999999996E-2</v>
      </c>
      <c r="BK222" s="69">
        <v>0.54500000000000004</v>
      </c>
      <c r="BL222" s="69">
        <v>0</v>
      </c>
      <c r="BM222" s="69">
        <v>0.32400000000000001</v>
      </c>
      <c r="BN222" s="69">
        <v>4.2000000000000003E-2</v>
      </c>
      <c r="BO222" s="69">
        <v>0</v>
      </c>
      <c r="BP222" s="69">
        <v>0</v>
      </c>
      <c r="BQ222" s="69">
        <v>0</v>
      </c>
      <c r="BR222" s="62"/>
      <c r="BS222" s="72">
        <f t="shared" ref="BS222:BW222" si="674">AP222-BJ222</f>
        <v>-2.1765204958895348E-2</v>
      </c>
      <c r="BT222" s="72">
        <f t="shared" si="674"/>
        <v>-0.21320926688865066</v>
      </c>
      <c r="BU222" s="72">
        <f t="shared" si="674"/>
        <v>9.8067987282954266E-2</v>
      </c>
      <c r="BV222" s="72">
        <f t="shared" si="674"/>
        <v>0.12568677690614594</v>
      </c>
      <c r="BW222" s="72">
        <f t="shared" si="674"/>
        <v>-4.225106759222684E-3</v>
      </c>
      <c r="BX222" s="72"/>
      <c r="BY222" s="72"/>
      <c r="BZ222" s="72">
        <f t="shared" si="18"/>
        <v>1.5444814417668417E-2</v>
      </c>
    </row>
    <row r="223" spans="1:78" ht="13.15">
      <c r="A223" s="73" t="s">
        <v>6</v>
      </c>
      <c r="B223" s="74" t="s">
        <v>489</v>
      </c>
      <c r="C223" s="75" t="s">
        <v>490</v>
      </c>
      <c r="D223" s="75" t="s">
        <v>47</v>
      </c>
      <c r="E223" s="76"/>
      <c r="F223" s="59"/>
      <c r="G223" s="60"/>
      <c r="H223" s="77">
        <v>13592</v>
      </c>
      <c r="I223" s="77">
        <v>14871</v>
      </c>
      <c r="J223" s="77">
        <v>8395</v>
      </c>
      <c r="K223" s="77">
        <v>5325</v>
      </c>
      <c r="L223" s="77">
        <v>3175</v>
      </c>
      <c r="M223" s="77"/>
      <c r="N223" s="77"/>
      <c r="O223" s="77">
        <v>214</v>
      </c>
      <c r="P223" s="77"/>
      <c r="Q223" s="77"/>
      <c r="R223" s="77"/>
      <c r="S223" s="77"/>
      <c r="T223" s="77"/>
      <c r="U223" s="77"/>
      <c r="V223" s="77"/>
      <c r="W223" s="77"/>
      <c r="X223" s="77"/>
      <c r="Y223" s="77"/>
      <c r="Z223" s="77"/>
      <c r="AA223" s="77"/>
      <c r="AB223" s="77"/>
      <c r="AC223" s="77"/>
      <c r="AD223" s="77"/>
      <c r="AE223" s="62"/>
      <c r="AF223" s="63" t="b">
        <v>0</v>
      </c>
      <c r="AG223" s="63" t="b">
        <v>0</v>
      </c>
      <c r="AH223" s="62"/>
      <c r="AI223" s="64">
        <f t="shared" si="7"/>
        <v>45572</v>
      </c>
      <c r="AJ223" s="65" t="str">
        <f t="shared" si="340"/>
        <v>CON</v>
      </c>
      <c r="AK223" s="66" t="str">
        <f t="shared" si="9"/>
        <v>HOLD</v>
      </c>
      <c r="AL223" s="67" t="e">
        <f t="shared" ca="1" si="10"/>
        <v>#NAME?</v>
      </c>
      <c r="AM223" s="68">
        <f t="shared" si="637"/>
        <v>1279</v>
      </c>
      <c r="AN223" s="69">
        <f t="shared" si="638"/>
        <v>2.8065478802773658E-2</v>
      </c>
      <c r="AO223" s="62"/>
      <c r="AP223" s="70">
        <f t="shared" ref="AP223:AT223" si="675">H223/$AI223</f>
        <v>0.29825331343807598</v>
      </c>
      <c r="AQ223" s="70">
        <f t="shared" si="675"/>
        <v>0.32631879224084964</v>
      </c>
      <c r="AR223" s="70">
        <f t="shared" si="675"/>
        <v>0.18421399104713421</v>
      </c>
      <c r="AS223" s="70">
        <f t="shared" si="675"/>
        <v>0.11684806460107083</v>
      </c>
      <c r="AT223" s="70">
        <f t="shared" si="675"/>
        <v>6.9669972790309842E-2</v>
      </c>
      <c r="AU223" s="70"/>
      <c r="AV223" s="70"/>
      <c r="AW223" s="81">
        <f t="shared" si="14"/>
        <v>4.6958658825595467E-3</v>
      </c>
      <c r="AX223" s="70">
        <f t="shared" ref="AX223:BG223" si="676">O223/$AI223</f>
        <v>4.6958658825594661E-3</v>
      </c>
      <c r="AY223" s="70">
        <f t="shared" si="676"/>
        <v>0</v>
      </c>
      <c r="AZ223" s="70">
        <f t="shared" si="676"/>
        <v>0</v>
      </c>
      <c r="BA223" s="70">
        <f t="shared" si="676"/>
        <v>0</v>
      </c>
      <c r="BB223" s="70">
        <f t="shared" si="676"/>
        <v>0</v>
      </c>
      <c r="BC223" s="70">
        <f t="shared" si="676"/>
        <v>0</v>
      </c>
      <c r="BD223" s="70">
        <f t="shared" si="676"/>
        <v>0</v>
      </c>
      <c r="BE223" s="70">
        <f t="shared" si="676"/>
        <v>0</v>
      </c>
      <c r="BF223" s="70">
        <f t="shared" si="676"/>
        <v>0</v>
      </c>
      <c r="BG223" s="70">
        <f t="shared" si="676"/>
        <v>0</v>
      </c>
      <c r="BH223" s="70">
        <f t="shared" si="16"/>
        <v>8.066464163292153E-17</v>
      </c>
      <c r="BI223" s="62"/>
      <c r="BJ223" s="69">
        <v>0.19900000000000001</v>
      </c>
      <c r="BK223" s="69">
        <v>0.61699999999999999</v>
      </c>
      <c r="BL223" s="69">
        <v>0</v>
      </c>
      <c r="BM223" s="69">
        <v>0.13300000000000001</v>
      </c>
      <c r="BN223" s="69">
        <v>5.0999999999999997E-2</v>
      </c>
      <c r="BO223" s="69">
        <v>0</v>
      </c>
      <c r="BP223" s="69">
        <v>0</v>
      </c>
      <c r="BQ223" s="69">
        <v>0</v>
      </c>
      <c r="BR223" s="62"/>
      <c r="BS223" s="72">
        <f t="shared" ref="BS223:BW223" si="677">AP223-BJ223</f>
        <v>9.9253313438075974E-2</v>
      </c>
      <c r="BT223" s="72">
        <f t="shared" si="677"/>
        <v>-0.29068120775915035</v>
      </c>
      <c r="BU223" s="72">
        <f t="shared" si="677"/>
        <v>0.18421399104713421</v>
      </c>
      <c r="BV223" s="72">
        <f t="shared" si="677"/>
        <v>-1.6151935398929174E-2</v>
      </c>
      <c r="BW223" s="72">
        <f t="shared" si="677"/>
        <v>1.8669972790309845E-2</v>
      </c>
      <c r="BX223" s="72"/>
      <c r="BY223" s="72"/>
      <c r="BZ223" s="72">
        <f t="shared" si="18"/>
        <v>4.6958658825595467E-3</v>
      </c>
    </row>
    <row r="224" spans="1:78" ht="13.15">
      <c r="A224" s="73" t="s">
        <v>6</v>
      </c>
      <c r="B224" s="74" t="s">
        <v>491</v>
      </c>
      <c r="C224" s="75" t="s">
        <v>492</v>
      </c>
      <c r="D224" s="75" t="s">
        <v>44</v>
      </c>
      <c r="E224" s="76"/>
      <c r="F224" s="59"/>
      <c r="G224" s="60"/>
      <c r="H224" s="77">
        <v>14744</v>
      </c>
      <c r="I224" s="77">
        <v>17243</v>
      </c>
      <c r="J224" s="77">
        <v>10602</v>
      </c>
      <c r="K224" s="77">
        <v>2709</v>
      </c>
      <c r="L224" s="77">
        <v>3529</v>
      </c>
      <c r="M224" s="77"/>
      <c r="N224" s="77"/>
      <c r="O224" s="77"/>
      <c r="P224" s="77"/>
      <c r="Q224" s="77"/>
      <c r="R224" s="77"/>
      <c r="S224" s="77"/>
      <c r="T224" s="77"/>
      <c r="U224" s="77"/>
      <c r="V224" s="77"/>
      <c r="W224" s="77"/>
      <c r="X224" s="77"/>
      <c r="Y224" s="77"/>
      <c r="Z224" s="77"/>
      <c r="AA224" s="77"/>
      <c r="AB224" s="77"/>
      <c r="AC224" s="77"/>
      <c r="AD224" s="77"/>
      <c r="AE224" s="62"/>
      <c r="AF224" s="63" t="b">
        <v>0</v>
      </c>
      <c r="AG224" s="63" t="b">
        <v>0</v>
      </c>
      <c r="AH224" s="62"/>
      <c r="AI224" s="64">
        <f t="shared" si="7"/>
        <v>48827</v>
      </c>
      <c r="AJ224" s="65" t="str">
        <f t="shared" si="340"/>
        <v>CON</v>
      </c>
      <c r="AK224" s="66" t="str">
        <f t="shared" si="9"/>
        <v>HOLD</v>
      </c>
      <c r="AL224" s="67" t="e">
        <f t="shared" ca="1" si="10"/>
        <v>#NAME?</v>
      </c>
      <c r="AM224" s="68">
        <f t="shared" si="637"/>
        <v>2499</v>
      </c>
      <c r="AN224" s="69">
        <f t="shared" si="638"/>
        <v>5.1180699203309643E-2</v>
      </c>
      <c r="AO224" s="62"/>
      <c r="AP224" s="70">
        <f t="shared" ref="AP224:AT224" si="678">H224/$AI224</f>
        <v>0.30196407725233987</v>
      </c>
      <c r="AQ224" s="70">
        <f t="shared" si="678"/>
        <v>0.35314477645564951</v>
      </c>
      <c r="AR224" s="70">
        <f t="shared" si="678"/>
        <v>0.21713396276650215</v>
      </c>
      <c r="AS224" s="70">
        <f t="shared" si="678"/>
        <v>5.5481598296024739E-2</v>
      </c>
      <c r="AT224" s="70">
        <f t="shared" si="678"/>
        <v>7.2275585229483685E-2</v>
      </c>
      <c r="AU224" s="70"/>
      <c r="AV224" s="70"/>
      <c r="AW224" s="81">
        <f t="shared" si="14"/>
        <v>0</v>
      </c>
      <c r="AX224" s="70">
        <f t="shared" ref="AX224:BG224" si="679">O224/$AI224</f>
        <v>0</v>
      </c>
      <c r="AY224" s="70">
        <f t="shared" si="679"/>
        <v>0</v>
      </c>
      <c r="AZ224" s="70">
        <f t="shared" si="679"/>
        <v>0</v>
      </c>
      <c r="BA224" s="70">
        <f t="shared" si="679"/>
        <v>0</v>
      </c>
      <c r="BB224" s="70">
        <f t="shared" si="679"/>
        <v>0</v>
      </c>
      <c r="BC224" s="70">
        <f t="shared" si="679"/>
        <v>0</v>
      </c>
      <c r="BD224" s="70">
        <f t="shared" si="679"/>
        <v>0</v>
      </c>
      <c r="BE224" s="70">
        <f t="shared" si="679"/>
        <v>0</v>
      </c>
      <c r="BF224" s="70">
        <f t="shared" si="679"/>
        <v>0</v>
      </c>
      <c r="BG224" s="70">
        <f t="shared" si="679"/>
        <v>0</v>
      </c>
      <c r="BH224" s="70">
        <f t="shared" si="16"/>
        <v>0</v>
      </c>
      <c r="BI224" s="62"/>
      <c r="BJ224" s="69">
        <v>0.24399999999999999</v>
      </c>
      <c r="BK224" s="69">
        <v>0.64400000000000002</v>
      </c>
      <c r="BL224" s="69">
        <v>0</v>
      </c>
      <c r="BM224" s="69">
        <v>7.4999999999999997E-2</v>
      </c>
      <c r="BN224" s="69">
        <v>3.7999999999999999E-2</v>
      </c>
      <c r="BO224" s="69">
        <v>0</v>
      </c>
      <c r="BP224" s="69">
        <v>0</v>
      </c>
      <c r="BQ224" s="69">
        <v>0</v>
      </c>
      <c r="BR224" s="62"/>
      <c r="BS224" s="72">
        <f t="shared" ref="BS224:BW224" si="680">AP224-BJ224</f>
        <v>5.7964077252339874E-2</v>
      </c>
      <c r="BT224" s="72">
        <f t="shared" si="680"/>
        <v>-0.29085522354435051</v>
      </c>
      <c r="BU224" s="72">
        <f t="shared" si="680"/>
        <v>0.21713396276650215</v>
      </c>
      <c r="BV224" s="72">
        <f t="shared" si="680"/>
        <v>-1.9518401703975258E-2</v>
      </c>
      <c r="BW224" s="72">
        <f t="shared" si="680"/>
        <v>3.4275585229483686E-2</v>
      </c>
      <c r="BX224" s="72"/>
      <c r="BY224" s="72"/>
      <c r="BZ224" s="72">
        <f t="shared" si="18"/>
        <v>0</v>
      </c>
    </row>
    <row r="225" spans="1:78" ht="13.15">
      <c r="A225" s="73" t="s">
        <v>6</v>
      </c>
      <c r="B225" s="74" t="s">
        <v>493</v>
      </c>
      <c r="C225" s="75" t="s">
        <v>494</v>
      </c>
      <c r="D225" s="75" t="s">
        <v>78</v>
      </c>
      <c r="E225" s="76"/>
      <c r="F225" s="59"/>
      <c r="G225" s="60"/>
      <c r="H225" s="77">
        <v>20808</v>
      </c>
      <c r="I225" s="77">
        <v>16060</v>
      </c>
      <c r="J225" s="77">
        <v>8325</v>
      </c>
      <c r="K225" s="77">
        <v>4167</v>
      </c>
      <c r="L225" s="77">
        <v>4373</v>
      </c>
      <c r="M225" s="77"/>
      <c r="N225" s="77"/>
      <c r="O225" s="77"/>
      <c r="P225" s="77"/>
      <c r="Q225" s="77"/>
      <c r="R225" s="77"/>
      <c r="S225" s="77"/>
      <c r="T225" s="77"/>
      <c r="U225" s="77"/>
      <c r="V225" s="77"/>
      <c r="W225" s="77"/>
      <c r="X225" s="77"/>
      <c r="Y225" s="77">
        <v>139</v>
      </c>
      <c r="Z225" s="77">
        <v>137</v>
      </c>
      <c r="AA225" s="77"/>
      <c r="AB225" s="77"/>
      <c r="AC225" s="77"/>
      <c r="AD225" s="77"/>
      <c r="AE225" s="62"/>
      <c r="AF225" s="63" t="b">
        <v>0</v>
      </c>
      <c r="AG225" s="63" t="b">
        <v>0</v>
      </c>
      <c r="AH225" s="62"/>
      <c r="AI225" s="64">
        <f t="shared" si="7"/>
        <v>54009</v>
      </c>
      <c r="AJ225" s="65" t="str">
        <f t="shared" si="340"/>
        <v>LAB</v>
      </c>
      <c r="AK225" s="66" t="str">
        <f t="shared" si="9"/>
        <v>GAIN</v>
      </c>
      <c r="AL225" s="67" t="e">
        <f t="shared" ca="1" si="10"/>
        <v>#NAME?</v>
      </c>
      <c r="AM225" s="68">
        <f t="shared" si="637"/>
        <v>4748</v>
      </c>
      <c r="AN225" s="69">
        <f t="shared" si="638"/>
        <v>8.7911274046918064E-2</v>
      </c>
      <c r="AO225" s="62"/>
      <c r="AP225" s="70">
        <f t="shared" ref="AP225:AT225" si="681">H225/$AI225</f>
        <v>0.38526912181303113</v>
      </c>
      <c r="AQ225" s="70">
        <f t="shared" si="681"/>
        <v>0.29735784776611307</v>
      </c>
      <c r="AR225" s="70">
        <f t="shared" si="681"/>
        <v>0.15414097650391601</v>
      </c>
      <c r="AS225" s="70">
        <f t="shared" si="681"/>
        <v>7.7153807698716881E-2</v>
      </c>
      <c r="AT225" s="70">
        <f t="shared" si="681"/>
        <v>8.0967986817011978E-2</v>
      </c>
      <c r="AU225" s="70"/>
      <c r="AV225" s="70"/>
      <c r="AW225" s="81">
        <f t="shared" si="14"/>
        <v>5.1102594012107927E-3</v>
      </c>
      <c r="AX225" s="70">
        <f t="shared" ref="AX225:BG225" si="682">O225/$AI225</f>
        <v>0</v>
      </c>
      <c r="AY225" s="70">
        <f t="shared" si="682"/>
        <v>0</v>
      </c>
      <c r="AZ225" s="70">
        <f t="shared" si="682"/>
        <v>0</v>
      </c>
      <c r="BA225" s="70">
        <f t="shared" si="682"/>
        <v>0</v>
      </c>
      <c r="BB225" s="70">
        <f t="shared" si="682"/>
        <v>0</v>
      </c>
      <c r="BC225" s="70">
        <f t="shared" si="682"/>
        <v>0</v>
      </c>
      <c r="BD225" s="70">
        <f t="shared" si="682"/>
        <v>0</v>
      </c>
      <c r="BE225" s="70">
        <f t="shared" si="682"/>
        <v>0</v>
      </c>
      <c r="BF225" s="70">
        <f t="shared" si="682"/>
        <v>0</v>
      </c>
      <c r="BG225" s="70">
        <f t="shared" si="682"/>
        <v>0</v>
      </c>
      <c r="BH225" s="70">
        <f t="shared" si="16"/>
        <v>5.1102594012107927E-3</v>
      </c>
      <c r="BI225" s="62"/>
      <c r="BJ225" s="69">
        <v>0.23699999999999999</v>
      </c>
      <c r="BK225" s="69">
        <v>0.55700000000000005</v>
      </c>
      <c r="BL225" s="69">
        <v>0</v>
      </c>
      <c r="BM225" s="69">
        <v>0.14199999999999999</v>
      </c>
      <c r="BN225" s="69">
        <v>4.7E-2</v>
      </c>
      <c r="BO225" s="69">
        <v>0</v>
      </c>
      <c r="BP225" s="69">
        <v>0</v>
      </c>
      <c r="BQ225" s="69">
        <v>1.7999999999999999E-2</v>
      </c>
      <c r="BR225" s="62"/>
      <c r="BS225" s="72">
        <f t="shared" ref="BS225:BW225" si="683">AP225-BJ225</f>
        <v>0.14826912181303115</v>
      </c>
      <c r="BT225" s="72">
        <f t="shared" si="683"/>
        <v>-0.25964215223388698</v>
      </c>
      <c r="BU225" s="72">
        <f t="shared" si="683"/>
        <v>0.15414097650391601</v>
      </c>
      <c r="BV225" s="72">
        <f t="shared" si="683"/>
        <v>-6.4846192301283107E-2</v>
      </c>
      <c r="BW225" s="72">
        <f t="shared" si="683"/>
        <v>3.3967986817011978E-2</v>
      </c>
      <c r="BX225" s="72"/>
      <c r="BY225" s="72"/>
      <c r="BZ225" s="72">
        <f t="shared" si="18"/>
        <v>-1.2889740598789206E-2</v>
      </c>
    </row>
    <row r="226" spans="1:78" ht="13.15">
      <c r="A226" s="73" t="s">
        <v>6</v>
      </c>
      <c r="B226" s="74" t="s">
        <v>495</v>
      </c>
      <c r="C226" s="75" t="s">
        <v>496</v>
      </c>
      <c r="D226" s="75" t="s">
        <v>78</v>
      </c>
      <c r="E226" s="76"/>
      <c r="F226" s="59"/>
      <c r="G226" s="60"/>
      <c r="H226" s="77">
        <v>13459</v>
      </c>
      <c r="I226" s="77">
        <v>21451</v>
      </c>
      <c r="J226" s="77">
        <v>6584</v>
      </c>
      <c r="K226" s="77">
        <v>3710</v>
      </c>
      <c r="L226" s="77">
        <v>2267</v>
      </c>
      <c r="M226" s="77"/>
      <c r="N226" s="77"/>
      <c r="O226" s="77">
        <v>536</v>
      </c>
      <c r="P226" s="77"/>
      <c r="Q226" s="77"/>
      <c r="R226" s="77"/>
      <c r="S226" s="77"/>
      <c r="T226" s="77"/>
      <c r="U226" s="77"/>
      <c r="V226" s="77"/>
      <c r="W226" s="77"/>
      <c r="X226" s="77"/>
      <c r="Y226" s="77"/>
      <c r="Z226" s="77"/>
      <c r="AA226" s="77"/>
      <c r="AB226" s="77"/>
      <c r="AC226" s="77"/>
      <c r="AD226" s="77"/>
      <c r="AE226" s="62"/>
      <c r="AF226" s="63" t="b">
        <v>0</v>
      </c>
      <c r="AG226" s="63" t="b">
        <v>0</v>
      </c>
      <c r="AH226" s="62"/>
      <c r="AI226" s="64">
        <f t="shared" si="7"/>
        <v>48007</v>
      </c>
      <c r="AJ226" s="65" t="str">
        <f t="shared" si="340"/>
        <v>CON</v>
      </c>
      <c r="AK226" s="66" t="str">
        <f t="shared" si="9"/>
        <v>HOLD</v>
      </c>
      <c r="AL226" s="67" t="e">
        <f t="shared" ca="1" si="10"/>
        <v>#NAME?</v>
      </c>
      <c r="AM226" s="68">
        <f t="shared" si="637"/>
        <v>7992</v>
      </c>
      <c r="AN226" s="69">
        <f t="shared" si="638"/>
        <v>0.16647572229049928</v>
      </c>
      <c r="AO226" s="62"/>
      <c r="AP226" s="70">
        <f t="shared" ref="AP226:AT226" si="684">H226/$AI226</f>
        <v>0.28035494823671547</v>
      </c>
      <c r="AQ226" s="70">
        <f t="shared" si="684"/>
        <v>0.44683067052721476</v>
      </c>
      <c r="AR226" s="70">
        <f t="shared" si="684"/>
        <v>0.13714666611119211</v>
      </c>
      <c r="AS226" s="70">
        <f t="shared" si="684"/>
        <v>7.7280396608827878E-2</v>
      </c>
      <c r="AT226" s="70">
        <f t="shared" si="684"/>
        <v>4.7222280084154397E-2</v>
      </c>
      <c r="AU226" s="70"/>
      <c r="AV226" s="70"/>
      <c r="AW226" s="81">
        <f t="shared" si="14"/>
        <v>1.1165038431895313E-2</v>
      </c>
      <c r="AX226" s="70">
        <f t="shared" ref="AX226:BG226" si="685">O226/$AI226</f>
        <v>1.1165038431895348E-2</v>
      </c>
      <c r="AY226" s="70">
        <f t="shared" si="685"/>
        <v>0</v>
      </c>
      <c r="AZ226" s="70">
        <f t="shared" si="685"/>
        <v>0</v>
      </c>
      <c r="BA226" s="70">
        <f t="shared" si="685"/>
        <v>0</v>
      </c>
      <c r="BB226" s="70">
        <f t="shared" si="685"/>
        <v>0</v>
      </c>
      <c r="BC226" s="70">
        <f t="shared" si="685"/>
        <v>0</v>
      </c>
      <c r="BD226" s="70">
        <f t="shared" si="685"/>
        <v>0</v>
      </c>
      <c r="BE226" s="70">
        <f t="shared" si="685"/>
        <v>0</v>
      </c>
      <c r="BF226" s="70">
        <f t="shared" si="685"/>
        <v>0</v>
      </c>
      <c r="BG226" s="70">
        <f t="shared" si="685"/>
        <v>0</v>
      </c>
      <c r="BH226" s="70">
        <f t="shared" si="16"/>
        <v>-3.4694469519536142E-17</v>
      </c>
      <c r="BI226" s="62"/>
      <c r="BJ226" s="69">
        <v>0.21099999999999999</v>
      </c>
      <c r="BK226" s="69">
        <v>0.64900000000000002</v>
      </c>
      <c r="BL226" s="69">
        <v>0</v>
      </c>
      <c r="BM226" s="69">
        <v>0.109</v>
      </c>
      <c r="BN226" s="69">
        <v>3.1E-2</v>
      </c>
      <c r="BO226" s="69">
        <v>0</v>
      </c>
      <c r="BP226" s="69">
        <v>0</v>
      </c>
      <c r="BQ226" s="69">
        <v>0</v>
      </c>
      <c r="BR226" s="62"/>
      <c r="BS226" s="72">
        <f t="shared" ref="BS226:BW226" si="686">AP226-BJ226</f>
        <v>6.935494823671548E-2</v>
      </c>
      <c r="BT226" s="72">
        <f t="shared" si="686"/>
        <v>-0.20216932947278526</v>
      </c>
      <c r="BU226" s="72">
        <f t="shared" si="686"/>
        <v>0.13714666611119211</v>
      </c>
      <c r="BV226" s="72">
        <f t="shared" si="686"/>
        <v>-3.1719603391172121E-2</v>
      </c>
      <c r="BW226" s="72">
        <f t="shared" si="686"/>
        <v>1.6222280084154397E-2</v>
      </c>
      <c r="BX226" s="72"/>
      <c r="BY226" s="72"/>
      <c r="BZ226" s="72">
        <f t="shared" si="18"/>
        <v>1.1165038431895313E-2</v>
      </c>
    </row>
    <row r="227" spans="1:78" ht="13.15">
      <c r="A227" s="73" t="s">
        <v>6</v>
      </c>
      <c r="B227" s="74" t="s">
        <v>497</v>
      </c>
      <c r="C227" s="75" t="s">
        <v>498</v>
      </c>
      <c r="D227" s="75" t="s">
        <v>129</v>
      </c>
      <c r="E227" s="76"/>
      <c r="F227" s="59"/>
      <c r="G227" s="60"/>
      <c r="H227" s="77">
        <v>23988</v>
      </c>
      <c r="I227" s="77">
        <v>20978</v>
      </c>
      <c r="J227" s="77"/>
      <c r="K227" s="77">
        <v>2376</v>
      </c>
      <c r="L227" s="77">
        <v>2467</v>
      </c>
      <c r="M227" s="77"/>
      <c r="N227" s="77"/>
      <c r="O227" s="77">
        <v>1511</v>
      </c>
      <c r="P227" s="77"/>
      <c r="Q227" s="77">
        <v>1211</v>
      </c>
      <c r="R227" s="77"/>
      <c r="S227" s="77"/>
      <c r="T227" s="77"/>
      <c r="U227" s="77"/>
      <c r="V227" s="77"/>
      <c r="W227" s="77"/>
      <c r="X227" s="77"/>
      <c r="Y227" s="77"/>
      <c r="Z227" s="77"/>
      <c r="AA227" s="77"/>
      <c r="AB227" s="77"/>
      <c r="AC227" s="77"/>
      <c r="AD227" s="77"/>
      <c r="AE227" s="62"/>
      <c r="AF227" s="63" t="b">
        <v>0</v>
      </c>
      <c r="AG227" s="63" t="b">
        <v>0</v>
      </c>
      <c r="AH227" s="62"/>
      <c r="AI227" s="64">
        <f t="shared" si="7"/>
        <v>52531</v>
      </c>
      <c r="AJ227" s="65" t="str">
        <f t="shared" si="340"/>
        <v>LAB</v>
      </c>
      <c r="AK227" s="66" t="str">
        <f t="shared" si="9"/>
        <v>GAIN</v>
      </c>
      <c r="AL227" s="67" t="e">
        <f t="shared" ca="1" si="10"/>
        <v>#NAME?</v>
      </c>
      <c r="AM227" s="68">
        <f t="shared" si="637"/>
        <v>3010</v>
      </c>
      <c r="AN227" s="69">
        <f t="shared" si="638"/>
        <v>5.7299499343244964E-2</v>
      </c>
      <c r="AO227" s="62"/>
      <c r="AP227" s="70">
        <f t="shared" ref="AP227:AT227" si="687">H227/$AI227</f>
        <v>0.45664464792217929</v>
      </c>
      <c r="AQ227" s="70">
        <f t="shared" si="687"/>
        <v>0.39934514857893433</v>
      </c>
      <c r="AR227" s="70">
        <f t="shared" si="687"/>
        <v>0</v>
      </c>
      <c r="AS227" s="70">
        <f t="shared" si="687"/>
        <v>4.523043536197674E-2</v>
      </c>
      <c r="AT227" s="70">
        <f t="shared" si="687"/>
        <v>4.6962745807237631E-2</v>
      </c>
      <c r="AU227" s="70"/>
      <c r="AV227" s="70"/>
      <c r="AW227" s="81">
        <f t="shared" si="14"/>
        <v>5.1817022329672002E-2</v>
      </c>
      <c r="AX227" s="70">
        <f t="shared" ref="AX227:BG227" si="688">O227/$AI227</f>
        <v>2.8763967942738573E-2</v>
      </c>
      <c r="AY227" s="70">
        <f t="shared" si="688"/>
        <v>0</v>
      </c>
      <c r="AZ227" s="70">
        <f t="shared" si="688"/>
        <v>2.305305438693343E-2</v>
      </c>
      <c r="BA227" s="70">
        <f t="shared" si="688"/>
        <v>0</v>
      </c>
      <c r="BB227" s="70">
        <f t="shared" si="688"/>
        <v>0</v>
      </c>
      <c r="BC227" s="70">
        <f t="shared" si="688"/>
        <v>0</v>
      </c>
      <c r="BD227" s="70">
        <f t="shared" si="688"/>
        <v>0</v>
      </c>
      <c r="BE227" s="70">
        <f t="shared" si="688"/>
        <v>0</v>
      </c>
      <c r="BF227" s="70">
        <f t="shared" si="688"/>
        <v>0</v>
      </c>
      <c r="BG227" s="70">
        <f t="shared" si="688"/>
        <v>0</v>
      </c>
      <c r="BH227" s="70">
        <f t="shared" si="16"/>
        <v>0</v>
      </c>
      <c r="BI227" s="62"/>
      <c r="BJ227" s="69">
        <v>0.318</v>
      </c>
      <c r="BK227" s="69">
        <v>0.54300000000000004</v>
      </c>
      <c r="BL227" s="69">
        <v>8.9999999999999993E-3</v>
      </c>
      <c r="BM227" s="69">
        <v>9.4E-2</v>
      </c>
      <c r="BN227" s="69">
        <v>3.5999999999999997E-2</v>
      </c>
      <c r="BO227" s="69">
        <v>0</v>
      </c>
      <c r="BP227" s="69">
        <v>0</v>
      </c>
      <c r="BQ227" s="69">
        <v>0</v>
      </c>
      <c r="BR227" s="62"/>
      <c r="BS227" s="72">
        <f t="shared" ref="BS227:BW227" si="689">AP227-BJ227</f>
        <v>0.13864464792217929</v>
      </c>
      <c r="BT227" s="72">
        <f t="shared" si="689"/>
        <v>-0.14365485142106571</v>
      </c>
      <c r="BU227" s="72">
        <f t="shared" si="689"/>
        <v>-8.9999999999999993E-3</v>
      </c>
      <c r="BV227" s="72">
        <f t="shared" si="689"/>
        <v>-4.8769564638023261E-2</v>
      </c>
      <c r="BW227" s="72">
        <f t="shared" si="689"/>
        <v>1.0962745807237634E-2</v>
      </c>
      <c r="BX227" s="72"/>
      <c r="BY227" s="72"/>
      <c r="BZ227" s="72">
        <f t="shared" si="18"/>
        <v>5.1817022329672002E-2</v>
      </c>
    </row>
    <row r="228" spans="1:78" ht="13.15">
      <c r="A228" s="78" t="s">
        <v>5</v>
      </c>
      <c r="B228" s="74" t="s">
        <v>499</v>
      </c>
      <c r="C228" s="75" t="s">
        <v>500</v>
      </c>
      <c r="D228" s="75" t="s">
        <v>50</v>
      </c>
      <c r="E228" s="76"/>
      <c r="F228" s="59"/>
      <c r="G228" s="60"/>
      <c r="H228" s="77">
        <v>15069</v>
      </c>
      <c r="I228" s="77">
        <v>6423</v>
      </c>
      <c r="J228" s="77">
        <v>8987</v>
      </c>
      <c r="K228" s="77">
        <v>2302</v>
      </c>
      <c r="L228" s="77"/>
      <c r="M228" s="77"/>
      <c r="N228" s="77"/>
      <c r="O228" s="77">
        <v>4349</v>
      </c>
      <c r="P228" s="77"/>
      <c r="Q228" s="77"/>
      <c r="R228" s="77"/>
      <c r="S228" s="77"/>
      <c r="T228" s="77"/>
      <c r="U228" s="77"/>
      <c r="V228" s="77"/>
      <c r="W228" s="77"/>
      <c r="X228" s="77"/>
      <c r="Y228" s="77"/>
      <c r="Z228" s="77"/>
      <c r="AA228" s="77"/>
      <c r="AB228" s="77"/>
      <c r="AC228" s="77"/>
      <c r="AD228" s="77"/>
      <c r="AE228" s="62"/>
      <c r="AF228" s="63" t="b">
        <v>0</v>
      </c>
      <c r="AG228" s="63" t="b">
        <v>0</v>
      </c>
      <c r="AH228" s="62"/>
      <c r="AI228" s="64">
        <f t="shared" si="7"/>
        <v>37130</v>
      </c>
      <c r="AJ228" s="65" t="str">
        <f t="shared" si="340"/>
        <v>LAB</v>
      </c>
      <c r="AK228" s="66" t="str">
        <f t="shared" si="9"/>
        <v>HOLD</v>
      </c>
      <c r="AL228" s="67" t="e">
        <f t="shared" ca="1" si="10"/>
        <v>#NAME?</v>
      </c>
      <c r="AM228" s="68">
        <f t="shared" si="637"/>
        <v>6082</v>
      </c>
      <c r="AN228" s="69">
        <f t="shared" si="638"/>
        <v>0.16380285483436574</v>
      </c>
      <c r="AO228" s="62"/>
      <c r="AP228" s="70">
        <f t="shared" ref="AP228:AT228" si="690">H228/$AI228</f>
        <v>0.40584433072986803</v>
      </c>
      <c r="AQ228" s="70">
        <f t="shared" si="690"/>
        <v>0.17298680312415837</v>
      </c>
      <c r="AR228" s="70">
        <f t="shared" si="690"/>
        <v>0.24204147589550229</v>
      </c>
      <c r="AS228" s="70">
        <f t="shared" si="690"/>
        <v>6.1998384056019394E-2</v>
      </c>
      <c r="AT228" s="70">
        <f t="shared" si="690"/>
        <v>0</v>
      </c>
      <c r="AU228" s="70"/>
      <c r="AV228" s="70"/>
      <c r="AW228" s="81">
        <f t="shared" si="14"/>
        <v>0.11712900619445188</v>
      </c>
      <c r="AX228" s="70">
        <f t="shared" ref="AX228:BG228" si="691">O228/$AI228</f>
        <v>0.11712900619445192</v>
      </c>
      <c r="AY228" s="70">
        <f t="shared" si="691"/>
        <v>0</v>
      </c>
      <c r="AZ228" s="70">
        <f t="shared" si="691"/>
        <v>0</v>
      </c>
      <c r="BA228" s="70">
        <f t="shared" si="691"/>
        <v>0</v>
      </c>
      <c r="BB228" s="70">
        <f t="shared" si="691"/>
        <v>0</v>
      </c>
      <c r="BC228" s="70">
        <f t="shared" si="691"/>
        <v>0</v>
      </c>
      <c r="BD228" s="70">
        <f t="shared" si="691"/>
        <v>0</v>
      </c>
      <c r="BE228" s="70">
        <f t="shared" si="691"/>
        <v>0</v>
      </c>
      <c r="BF228" s="70">
        <f t="shared" si="691"/>
        <v>0</v>
      </c>
      <c r="BG228" s="70">
        <f t="shared" si="691"/>
        <v>0</v>
      </c>
      <c r="BH228" s="70">
        <f t="shared" si="16"/>
        <v>0</v>
      </c>
      <c r="BI228" s="62"/>
      <c r="BJ228" s="69">
        <v>0.43099999999999999</v>
      </c>
      <c r="BK228" s="69">
        <v>0.41499999999999998</v>
      </c>
      <c r="BL228" s="69">
        <v>8.4000000000000005E-2</v>
      </c>
      <c r="BM228" s="69">
        <v>4.2000000000000003E-2</v>
      </c>
      <c r="BN228" s="69">
        <v>2.8000000000000001E-2</v>
      </c>
      <c r="BO228" s="69">
        <v>0</v>
      </c>
      <c r="BP228" s="69">
        <v>0</v>
      </c>
      <c r="BQ228" s="69">
        <v>0</v>
      </c>
      <c r="BR228" s="62"/>
      <c r="BS228" s="72">
        <f t="shared" ref="BS228:BW228" si="692">AP228-BJ228</f>
        <v>-2.5155669270131964E-2</v>
      </c>
      <c r="BT228" s="72">
        <f t="shared" si="692"/>
        <v>-0.24201319687584161</v>
      </c>
      <c r="BU228" s="72">
        <f t="shared" si="692"/>
        <v>0.15804147589550227</v>
      </c>
      <c r="BV228" s="72">
        <f t="shared" si="692"/>
        <v>1.9998384056019392E-2</v>
      </c>
      <c r="BW228" s="72">
        <f t="shared" si="692"/>
        <v>-2.8000000000000001E-2</v>
      </c>
      <c r="BX228" s="72"/>
      <c r="BY228" s="72"/>
      <c r="BZ228" s="72">
        <f t="shared" si="18"/>
        <v>0.11712900619445192</v>
      </c>
    </row>
    <row r="229" spans="1:78" ht="13.15">
      <c r="A229" s="73" t="s">
        <v>6</v>
      </c>
      <c r="B229" s="74" t="s">
        <v>501</v>
      </c>
      <c r="C229" s="75" t="s">
        <v>502</v>
      </c>
      <c r="D229" s="75" t="s">
        <v>53</v>
      </c>
      <c r="E229" s="76"/>
      <c r="F229" s="59"/>
      <c r="G229" s="60"/>
      <c r="H229" s="77">
        <v>22533</v>
      </c>
      <c r="I229" s="77">
        <v>14625</v>
      </c>
      <c r="J229" s="77">
        <v>6959</v>
      </c>
      <c r="K229" s="77">
        <v>1707</v>
      </c>
      <c r="L229" s="77">
        <v>3382</v>
      </c>
      <c r="M229" s="77"/>
      <c r="N229" s="77"/>
      <c r="O229" s="77"/>
      <c r="P229" s="77"/>
      <c r="Q229" s="77"/>
      <c r="R229" s="77"/>
      <c r="S229" s="77"/>
      <c r="T229" s="77"/>
      <c r="U229" s="77"/>
      <c r="V229" s="77"/>
      <c r="W229" s="77"/>
      <c r="X229" s="77"/>
      <c r="Y229" s="77"/>
      <c r="Z229" s="77"/>
      <c r="AA229" s="77"/>
      <c r="AB229" s="77"/>
      <c r="AC229" s="77"/>
      <c r="AD229" s="77"/>
      <c r="AE229" s="62"/>
      <c r="AF229" s="63" t="b">
        <v>0</v>
      </c>
      <c r="AG229" s="63" t="b">
        <v>0</v>
      </c>
      <c r="AH229" s="62"/>
      <c r="AI229" s="64">
        <f t="shared" si="7"/>
        <v>49206</v>
      </c>
      <c r="AJ229" s="65" t="str">
        <f t="shared" si="340"/>
        <v>LAB</v>
      </c>
      <c r="AK229" s="66" t="str">
        <f t="shared" si="9"/>
        <v>GAIN</v>
      </c>
      <c r="AL229" s="67" t="e">
        <f t="shared" ca="1" si="10"/>
        <v>#NAME?</v>
      </c>
      <c r="AM229" s="68">
        <f t="shared" si="637"/>
        <v>7908</v>
      </c>
      <c r="AN229" s="69">
        <f t="shared" si="638"/>
        <v>0.16071210827947813</v>
      </c>
      <c r="AO229" s="62"/>
      <c r="AP229" s="70">
        <f t="shared" ref="AP229:AT229" si="693">H229/$AI229</f>
        <v>0.45793195951713206</v>
      </c>
      <c r="AQ229" s="70">
        <f t="shared" si="693"/>
        <v>0.29721985123765393</v>
      </c>
      <c r="AR229" s="70">
        <f t="shared" si="693"/>
        <v>0.14142584237694589</v>
      </c>
      <c r="AS229" s="70">
        <f t="shared" si="693"/>
        <v>3.4690891354712837E-2</v>
      </c>
      <c r="AT229" s="70">
        <f t="shared" si="693"/>
        <v>6.8731455513555251E-2</v>
      </c>
      <c r="AU229" s="70"/>
      <c r="AV229" s="70"/>
      <c r="AW229" s="81">
        <f t="shared" si="14"/>
        <v>0</v>
      </c>
      <c r="AX229" s="70">
        <f t="shared" ref="AX229:BG229" si="694">O229/$AI229</f>
        <v>0</v>
      </c>
      <c r="AY229" s="70">
        <f t="shared" si="694"/>
        <v>0</v>
      </c>
      <c r="AZ229" s="70">
        <f t="shared" si="694"/>
        <v>0</v>
      </c>
      <c r="BA229" s="70">
        <f t="shared" si="694"/>
        <v>0</v>
      </c>
      <c r="BB229" s="70">
        <f t="shared" si="694"/>
        <v>0</v>
      </c>
      <c r="BC229" s="70">
        <f t="shared" si="694"/>
        <v>0</v>
      </c>
      <c r="BD229" s="70">
        <f t="shared" si="694"/>
        <v>0</v>
      </c>
      <c r="BE229" s="70">
        <f t="shared" si="694"/>
        <v>0</v>
      </c>
      <c r="BF229" s="70">
        <f t="shared" si="694"/>
        <v>0</v>
      </c>
      <c r="BG229" s="70">
        <f t="shared" si="694"/>
        <v>0</v>
      </c>
      <c r="BH229" s="70">
        <f t="shared" si="16"/>
        <v>0</v>
      </c>
      <c r="BI229" s="62"/>
      <c r="BJ229" s="69">
        <v>0.44800000000000001</v>
      </c>
      <c r="BK229" s="69">
        <v>0.45900000000000002</v>
      </c>
      <c r="BL229" s="69">
        <v>2.1999999999999999E-2</v>
      </c>
      <c r="BM229" s="69">
        <v>5.0999999999999997E-2</v>
      </c>
      <c r="BN229" s="69">
        <v>2.1000000000000001E-2</v>
      </c>
      <c r="BO229" s="69">
        <v>0</v>
      </c>
      <c r="BP229" s="69">
        <v>0</v>
      </c>
      <c r="BQ229" s="69">
        <v>0</v>
      </c>
      <c r="BR229" s="62"/>
      <c r="BS229" s="72">
        <f t="shared" ref="BS229:BW229" si="695">AP229-BJ229</f>
        <v>9.9319595171320496E-3</v>
      </c>
      <c r="BT229" s="72">
        <f t="shared" si="695"/>
        <v>-0.16178014876234609</v>
      </c>
      <c r="BU229" s="72">
        <f t="shared" si="695"/>
        <v>0.1194258423769459</v>
      </c>
      <c r="BV229" s="72">
        <f t="shared" si="695"/>
        <v>-1.630910864528716E-2</v>
      </c>
      <c r="BW229" s="72">
        <f t="shared" si="695"/>
        <v>4.7731455513555246E-2</v>
      </c>
      <c r="BX229" s="72"/>
      <c r="BY229" s="72"/>
      <c r="BZ229" s="72">
        <f t="shared" si="18"/>
        <v>0</v>
      </c>
    </row>
    <row r="230" spans="1:78" ht="13.15">
      <c r="A230" s="73" t="s">
        <v>6</v>
      </c>
      <c r="B230" s="74" t="s">
        <v>503</v>
      </c>
      <c r="C230" s="75" t="s">
        <v>504</v>
      </c>
      <c r="D230" s="75" t="s">
        <v>53</v>
      </c>
      <c r="E230" s="76"/>
      <c r="F230" s="59"/>
      <c r="G230" s="60"/>
      <c r="H230" s="77">
        <v>8601</v>
      </c>
      <c r="I230" s="77">
        <v>17032</v>
      </c>
      <c r="J230" s="77">
        <v>8817</v>
      </c>
      <c r="K230" s="77">
        <v>11624</v>
      </c>
      <c r="L230" s="77">
        <v>1514</v>
      </c>
      <c r="M230" s="77"/>
      <c r="N230" s="77"/>
      <c r="O230" s="77">
        <v>211</v>
      </c>
      <c r="P230" s="77"/>
      <c r="Q230" s="77"/>
      <c r="R230" s="77"/>
      <c r="S230" s="77"/>
      <c r="T230" s="77"/>
      <c r="U230" s="77"/>
      <c r="V230" s="77"/>
      <c r="W230" s="77"/>
      <c r="X230" s="77"/>
      <c r="Y230" s="77"/>
      <c r="Z230" s="77"/>
      <c r="AA230" s="77"/>
      <c r="AB230" s="77"/>
      <c r="AC230" s="77"/>
      <c r="AD230" s="77"/>
      <c r="AE230" s="62"/>
      <c r="AF230" s="63" t="b">
        <v>0</v>
      </c>
      <c r="AG230" s="63" t="b">
        <v>0</v>
      </c>
      <c r="AH230" s="62"/>
      <c r="AI230" s="64">
        <f t="shared" si="7"/>
        <v>47799</v>
      </c>
      <c r="AJ230" s="65" t="str">
        <f t="shared" si="340"/>
        <v>CON</v>
      </c>
      <c r="AK230" s="66" t="str">
        <f t="shared" si="9"/>
        <v>HOLD</v>
      </c>
      <c r="AL230" s="67" t="e">
        <f t="shared" ca="1" si="10"/>
        <v>#NAME?</v>
      </c>
      <c r="AM230" s="68">
        <f t="shared" si="637"/>
        <v>5408</v>
      </c>
      <c r="AN230" s="69">
        <f t="shared" si="638"/>
        <v>0.11314044226866668</v>
      </c>
      <c r="AO230" s="62"/>
      <c r="AP230" s="70">
        <f t="shared" ref="AP230:AT230" si="696">H230/$AI230</f>
        <v>0.17994100294985252</v>
      </c>
      <c r="AQ230" s="70">
        <f t="shared" si="696"/>
        <v>0.35632544613904055</v>
      </c>
      <c r="AR230" s="70">
        <f t="shared" si="696"/>
        <v>0.18445992593987323</v>
      </c>
      <c r="AS230" s="70">
        <f t="shared" si="696"/>
        <v>0.24318500387037387</v>
      </c>
      <c r="AT230" s="70">
        <f t="shared" si="696"/>
        <v>3.1674302809682212E-2</v>
      </c>
      <c r="AU230" s="70"/>
      <c r="AV230" s="70"/>
      <c r="AW230" s="81">
        <f t="shared" si="14"/>
        <v>4.4143182911775547E-3</v>
      </c>
      <c r="AX230" s="70">
        <f t="shared" ref="AX230:BG230" si="697">O230/$AI230</f>
        <v>4.4143182911776397E-3</v>
      </c>
      <c r="AY230" s="70">
        <f t="shared" si="697"/>
        <v>0</v>
      </c>
      <c r="AZ230" s="70">
        <f t="shared" si="697"/>
        <v>0</v>
      </c>
      <c r="BA230" s="70">
        <f t="shared" si="697"/>
        <v>0</v>
      </c>
      <c r="BB230" s="70">
        <f t="shared" si="697"/>
        <v>0</v>
      </c>
      <c r="BC230" s="70">
        <f t="shared" si="697"/>
        <v>0</v>
      </c>
      <c r="BD230" s="70">
        <f t="shared" si="697"/>
        <v>0</v>
      </c>
      <c r="BE230" s="70">
        <f t="shared" si="697"/>
        <v>0</v>
      </c>
      <c r="BF230" s="70">
        <f t="shared" si="697"/>
        <v>0</v>
      </c>
      <c r="BG230" s="70">
        <f t="shared" si="697"/>
        <v>0</v>
      </c>
      <c r="BH230" s="70">
        <f t="shared" si="16"/>
        <v>-8.5001450322863548E-17</v>
      </c>
      <c r="BI230" s="62"/>
      <c r="BJ230" s="69">
        <v>0.14199999999999999</v>
      </c>
      <c r="BK230" s="69">
        <v>0.64600000000000002</v>
      </c>
      <c r="BL230" s="69">
        <v>0</v>
      </c>
      <c r="BM230" s="69">
        <v>0.182</v>
      </c>
      <c r="BN230" s="69">
        <v>2.9000000000000001E-2</v>
      </c>
      <c r="BO230" s="69">
        <v>0</v>
      </c>
      <c r="BP230" s="69">
        <v>0</v>
      </c>
      <c r="BQ230" s="69">
        <v>0</v>
      </c>
      <c r="BR230" s="62"/>
      <c r="BS230" s="72">
        <f t="shared" ref="BS230:BW230" si="698">AP230-BJ230</f>
        <v>3.7941002949852531E-2</v>
      </c>
      <c r="BT230" s="72">
        <f t="shared" si="698"/>
        <v>-0.28967455386095947</v>
      </c>
      <c r="BU230" s="72">
        <f t="shared" si="698"/>
        <v>0.18445992593987323</v>
      </c>
      <c r="BV230" s="72">
        <f t="shared" si="698"/>
        <v>6.1185003870373872E-2</v>
      </c>
      <c r="BW230" s="72">
        <f t="shared" si="698"/>
        <v>2.6743028096822101E-3</v>
      </c>
      <c r="BX230" s="72"/>
      <c r="BY230" s="72"/>
      <c r="BZ230" s="72">
        <f t="shared" si="18"/>
        <v>4.4143182911775547E-3</v>
      </c>
    </row>
    <row r="231" spans="1:78" ht="13.15">
      <c r="A231" s="73" t="s">
        <v>6</v>
      </c>
      <c r="B231" s="74" t="s">
        <v>505</v>
      </c>
      <c r="C231" s="75" t="s">
        <v>506</v>
      </c>
      <c r="D231" s="75" t="s">
        <v>78</v>
      </c>
      <c r="E231" s="76"/>
      <c r="F231" s="59"/>
      <c r="G231" s="60"/>
      <c r="H231" s="77">
        <v>22067</v>
      </c>
      <c r="I231" s="77">
        <v>14958</v>
      </c>
      <c r="J231" s="77">
        <v>6760</v>
      </c>
      <c r="K231" s="77">
        <v>4913</v>
      </c>
      <c r="L231" s="77">
        <v>2631</v>
      </c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>
        <v>181</v>
      </c>
      <c r="Z231" s="77"/>
      <c r="AA231" s="77"/>
      <c r="AB231" s="77"/>
      <c r="AC231" s="77"/>
      <c r="AD231" s="77"/>
      <c r="AE231" s="62"/>
      <c r="AF231" s="63" t="b">
        <v>0</v>
      </c>
      <c r="AG231" s="63" t="b">
        <v>0</v>
      </c>
      <c r="AH231" s="62"/>
      <c r="AI231" s="64">
        <f t="shared" si="7"/>
        <v>51510</v>
      </c>
      <c r="AJ231" s="65" t="str">
        <f t="shared" si="340"/>
        <v>LAB</v>
      </c>
      <c r="AK231" s="66" t="str">
        <f t="shared" si="9"/>
        <v>GAIN</v>
      </c>
      <c r="AL231" s="67" t="e">
        <f t="shared" ca="1" si="10"/>
        <v>#NAME?</v>
      </c>
      <c r="AM231" s="68">
        <f t="shared" si="637"/>
        <v>7109</v>
      </c>
      <c r="AN231" s="69">
        <f t="shared" si="638"/>
        <v>0.13801203649776744</v>
      </c>
      <c r="AO231" s="62"/>
      <c r="AP231" s="70">
        <f t="shared" ref="AP231:AT231" si="699">H231/$AI231</f>
        <v>0.42840225198990489</v>
      </c>
      <c r="AQ231" s="70">
        <f t="shared" si="699"/>
        <v>0.29039021549213745</v>
      </c>
      <c r="AR231" s="70">
        <f t="shared" si="699"/>
        <v>0.13123665307707241</v>
      </c>
      <c r="AS231" s="70">
        <f t="shared" si="699"/>
        <v>9.5379537953795376E-2</v>
      </c>
      <c r="AT231" s="70">
        <f t="shared" si="699"/>
        <v>5.1077460687245196E-2</v>
      </c>
      <c r="AU231" s="70"/>
      <c r="AV231" s="70"/>
      <c r="AW231" s="81">
        <f t="shared" si="14"/>
        <v>3.5138807998447152E-3</v>
      </c>
      <c r="AX231" s="70">
        <f t="shared" ref="AX231:BG231" si="700">O231/$AI231</f>
        <v>0</v>
      </c>
      <c r="AY231" s="70">
        <f t="shared" si="700"/>
        <v>0</v>
      </c>
      <c r="AZ231" s="70">
        <f t="shared" si="700"/>
        <v>0</v>
      </c>
      <c r="BA231" s="70">
        <f t="shared" si="700"/>
        <v>0</v>
      </c>
      <c r="BB231" s="70">
        <f t="shared" si="700"/>
        <v>0</v>
      </c>
      <c r="BC231" s="70">
        <f t="shared" si="700"/>
        <v>0</v>
      </c>
      <c r="BD231" s="70">
        <f t="shared" si="700"/>
        <v>0</v>
      </c>
      <c r="BE231" s="70">
        <f t="shared" si="700"/>
        <v>0</v>
      </c>
      <c r="BF231" s="70">
        <f t="shared" si="700"/>
        <v>0</v>
      </c>
      <c r="BG231" s="70">
        <f t="shared" si="700"/>
        <v>0</v>
      </c>
      <c r="BH231" s="70">
        <f t="shared" si="16"/>
        <v>3.5138807998447152E-3</v>
      </c>
      <c r="BI231" s="62"/>
      <c r="BJ231" s="69">
        <v>0.26200000000000001</v>
      </c>
      <c r="BK231" s="69">
        <v>0.47</v>
      </c>
      <c r="BL231" s="69">
        <v>0</v>
      </c>
      <c r="BM231" s="69">
        <v>0.23699999999999999</v>
      </c>
      <c r="BN231" s="69">
        <v>1.4999999999999999E-2</v>
      </c>
      <c r="BO231" s="69">
        <v>0</v>
      </c>
      <c r="BP231" s="69">
        <v>0</v>
      </c>
      <c r="BQ231" s="69">
        <v>1.6E-2</v>
      </c>
      <c r="BR231" s="62"/>
      <c r="BS231" s="72">
        <f t="shared" ref="BS231:BW231" si="701">AP231-BJ231</f>
        <v>0.16640225198990488</v>
      </c>
      <c r="BT231" s="72">
        <f t="shared" si="701"/>
        <v>-0.17960978450786252</v>
      </c>
      <c r="BU231" s="72">
        <f t="shared" si="701"/>
        <v>0.13123665307707241</v>
      </c>
      <c r="BV231" s="72">
        <f t="shared" si="701"/>
        <v>-0.1416204620462046</v>
      </c>
      <c r="BW231" s="72">
        <f t="shared" si="701"/>
        <v>3.6077460687245197E-2</v>
      </c>
      <c r="BX231" s="72"/>
      <c r="BY231" s="72"/>
      <c r="BZ231" s="72">
        <f t="shared" si="18"/>
        <v>-1.2486119200155285E-2</v>
      </c>
    </row>
    <row r="232" spans="1:78" ht="13.15">
      <c r="A232" s="78" t="s">
        <v>5</v>
      </c>
      <c r="B232" s="74" t="s">
        <v>507</v>
      </c>
      <c r="C232" s="75" t="s">
        <v>508</v>
      </c>
      <c r="D232" s="75" t="s">
        <v>68</v>
      </c>
      <c r="E232" s="76"/>
      <c r="F232" s="59"/>
      <c r="G232" s="60"/>
      <c r="H232" s="77">
        <v>18884</v>
      </c>
      <c r="I232" s="77">
        <v>2776</v>
      </c>
      <c r="J232" s="77">
        <v>2371</v>
      </c>
      <c r="K232" s="77">
        <v>2236</v>
      </c>
      <c r="L232" s="77">
        <v>4030</v>
      </c>
      <c r="M232" s="77"/>
      <c r="N232" s="77"/>
      <c r="O232" s="77">
        <v>7312</v>
      </c>
      <c r="P232" s="77"/>
      <c r="Q232" s="77"/>
      <c r="R232" s="77"/>
      <c r="S232" s="77"/>
      <c r="T232" s="77"/>
      <c r="U232" s="77"/>
      <c r="V232" s="77"/>
      <c r="W232" s="77"/>
      <c r="X232" s="77"/>
      <c r="Y232" s="77">
        <v>636</v>
      </c>
      <c r="Z232" s="77">
        <v>162</v>
      </c>
      <c r="AA232" s="77">
        <v>75</v>
      </c>
      <c r="AB232" s="77">
        <v>61</v>
      </c>
      <c r="AC232" s="77">
        <v>40</v>
      </c>
      <c r="AD232" s="77">
        <v>19</v>
      </c>
      <c r="AE232" s="62"/>
      <c r="AF232" s="63" t="b">
        <v>0</v>
      </c>
      <c r="AG232" s="63" t="b">
        <v>0</v>
      </c>
      <c r="AH232" s="62"/>
      <c r="AI232" s="64">
        <f t="shared" si="7"/>
        <v>38602</v>
      </c>
      <c r="AJ232" s="65" t="str">
        <f t="shared" si="340"/>
        <v>LAB</v>
      </c>
      <c r="AK232" s="66" t="str">
        <f t="shared" si="9"/>
        <v>HOLD</v>
      </c>
      <c r="AL232" s="67" t="e">
        <f t="shared" ca="1" si="10"/>
        <v>#NAME?</v>
      </c>
      <c r="AM232" s="68">
        <f t="shared" si="637"/>
        <v>11572</v>
      </c>
      <c r="AN232" s="69">
        <f t="shared" si="638"/>
        <v>0.29977721361587484</v>
      </c>
      <c r="AO232" s="62"/>
      <c r="AP232" s="70">
        <f t="shared" ref="AP232:AT232" si="702">H232/$AI232</f>
        <v>0.4891974509092793</v>
      </c>
      <c r="AQ232" s="70">
        <f t="shared" si="702"/>
        <v>7.1913372364126205E-2</v>
      </c>
      <c r="AR232" s="70">
        <f t="shared" si="702"/>
        <v>6.1421687995440649E-2</v>
      </c>
      <c r="AS232" s="70">
        <f t="shared" si="702"/>
        <v>5.7924459872545464E-2</v>
      </c>
      <c r="AT232" s="70">
        <f t="shared" si="702"/>
        <v>0.10439873581679705</v>
      </c>
      <c r="AU232" s="70"/>
      <c r="AV232" s="70"/>
      <c r="AW232" s="81">
        <f t="shared" si="14"/>
        <v>0.21514429304181137</v>
      </c>
      <c r="AX232" s="70">
        <f t="shared" ref="AX232:BG232" si="703">O232/$AI232</f>
        <v>0.18942023729340449</v>
      </c>
      <c r="AY232" s="70">
        <f t="shared" si="703"/>
        <v>0</v>
      </c>
      <c r="AZ232" s="70">
        <f t="shared" si="703"/>
        <v>0</v>
      </c>
      <c r="BA232" s="70">
        <f t="shared" si="703"/>
        <v>0</v>
      </c>
      <c r="BB232" s="70">
        <f t="shared" si="703"/>
        <v>0</v>
      </c>
      <c r="BC232" s="70">
        <f t="shared" si="703"/>
        <v>0</v>
      </c>
      <c r="BD232" s="70">
        <f t="shared" si="703"/>
        <v>0</v>
      </c>
      <c r="BE232" s="70">
        <f t="shared" si="703"/>
        <v>0</v>
      </c>
      <c r="BF232" s="70">
        <f t="shared" si="703"/>
        <v>0</v>
      </c>
      <c r="BG232" s="70">
        <f t="shared" si="703"/>
        <v>0</v>
      </c>
      <c r="BH232" s="70">
        <f t="shared" si="16"/>
        <v>2.5724055748406888E-2</v>
      </c>
      <c r="BI232" s="62"/>
      <c r="BJ232" s="69">
        <v>0.66300000000000003</v>
      </c>
      <c r="BK232" s="69">
        <v>0.152</v>
      </c>
      <c r="BL232" s="69">
        <v>1.9E-2</v>
      </c>
      <c r="BM232" s="69">
        <v>0.123</v>
      </c>
      <c r="BN232" s="69">
        <v>0.04</v>
      </c>
      <c r="BO232" s="69">
        <v>0</v>
      </c>
      <c r="BP232" s="69">
        <v>0</v>
      </c>
      <c r="BQ232" s="69">
        <v>4.0000000000000001E-3</v>
      </c>
      <c r="BR232" s="62"/>
      <c r="BS232" s="72">
        <f t="shared" ref="BS232:BW232" si="704">AP232-BJ232</f>
        <v>-0.17380254909072074</v>
      </c>
      <c r="BT232" s="72">
        <f t="shared" si="704"/>
        <v>-8.0086627635873792E-2</v>
      </c>
      <c r="BU232" s="72">
        <f t="shared" si="704"/>
        <v>4.2421687995440646E-2</v>
      </c>
      <c r="BV232" s="72">
        <f t="shared" si="704"/>
        <v>-6.5075540127454534E-2</v>
      </c>
      <c r="BW232" s="72">
        <f t="shared" si="704"/>
        <v>6.4398735816797059E-2</v>
      </c>
      <c r="BX232" s="72"/>
      <c r="BY232" s="72"/>
      <c r="BZ232" s="72">
        <f t="shared" si="18"/>
        <v>0.21114429304181137</v>
      </c>
    </row>
    <row r="233" spans="1:78" ht="13.15">
      <c r="A233" s="73" t="s">
        <v>6</v>
      </c>
      <c r="B233" s="74" t="s">
        <v>509</v>
      </c>
      <c r="C233" s="75" t="s">
        <v>510</v>
      </c>
      <c r="D233" s="75" t="s">
        <v>85</v>
      </c>
      <c r="E233" s="76"/>
      <c r="F233" s="59"/>
      <c r="G233" s="60"/>
      <c r="H233" s="84">
        <v>2947</v>
      </c>
      <c r="I233" s="85">
        <v>16307</v>
      </c>
      <c r="J233" s="85">
        <v>6289</v>
      </c>
      <c r="K233" s="85">
        <v>23007</v>
      </c>
      <c r="L233" s="85">
        <v>1394</v>
      </c>
      <c r="M233" s="86"/>
      <c r="N233" s="86"/>
      <c r="O233" s="85">
        <v>467</v>
      </c>
      <c r="P233" s="86"/>
      <c r="Q233" s="86"/>
      <c r="R233" s="86"/>
      <c r="S233" s="86"/>
      <c r="T233" s="86"/>
      <c r="U233" s="86"/>
      <c r="V233" s="86"/>
      <c r="W233" s="86"/>
      <c r="X233" s="86"/>
      <c r="Y233" s="85">
        <v>244</v>
      </c>
      <c r="Z233" s="86"/>
      <c r="AA233" s="86"/>
      <c r="AB233" s="86"/>
      <c r="AC233" s="86"/>
      <c r="AD233" s="86"/>
      <c r="AE233" s="62"/>
      <c r="AF233" s="63" t="b">
        <v>0</v>
      </c>
      <c r="AG233" s="63" t="b">
        <v>0</v>
      </c>
      <c r="AH233" s="62"/>
      <c r="AI233" s="64">
        <f t="shared" si="7"/>
        <v>50655</v>
      </c>
      <c r="AJ233" s="65" t="str">
        <f t="shared" si="340"/>
        <v>LDM</v>
      </c>
      <c r="AK233" s="66" t="str">
        <f t="shared" si="9"/>
        <v>GAIN</v>
      </c>
      <c r="AL233" s="67" t="e">
        <f t="shared" ca="1" si="10"/>
        <v>#NAME?</v>
      </c>
      <c r="AM233" s="68">
        <f t="shared" si="637"/>
        <v>6700</v>
      </c>
      <c r="AN233" s="69">
        <f t="shared" si="638"/>
        <v>0.13226729839107693</v>
      </c>
      <c r="AO233" s="62"/>
      <c r="AP233" s="70">
        <f t="shared" ref="AP233:AT233" si="705">H233/$AI233</f>
        <v>5.8177869904254269E-2</v>
      </c>
      <c r="AQ233" s="70">
        <f t="shared" si="705"/>
        <v>0.32192281117362548</v>
      </c>
      <c r="AR233" s="70">
        <f t="shared" si="705"/>
        <v>0.12415358799723621</v>
      </c>
      <c r="AS233" s="70">
        <f t="shared" si="705"/>
        <v>0.4541901095647024</v>
      </c>
      <c r="AT233" s="70">
        <f t="shared" si="705"/>
        <v>2.7519494620471818E-2</v>
      </c>
      <c r="AU233" s="70"/>
      <c r="AV233" s="70"/>
      <c r="AW233" s="81">
        <f t="shared" si="14"/>
        <v>1.4036126739709776E-2</v>
      </c>
      <c r="AX233" s="70">
        <f t="shared" ref="AX233:BG233" si="706">O233/$AI233</f>
        <v>9.2192281117362551E-3</v>
      </c>
      <c r="AY233" s="70">
        <f t="shared" si="706"/>
        <v>0</v>
      </c>
      <c r="AZ233" s="70">
        <f t="shared" si="706"/>
        <v>0</v>
      </c>
      <c r="BA233" s="70">
        <f t="shared" si="706"/>
        <v>0</v>
      </c>
      <c r="BB233" s="70">
        <f t="shared" si="706"/>
        <v>0</v>
      </c>
      <c r="BC233" s="70">
        <f t="shared" si="706"/>
        <v>0</v>
      </c>
      <c r="BD233" s="70">
        <f t="shared" si="706"/>
        <v>0</v>
      </c>
      <c r="BE233" s="70">
        <f t="shared" si="706"/>
        <v>0</v>
      </c>
      <c r="BF233" s="70">
        <f t="shared" si="706"/>
        <v>0</v>
      </c>
      <c r="BG233" s="70">
        <f t="shared" si="706"/>
        <v>0</v>
      </c>
      <c r="BH233" s="70">
        <f t="shared" si="16"/>
        <v>4.8168986279735204E-3</v>
      </c>
      <c r="BI233" s="62"/>
      <c r="BJ233" s="69">
        <v>0.14199999999999999</v>
      </c>
      <c r="BK233" s="69">
        <v>0.60399999999999998</v>
      </c>
      <c r="BL233" s="69">
        <v>0</v>
      </c>
      <c r="BM233" s="69">
        <v>9.6000000000000002E-2</v>
      </c>
      <c r="BN233" s="69">
        <v>2.1000000000000001E-2</v>
      </c>
      <c r="BO233" s="69">
        <v>0</v>
      </c>
      <c r="BP233" s="69">
        <v>0</v>
      </c>
      <c r="BQ233" s="69">
        <v>0.13800000000000001</v>
      </c>
      <c r="BR233" s="62"/>
      <c r="BS233" s="72">
        <f t="shared" ref="BS233:BW233" si="707">AP233-BJ233</f>
        <v>-8.3822130095745712E-2</v>
      </c>
      <c r="BT233" s="72">
        <f t="shared" si="707"/>
        <v>-0.2820771888263745</v>
      </c>
      <c r="BU233" s="72">
        <f t="shared" si="707"/>
        <v>0.12415358799723621</v>
      </c>
      <c r="BV233" s="72">
        <f t="shared" si="707"/>
        <v>0.35819010956470243</v>
      </c>
      <c r="BW233" s="72">
        <f t="shared" si="707"/>
        <v>6.519494620471817E-3</v>
      </c>
      <c r="BX233" s="72"/>
      <c r="BY233" s="72"/>
      <c r="BZ233" s="72">
        <f t="shared" si="18"/>
        <v>-0.12396387326029024</v>
      </c>
    </row>
    <row r="234" spans="1:78" ht="13.15">
      <c r="A234" s="73" t="s">
        <v>6</v>
      </c>
      <c r="B234" s="74" t="s">
        <v>511</v>
      </c>
      <c r="C234" s="75" t="s">
        <v>512</v>
      </c>
      <c r="D234" s="75" t="s">
        <v>68</v>
      </c>
      <c r="E234" s="76"/>
      <c r="F234" s="59"/>
      <c r="G234" s="60"/>
      <c r="H234" s="77">
        <v>12939</v>
      </c>
      <c r="I234" s="77">
        <v>15260</v>
      </c>
      <c r="J234" s="77">
        <v>13317</v>
      </c>
      <c r="K234" s="77">
        <v>2391</v>
      </c>
      <c r="L234" s="77">
        <v>2620</v>
      </c>
      <c r="M234" s="77"/>
      <c r="N234" s="77"/>
      <c r="O234" s="77">
        <v>394</v>
      </c>
      <c r="P234" s="77"/>
      <c r="Q234" s="77"/>
      <c r="R234" s="77"/>
      <c r="S234" s="77"/>
      <c r="T234" s="77"/>
      <c r="U234" s="77"/>
      <c r="V234" s="77"/>
      <c r="W234" s="77"/>
      <c r="X234" s="77"/>
      <c r="Y234" s="77"/>
      <c r="Z234" s="77"/>
      <c r="AA234" s="77"/>
      <c r="AB234" s="77"/>
      <c r="AC234" s="77"/>
      <c r="AD234" s="77"/>
      <c r="AE234" s="62"/>
      <c r="AF234" s="63" t="b">
        <v>0</v>
      </c>
      <c r="AG234" s="63" t="b">
        <v>0</v>
      </c>
      <c r="AH234" s="62"/>
      <c r="AI234" s="64">
        <f t="shared" si="7"/>
        <v>46921</v>
      </c>
      <c r="AJ234" s="65" t="str">
        <f t="shared" si="340"/>
        <v>CON</v>
      </c>
      <c r="AK234" s="66" t="str">
        <f t="shared" si="9"/>
        <v>HOLD</v>
      </c>
      <c r="AL234" s="67" t="e">
        <f t="shared" ca="1" si="10"/>
        <v>#NAME?</v>
      </c>
      <c r="AM234" s="68">
        <f t="shared" si="637"/>
        <v>1943</v>
      </c>
      <c r="AN234" s="69">
        <f t="shared" si="638"/>
        <v>4.1410029624262046E-2</v>
      </c>
      <c r="AO234" s="62"/>
      <c r="AP234" s="70">
        <f t="shared" ref="AP234:AT234" si="708">H234/$AI234</f>
        <v>0.27576138615971529</v>
      </c>
      <c r="AQ234" s="70">
        <f t="shared" si="708"/>
        <v>0.32522751007011785</v>
      </c>
      <c r="AR234" s="70">
        <f t="shared" si="708"/>
        <v>0.28381748044585581</v>
      </c>
      <c r="AS234" s="70">
        <f t="shared" si="708"/>
        <v>5.0957993222650835E-2</v>
      </c>
      <c r="AT234" s="70">
        <f t="shared" si="708"/>
        <v>5.583853711557725E-2</v>
      </c>
      <c r="AU234" s="70"/>
      <c r="AV234" s="70"/>
      <c r="AW234" s="81">
        <f t="shared" si="14"/>
        <v>8.3970929860830434E-3</v>
      </c>
      <c r="AX234" s="70">
        <f t="shared" ref="AX234:BG234" si="709">O234/$AI234</f>
        <v>8.3970929860829914E-3</v>
      </c>
      <c r="AY234" s="70">
        <f t="shared" si="709"/>
        <v>0</v>
      </c>
      <c r="AZ234" s="70">
        <f t="shared" si="709"/>
        <v>0</v>
      </c>
      <c r="BA234" s="70">
        <f t="shared" si="709"/>
        <v>0</v>
      </c>
      <c r="BB234" s="70">
        <f t="shared" si="709"/>
        <v>0</v>
      </c>
      <c r="BC234" s="70">
        <f t="shared" si="709"/>
        <v>0</v>
      </c>
      <c r="BD234" s="70">
        <f t="shared" si="709"/>
        <v>0</v>
      </c>
      <c r="BE234" s="70">
        <f t="shared" si="709"/>
        <v>0</v>
      </c>
      <c r="BF234" s="70">
        <f t="shared" si="709"/>
        <v>0</v>
      </c>
      <c r="BG234" s="70">
        <f t="shared" si="709"/>
        <v>0</v>
      </c>
      <c r="BH234" s="70">
        <f t="shared" si="16"/>
        <v>5.2041704279304213E-17</v>
      </c>
      <c r="BI234" s="62"/>
      <c r="BJ234" s="69">
        <v>0.22900000000000001</v>
      </c>
      <c r="BK234" s="69">
        <v>0.65400000000000003</v>
      </c>
      <c r="BL234" s="69">
        <v>0</v>
      </c>
      <c r="BM234" s="69">
        <v>7.0999999999999994E-2</v>
      </c>
      <c r="BN234" s="69">
        <v>3.5999999999999997E-2</v>
      </c>
      <c r="BO234" s="69">
        <v>0</v>
      </c>
      <c r="BP234" s="69">
        <v>0</v>
      </c>
      <c r="BQ234" s="69">
        <v>0.01</v>
      </c>
      <c r="BR234" s="62"/>
      <c r="BS234" s="72">
        <f t="shared" ref="BS234:BW234" si="710">AP234-BJ234</f>
        <v>4.6761386159715285E-2</v>
      </c>
      <c r="BT234" s="72">
        <f t="shared" si="710"/>
        <v>-0.32877248992988217</v>
      </c>
      <c r="BU234" s="72">
        <f t="shared" si="710"/>
        <v>0.28381748044585581</v>
      </c>
      <c r="BV234" s="72">
        <f t="shared" si="710"/>
        <v>-2.0042006777349158E-2</v>
      </c>
      <c r="BW234" s="72">
        <f t="shared" si="710"/>
        <v>1.9838537115577252E-2</v>
      </c>
      <c r="BX234" s="72"/>
      <c r="BY234" s="72"/>
      <c r="BZ234" s="72">
        <f t="shared" si="18"/>
        <v>-1.6029070139169568E-3</v>
      </c>
    </row>
    <row r="235" spans="1:78" ht="13.15">
      <c r="A235" s="78" t="s">
        <v>5</v>
      </c>
      <c r="B235" s="74" t="s">
        <v>513</v>
      </c>
      <c r="C235" s="75" t="s">
        <v>514</v>
      </c>
      <c r="D235" s="75" t="s">
        <v>68</v>
      </c>
      <c r="E235" s="76"/>
      <c r="F235" s="59"/>
      <c r="G235" s="60"/>
      <c r="H235" s="77">
        <v>28535</v>
      </c>
      <c r="I235" s="77">
        <v>4011</v>
      </c>
      <c r="J235" s="77">
        <v>1989</v>
      </c>
      <c r="K235" s="77">
        <v>6099</v>
      </c>
      <c r="L235" s="77">
        <v>7060</v>
      </c>
      <c r="M235" s="77"/>
      <c r="N235" s="77"/>
      <c r="O235" s="77"/>
      <c r="P235" s="77">
        <v>766</v>
      </c>
      <c r="Q235" s="77"/>
      <c r="R235" s="77"/>
      <c r="S235" s="77"/>
      <c r="T235" s="77"/>
      <c r="U235" s="77"/>
      <c r="V235" s="77"/>
      <c r="W235" s="77"/>
      <c r="X235" s="77"/>
      <c r="Y235" s="77">
        <v>182</v>
      </c>
      <c r="Z235" s="77"/>
      <c r="AA235" s="77"/>
      <c r="AB235" s="77"/>
      <c r="AC235" s="77"/>
      <c r="AD235" s="77"/>
      <c r="AE235" s="62"/>
      <c r="AF235" s="63" t="b">
        <v>0</v>
      </c>
      <c r="AG235" s="63" t="b">
        <v>0</v>
      </c>
      <c r="AH235" s="62"/>
      <c r="AI235" s="64">
        <f t="shared" si="7"/>
        <v>48642</v>
      </c>
      <c r="AJ235" s="65" t="str">
        <f t="shared" si="340"/>
        <v>LAB</v>
      </c>
      <c r="AK235" s="66" t="str">
        <f t="shared" si="9"/>
        <v>HOLD</v>
      </c>
      <c r="AL235" s="67" t="e">
        <f t="shared" ca="1" si="10"/>
        <v>#NAME?</v>
      </c>
      <c r="AM235" s="68">
        <f t="shared" si="637"/>
        <v>21475</v>
      </c>
      <c r="AN235" s="69">
        <f t="shared" si="638"/>
        <v>0.44149089264421693</v>
      </c>
      <c r="AO235" s="62"/>
      <c r="AP235" s="70">
        <f t="shared" ref="AP235:AT235" si="711">H235/$AI235</f>
        <v>0.58663295094774059</v>
      </c>
      <c r="AQ235" s="70">
        <f t="shared" si="711"/>
        <v>8.2459602812384361E-2</v>
      </c>
      <c r="AR235" s="70">
        <f t="shared" si="711"/>
        <v>4.0890588380411992E-2</v>
      </c>
      <c r="AS235" s="70">
        <f t="shared" si="711"/>
        <v>0.12538546934747749</v>
      </c>
      <c r="AT235" s="70">
        <f t="shared" si="711"/>
        <v>0.1451420583035237</v>
      </c>
      <c r="AU235" s="70"/>
      <c r="AV235" s="70"/>
      <c r="AW235" s="81">
        <f t="shared" si="14"/>
        <v>1.9489330208461775E-2</v>
      </c>
      <c r="AX235" s="70">
        <f t="shared" ref="AX235:BG235" si="712">O235/$AI235</f>
        <v>0</v>
      </c>
      <c r="AY235" s="70">
        <f t="shared" si="712"/>
        <v>1.5747707742280334E-2</v>
      </c>
      <c r="AZ235" s="70">
        <f t="shared" si="712"/>
        <v>0</v>
      </c>
      <c r="BA235" s="70">
        <f t="shared" si="712"/>
        <v>0</v>
      </c>
      <c r="BB235" s="70">
        <f t="shared" si="712"/>
        <v>0</v>
      </c>
      <c r="BC235" s="70">
        <f t="shared" si="712"/>
        <v>0</v>
      </c>
      <c r="BD235" s="70">
        <f t="shared" si="712"/>
        <v>0</v>
      </c>
      <c r="BE235" s="70">
        <f t="shared" si="712"/>
        <v>0</v>
      </c>
      <c r="BF235" s="70">
        <f t="shared" si="712"/>
        <v>0</v>
      </c>
      <c r="BG235" s="70">
        <f t="shared" si="712"/>
        <v>0</v>
      </c>
      <c r="BH235" s="70">
        <f t="shared" si="16"/>
        <v>3.7416224661814407E-3</v>
      </c>
      <c r="BI235" s="62"/>
      <c r="BJ235" s="69">
        <v>0.57299999999999995</v>
      </c>
      <c r="BK235" s="69">
        <v>0.11799999999999999</v>
      </c>
      <c r="BL235" s="69">
        <v>8.9999999999999993E-3</v>
      </c>
      <c r="BM235" s="69">
        <v>0.25600000000000001</v>
      </c>
      <c r="BN235" s="69">
        <v>3.7999999999999999E-2</v>
      </c>
      <c r="BO235" s="69">
        <v>0</v>
      </c>
      <c r="BP235" s="69">
        <v>0</v>
      </c>
      <c r="BQ235" s="69">
        <v>6.0000000000000001E-3</v>
      </c>
      <c r="BR235" s="62"/>
      <c r="BS235" s="72">
        <f t="shared" ref="BS235:BW235" si="713">AP235-BJ235</f>
        <v>1.3632950947740641E-2</v>
      </c>
      <c r="BT235" s="72">
        <f t="shared" si="713"/>
        <v>-3.5540397187615633E-2</v>
      </c>
      <c r="BU235" s="72">
        <f t="shared" si="713"/>
        <v>3.1890588380411991E-2</v>
      </c>
      <c r="BV235" s="72">
        <f t="shared" si="713"/>
        <v>-0.13061453065252251</v>
      </c>
      <c r="BW235" s="72">
        <f t="shared" si="713"/>
        <v>0.10714205830352369</v>
      </c>
      <c r="BX235" s="72"/>
      <c r="BY235" s="72"/>
      <c r="BZ235" s="72">
        <f t="shared" si="18"/>
        <v>1.3489330208461775E-2</v>
      </c>
    </row>
    <row r="236" spans="1:78" ht="13.15">
      <c r="A236" s="73" t="s">
        <v>6</v>
      </c>
      <c r="B236" s="74" t="s">
        <v>515</v>
      </c>
      <c r="C236" s="75" t="s">
        <v>516</v>
      </c>
      <c r="D236" s="75" t="s">
        <v>44</v>
      </c>
      <c r="E236" s="76"/>
      <c r="F236" s="59"/>
      <c r="G236" s="60"/>
      <c r="H236" s="77">
        <v>5979</v>
      </c>
      <c r="I236" s="77">
        <v>19115</v>
      </c>
      <c r="J236" s="77">
        <v>6116</v>
      </c>
      <c r="K236" s="77">
        <v>21632</v>
      </c>
      <c r="L236" s="77">
        <v>2137</v>
      </c>
      <c r="M236" s="77"/>
      <c r="N236" s="77"/>
      <c r="O236" s="77"/>
      <c r="P236" s="77"/>
      <c r="Q236" s="77">
        <v>244</v>
      </c>
      <c r="R236" s="77"/>
      <c r="S236" s="77"/>
      <c r="T236" s="77"/>
      <c r="U236" s="77"/>
      <c r="V236" s="77"/>
      <c r="W236" s="77"/>
      <c r="X236" s="77"/>
      <c r="Y236" s="77">
        <v>276</v>
      </c>
      <c r="Z236" s="77"/>
      <c r="AA236" s="77"/>
      <c r="AB236" s="77"/>
      <c r="AC236" s="77"/>
      <c r="AD236" s="77"/>
      <c r="AE236" s="62"/>
      <c r="AF236" s="63" t="b">
        <v>0</v>
      </c>
      <c r="AG236" s="63" t="b">
        <v>0</v>
      </c>
      <c r="AH236" s="62"/>
      <c r="AI236" s="64">
        <f t="shared" si="7"/>
        <v>55499</v>
      </c>
      <c r="AJ236" s="65" t="str">
        <f t="shared" si="340"/>
        <v>LDM</v>
      </c>
      <c r="AK236" s="66" t="str">
        <f t="shared" si="9"/>
        <v>GAIN</v>
      </c>
      <c r="AL236" s="67" t="e">
        <f t="shared" ca="1" si="10"/>
        <v>#NAME?</v>
      </c>
      <c r="AM236" s="68">
        <f t="shared" si="637"/>
        <v>2517</v>
      </c>
      <c r="AN236" s="69">
        <f t="shared" si="638"/>
        <v>4.5352168507540702E-2</v>
      </c>
      <c r="AO236" s="62"/>
      <c r="AP236" s="70">
        <f t="shared" ref="AP236:AT236" si="714">H236/$AI236</f>
        <v>0.10773167084091605</v>
      </c>
      <c r="AQ236" s="70">
        <f t="shared" si="714"/>
        <v>0.34442062019135478</v>
      </c>
      <c r="AR236" s="70">
        <f t="shared" si="714"/>
        <v>0.11020018378709526</v>
      </c>
      <c r="AS236" s="70">
        <f t="shared" si="714"/>
        <v>0.38977278869889548</v>
      </c>
      <c r="AT236" s="70">
        <f t="shared" si="714"/>
        <v>3.8505198291861116E-2</v>
      </c>
      <c r="AU236" s="70"/>
      <c r="AV236" s="70"/>
      <c r="AW236" s="81">
        <f t="shared" si="14"/>
        <v>9.3695381898772911E-3</v>
      </c>
      <c r="AX236" s="70">
        <f t="shared" ref="AX236:BG236" si="715">O236/$AI236</f>
        <v>0</v>
      </c>
      <c r="AY236" s="70">
        <f t="shared" si="715"/>
        <v>0</v>
      </c>
      <c r="AZ236" s="70">
        <f t="shared" si="715"/>
        <v>4.3964756121731927E-3</v>
      </c>
      <c r="BA236" s="70">
        <f t="shared" si="715"/>
        <v>0</v>
      </c>
      <c r="BB236" s="70">
        <f t="shared" si="715"/>
        <v>0</v>
      </c>
      <c r="BC236" s="70">
        <f t="shared" si="715"/>
        <v>0</v>
      </c>
      <c r="BD236" s="70">
        <f t="shared" si="715"/>
        <v>0</v>
      </c>
      <c r="BE236" s="70">
        <f t="shared" si="715"/>
        <v>0</v>
      </c>
      <c r="BF236" s="70">
        <f t="shared" si="715"/>
        <v>0</v>
      </c>
      <c r="BG236" s="70">
        <f t="shared" si="715"/>
        <v>0</v>
      </c>
      <c r="BH236" s="70">
        <f t="shared" si="16"/>
        <v>4.9730625777040984E-3</v>
      </c>
      <c r="BI236" s="62"/>
      <c r="BJ236" s="69">
        <v>0.156</v>
      </c>
      <c r="BK236" s="69">
        <v>0.55800000000000005</v>
      </c>
      <c r="BL236" s="69">
        <v>0</v>
      </c>
      <c r="BM236" s="69">
        <v>0.247</v>
      </c>
      <c r="BN236" s="69">
        <v>0.03</v>
      </c>
      <c r="BO236" s="69">
        <v>0</v>
      </c>
      <c r="BP236" s="69">
        <v>0</v>
      </c>
      <c r="BQ236" s="69">
        <v>8.9999999999999993E-3</v>
      </c>
      <c r="BR236" s="62"/>
      <c r="BS236" s="72">
        <f t="shared" ref="BS236:BW236" si="716">AP236-BJ236</f>
        <v>-4.8268329159083953E-2</v>
      </c>
      <c r="BT236" s="72">
        <f t="shared" si="716"/>
        <v>-0.21357937980864528</v>
      </c>
      <c r="BU236" s="72">
        <f t="shared" si="716"/>
        <v>0.11020018378709526</v>
      </c>
      <c r="BV236" s="72">
        <f t="shared" si="716"/>
        <v>0.14277278869889548</v>
      </c>
      <c r="BW236" s="72">
        <f t="shared" si="716"/>
        <v>8.5051982918611171E-3</v>
      </c>
      <c r="BX236" s="72"/>
      <c r="BY236" s="72"/>
      <c r="BZ236" s="72">
        <f t="shared" si="18"/>
        <v>3.6953818987729183E-4</v>
      </c>
    </row>
    <row r="237" spans="1:78" ht="13.15">
      <c r="A237" s="78" t="s">
        <v>5</v>
      </c>
      <c r="B237" s="74" t="s">
        <v>517</v>
      </c>
      <c r="C237" s="75" t="s">
        <v>518</v>
      </c>
      <c r="D237" s="75" t="s">
        <v>129</v>
      </c>
      <c r="E237" s="76"/>
      <c r="F237" s="59">
        <v>0.52100000000000002</v>
      </c>
      <c r="G237" s="60"/>
      <c r="H237" s="77">
        <v>18847</v>
      </c>
      <c r="I237" s="77">
        <v>5514</v>
      </c>
      <c r="J237" s="77">
        <v>11668</v>
      </c>
      <c r="K237" s="77">
        <v>2290</v>
      </c>
      <c r="L237" s="77">
        <v>1723</v>
      </c>
      <c r="M237" s="77"/>
      <c r="N237" s="77"/>
      <c r="O237" s="77"/>
      <c r="P237" s="77"/>
      <c r="Q237" s="77"/>
      <c r="R237" s="77"/>
      <c r="S237" s="77"/>
      <c r="T237" s="77"/>
      <c r="U237" s="77"/>
      <c r="V237" s="77"/>
      <c r="W237" s="77"/>
      <c r="X237" s="77"/>
      <c r="Y237" s="77"/>
      <c r="Z237" s="77"/>
      <c r="AA237" s="77"/>
      <c r="AB237" s="77"/>
      <c r="AC237" s="77"/>
      <c r="AD237" s="77"/>
      <c r="AE237" s="62"/>
      <c r="AF237" s="63" t="b">
        <v>0</v>
      </c>
      <c r="AG237" s="63" t="b">
        <v>0</v>
      </c>
      <c r="AH237" s="62"/>
      <c r="AI237" s="64">
        <f t="shared" si="7"/>
        <v>40042</v>
      </c>
      <c r="AJ237" s="65" t="str">
        <f t="shared" si="340"/>
        <v>LAB</v>
      </c>
      <c r="AK237" s="66" t="str">
        <f t="shared" si="9"/>
        <v>HOLD</v>
      </c>
      <c r="AL237" s="67" t="e">
        <f t="shared" ca="1" si="10"/>
        <v>#NAME?</v>
      </c>
      <c r="AM237" s="68">
        <f t="shared" si="637"/>
        <v>7179</v>
      </c>
      <c r="AN237" s="69">
        <f t="shared" si="638"/>
        <v>0.17928674891364066</v>
      </c>
      <c r="AO237" s="62"/>
      <c r="AP237" s="70">
        <f t="shared" ref="AP237:AT237" si="717">H237/$AI237</f>
        <v>0.47068078517556566</v>
      </c>
      <c r="AQ237" s="70">
        <f t="shared" si="717"/>
        <v>0.13770540932021377</v>
      </c>
      <c r="AR237" s="70">
        <f t="shared" si="717"/>
        <v>0.291394036261925</v>
      </c>
      <c r="AS237" s="70">
        <f t="shared" si="717"/>
        <v>5.7189950551920485E-2</v>
      </c>
      <c r="AT237" s="70">
        <f t="shared" si="717"/>
        <v>4.3029818690375109E-2</v>
      </c>
      <c r="AU237" s="70"/>
      <c r="AV237" s="70"/>
      <c r="AW237" s="81">
        <f t="shared" si="14"/>
        <v>0</v>
      </c>
      <c r="AX237" s="70">
        <f t="shared" ref="AX237:BG237" si="718">O237/$AI237</f>
        <v>0</v>
      </c>
      <c r="AY237" s="70">
        <f t="shared" si="718"/>
        <v>0</v>
      </c>
      <c r="AZ237" s="70">
        <f t="shared" si="718"/>
        <v>0</v>
      </c>
      <c r="BA237" s="70">
        <f t="shared" si="718"/>
        <v>0</v>
      </c>
      <c r="BB237" s="70">
        <f t="shared" si="718"/>
        <v>0</v>
      </c>
      <c r="BC237" s="70">
        <f t="shared" si="718"/>
        <v>0</v>
      </c>
      <c r="BD237" s="70">
        <f t="shared" si="718"/>
        <v>0</v>
      </c>
      <c r="BE237" s="70">
        <f t="shared" si="718"/>
        <v>0</v>
      </c>
      <c r="BF237" s="70">
        <f t="shared" si="718"/>
        <v>0</v>
      </c>
      <c r="BG237" s="70">
        <f t="shared" si="718"/>
        <v>0</v>
      </c>
      <c r="BH237" s="70">
        <f t="shared" si="16"/>
        <v>0</v>
      </c>
      <c r="BI237" s="62"/>
      <c r="BJ237" s="69">
        <v>0.40400000000000003</v>
      </c>
      <c r="BK237" s="69">
        <v>0.32900000000000001</v>
      </c>
      <c r="BL237" s="69">
        <v>0.157</v>
      </c>
      <c r="BM237" s="69">
        <v>5.8999999999999997E-2</v>
      </c>
      <c r="BN237" s="69">
        <v>2.7E-2</v>
      </c>
      <c r="BO237" s="69">
        <v>0</v>
      </c>
      <c r="BP237" s="69">
        <v>0</v>
      </c>
      <c r="BQ237" s="69">
        <v>2.3E-2</v>
      </c>
      <c r="BR237" s="62"/>
      <c r="BS237" s="72">
        <f t="shared" ref="BS237:BW237" si="719">AP237-BJ237</f>
        <v>6.6680785175565638E-2</v>
      </c>
      <c r="BT237" s="72">
        <f t="shared" si="719"/>
        <v>-0.19129459067978624</v>
      </c>
      <c r="BU237" s="72">
        <f t="shared" si="719"/>
        <v>0.134394036261925</v>
      </c>
      <c r="BV237" s="72">
        <f t="shared" si="719"/>
        <v>-1.8100494480795121E-3</v>
      </c>
      <c r="BW237" s="72">
        <f t="shared" si="719"/>
        <v>1.6029818690375109E-2</v>
      </c>
      <c r="BX237" s="72"/>
      <c r="BY237" s="72"/>
      <c r="BZ237" s="72">
        <f t="shared" si="18"/>
        <v>-2.3E-2</v>
      </c>
    </row>
    <row r="238" spans="1:78" ht="13.15">
      <c r="A238" s="78" t="s">
        <v>5</v>
      </c>
      <c r="B238" s="74" t="s">
        <v>519</v>
      </c>
      <c r="C238" s="75" t="s">
        <v>520</v>
      </c>
      <c r="D238" s="75" t="s">
        <v>44</v>
      </c>
      <c r="E238" s="76"/>
      <c r="F238" s="59"/>
      <c r="G238" s="60"/>
      <c r="H238" s="77">
        <v>27209</v>
      </c>
      <c r="I238" s="77">
        <v>6630</v>
      </c>
      <c r="J238" s="77">
        <v>4558</v>
      </c>
      <c r="K238" s="77">
        <v>3046</v>
      </c>
      <c r="L238" s="77">
        <v>7418</v>
      </c>
      <c r="M238" s="77"/>
      <c r="N238" s="77"/>
      <c r="O238" s="77">
        <v>3048</v>
      </c>
      <c r="P238" s="77"/>
      <c r="Q238" s="77"/>
      <c r="R238" s="77"/>
      <c r="S238" s="77"/>
      <c r="T238" s="77"/>
      <c r="U238" s="77"/>
      <c r="V238" s="77"/>
      <c r="W238" s="77"/>
      <c r="X238" s="77"/>
      <c r="Y238" s="77"/>
      <c r="Z238" s="77"/>
      <c r="AA238" s="77"/>
      <c r="AB238" s="77"/>
      <c r="AC238" s="77"/>
      <c r="AD238" s="77"/>
      <c r="AE238" s="62"/>
      <c r="AF238" s="63" t="b">
        <v>0</v>
      </c>
      <c r="AG238" s="63" t="b">
        <v>0</v>
      </c>
      <c r="AH238" s="62"/>
      <c r="AI238" s="64">
        <f t="shared" si="7"/>
        <v>51909</v>
      </c>
      <c r="AJ238" s="65" t="str">
        <f t="shared" si="340"/>
        <v>LAB</v>
      </c>
      <c r="AK238" s="66" t="str">
        <f t="shared" si="9"/>
        <v>HOLD</v>
      </c>
      <c r="AL238" s="67" t="e">
        <f t="shared" ca="1" si="10"/>
        <v>#NAME?</v>
      </c>
      <c r="AM238" s="68">
        <f t="shared" si="637"/>
        <v>19791</v>
      </c>
      <c r="AN238" s="69">
        <f t="shared" si="638"/>
        <v>0.38126336473443911</v>
      </c>
      <c r="AO238" s="62"/>
      <c r="AP238" s="70">
        <f t="shared" ref="AP238:AT238" si="720">H238/$AI238</f>
        <v>0.52416729276233409</v>
      </c>
      <c r="AQ238" s="70">
        <f t="shared" si="720"/>
        <v>0.12772351615326821</v>
      </c>
      <c r="AR238" s="70">
        <f t="shared" si="720"/>
        <v>8.7807509295112607E-2</v>
      </c>
      <c r="AS238" s="70">
        <f t="shared" si="720"/>
        <v>5.8679612398620663E-2</v>
      </c>
      <c r="AT238" s="70">
        <f t="shared" si="720"/>
        <v>0.14290392802789498</v>
      </c>
      <c r="AU238" s="70"/>
      <c r="AV238" s="70"/>
      <c r="AW238" s="81">
        <f t="shared" si="14"/>
        <v>5.8718141362769427E-2</v>
      </c>
      <c r="AX238" s="70">
        <f t="shared" ref="AX238:BG238" si="721">O238/$AI238</f>
        <v>5.8718141362769462E-2</v>
      </c>
      <c r="AY238" s="70">
        <f t="shared" si="721"/>
        <v>0</v>
      </c>
      <c r="AZ238" s="70">
        <f t="shared" si="721"/>
        <v>0</v>
      </c>
      <c r="BA238" s="70">
        <f t="shared" si="721"/>
        <v>0</v>
      </c>
      <c r="BB238" s="70">
        <f t="shared" si="721"/>
        <v>0</v>
      </c>
      <c r="BC238" s="70">
        <f t="shared" si="721"/>
        <v>0</v>
      </c>
      <c r="BD238" s="70">
        <f t="shared" si="721"/>
        <v>0</v>
      </c>
      <c r="BE238" s="70">
        <f t="shared" si="721"/>
        <v>0</v>
      </c>
      <c r="BF238" s="70">
        <f t="shared" si="721"/>
        <v>0</v>
      </c>
      <c r="BG238" s="70">
        <f t="shared" si="721"/>
        <v>0</v>
      </c>
      <c r="BH238" s="70">
        <f t="shared" si="16"/>
        <v>0</v>
      </c>
      <c r="BI238" s="62"/>
      <c r="BJ238" s="69">
        <v>0.58299999999999996</v>
      </c>
      <c r="BK238" s="69">
        <v>0.28100000000000003</v>
      </c>
      <c r="BL238" s="69">
        <v>0.02</v>
      </c>
      <c r="BM238" s="69">
        <v>6.6000000000000003E-2</v>
      </c>
      <c r="BN238" s="69">
        <v>4.3999999999999997E-2</v>
      </c>
      <c r="BO238" s="69">
        <v>0</v>
      </c>
      <c r="BP238" s="69">
        <v>0</v>
      </c>
      <c r="BQ238" s="69">
        <v>6.0000000000000001E-3</v>
      </c>
      <c r="BR238" s="62"/>
      <c r="BS238" s="72">
        <f t="shared" ref="BS238:BW238" si="722">AP238-BJ238</f>
        <v>-5.8832707237665871E-2</v>
      </c>
      <c r="BT238" s="72">
        <f t="shared" si="722"/>
        <v>-0.15327648384673181</v>
      </c>
      <c r="BU238" s="72">
        <f t="shared" si="722"/>
        <v>6.7807509295112603E-2</v>
      </c>
      <c r="BV238" s="72">
        <f t="shared" si="722"/>
        <v>-7.3203876013793398E-3</v>
      </c>
      <c r="BW238" s="72">
        <f t="shared" si="722"/>
        <v>9.890392802789498E-2</v>
      </c>
      <c r="BX238" s="72"/>
      <c r="BY238" s="72"/>
      <c r="BZ238" s="72">
        <f t="shared" si="18"/>
        <v>5.2718141362769463E-2</v>
      </c>
    </row>
    <row r="239" spans="1:78" ht="13.15">
      <c r="A239" s="78" t="s">
        <v>5</v>
      </c>
      <c r="B239" s="74" t="s">
        <v>521</v>
      </c>
      <c r="C239" s="75" t="s">
        <v>522</v>
      </c>
      <c r="D239" s="75" t="s">
        <v>71</v>
      </c>
      <c r="E239" s="76"/>
      <c r="F239" s="59"/>
      <c r="G239" s="60"/>
      <c r="H239" s="77">
        <v>15101</v>
      </c>
      <c r="I239" s="77">
        <v>6559</v>
      </c>
      <c r="J239" s="77">
        <v>6196</v>
      </c>
      <c r="K239" s="77">
        <v>1741</v>
      </c>
      <c r="L239" s="77">
        <v>10568</v>
      </c>
      <c r="M239" s="77"/>
      <c r="N239" s="77"/>
      <c r="O239" s="77"/>
      <c r="P239" s="77"/>
      <c r="Q239" s="77"/>
      <c r="R239" s="77"/>
      <c r="S239" s="77"/>
      <c r="T239" s="77"/>
      <c r="U239" s="77"/>
      <c r="V239" s="77"/>
      <c r="W239" s="77"/>
      <c r="X239" s="77"/>
      <c r="Y239" s="77"/>
      <c r="Z239" s="77"/>
      <c r="AA239" s="77"/>
      <c r="AB239" s="77"/>
      <c r="AC239" s="77"/>
      <c r="AD239" s="77"/>
      <c r="AE239" s="62"/>
      <c r="AF239" s="63" t="b">
        <v>0</v>
      </c>
      <c r="AG239" s="63" t="b">
        <v>0</v>
      </c>
      <c r="AH239" s="62"/>
      <c r="AI239" s="64">
        <f t="shared" si="7"/>
        <v>40165</v>
      </c>
      <c r="AJ239" s="65" t="str">
        <f t="shared" si="340"/>
        <v>LAB</v>
      </c>
      <c r="AK239" s="66" t="str">
        <f t="shared" si="9"/>
        <v>HOLD</v>
      </c>
      <c r="AL239" s="67" t="e">
        <f t="shared" ca="1" si="10"/>
        <v>#NAME?</v>
      </c>
      <c r="AM239" s="68">
        <f t="shared" si="637"/>
        <v>4533</v>
      </c>
      <c r="AN239" s="69">
        <f t="shared" si="638"/>
        <v>0.1128594547491597</v>
      </c>
      <c r="AO239" s="62"/>
      <c r="AP239" s="70">
        <f t="shared" ref="AP239:AT239" si="723">H239/$AI239</f>
        <v>0.37597410680941118</v>
      </c>
      <c r="AQ239" s="70">
        <f t="shared" si="723"/>
        <v>0.1633013818000747</v>
      </c>
      <c r="AR239" s="70">
        <f t="shared" si="723"/>
        <v>0.1542636623926304</v>
      </c>
      <c r="AS239" s="70">
        <f t="shared" si="723"/>
        <v>4.3346196937632267E-2</v>
      </c>
      <c r="AT239" s="70">
        <f t="shared" si="723"/>
        <v>0.26311465206025147</v>
      </c>
      <c r="AU239" s="70"/>
      <c r="AV239" s="70"/>
      <c r="AW239" s="81">
        <f t="shared" si="14"/>
        <v>0</v>
      </c>
      <c r="AX239" s="70">
        <f t="shared" ref="AX239:BG239" si="724">O239/$AI239</f>
        <v>0</v>
      </c>
      <c r="AY239" s="70">
        <f t="shared" si="724"/>
        <v>0</v>
      </c>
      <c r="AZ239" s="70">
        <f t="shared" si="724"/>
        <v>0</v>
      </c>
      <c r="BA239" s="70">
        <f t="shared" si="724"/>
        <v>0</v>
      </c>
      <c r="BB239" s="70">
        <f t="shared" si="724"/>
        <v>0</v>
      </c>
      <c r="BC239" s="70">
        <f t="shared" si="724"/>
        <v>0</v>
      </c>
      <c r="BD239" s="70">
        <f t="shared" si="724"/>
        <v>0</v>
      </c>
      <c r="BE239" s="70">
        <f t="shared" si="724"/>
        <v>0</v>
      </c>
      <c r="BF239" s="70">
        <f t="shared" si="724"/>
        <v>0</v>
      </c>
      <c r="BG239" s="70">
        <f t="shared" si="724"/>
        <v>0</v>
      </c>
      <c r="BH239" s="70">
        <f t="shared" si="16"/>
        <v>0</v>
      </c>
      <c r="BI239" s="62"/>
      <c r="BJ239" s="69">
        <v>0.51400000000000001</v>
      </c>
      <c r="BK239" s="69">
        <v>0.36399999999999999</v>
      </c>
      <c r="BL239" s="69">
        <v>3.4000000000000002E-2</v>
      </c>
      <c r="BM239" s="69">
        <v>0.05</v>
      </c>
      <c r="BN239" s="69">
        <v>3.7999999999999999E-2</v>
      </c>
      <c r="BO239" s="69">
        <v>0</v>
      </c>
      <c r="BP239" s="69">
        <v>0</v>
      </c>
      <c r="BQ239" s="69">
        <v>0</v>
      </c>
      <c r="BR239" s="62"/>
      <c r="BS239" s="72">
        <f t="shared" ref="BS239:BW239" si="725">AP239-BJ239</f>
        <v>-0.13802589319058883</v>
      </c>
      <c r="BT239" s="72">
        <f t="shared" si="725"/>
        <v>-0.20069861819992529</v>
      </c>
      <c r="BU239" s="72">
        <f t="shared" si="725"/>
        <v>0.12026366239263039</v>
      </c>
      <c r="BV239" s="72">
        <f t="shared" si="725"/>
        <v>-6.6538030623677358E-3</v>
      </c>
      <c r="BW239" s="72">
        <f t="shared" si="725"/>
        <v>0.22511465206025147</v>
      </c>
      <c r="BX239" s="72"/>
      <c r="BY239" s="72"/>
      <c r="BZ239" s="72">
        <f t="shared" si="18"/>
        <v>0</v>
      </c>
    </row>
    <row r="240" spans="1:78" ht="13.15">
      <c r="A240" s="73" t="s">
        <v>6</v>
      </c>
      <c r="B240" s="74" t="s">
        <v>523</v>
      </c>
      <c r="C240" s="75" t="s">
        <v>524</v>
      </c>
      <c r="D240" s="75" t="s">
        <v>78</v>
      </c>
      <c r="E240" s="76">
        <v>75590</v>
      </c>
      <c r="F240" s="59">
        <v>0.68799999999999994</v>
      </c>
      <c r="G240" s="60"/>
      <c r="H240" s="77">
        <v>16758</v>
      </c>
      <c r="I240" s="77">
        <v>18257</v>
      </c>
      <c r="J240" s="77">
        <v>8039</v>
      </c>
      <c r="K240" s="77">
        <v>4821</v>
      </c>
      <c r="L240" s="77">
        <v>3042</v>
      </c>
      <c r="M240" s="77"/>
      <c r="N240" s="77"/>
      <c r="O240" s="77"/>
      <c r="P240" s="77"/>
      <c r="Q240" s="77"/>
      <c r="R240" s="77"/>
      <c r="S240" s="77"/>
      <c r="T240" s="77"/>
      <c r="U240" s="77"/>
      <c r="V240" s="77"/>
      <c r="W240" s="77"/>
      <c r="X240" s="77"/>
      <c r="Y240" s="77">
        <v>1123</v>
      </c>
      <c r="Z240" s="77"/>
      <c r="AA240" s="77"/>
      <c r="AB240" s="77"/>
      <c r="AC240" s="77"/>
      <c r="AD240" s="77"/>
      <c r="AE240" s="62"/>
      <c r="AF240" s="63" t="b">
        <v>0</v>
      </c>
      <c r="AG240" s="63" t="b">
        <v>0</v>
      </c>
      <c r="AH240" s="62"/>
      <c r="AI240" s="64">
        <f t="shared" si="7"/>
        <v>52040</v>
      </c>
      <c r="AJ240" s="65" t="str">
        <f t="shared" si="340"/>
        <v>CON</v>
      </c>
      <c r="AK240" s="66" t="str">
        <f t="shared" si="9"/>
        <v>HOLD</v>
      </c>
      <c r="AL240" s="67" t="e">
        <f t="shared" ca="1" si="10"/>
        <v>#NAME?</v>
      </c>
      <c r="AM240" s="68">
        <f t="shared" si="637"/>
        <v>1499</v>
      </c>
      <c r="AN240" s="69">
        <f t="shared" si="638"/>
        <v>2.8804765564950041E-2</v>
      </c>
      <c r="AO240" s="62"/>
      <c r="AP240" s="70">
        <f t="shared" ref="AP240:AT240" si="726">H240/$AI240</f>
        <v>0.32202152190622596</v>
      </c>
      <c r="AQ240" s="70">
        <f t="shared" si="726"/>
        <v>0.350826287471176</v>
      </c>
      <c r="AR240" s="70">
        <f t="shared" si="726"/>
        <v>0.1544773251345119</v>
      </c>
      <c r="AS240" s="70">
        <f t="shared" si="726"/>
        <v>9.2640276710222902E-2</v>
      </c>
      <c r="AT240" s="70">
        <f t="shared" si="726"/>
        <v>5.8455034588777863E-2</v>
      </c>
      <c r="AU240" s="70"/>
      <c r="AV240" s="70"/>
      <c r="AW240" s="81">
        <f t="shared" si="14"/>
        <v>2.1579554189085304E-2</v>
      </c>
      <c r="AX240" s="70">
        <f t="shared" ref="AX240:BG240" si="727">O240/$AI240</f>
        <v>0</v>
      </c>
      <c r="AY240" s="70">
        <f t="shared" si="727"/>
        <v>0</v>
      </c>
      <c r="AZ240" s="70">
        <f t="shared" si="727"/>
        <v>0</v>
      </c>
      <c r="BA240" s="70">
        <f t="shared" si="727"/>
        <v>0</v>
      </c>
      <c r="BB240" s="70">
        <f t="shared" si="727"/>
        <v>0</v>
      </c>
      <c r="BC240" s="70">
        <f t="shared" si="727"/>
        <v>0</v>
      </c>
      <c r="BD240" s="70">
        <f t="shared" si="727"/>
        <v>0</v>
      </c>
      <c r="BE240" s="70">
        <f t="shared" si="727"/>
        <v>0</v>
      </c>
      <c r="BF240" s="70">
        <f t="shared" si="727"/>
        <v>0</v>
      </c>
      <c r="BG240" s="70">
        <f t="shared" si="727"/>
        <v>0</v>
      </c>
      <c r="BH240" s="70">
        <f t="shared" si="16"/>
        <v>2.1579554189085304E-2</v>
      </c>
      <c r="BI240" s="62"/>
      <c r="BJ240" s="69">
        <v>0.20799999999999999</v>
      </c>
      <c r="BK240" s="69">
        <v>0.59199999999999997</v>
      </c>
      <c r="BL240" s="69">
        <v>0</v>
      </c>
      <c r="BM240" s="69">
        <v>0.14000000000000001</v>
      </c>
      <c r="BN240" s="69">
        <v>3.5000000000000003E-2</v>
      </c>
      <c r="BO240" s="69">
        <v>0</v>
      </c>
      <c r="BP240" s="69">
        <v>0</v>
      </c>
      <c r="BQ240" s="69">
        <v>2.5000000000000001E-2</v>
      </c>
      <c r="BR240" s="62"/>
      <c r="BS240" s="72">
        <f t="shared" ref="BS240:BW240" si="728">AP240-BJ240</f>
        <v>0.11402152190622597</v>
      </c>
      <c r="BT240" s="72">
        <f t="shared" si="728"/>
        <v>-0.24117371252882397</v>
      </c>
      <c r="BU240" s="72">
        <f t="shared" si="728"/>
        <v>0.1544773251345119</v>
      </c>
      <c r="BV240" s="72">
        <f t="shared" si="728"/>
        <v>-4.7359723289777111E-2</v>
      </c>
      <c r="BW240" s="72">
        <f t="shared" si="728"/>
        <v>2.3455034588777859E-2</v>
      </c>
      <c r="BX240" s="72"/>
      <c r="BY240" s="72"/>
      <c r="BZ240" s="72">
        <f t="shared" si="18"/>
        <v>-3.4204458109146976E-3</v>
      </c>
    </row>
    <row r="241" spans="1:78" ht="13.15">
      <c r="A241" s="73" t="s">
        <v>6</v>
      </c>
      <c r="B241" s="74" t="s">
        <v>525</v>
      </c>
      <c r="C241" s="75" t="s">
        <v>526</v>
      </c>
      <c r="D241" s="75" t="s">
        <v>50</v>
      </c>
      <c r="E241" s="76"/>
      <c r="F241" s="59"/>
      <c r="G241" s="60"/>
      <c r="H241" s="77">
        <v>12186</v>
      </c>
      <c r="I241" s="77">
        <v>10499</v>
      </c>
      <c r="J241" s="77">
        <v>7541</v>
      </c>
      <c r="K241" s="77">
        <v>1210</v>
      </c>
      <c r="L241" s="77">
        <v>4938</v>
      </c>
      <c r="M241" s="77"/>
      <c r="N241" s="77"/>
      <c r="O241" s="77"/>
      <c r="P241" s="77"/>
      <c r="Q241" s="77"/>
      <c r="R241" s="77"/>
      <c r="S241" s="77"/>
      <c r="T241" s="77"/>
      <c r="U241" s="77"/>
      <c r="V241" s="77"/>
      <c r="W241" s="77"/>
      <c r="X241" s="77"/>
      <c r="Y241" s="77"/>
      <c r="Z241" s="77"/>
      <c r="AA241" s="77"/>
      <c r="AB241" s="77"/>
      <c r="AC241" s="77"/>
      <c r="AD241" s="77"/>
      <c r="AE241" s="62"/>
      <c r="AF241" s="63" t="b">
        <v>0</v>
      </c>
      <c r="AG241" s="63" t="b">
        <v>0</v>
      </c>
      <c r="AH241" s="62"/>
      <c r="AI241" s="64">
        <f t="shared" si="7"/>
        <v>36374</v>
      </c>
      <c r="AJ241" s="65" t="str">
        <f t="shared" si="340"/>
        <v>LAB</v>
      </c>
      <c r="AK241" s="66" t="str">
        <f t="shared" si="9"/>
        <v>GAIN</v>
      </c>
      <c r="AL241" s="67" t="e">
        <f t="shared" ca="1" si="10"/>
        <v>#NAME?</v>
      </c>
      <c r="AM241" s="68">
        <f t="shared" si="637"/>
        <v>1687</v>
      </c>
      <c r="AN241" s="69">
        <f t="shared" si="638"/>
        <v>4.6379281904657177E-2</v>
      </c>
      <c r="AO241" s="62"/>
      <c r="AP241" s="70">
        <f t="shared" ref="AP241:AT241" si="729">H241/$AI241</f>
        <v>0.33501951943696046</v>
      </c>
      <c r="AQ241" s="70">
        <f t="shared" si="729"/>
        <v>0.28864023753230328</v>
      </c>
      <c r="AR241" s="70">
        <f t="shared" si="729"/>
        <v>0.2073184142519382</v>
      </c>
      <c r="AS241" s="70">
        <f t="shared" si="729"/>
        <v>3.3265519326991809E-2</v>
      </c>
      <c r="AT241" s="70">
        <f t="shared" si="729"/>
        <v>0.13575630945180622</v>
      </c>
      <c r="AU241" s="70"/>
      <c r="AV241" s="70"/>
      <c r="AW241" s="81">
        <f t="shared" si="14"/>
        <v>0</v>
      </c>
      <c r="AX241" s="70">
        <f t="shared" ref="AX241:BG241" si="730">O241/$AI241</f>
        <v>0</v>
      </c>
      <c r="AY241" s="70">
        <f t="shared" si="730"/>
        <v>0</v>
      </c>
      <c r="AZ241" s="70">
        <f t="shared" si="730"/>
        <v>0</v>
      </c>
      <c r="BA241" s="70">
        <f t="shared" si="730"/>
        <v>0</v>
      </c>
      <c r="BB241" s="70">
        <f t="shared" si="730"/>
        <v>0</v>
      </c>
      <c r="BC241" s="70">
        <f t="shared" si="730"/>
        <v>0</v>
      </c>
      <c r="BD241" s="70">
        <f t="shared" si="730"/>
        <v>0</v>
      </c>
      <c r="BE241" s="70">
        <f t="shared" si="730"/>
        <v>0</v>
      </c>
      <c r="BF241" s="70">
        <f t="shared" si="730"/>
        <v>0</v>
      </c>
      <c r="BG241" s="70">
        <f t="shared" si="730"/>
        <v>0</v>
      </c>
      <c r="BH241" s="70">
        <f t="shared" si="16"/>
        <v>0</v>
      </c>
      <c r="BI241" s="62"/>
      <c r="BJ241" s="69">
        <v>0.41499999999999998</v>
      </c>
      <c r="BK241" s="69">
        <v>0.48499999999999999</v>
      </c>
      <c r="BL241" s="69">
        <v>5.0999999999999997E-2</v>
      </c>
      <c r="BM241" s="69">
        <v>2.9000000000000001E-2</v>
      </c>
      <c r="BN241" s="69">
        <v>0.02</v>
      </c>
      <c r="BO241" s="69">
        <v>0</v>
      </c>
      <c r="BP241" s="69">
        <v>0</v>
      </c>
      <c r="BQ241" s="69">
        <v>0</v>
      </c>
      <c r="BR241" s="62"/>
      <c r="BS241" s="72">
        <f t="shared" ref="BS241:BW241" si="731">AP241-BJ241</f>
        <v>-7.9980480563039524E-2</v>
      </c>
      <c r="BT241" s="72">
        <f t="shared" si="731"/>
        <v>-0.19635976246769671</v>
      </c>
      <c r="BU241" s="72">
        <f t="shared" si="731"/>
        <v>0.15631841425193821</v>
      </c>
      <c r="BV241" s="72">
        <f t="shared" si="731"/>
        <v>4.2655193269918075E-3</v>
      </c>
      <c r="BW241" s="72">
        <f t="shared" si="731"/>
        <v>0.11575630945180622</v>
      </c>
      <c r="BX241" s="72"/>
      <c r="BY241" s="72"/>
      <c r="BZ241" s="72">
        <f t="shared" si="18"/>
        <v>0</v>
      </c>
    </row>
    <row r="242" spans="1:78" ht="13.15">
      <c r="A242" s="78" t="s">
        <v>5</v>
      </c>
      <c r="B242" s="74" t="s">
        <v>527</v>
      </c>
      <c r="C242" s="75" t="s">
        <v>528</v>
      </c>
      <c r="D242" s="75" t="s">
        <v>68</v>
      </c>
      <c r="E242" s="76"/>
      <c r="F242" s="59"/>
      <c r="G242" s="60"/>
      <c r="H242" s="77">
        <v>15647</v>
      </c>
      <c r="I242" s="77">
        <v>9619</v>
      </c>
      <c r="J242" s="77">
        <v>3621</v>
      </c>
      <c r="K242" s="77">
        <v>1088</v>
      </c>
      <c r="L242" s="77">
        <v>1794</v>
      </c>
      <c r="M242" s="77"/>
      <c r="N242" s="77"/>
      <c r="O242" s="77">
        <v>15119</v>
      </c>
      <c r="P242" s="77"/>
      <c r="Q242" s="77"/>
      <c r="R242" s="77"/>
      <c r="S242" s="77"/>
      <c r="T242" s="77"/>
      <c r="U242" s="77"/>
      <c r="V242" s="77"/>
      <c r="W242" s="77"/>
      <c r="X242" s="77"/>
      <c r="Y242" s="77"/>
      <c r="Z242" s="77"/>
      <c r="AA242" s="77"/>
      <c r="AB242" s="77"/>
      <c r="AC242" s="77"/>
      <c r="AD242" s="77"/>
      <c r="AE242" s="62"/>
      <c r="AF242" s="63" t="b">
        <v>0</v>
      </c>
      <c r="AG242" s="63" t="b">
        <v>0</v>
      </c>
      <c r="AH242" s="62"/>
      <c r="AI242" s="64">
        <f t="shared" si="7"/>
        <v>46888</v>
      </c>
      <c r="AJ242" s="65" t="str">
        <f t="shared" si="340"/>
        <v>LAB</v>
      </c>
      <c r="AK242" s="66" t="str">
        <f t="shared" si="9"/>
        <v>HOLD</v>
      </c>
      <c r="AL242" s="67" t="e">
        <f t="shared" ca="1" si="10"/>
        <v>#NAME?</v>
      </c>
      <c r="AM242" s="68">
        <f t="shared" si="637"/>
        <v>528</v>
      </c>
      <c r="AN242" s="69">
        <f t="shared" si="638"/>
        <v>1.1260876983449908E-2</v>
      </c>
      <c r="AO242" s="62"/>
      <c r="AP242" s="70">
        <f t="shared" ref="AP242:AT242" si="732">H242/$AI242</f>
        <v>0.33371011772735026</v>
      </c>
      <c r="AQ242" s="70">
        <f t="shared" si="732"/>
        <v>0.20514843883296366</v>
      </c>
      <c r="AR242" s="70">
        <f t="shared" si="732"/>
        <v>7.7226582494454868E-2</v>
      </c>
      <c r="AS242" s="70">
        <f t="shared" si="732"/>
        <v>2.3204231359836205E-2</v>
      </c>
      <c r="AT242" s="70">
        <f t="shared" si="732"/>
        <v>3.8261388841494624E-2</v>
      </c>
      <c r="AU242" s="70"/>
      <c r="AV242" s="70"/>
      <c r="AW242" s="81">
        <f t="shared" si="14"/>
        <v>0.32244924074390036</v>
      </c>
      <c r="AX242" s="70">
        <f t="shared" ref="AX242:BG242" si="733">O242/$AI242</f>
        <v>0.32244924074390036</v>
      </c>
      <c r="AY242" s="70">
        <f t="shared" si="733"/>
        <v>0</v>
      </c>
      <c r="AZ242" s="70">
        <f t="shared" si="733"/>
        <v>0</v>
      </c>
      <c r="BA242" s="70">
        <f t="shared" si="733"/>
        <v>0</v>
      </c>
      <c r="BB242" s="70">
        <f t="shared" si="733"/>
        <v>0</v>
      </c>
      <c r="BC242" s="70">
        <f t="shared" si="733"/>
        <v>0</v>
      </c>
      <c r="BD242" s="70">
        <f t="shared" si="733"/>
        <v>0</v>
      </c>
      <c r="BE242" s="70">
        <f t="shared" si="733"/>
        <v>0</v>
      </c>
      <c r="BF242" s="70">
        <f t="shared" si="733"/>
        <v>0</v>
      </c>
      <c r="BG242" s="70">
        <f t="shared" si="733"/>
        <v>0</v>
      </c>
      <c r="BH242" s="70">
        <f t="shared" si="16"/>
        <v>0</v>
      </c>
      <c r="BI242" s="62"/>
      <c r="BJ242" s="69">
        <v>0.54100000000000004</v>
      </c>
      <c r="BK242" s="69">
        <v>0.36699999999999999</v>
      </c>
      <c r="BL242" s="69">
        <v>1.9E-2</v>
      </c>
      <c r="BM242" s="69">
        <v>0.04</v>
      </c>
      <c r="BN242" s="69">
        <v>1.4E-2</v>
      </c>
      <c r="BO242" s="69">
        <v>0</v>
      </c>
      <c r="BP242" s="69">
        <v>0</v>
      </c>
      <c r="BQ242" s="69">
        <v>0.02</v>
      </c>
      <c r="BR242" s="62"/>
      <c r="BS242" s="72">
        <f t="shared" ref="BS242:BW242" si="734">AP242-BJ242</f>
        <v>-0.20728988227264977</v>
      </c>
      <c r="BT242" s="72">
        <f t="shared" si="734"/>
        <v>-0.16185156116703633</v>
      </c>
      <c r="BU242" s="72">
        <f t="shared" si="734"/>
        <v>5.8226582494454865E-2</v>
      </c>
      <c r="BV242" s="72">
        <f t="shared" si="734"/>
        <v>-1.6795768640163796E-2</v>
      </c>
      <c r="BW242" s="72">
        <f t="shared" si="734"/>
        <v>2.4261388841494626E-2</v>
      </c>
      <c r="BX242" s="72"/>
      <c r="BY242" s="72"/>
      <c r="BZ242" s="72">
        <f t="shared" si="18"/>
        <v>0.30244924074390034</v>
      </c>
    </row>
    <row r="243" spans="1:78" ht="13.15">
      <c r="A243" s="78" t="s">
        <v>5</v>
      </c>
      <c r="B243" s="74" t="s">
        <v>529</v>
      </c>
      <c r="C243" s="75" t="s">
        <v>530</v>
      </c>
      <c r="D243" s="75" t="s">
        <v>68</v>
      </c>
      <c r="E243" s="76"/>
      <c r="F243" s="59"/>
      <c r="G243" s="60"/>
      <c r="H243" s="77">
        <v>16537</v>
      </c>
      <c r="I243" s="77">
        <v>6142</v>
      </c>
      <c r="J243" s="77">
        <v>2329</v>
      </c>
      <c r="K243" s="77">
        <v>1340</v>
      </c>
      <c r="L243" s="77">
        <v>3537</v>
      </c>
      <c r="M243" s="77"/>
      <c r="N243" s="77"/>
      <c r="O243" s="77">
        <v>9643</v>
      </c>
      <c r="P243" s="77">
        <v>1366</v>
      </c>
      <c r="Q243" s="77"/>
      <c r="R243" s="77"/>
      <c r="S243" s="77"/>
      <c r="T243" s="77"/>
      <c r="U243" s="77"/>
      <c r="V243" s="77"/>
      <c r="W243" s="77"/>
      <c r="X243" s="77"/>
      <c r="Y243" s="77">
        <v>376</v>
      </c>
      <c r="Z243" s="77"/>
      <c r="AA243" s="77"/>
      <c r="AB243" s="77"/>
      <c r="AC243" s="77"/>
      <c r="AD243" s="77"/>
      <c r="AE243" s="62"/>
      <c r="AF243" s="63" t="b">
        <v>0</v>
      </c>
      <c r="AG243" s="63" t="b">
        <v>0</v>
      </c>
      <c r="AH243" s="62"/>
      <c r="AI243" s="64">
        <f t="shared" si="7"/>
        <v>41270</v>
      </c>
      <c r="AJ243" s="65" t="str">
        <f t="shared" si="340"/>
        <v>LAB</v>
      </c>
      <c r="AK243" s="66" t="str">
        <f t="shared" si="9"/>
        <v>HOLD</v>
      </c>
      <c r="AL243" s="67" t="e">
        <f t="shared" ca="1" si="10"/>
        <v>#NAME?</v>
      </c>
      <c r="AM243" s="68">
        <f t="shared" si="637"/>
        <v>6894</v>
      </c>
      <c r="AN243" s="69">
        <f t="shared" si="638"/>
        <v>0.16704628059122847</v>
      </c>
      <c r="AO243" s="62"/>
      <c r="AP243" s="70">
        <f t="shared" ref="AP243:AT243" si="735">H243/$AI243</f>
        <v>0.40070268960503996</v>
      </c>
      <c r="AQ243" s="70">
        <f t="shared" si="735"/>
        <v>0.14882481221226071</v>
      </c>
      <c r="AR243" s="70">
        <f t="shared" si="735"/>
        <v>5.6433244487521204E-2</v>
      </c>
      <c r="AS243" s="70">
        <f t="shared" si="735"/>
        <v>3.2469105888054274E-2</v>
      </c>
      <c r="AT243" s="70">
        <f t="shared" si="735"/>
        <v>8.570390113884177E-2</v>
      </c>
      <c r="AU243" s="70"/>
      <c r="AV243" s="70"/>
      <c r="AW243" s="81">
        <f t="shared" si="14"/>
        <v>0.27586624666828208</v>
      </c>
      <c r="AX243" s="70">
        <f t="shared" ref="AX243:BG243" si="736">O243/$AI243</f>
        <v>0.23365640901381149</v>
      </c>
      <c r="AY243" s="70">
        <f t="shared" si="736"/>
        <v>3.3099103464986672E-2</v>
      </c>
      <c r="AZ243" s="70">
        <f t="shared" si="736"/>
        <v>0</v>
      </c>
      <c r="BA243" s="70">
        <f t="shared" si="736"/>
        <v>0</v>
      </c>
      <c r="BB243" s="70">
        <f t="shared" si="736"/>
        <v>0</v>
      </c>
      <c r="BC243" s="70">
        <f t="shared" si="736"/>
        <v>0</v>
      </c>
      <c r="BD243" s="70">
        <f t="shared" si="736"/>
        <v>0</v>
      </c>
      <c r="BE243" s="70">
        <f t="shared" si="736"/>
        <v>0</v>
      </c>
      <c r="BF243" s="70">
        <f t="shared" si="736"/>
        <v>0</v>
      </c>
      <c r="BG243" s="70">
        <f t="shared" si="736"/>
        <v>0</v>
      </c>
      <c r="BH243" s="70">
        <f t="shared" si="16"/>
        <v>9.1107341894839378E-3</v>
      </c>
      <c r="BI243" s="62"/>
      <c r="BJ243" s="69">
        <v>0.65200000000000002</v>
      </c>
      <c r="BK243" s="69">
        <v>0.21199999999999999</v>
      </c>
      <c r="BL243" s="69">
        <v>2.1999999999999999E-2</v>
      </c>
      <c r="BM243" s="69">
        <v>3.3000000000000002E-2</v>
      </c>
      <c r="BN243" s="69">
        <v>1.2999999999999999E-2</v>
      </c>
      <c r="BO243" s="69">
        <v>0</v>
      </c>
      <c r="BP243" s="69">
        <v>0</v>
      </c>
      <c r="BQ243" s="69">
        <v>6.7000000000000004E-2</v>
      </c>
      <c r="BR243" s="62"/>
      <c r="BS243" s="72">
        <f t="shared" ref="BS243:BW243" si="737">AP243-BJ243</f>
        <v>-0.25129731039496006</v>
      </c>
      <c r="BT243" s="72">
        <f t="shared" si="737"/>
        <v>-6.3175187787739284E-2</v>
      </c>
      <c r="BU243" s="72">
        <f t="shared" si="737"/>
        <v>3.4433244487521206E-2</v>
      </c>
      <c r="BV243" s="72">
        <f t="shared" si="737"/>
        <v>-5.308941119457275E-4</v>
      </c>
      <c r="BW243" s="72">
        <f t="shared" si="737"/>
        <v>7.2703901138841773E-2</v>
      </c>
      <c r="BX243" s="72"/>
      <c r="BY243" s="72"/>
      <c r="BZ243" s="72">
        <f t="shared" si="18"/>
        <v>0.20886624666828207</v>
      </c>
    </row>
    <row r="244" spans="1:78" ht="13.15">
      <c r="A244" s="73" t="s">
        <v>6</v>
      </c>
      <c r="B244" s="74" t="s">
        <v>531</v>
      </c>
      <c r="C244" s="75" t="s">
        <v>532</v>
      </c>
      <c r="D244" s="75" t="s">
        <v>78</v>
      </c>
      <c r="E244" s="76"/>
      <c r="F244" s="59"/>
      <c r="G244" s="60"/>
      <c r="H244" s="77">
        <v>19099</v>
      </c>
      <c r="I244" s="77">
        <v>11696</v>
      </c>
      <c r="J244" s="77">
        <v>7027</v>
      </c>
      <c r="K244" s="77">
        <v>2241</v>
      </c>
      <c r="L244" s="77">
        <v>3652</v>
      </c>
      <c r="M244" s="77"/>
      <c r="N244" s="77"/>
      <c r="O244" s="77"/>
      <c r="P244" s="77"/>
      <c r="Q244" s="77"/>
      <c r="R244" s="77"/>
      <c r="S244" s="77"/>
      <c r="T244" s="77"/>
      <c r="U244" s="77"/>
      <c r="V244" s="77"/>
      <c r="W244" s="77"/>
      <c r="X244" s="77"/>
      <c r="Y244" s="77">
        <v>205</v>
      </c>
      <c r="Z244" s="77">
        <v>151</v>
      </c>
      <c r="AA244" s="77"/>
      <c r="AB244" s="77"/>
      <c r="AC244" s="77"/>
      <c r="AD244" s="77"/>
      <c r="AE244" s="62"/>
      <c r="AF244" s="63" t="b">
        <v>0</v>
      </c>
      <c r="AG244" s="63" t="b">
        <v>0</v>
      </c>
      <c r="AH244" s="62"/>
      <c r="AI244" s="64">
        <f t="shared" si="7"/>
        <v>44071</v>
      </c>
      <c r="AJ244" s="65" t="str">
        <f t="shared" si="340"/>
        <v>LAB</v>
      </c>
      <c r="AK244" s="66" t="str">
        <f t="shared" si="9"/>
        <v>GAIN</v>
      </c>
      <c r="AL244" s="67" t="e">
        <f t="shared" ca="1" si="10"/>
        <v>#NAME?</v>
      </c>
      <c r="AM244" s="68">
        <f t="shared" si="637"/>
        <v>7403</v>
      </c>
      <c r="AN244" s="69">
        <f t="shared" si="638"/>
        <v>0.16797894306913841</v>
      </c>
      <c r="AO244" s="62"/>
      <c r="AP244" s="70">
        <f t="shared" ref="AP244:AT244" si="738">H244/$AI244</f>
        <v>0.43336888203126772</v>
      </c>
      <c r="AQ244" s="70">
        <f t="shared" si="738"/>
        <v>0.26538993896212931</v>
      </c>
      <c r="AR244" s="70">
        <f t="shared" si="738"/>
        <v>0.15944725556488393</v>
      </c>
      <c r="AS244" s="70">
        <f t="shared" si="738"/>
        <v>5.084976515168705E-2</v>
      </c>
      <c r="AT244" s="70">
        <f t="shared" si="738"/>
        <v>8.2866283950897415E-2</v>
      </c>
      <c r="AU244" s="70"/>
      <c r="AV244" s="70"/>
      <c r="AW244" s="81">
        <f t="shared" si="14"/>
        <v>8.0778743391345387E-3</v>
      </c>
      <c r="AX244" s="70">
        <f t="shared" ref="AX244:BG244" si="739">O244/$AI244</f>
        <v>0</v>
      </c>
      <c r="AY244" s="70">
        <f t="shared" si="739"/>
        <v>0</v>
      </c>
      <c r="AZ244" s="70">
        <f t="shared" si="739"/>
        <v>0</v>
      </c>
      <c r="BA244" s="70">
        <f t="shared" si="739"/>
        <v>0</v>
      </c>
      <c r="BB244" s="70">
        <f t="shared" si="739"/>
        <v>0</v>
      </c>
      <c r="BC244" s="70">
        <f t="shared" si="739"/>
        <v>0</v>
      </c>
      <c r="BD244" s="70">
        <f t="shared" si="739"/>
        <v>0</v>
      </c>
      <c r="BE244" s="70">
        <f t="shared" si="739"/>
        <v>0</v>
      </c>
      <c r="BF244" s="70">
        <f t="shared" si="739"/>
        <v>0</v>
      </c>
      <c r="BG244" s="70">
        <f t="shared" si="739"/>
        <v>0</v>
      </c>
      <c r="BH244" s="70">
        <f t="shared" si="16"/>
        <v>8.0778743391345387E-3</v>
      </c>
      <c r="BI244" s="62"/>
      <c r="BJ244" s="69">
        <v>0.39300000000000002</v>
      </c>
      <c r="BK244" s="69">
        <v>0.503</v>
      </c>
      <c r="BL244" s="69">
        <v>2.9000000000000001E-2</v>
      </c>
      <c r="BM244" s="69">
        <v>4.9000000000000002E-2</v>
      </c>
      <c r="BN244" s="69">
        <v>2.5999999999999999E-2</v>
      </c>
      <c r="BO244" s="69">
        <v>0</v>
      </c>
      <c r="BP244" s="69">
        <v>0</v>
      </c>
      <c r="BQ244" s="69">
        <v>0</v>
      </c>
      <c r="BR244" s="62"/>
      <c r="BS244" s="72">
        <f t="shared" ref="BS244:BW244" si="740">AP244-BJ244</f>
        <v>4.0368882031267705E-2</v>
      </c>
      <c r="BT244" s="72">
        <f t="shared" si="740"/>
        <v>-0.23761006103787069</v>
      </c>
      <c r="BU244" s="72">
        <f t="shared" si="740"/>
        <v>0.13044725556488393</v>
      </c>
      <c r="BV244" s="72">
        <f t="shared" si="740"/>
        <v>1.8497651516870481E-3</v>
      </c>
      <c r="BW244" s="72">
        <f t="shared" si="740"/>
        <v>5.686628395089742E-2</v>
      </c>
      <c r="BX244" s="72"/>
      <c r="BY244" s="72"/>
      <c r="BZ244" s="72">
        <f t="shared" si="18"/>
        <v>8.0778743391345387E-3</v>
      </c>
    </row>
    <row r="245" spans="1:78" ht="13.15">
      <c r="A245" s="73" t="s">
        <v>6</v>
      </c>
      <c r="B245" s="74" t="s">
        <v>533</v>
      </c>
      <c r="C245" s="75" t="s">
        <v>534</v>
      </c>
      <c r="D245" s="75" t="s">
        <v>44</v>
      </c>
      <c r="E245" s="76"/>
      <c r="F245" s="59"/>
      <c r="G245" s="60"/>
      <c r="H245" s="77">
        <v>6264</v>
      </c>
      <c r="I245" s="77">
        <v>10427</v>
      </c>
      <c r="J245" s="77">
        <v>7104</v>
      </c>
      <c r="K245" s="77">
        <v>3550</v>
      </c>
      <c r="L245" s="77">
        <v>6313</v>
      </c>
      <c r="M245" s="77"/>
      <c r="N245" s="77"/>
      <c r="O245" s="77">
        <v>420</v>
      </c>
      <c r="P245" s="77"/>
      <c r="Q245" s="77"/>
      <c r="R245" s="77"/>
      <c r="S245" s="77"/>
      <c r="T245" s="77"/>
      <c r="U245" s="77"/>
      <c r="V245" s="77"/>
      <c r="W245" s="77"/>
      <c r="X245" s="77"/>
      <c r="Y245" s="77"/>
      <c r="Z245" s="77"/>
      <c r="AA245" s="77"/>
      <c r="AB245" s="77"/>
      <c r="AC245" s="77"/>
      <c r="AD245" s="77"/>
      <c r="AE245" s="62"/>
      <c r="AF245" s="63" t="b">
        <v>0</v>
      </c>
      <c r="AG245" s="63" t="b">
        <v>0</v>
      </c>
      <c r="AH245" s="62"/>
      <c r="AI245" s="64">
        <f t="shared" si="7"/>
        <v>34078</v>
      </c>
      <c r="AJ245" s="65" t="str">
        <f t="shared" si="340"/>
        <v>CON</v>
      </c>
      <c r="AK245" s="66" t="str">
        <f t="shared" si="9"/>
        <v>HOLD</v>
      </c>
      <c r="AL245" s="67" t="e">
        <f t="shared" ca="1" si="10"/>
        <v>#NAME?</v>
      </c>
      <c r="AM245" s="68">
        <f t="shared" si="637"/>
        <v>3323</v>
      </c>
      <c r="AN245" s="69">
        <f t="shared" si="638"/>
        <v>9.7511591055813168E-2</v>
      </c>
      <c r="AO245" s="62"/>
      <c r="AP245" s="70">
        <f t="shared" ref="AP245:AT245" si="741">H245/$AI245</f>
        <v>0.18381360408474676</v>
      </c>
      <c r="AQ245" s="70">
        <f t="shared" si="741"/>
        <v>0.30597452902165623</v>
      </c>
      <c r="AR245" s="70">
        <f t="shared" si="741"/>
        <v>0.20846293796584306</v>
      </c>
      <c r="AS245" s="70">
        <f t="shared" si="741"/>
        <v>0.10417278009272844</v>
      </c>
      <c r="AT245" s="70">
        <f t="shared" si="741"/>
        <v>0.18525148189447738</v>
      </c>
      <c r="AU245" s="70"/>
      <c r="AV245" s="70"/>
      <c r="AW245" s="81">
        <f t="shared" si="14"/>
        <v>1.2324666940548124E-2</v>
      </c>
      <c r="AX245" s="70">
        <f t="shared" ref="AX245:BG245" si="742">O245/$AI245</f>
        <v>1.2324666940548155E-2</v>
      </c>
      <c r="AY245" s="70">
        <f t="shared" si="742"/>
        <v>0</v>
      </c>
      <c r="AZ245" s="70">
        <f t="shared" si="742"/>
        <v>0</v>
      </c>
      <c r="BA245" s="70">
        <f t="shared" si="742"/>
        <v>0</v>
      </c>
      <c r="BB245" s="70">
        <f t="shared" si="742"/>
        <v>0</v>
      </c>
      <c r="BC245" s="70">
        <f t="shared" si="742"/>
        <v>0</v>
      </c>
      <c r="BD245" s="70">
        <f t="shared" si="742"/>
        <v>0</v>
      </c>
      <c r="BE245" s="70">
        <f t="shared" si="742"/>
        <v>0</v>
      </c>
      <c r="BF245" s="70">
        <f t="shared" si="742"/>
        <v>0</v>
      </c>
      <c r="BG245" s="70">
        <f t="shared" si="742"/>
        <v>0</v>
      </c>
      <c r="BH245" s="70">
        <f t="shared" si="16"/>
        <v>-3.1225022567582528E-17</v>
      </c>
      <c r="BI245" s="62"/>
      <c r="BJ245" s="69">
        <v>0.24099999999999999</v>
      </c>
      <c r="BK245" s="69">
        <v>0.57399999999999995</v>
      </c>
      <c r="BL245" s="69">
        <v>0</v>
      </c>
      <c r="BM245" s="69">
        <v>0</v>
      </c>
      <c r="BN245" s="69">
        <v>0.14000000000000001</v>
      </c>
      <c r="BO245" s="69">
        <v>0</v>
      </c>
      <c r="BP245" s="69">
        <v>0</v>
      </c>
      <c r="BQ245" s="69">
        <v>4.4999999999999998E-2</v>
      </c>
      <c r="BR245" s="62"/>
      <c r="BS245" s="72">
        <f t="shared" ref="BS245:BW245" si="743">AP245-BJ245</f>
        <v>-5.7186395915253235E-2</v>
      </c>
      <c r="BT245" s="72">
        <f t="shared" si="743"/>
        <v>-0.26802547097834373</v>
      </c>
      <c r="BU245" s="72">
        <f t="shared" si="743"/>
        <v>0.20846293796584306</v>
      </c>
      <c r="BV245" s="72">
        <f t="shared" si="743"/>
        <v>0.10417278009272844</v>
      </c>
      <c r="BW245" s="72">
        <f t="shared" si="743"/>
        <v>4.5251481894477363E-2</v>
      </c>
      <c r="BX245" s="72"/>
      <c r="BY245" s="72"/>
      <c r="BZ245" s="72">
        <f t="shared" si="18"/>
        <v>-3.2675333059451875E-2</v>
      </c>
    </row>
    <row r="246" spans="1:78" ht="13.15">
      <c r="A246" s="73" t="s">
        <v>6</v>
      </c>
      <c r="B246" s="74" t="s">
        <v>535</v>
      </c>
      <c r="C246" s="75" t="s">
        <v>536</v>
      </c>
      <c r="D246" s="75" t="s">
        <v>44</v>
      </c>
      <c r="E246" s="76"/>
      <c r="F246" s="59"/>
      <c r="G246" s="60"/>
      <c r="H246" s="77">
        <v>13240</v>
      </c>
      <c r="I246" s="77">
        <v>10063</v>
      </c>
      <c r="J246" s="77">
        <v>5834</v>
      </c>
      <c r="K246" s="77">
        <v>2726</v>
      </c>
      <c r="L246" s="77">
        <v>2310</v>
      </c>
      <c r="M246" s="77"/>
      <c r="N246" s="77"/>
      <c r="O246" s="77"/>
      <c r="P246" s="77"/>
      <c r="Q246" s="77"/>
      <c r="R246" s="77"/>
      <c r="S246" s="77"/>
      <c r="T246" s="77"/>
      <c r="U246" s="77"/>
      <c r="V246" s="77"/>
      <c r="W246" s="77"/>
      <c r="X246" s="77"/>
      <c r="Y246" s="77">
        <v>117</v>
      </c>
      <c r="Z246" s="77"/>
      <c r="AA246" s="77"/>
      <c r="AB246" s="77"/>
      <c r="AC246" s="77"/>
      <c r="AD246" s="77"/>
      <c r="AE246" s="62"/>
      <c r="AF246" s="63" t="b">
        <v>0</v>
      </c>
      <c r="AG246" s="63" t="b">
        <v>0</v>
      </c>
      <c r="AH246" s="62"/>
      <c r="AI246" s="64">
        <f t="shared" si="7"/>
        <v>34290</v>
      </c>
      <c r="AJ246" s="65" t="str">
        <f t="shared" si="340"/>
        <v>LAB</v>
      </c>
      <c r="AK246" s="66" t="str">
        <f t="shared" si="9"/>
        <v>GAIN</v>
      </c>
      <c r="AL246" s="67" t="e">
        <f t="shared" ca="1" si="10"/>
        <v>#NAME?</v>
      </c>
      <c r="AM246" s="68">
        <f t="shared" si="637"/>
        <v>3177</v>
      </c>
      <c r="AN246" s="69">
        <f t="shared" si="638"/>
        <v>9.2650918635170609E-2</v>
      </c>
      <c r="AO246" s="62"/>
      <c r="AP246" s="70">
        <f t="shared" ref="AP246:AT246" si="744">H246/$AI246</f>
        <v>0.38611840186643337</v>
      </c>
      <c r="AQ246" s="70">
        <f t="shared" si="744"/>
        <v>0.29346748323126276</v>
      </c>
      <c r="AR246" s="70">
        <f t="shared" si="744"/>
        <v>0.17013706620005833</v>
      </c>
      <c r="AS246" s="70">
        <f t="shared" si="744"/>
        <v>7.9498396033829105E-2</v>
      </c>
      <c r="AT246" s="70">
        <f t="shared" si="744"/>
        <v>6.7366579177602803E-2</v>
      </c>
      <c r="AU246" s="70"/>
      <c r="AV246" s="70"/>
      <c r="AW246" s="81">
        <f t="shared" si="14"/>
        <v>3.4120734908136274E-3</v>
      </c>
      <c r="AX246" s="70">
        <f t="shared" ref="AX246:BG246" si="745">O246/$AI246</f>
        <v>0</v>
      </c>
      <c r="AY246" s="70">
        <f t="shared" si="745"/>
        <v>0</v>
      </c>
      <c r="AZ246" s="70">
        <f t="shared" si="745"/>
        <v>0</v>
      </c>
      <c r="BA246" s="70">
        <f t="shared" si="745"/>
        <v>0</v>
      </c>
      <c r="BB246" s="70">
        <f t="shared" si="745"/>
        <v>0</v>
      </c>
      <c r="BC246" s="70">
        <f t="shared" si="745"/>
        <v>0</v>
      </c>
      <c r="BD246" s="70">
        <f t="shared" si="745"/>
        <v>0</v>
      </c>
      <c r="BE246" s="70">
        <f t="shared" si="745"/>
        <v>0</v>
      </c>
      <c r="BF246" s="70">
        <f t="shared" si="745"/>
        <v>0</v>
      </c>
      <c r="BG246" s="70">
        <f t="shared" si="745"/>
        <v>0</v>
      </c>
      <c r="BH246" s="70">
        <f t="shared" si="16"/>
        <v>3.4120734908136274E-3</v>
      </c>
      <c r="BI246" s="62"/>
      <c r="BJ246" s="69">
        <v>0.245</v>
      </c>
      <c r="BK246" s="69">
        <v>0.55000000000000004</v>
      </c>
      <c r="BL246" s="69">
        <v>0</v>
      </c>
      <c r="BM246" s="69">
        <v>0</v>
      </c>
      <c r="BN246" s="69">
        <v>0.16400000000000001</v>
      </c>
      <c r="BO246" s="69">
        <v>0</v>
      </c>
      <c r="BP246" s="69">
        <v>0</v>
      </c>
      <c r="BQ246" s="69">
        <v>4.1000000000000002E-2</v>
      </c>
      <c r="BR246" s="62"/>
      <c r="BS246" s="72">
        <f t="shared" ref="BS246:BW246" si="746">AP246-BJ246</f>
        <v>0.14111840186643337</v>
      </c>
      <c r="BT246" s="72">
        <f t="shared" si="746"/>
        <v>-0.25653251676873728</v>
      </c>
      <c r="BU246" s="72">
        <f t="shared" si="746"/>
        <v>0.17013706620005833</v>
      </c>
      <c r="BV246" s="72">
        <f t="shared" si="746"/>
        <v>7.9498396033829105E-2</v>
      </c>
      <c r="BW246" s="72">
        <f t="shared" si="746"/>
        <v>-9.6633420822397204E-2</v>
      </c>
      <c r="BX246" s="72"/>
      <c r="BY246" s="72"/>
      <c r="BZ246" s="72">
        <f t="shared" si="18"/>
        <v>-3.7587926509186374E-2</v>
      </c>
    </row>
    <row r="247" spans="1:78" ht="13.15">
      <c r="A247" s="78" t="s">
        <v>5</v>
      </c>
      <c r="B247" s="74" t="s">
        <v>537</v>
      </c>
      <c r="C247" s="75" t="s">
        <v>538</v>
      </c>
      <c r="D247" s="75" t="s">
        <v>68</v>
      </c>
      <c r="E247" s="76"/>
      <c r="F247" s="59"/>
      <c r="G247" s="60"/>
      <c r="H247" s="77">
        <v>16873</v>
      </c>
      <c r="I247" s="77">
        <v>1950</v>
      </c>
      <c r="J247" s="77">
        <v>1710</v>
      </c>
      <c r="K247" s="77">
        <v>1661</v>
      </c>
      <c r="L247" s="77">
        <v>2660</v>
      </c>
      <c r="M247" s="77"/>
      <c r="N247" s="77"/>
      <c r="O247" s="77">
        <v>24120</v>
      </c>
      <c r="P247" s="77"/>
      <c r="Q247" s="77"/>
      <c r="R247" s="77"/>
      <c r="S247" s="77"/>
      <c r="T247" s="77"/>
      <c r="U247" s="77"/>
      <c r="V247" s="77"/>
      <c r="W247" s="77"/>
      <c r="X247" s="77"/>
      <c r="Y247" s="77">
        <v>32</v>
      </c>
      <c r="Z247" s="77"/>
      <c r="AA247" s="77"/>
      <c r="AB247" s="77"/>
      <c r="AC247" s="77"/>
      <c r="AD247" s="77"/>
      <c r="AE247" s="62"/>
      <c r="AF247" s="63" t="b">
        <v>0</v>
      </c>
      <c r="AG247" s="63" t="b">
        <v>0</v>
      </c>
      <c r="AH247" s="62"/>
      <c r="AI247" s="64">
        <f t="shared" si="7"/>
        <v>49006</v>
      </c>
      <c r="AJ247" s="65" t="str">
        <f t="shared" si="340"/>
        <v>IND</v>
      </c>
      <c r="AK247" s="66" t="str">
        <f t="shared" si="9"/>
        <v>GAIN</v>
      </c>
      <c r="AL247" s="67" t="e">
        <f t="shared" ca="1" si="10"/>
        <v>#NAME?</v>
      </c>
      <c r="AM247" s="68">
        <f t="shared" si="637"/>
        <v>7247</v>
      </c>
      <c r="AN247" s="69">
        <f t="shared" si="638"/>
        <v>0.14787985144676163</v>
      </c>
      <c r="AO247" s="62"/>
      <c r="AP247" s="70">
        <f t="shared" ref="AP247:AT247" si="747">H247/$AI247</f>
        <v>0.34430477900665224</v>
      </c>
      <c r="AQ247" s="70">
        <f t="shared" si="747"/>
        <v>3.9791045994368036E-2</v>
      </c>
      <c r="AR247" s="70">
        <f t="shared" si="747"/>
        <v>3.4893686487368895E-2</v>
      </c>
      <c r="AS247" s="70">
        <f t="shared" si="747"/>
        <v>3.3893808921356572E-2</v>
      </c>
      <c r="AT247" s="70">
        <f t="shared" si="747"/>
        <v>5.4279067869240499E-2</v>
      </c>
      <c r="AU247" s="70"/>
      <c r="AV247" s="70"/>
      <c r="AW247" s="81">
        <f t="shared" si="14"/>
        <v>0.4928376117210137</v>
      </c>
      <c r="AX247" s="70">
        <f t="shared" ref="AX247:BG247" si="748">O247/$AI247</f>
        <v>0.49218463045341387</v>
      </c>
      <c r="AY247" s="70">
        <f t="shared" si="748"/>
        <v>0</v>
      </c>
      <c r="AZ247" s="70">
        <f t="shared" si="748"/>
        <v>0</v>
      </c>
      <c r="BA247" s="70">
        <f t="shared" si="748"/>
        <v>0</v>
      </c>
      <c r="BB247" s="70">
        <f t="shared" si="748"/>
        <v>0</v>
      </c>
      <c r="BC247" s="70">
        <f t="shared" si="748"/>
        <v>0</v>
      </c>
      <c r="BD247" s="70">
        <f t="shared" si="748"/>
        <v>0</v>
      </c>
      <c r="BE247" s="70">
        <f t="shared" si="748"/>
        <v>0</v>
      </c>
      <c r="BF247" s="70">
        <f t="shared" si="748"/>
        <v>0</v>
      </c>
      <c r="BG247" s="70">
        <f t="shared" si="748"/>
        <v>0</v>
      </c>
      <c r="BH247" s="70">
        <f t="shared" si="16"/>
        <v>6.5298126759982811E-4</v>
      </c>
      <c r="BI247" s="62"/>
      <c r="BJ247" s="69">
        <v>0.64300000000000002</v>
      </c>
      <c r="BK247" s="69">
        <v>0.10199999999999999</v>
      </c>
      <c r="BL247" s="69">
        <v>1.4E-2</v>
      </c>
      <c r="BM247" s="69">
        <v>0.156</v>
      </c>
      <c r="BN247" s="69">
        <v>0.08</v>
      </c>
      <c r="BO247" s="69">
        <v>0</v>
      </c>
      <c r="BP247" s="69">
        <v>0</v>
      </c>
      <c r="BQ247" s="69">
        <v>4.0000000000000001E-3</v>
      </c>
      <c r="BR247" s="62"/>
      <c r="BS247" s="72">
        <f t="shared" ref="BS247:BW247" si="749">AP247-BJ247</f>
        <v>-0.29869522099334778</v>
      </c>
      <c r="BT247" s="72">
        <f t="shared" si="749"/>
        <v>-6.2208954005631957E-2</v>
      </c>
      <c r="BU247" s="72">
        <f t="shared" si="749"/>
        <v>2.0893686487368897E-2</v>
      </c>
      <c r="BV247" s="72">
        <f t="shared" si="749"/>
        <v>-0.12210619107864343</v>
      </c>
      <c r="BW247" s="72">
        <f t="shared" si="749"/>
        <v>-2.5720932130759502E-2</v>
      </c>
      <c r="BX247" s="72"/>
      <c r="BY247" s="72"/>
      <c r="BZ247" s="72">
        <f t="shared" si="18"/>
        <v>0.4888376117210137</v>
      </c>
    </row>
    <row r="248" spans="1:78" ht="13.15">
      <c r="A248" s="78" t="s">
        <v>5</v>
      </c>
      <c r="B248" s="74" t="s">
        <v>539</v>
      </c>
      <c r="C248" s="75" t="s">
        <v>540</v>
      </c>
      <c r="D248" s="75" t="s">
        <v>68</v>
      </c>
      <c r="E248" s="76">
        <v>75905</v>
      </c>
      <c r="F248" s="59">
        <v>0.56299999999999994</v>
      </c>
      <c r="G248" s="60"/>
      <c r="H248" s="77">
        <v>22946</v>
      </c>
      <c r="I248" s="77">
        <v>3584</v>
      </c>
      <c r="J248" s="77">
        <v>3388</v>
      </c>
      <c r="K248" s="77">
        <v>4045</v>
      </c>
      <c r="L248" s="77">
        <v>7491</v>
      </c>
      <c r="M248" s="77"/>
      <c r="N248" s="77"/>
      <c r="O248" s="77">
        <v>569</v>
      </c>
      <c r="P248" s="77"/>
      <c r="Q248" s="77">
        <v>162</v>
      </c>
      <c r="R248" s="77"/>
      <c r="S248" s="77"/>
      <c r="T248" s="77"/>
      <c r="U248" s="77"/>
      <c r="V248" s="77"/>
      <c r="W248" s="77"/>
      <c r="X248" s="77"/>
      <c r="Y248" s="77">
        <v>354</v>
      </c>
      <c r="Z248" s="77">
        <v>215</v>
      </c>
      <c r="AA248" s="77"/>
      <c r="AB248" s="77"/>
      <c r="AC248" s="77"/>
      <c r="AD248" s="77"/>
      <c r="AE248" s="62"/>
      <c r="AF248" s="63" t="b">
        <v>0</v>
      </c>
      <c r="AG248" s="63" t="b">
        <v>0</v>
      </c>
      <c r="AH248" s="62"/>
      <c r="AI248" s="64">
        <f t="shared" si="7"/>
        <v>42754</v>
      </c>
      <c r="AJ248" s="65" t="str">
        <f t="shared" si="340"/>
        <v>LAB</v>
      </c>
      <c r="AK248" s="66" t="str">
        <f t="shared" si="9"/>
        <v>HOLD</v>
      </c>
      <c r="AL248" s="67" t="e">
        <f t="shared" ca="1" si="10"/>
        <v>#NAME?</v>
      </c>
      <c r="AM248" s="68">
        <f t="shared" si="637"/>
        <v>15455</v>
      </c>
      <c r="AN248" s="69">
        <f t="shared" si="638"/>
        <v>0.36148664452448898</v>
      </c>
      <c r="AO248" s="62"/>
      <c r="AP248" s="70">
        <f t="shared" ref="AP248:AT248" si="750">H248/$AI248</f>
        <v>0.5366983206249708</v>
      </c>
      <c r="AQ248" s="70">
        <f t="shared" si="750"/>
        <v>8.3828413715675731E-2</v>
      </c>
      <c r="AR248" s="70">
        <f t="shared" si="750"/>
        <v>7.9244047340599713E-2</v>
      </c>
      <c r="AS248" s="70">
        <f t="shared" si="750"/>
        <v>9.4611030546849412E-2</v>
      </c>
      <c r="AT248" s="70">
        <f t="shared" si="750"/>
        <v>0.17521167610048183</v>
      </c>
      <c r="AU248" s="70"/>
      <c r="AV248" s="70"/>
      <c r="AW248" s="81">
        <f t="shared" si="14"/>
        <v>3.0406511671422498E-2</v>
      </c>
      <c r="AX248" s="70">
        <f t="shared" ref="AX248:BG248" si="751">O248/$AI248</f>
        <v>1.3308696262338026E-2</v>
      </c>
      <c r="AY248" s="70">
        <f t="shared" si="751"/>
        <v>0</v>
      </c>
      <c r="AZ248" s="70">
        <f t="shared" si="751"/>
        <v>3.7891191467465031E-3</v>
      </c>
      <c r="BA248" s="70">
        <f t="shared" si="751"/>
        <v>0</v>
      </c>
      <c r="BB248" s="70">
        <f t="shared" si="751"/>
        <v>0</v>
      </c>
      <c r="BC248" s="70">
        <f t="shared" si="751"/>
        <v>0</v>
      </c>
      <c r="BD248" s="70">
        <f t="shared" si="751"/>
        <v>0</v>
      </c>
      <c r="BE248" s="70">
        <f t="shared" si="751"/>
        <v>0</v>
      </c>
      <c r="BF248" s="70">
        <f t="shared" si="751"/>
        <v>0</v>
      </c>
      <c r="BG248" s="70">
        <f t="shared" si="751"/>
        <v>0</v>
      </c>
      <c r="BH248" s="70">
        <f t="shared" si="16"/>
        <v>1.3308696262337969E-2</v>
      </c>
      <c r="BI248" s="62"/>
      <c r="BJ248" s="69">
        <v>0.56999999999999995</v>
      </c>
      <c r="BK248" s="69">
        <v>0.16300000000000001</v>
      </c>
      <c r="BL248" s="69">
        <v>2.3E-2</v>
      </c>
      <c r="BM248" s="69">
        <v>0.19700000000000001</v>
      </c>
      <c r="BN248" s="69">
        <v>4.2999999999999997E-2</v>
      </c>
      <c r="BO248" s="69">
        <v>0</v>
      </c>
      <c r="BP248" s="69">
        <v>0</v>
      </c>
      <c r="BQ248" s="69">
        <v>4.0000000000000001E-3</v>
      </c>
      <c r="BR248" s="62"/>
      <c r="BS248" s="72">
        <f t="shared" ref="BS248:BW248" si="752">AP248-BJ248</f>
        <v>-3.3301679375029147E-2</v>
      </c>
      <c r="BT248" s="72">
        <f t="shared" si="752"/>
        <v>-7.9171586284324275E-2</v>
      </c>
      <c r="BU248" s="72">
        <f t="shared" si="752"/>
        <v>5.6244047340599714E-2</v>
      </c>
      <c r="BV248" s="72">
        <f t="shared" si="752"/>
        <v>-0.1023889694531506</v>
      </c>
      <c r="BW248" s="72">
        <f t="shared" si="752"/>
        <v>0.13221167610048185</v>
      </c>
      <c r="BX248" s="72"/>
      <c r="BY248" s="72"/>
      <c r="BZ248" s="72">
        <f t="shared" si="18"/>
        <v>2.6406511671422498E-2</v>
      </c>
    </row>
    <row r="249" spans="1:78" ht="13.15">
      <c r="A249" s="78" t="s">
        <v>5</v>
      </c>
      <c r="B249" s="74" t="s">
        <v>541</v>
      </c>
      <c r="C249" s="75" t="s">
        <v>542</v>
      </c>
      <c r="D249" s="75" t="s">
        <v>129</v>
      </c>
      <c r="E249" s="76">
        <v>71106</v>
      </c>
      <c r="F249" s="59">
        <v>0.51700000000000002</v>
      </c>
      <c r="G249" s="60"/>
      <c r="H249" s="77">
        <v>18856</v>
      </c>
      <c r="I249" s="77">
        <v>3354</v>
      </c>
      <c r="J249" s="77">
        <v>9892</v>
      </c>
      <c r="K249" s="77">
        <v>1740</v>
      </c>
      <c r="L249" s="77">
        <v>2384</v>
      </c>
      <c r="M249" s="77"/>
      <c r="N249" s="77"/>
      <c r="O249" s="77"/>
      <c r="P249" s="77"/>
      <c r="Q249" s="77"/>
      <c r="R249" s="77"/>
      <c r="S249" s="77"/>
      <c r="T249" s="77"/>
      <c r="U249" s="77"/>
      <c r="V249" s="77"/>
      <c r="W249" s="77"/>
      <c r="X249" s="77"/>
      <c r="Y249" s="77">
        <v>502</v>
      </c>
      <c r="Z249" s="77"/>
      <c r="AA249" s="77"/>
      <c r="AB249" s="77"/>
      <c r="AC249" s="77"/>
      <c r="AD249" s="77"/>
      <c r="AE249" s="62"/>
      <c r="AF249" s="63" t="b">
        <v>0</v>
      </c>
      <c r="AG249" s="63" t="b">
        <v>0</v>
      </c>
      <c r="AH249" s="62"/>
      <c r="AI249" s="64">
        <f t="shared" si="7"/>
        <v>36728</v>
      </c>
      <c r="AJ249" s="65" t="str">
        <f t="shared" si="340"/>
        <v>LAB</v>
      </c>
      <c r="AK249" s="66" t="str">
        <f t="shared" si="9"/>
        <v>HOLD</v>
      </c>
      <c r="AL249" s="67" t="e">
        <f t="shared" ca="1" si="10"/>
        <v>#NAME?</v>
      </c>
      <c r="AM249" s="68">
        <f t="shared" si="637"/>
        <v>8964</v>
      </c>
      <c r="AN249" s="69">
        <f t="shared" si="638"/>
        <v>0.24406447397081249</v>
      </c>
      <c r="AO249" s="62"/>
      <c r="AP249" s="70">
        <f t="shared" ref="AP249:AT249" si="753">H249/$AI249</f>
        <v>0.51339577434110217</v>
      </c>
      <c r="AQ249" s="70">
        <f t="shared" si="753"/>
        <v>9.1319973861903728E-2</v>
      </c>
      <c r="AR249" s="70">
        <f t="shared" si="753"/>
        <v>0.26933130037028968</v>
      </c>
      <c r="AS249" s="70">
        <f t="shared" si="753"/>
        <v>4.7375299499019821E-2</v>
      </c>
      <c r="AT249" s="70">
        <f t="shared" si="753"/>
        <v>6.4909605750381183E-2</v>
      </c>
      <c r="AU249" s="70"/>
      <c r="AV249" s="70"/>
      <c r="AW249" s="81">
        <f t="shared" si="14"/>
        <v>1.3668046177303328E-2</v>
      </c>
      <c r="AX249" s="70">
        <f t="shared" ref="AX249:BG249" si="754">O249/$AI249</f>
        <v>0</v>
      </c>
      <c r="AY249" s="70">
        <f t="shared" si="754"/>
        <v>0</v>
      </c>
      <c r="AZ249" s="70">
        <f t="shared" si="754"/>
        <v>0</v>
      </c>
      <c r="BA249" s="70">
        <f t="shared" si="754"/>
        <v>0</v>
      </c>
      <c r="BB249" s="70">
        <f t="shared" si="754"/>
        <v>0</v>
      </c>
      <c r="BC249" s="70">
        <f t="shared" si="754"/>
        <v>0</v>
      </c>
      <c r="BD249" s="70">
        <f t="shared" si="754"/>
        <v>0</v>
      </c>
      <c r="BE249" s="70">
        <f t="shared" si="754"/>
        <v>0</v>
      </c>
      <c r="BF249" s="70">
        <f t="shared" si="754"/>
        <v>0</v>
      </c>
      <c r="BG249" s="70">
        <f t="shared" si="754"/>
        <v>0</v>
      </c>
      <c r="BH249" s="70">
        <f t="shared" si="16"/>
        <v>1.3668046177303328E-2</v>
      </c>
      <c r="BI249" s="62"/>
      <c r="BJ249" s="69">
        <v>0.49199999999999999</v>
      </c>
      <c r="BK249" s="69">
        <v>0.23699999999999999</v>
      </c>
      <c r="BL249" s="69">
        <v>9.5000000000000001E-2</v>
      </c>
      <c r="BM249" s="69">
        <v>6.5000000000000002E-2</v>
      </c>
      <c r="BN249" s="69">
        <v>2.5000000000000001E-2</v>
      </c>
      <c r="BO249" s="69">
        <v>0</v>
      </c>
      <c r="BP249" s="69">
        <v>0</v>
      </c>
      <c r="BQ249" s="69">
        <v>8.5999999999999993E-2</v>
      </c>
      <c r="BR249" s="62"/>
      <c r="BS249" s="72">
        <f t="shared" ref="BS249:BW249" si="755">AP249-BJ249</f>
        <v>2.1395774341102181E-2</v>
      </c>
      <c r="BT249" s="72">
        <f t="shared" si="755"/>
        <v>-0.14568002613809627</v>
      </c>
      <c r="BU249" s="72">
        <f t="shared" si="755"/>
        <v>0.17433130037028968</v>
      </c>
      <c r="BV249" s="72">
        <f t="shared" si="755"/>
        <v>-1.7624700500980181E-2</v>
      </c>
      <c r="BW249" s="72">
        <f t="shared" si="755"/>
        <v>3.9909605750381182E-2</v>
      </c>
      <c r="BX249" s="72"/>
      <c r="BY249" s="72"/>
      <c r="BZ249" s="72">
        <f t="shared" si="18"/>
        <v>-7.2331953822696665E-2</v>
      </c>
    </row>
    <row r="250" spans="1:78" ht="13.15">
      <c r="A250" s="73" t="s">
        <v>6</v>
      </c>
      <c r="B250" s="74" t="s">
        <v>543</v>
      </c>
      <c r="C250" s="75" t="s">
        <v>544</v>
      </c>
      <c r="D250" s="75" t="s">
        <v>71</v>
      </c>
      <c r="E250" s="76"/>
      <c r="F250" s="59"/>
      <c r="G250" s="60"/>
      <c r="H250" s="77">
        <v>16964</v>
      </c>
      <c r="I250" s="77">
        <v>18589</v>
      </c>
      <c r="J250" s="77">
        <v>4782</v>
      </c>
      <c r="K250" s="77">
        <v>970</v>
      </c>
      <c r="L250" s="77">
        <v>2447</v>
      </c>
      <c r="M250" s="77"/>
      <c r="N250" s="77"/>
      <c r="O250" s="77">
        <v>2036</v>
      </c>
      <c r="P250" s="77"/>
      <c r="Q250" s="77"/>
      <c r="R250" s="77"/>
      <c r="S250" s="77"/>
      <c r="T250" s="77"/>
      <c r="U250" s="77"/>
      <c r="V250" s="77"/>
      <c r="W250" s="77"/>
      <c r="X250" s="77"/>
      <c r="Y250" s="77">
        <v>389</v>
      </c>
      <c r="Z250" s="77"/>
      <c r="AA250" s="77"/>
      <c r="AB250" s="77"/>
      <c r="AC250" s="77"/>
      <c r="AD250" s="77"/>
      <c r="AE250" s="62"/>
      <c r="AF250" s="63" t="b">
        <v>0</v>
      </c>
      <c r="AG250" s="63" t="b">
        <v>0</v>
      </c>
      <c r="AH250" s="62"/>
      <c r="AI250" s="64">
        <f t="shared" si="7"/>
        <v>46177</v>
      </c>
      <c r="AJ250" s="65" t="str">
        <f t="shared" si="340"/>
        <v>CON</v>
      </c>
      <c r="AK250" s="66" t="str">
        <f t="shared" si="9"/>
        <v>HOLD</v>
      </c>
      <c r="AL250" s="67" t="e">
        <f t="shared" ca="1" si="10"/>
        <v>#NAME?</v>
      </c>
      <c r="AM250" s="68">
        <f t="shared" si="637"/>
        <v>1625</v>
      </c>
      <c r="AN250" s="69">
        <f t="shared" si="638"/>
        <v>3.5190679342529785E-2</v>
      </c>
      <c r="AO250" s="62"/>
      <c r="AP250" s="70">
        <f t="shared" ref="AP250:AT250" si="756">H250/$AI250</f>
        <v>0.36736903653333913</v>
      </c>
      <c r="AQ250" s="70">
        <f t="shared" si="756"/>
        <v>0.40255971587586892</v>
      </c>
      <c r="AR250" s="70">
        <f t="shared" si="756"/>
        <v>0.10355804837906317</v>
      </c>
      <c r="AS250" s="70">
        <f t="shared" si="756"/>
        <v>2.1006128592156267E-2</v>
      </c>
      <c r="AT250" s="70">
        <f t="shared" si="756"/>
        <v>5.2991749139181844E-2</v>
      </c>
      <c r="AU250" s="70"/>
      <c r="AV250" s="70"/>
      <c r="AW250" s="81">
        <f t="shared" si="14"/>
        <v>5.2515321480390842E-2</v>
      </c>
      <c r="AX250" s="70">
        <f t="shared" ref="AX250:BG250" si="757">O250/$AI250</f>
        <v>4.4091214240855839E-2</v>
      </c>
      <c r="AY250" s="70">
        <f t="shared" si="757"/>
        <v>0</v>
      </c>
      <c r="AZ250" s="70">
        <f t="shared" si="757"/>
        <v>0</v>
      </c>
      <c r="BA250" s="70">
        <f t="shared" si="757"/>
        <v>0</v>
      </c>
      <c r="BB250" s="70">
        <f t="shared" si="757"/>
        <v>0</v>
      </c>
      <c r="BC250" s="70">
        <f t="shared" si="757"/>
        <v>0</v>
      </c>
      <c r="BD250" s="70">
        <f t="shared" si="757"/>
        <v>0</v>
      </c>
      <c r="BE250" s="70">
        <f t="shared" si="757"/>
        <v>0</v>
      </c>
      <c r="BF250" s="70">
        <f t="shared" si="757"/>
        <v>0</v>
      </c>
      <c r="BG250" s="70">
        <f t="shared" si="757"/>
        <v>0</v>
      </c>
      <c r="BH250" s="70">
        <f t="shared" si="16"/>
        <v>8.4241072395350031E-3</v>
      </c>
      <c r="BI250" s="62"/>
      <c r="BJ250" s="69">
        <v>0.439</v>
      </c>
      <c r="BK250" s="69">
        <v>0.48099999999999998</v>
      </c>
      <c r="BL250" s="69">
        <v>1.6E-2</v>
      </c>
      <c r="BM250" s="69">
        <v>4.9000000000000002E-2</v>
      </c>
      <c r="BN250" s="69">
        <v>0</v>
      </c>
      <c r="BO250" s="69">
        <v>0</v>
      </c>
      <c r="BP250" s="69">
        <v>0</v>
      </c>
      <c r="BQ250" s="69">
        <v>1.4999999999999999E-2</v>
      </c>
      <c r="BR250" s="62"/>
      <c r="BS250" s="72">
        <f t="shared" ref="BS250:BW250" si="758">AP250-BJ250</f>
        <v>-7.1630963466660869E-2</v>
      </c>
      <c r="BT250" s="72">
        <f t="shared" si="758"/>
        <v>-7.8440284124131066E-2</v>
      </c>
      <c r="BU250" s="72">
        <f t="shared" si="758"/>
        <v>8.7558048379063169E-2</v>
      </c>
      <c r="BV250" s="72">
        <f t="shared" si="758"/>
        <v>-2.7993871407843735E-2</v>
      </c>
      <c r="BW250" s="72">
        <f t="shared" si="758"/>
        <v>5.2991749139181844E-2</v>
      </c>
      <c r="BX250" s="72"/>
      <c r="BY250" s="72"/>
      <c r="BZ250" s="72">
        <f t="shared" si="18"/>
        <v>3.7515321480390842E-2</v>
      </c>
    </row>
    <row r="251" spans="1:78" ht="13.15">
      <c r="A251" s="73" t="s">
        <v>6</v>
      </c>
      <c r="B251" s="74" t="s">
        <v>545</v>
      </c>
      <c r="C251" s="75" t="s">
        <v>546</v>
      </c>
      <c r="D251" s="75" t="s">
        <v>47</v>
      </c>
      <c r="E251" s="76"/>
      <c r="F251" s="59"/>
      <c r="G251" s="60"/>
      <c r="H251" s="77">
        <v>12821</v>
      </c>
      <c r="I251" s="77">
        <v>19395</v>
      </c>
      <c r="J251" s="77">
        <v>6920</v>
      </c>
      <c r="K251" s="77">
        <v>10464</v>
      </c>
      <c r="L251" s="77">
        <v>3125</v>
      </c>
      <c r="M251" s="77"/>
      <c r="N251" s="77"/>
      <c r="O251" s="77"/>
      <c r="P251" s="77"/>
      <c r="Q251" s="77"/>
      <c r="R251" s="77"/>
      <c r="S251" s="77"/>
      <c r="T251" s="77"/>
      <c r="U251" s="77"/>
      <c r="V251" s="77"/>
      <c r="W251" s="77"/>
      <c r="X251" s="77"/>
      <c r="Y251" s="77">
        <v>442</v>
      </c>
      <c r="Z251" s="77">
        <v>153</v>
      </c>
      <c r="AA251" s="77"/>
      <c r="AB251" s="77"/>
      <c r="AC251" s="77"/>
      <c r="AD251" s="77"/>
      <c r="AE251" s="62"/>
      <c r="AF251" s="63" t="b">
        <v>0</v>
      </c>
      <c r="AG251" s="63" t="b">
        <v>0</v>
      </c>
      <c r="AH251" s="62"/>
      <c r="AI251" s="64">
        <f t="shared" si="7"/>
        <v>53320</v>
      </c>
      <c r="AJ251" s="65" t="str">
        <f t="shared" si="340"/>
        <v>CON</v>
      </c>
      <c r="AK251" s="66" t="str">
        <f t="shared" si="9"/>
        <v>HOLD</v>
      </c>
      <c r="AL251" s="67" t="e">
        <f t="shared" ca="1" si="10"/>
        <v>#NAME?</v>
      </c>
      <c r="AM251" s="68">
        <f t="shared" si="637"/>
        <v>6574</v>
      </c>
      <c r="AN251" s="69">
        <f t="shared" si="638"/>
        <v>0.12329332333083268</v>
      </c>
      <c r="AO251" s="62"/>
      <c r="AP251" s="70">
        <f t="shared" ref="AP251:AT251" si="759">H251/$AI251</f>
        <v>0.24045386346586647</v>
      </c>
      <c r="AQ251" s="70">
        <f t="shared" si="759"/>
        <v>0.36374718679669915</v>
      </c>
      <c r="AR251" s="70">
        <f t="shared" si="759"/>
        <v>0.12978244561140284</v>
      </c>
      <c r="AS251" s="70">
        <f t="shared" si="759"/>
        <v>0.1962490622655664</v>
      </c>
      <c r="AT251" s="70">
        <f t="shared" si="759"/>
        <v>5.8608402100525134E-2</v>
      </c>
      <c r="AU251" s="70"/>
      <c r="AV251" s="70"/>
      <c r="AW251" s="81">
        <f t="shared" si="14"/>
        <v>1.1159039759940037E-2</v>
      </c>
      <c r="AX251" s="70">
        <f t="shared" ref="AX251:BG251" si="760">O251/$AI251</f>
        <v>0</v>
      </c>
      <c r="AY251" s="70">
        <f t="shared" si="760"/>
        <v>0</v>
      </c>
      <c r="AZ251" s="70">
        <f t="shared" si="760"/>
        <v>0</v>
      </c>
      <c r="BA251" s="70">
        <f t="shared" si="760"/>
        <v>0</v>
      </c>
      <c r="BB251" s="70">
        <f t="shared" si="760"/>
        <v>0</v>
      </c>
      <c r="BC251" s="70">
        <f t="shared" si="760"/>
        <v>0</v>
      </c>
      <c r="BD251" s="70">
        <f t="shared" si="760"/>
        <v>0</v>
      </c>
      <c r="BE251" s="70">
        <f t="shared" si="760"/>
        <v>0</v>
      </c>
      <c r="BF251" s="70">
        <f t="shared" si="760"/>
        <v>0</v>
      </c>
      <c r="BG251" s="70">
        <f t="shared" si="760"/>
        <v>0</v>
      </c>
      <c r="BH251" s="70">
        <f t="shared" si="16"/>
        <v>1.1159039759940037E-2</v>
      </c>
      <c r="BI251" s="62"/>
      <c r="BJ251" s="69">
        <v>0.19</v>
      </c>
      <c r="BK251" s="69">
        <v>0.59</v>
      </c>
      <c r="BL251" s="69">
        <v>2E-3</v>
      </c>
      <c r="BM251" s="69">
        <v>0.16900000000000001</v>
      </c>
      <c r="BN251" s="69">
        <v>4.2000000000000003E-2</v>
      </c>
      <c r="BO251" s="69">
        <v>0</v>
      </c>
      <c r="BP251" s="69">
        <v>0</v>
      </c>
      <c r="BQ251" s="69">
        <v>8.0000000000000002E-3</v>
      </c>
      <c r="BR251" s="62"/>
      <c r="BS251" s="72">
        <f t="shared" ref="BS251:BW251" si="761">AP251-BJ251</f>
        <v>5.0453863465866472E-2</v>
      </c>
      <c r="BT251" s="72">
        <f t="shared" si="761"/>
        <v>-0.22625281320330082</v>
      </c>
      <c r="BU251" s="72">
        <f t="shared" si="761"/>
        <v>0.12778244561140284</v>
      </c>
      <c r="BV251" s="72">
        <f t="shared" si="761"/>
        <v>2.7249062265566393E-2</v>
      </c>
      <c r="BW251" s="72">
        <f t="shared" si="761"/>
        <v>1.6608402100525131E-2</v>
      </c>
      <c r="BX251" s="72"/>
      <c r="BY251" s="72"/>
      <c r="BZ251" s="72">
        <f t="shared" si="18"/>
        <v>3.1590397599400369E-3</v>
      </c>
    </row>
    <row r="252" spans="1:78" ht="13.15">
      <c r="A252" s="73" t="s">
        <v>5</v>
      </c>
      <c r="B252" s="74" t="s">
        <v>547</v>
      </c>
      <c r="C252" s="75" t="s">
        <v>548</v>
      </c>
      <c r="D252" s="75" t="s">
        <v>68</v>
      </c>
      <c r="E252" s="76"/>
      <c r="F252" s="59"/>
      <c r="G252" s="60"/>
      <c r="H252" s="77">
        <v>17025</v>
      </c>
      <c r="I252" s="77">
        <v>14122</v>
      </c>
      <c r="J252" s="77">
        <v>2514</v>
      </c>
      <c r="K252" s="77">
        <v>2910</v>
      </c>
      <c r="L252" s="77">
        <v>2732</v>
      </c>
      <c r="M252" s="77"/>
      <c r="N252" s="77"/>
      <c r="O252" s="77">
        <v>1824</v>
      </c>
      <c r="P252" s="77"/>
      <c r="Q252" s="77"/>
      <c r="R252" s="77"/>
      <c r="S252" s="77"/>
      <c r="T252" s="77"/>
      <c r="U252" s="77"/>
      <c r="V252" s="77"/>
      <c r="W252" s="77"/>
      <c r="X252" s="77"/>
      <c r="Y252" s="77">
        <v>486</v>
      </c>
      <c r="Z252" s="77">
        <v>116</v>
      </c>
      <c r="AA252" s="77">
        <v>114</v>
      </c>
      <c r="AB252" s="77">
        <v>65</v>
      </c>
      <c r="AC252" s="77"/>
      <c r="AD252" s="77"/>
      <c r="AE252" s="62"/>
      <c r="AF252" s="63" t="b">
        <v>0</v>
      </c>
      <c r="AG252" s="63" t="b">
        <v>0</v>
      </c>
      <c r="AH252" s="62"/>
      <c r="AI252" s="64">
        <f t="shared" si="7"/>
        <v>41908</v>
      </c>
      <c r="AJ252" s="65" t="str">
        <f t="shared" si="340"/>
        <v>LAB</v>
      </c>
      <c r="AK252" s="66" t="str">
        <f t="shared" si="9"/>
        <v>HOLD</v>
      </c>
      <c r="AL252" s="67" t="e">
        <f t="shared" ca="1" si="10"/>
        <v>#NAME?</v>
      </c>
      <c r="AM252" s="68">
        <f t="shared" si="637"/>
        <v>2903</v>
      </c>
      <c r="AN252" s="69">
        <f t="shared" si="638"/>
        <v>6.9270783621265597E-2</v>
      </c>
      <c r="AO252" s="62"/>
      <c r="AP252" s="70">
        <f t="shared" ref="AP252:AT252" si="762">H252/$AI252</f>
        <v>0.40624701727593776</v>
      </c>
      <c r="AQ252" s="70">
        <f t="shared" si="762"/>
        <v>0.33697623365467216</v>
      </c>
      <c r="AR252" s="70">
        <f t="shared" si="762"/>
        <v>5.9988546339601032E-2</v>
      </c>
      <c r="AS252" s="70">
        <f t="shared" si="762"/>
        <v>6.9437816168750596E-2</v>
      </c>
      <c r="AT252" s="70">
        <f t="shared" si="762"/>
        <v>6.5190417104132856E-2</v>
      </c>
      <c r="AU252" s="70"/>
      <c r="AV252" s="70"/>
      <c r="AW252" s="81">
        <f t="shared" si="14"/>
        <v>6.2159969456905606E-2</v>
      </c>
      <c r="AX252" s="70">
        <f t="shared" ref="AX252:BG252" si="763">O252/$AI252</f>
        <v>4.352390951608285E-2</v>
      </c>
      <c r="AY252" s="70">
        <f t="shared" si="763"/>
        <v>0</v>
      </c>
      <c r="AZ252" s="70">
        <f t="shared" si="763"/>
        <v>0</v>
      </c>
      <c r="BA252" s="70">
        <f t="shared" si="763"/>
        <v>0</v>
      </c>
      <c r="BB252" s="70">
        <f t="shared" si="763"/>
        <v>0</v>
      </c>
      <c r="BC252" s="70">
        <f t="shared" si="763"/>
        <v>0</v>
      </c>
      <c r="BD252" s="70">
        <f t="shared" si="763"/>
        <v>0</v>
      </c>
      <c r="BE252" s="70">
        <f t="shared" si="763"/>
        <v>0</v>
      </c>
      <c r="BF252" s="70">
        <f t="shared" si="763"/>
        <v>0</v>
      </c>
      <c r="BG252" s="70">
        <f t="shared" si="763"/>
        <v>0</v>
      </c>
      <c r="BH252" s="70">
        <f t="shared" si="16"/>
        <v>1.8636059940822756E-2</v>
      </c>
      <c r="BI252" s="62"/>
      <c r="BJ252" s="69">
        <v>0.39</v>
      </c>
      <c r="BK252" s="69">
        <v>0.38300000000000001</v>
      </c>
      <c r="BL252" s="69">
        <v>8.0000000000000002E-3</v>
      </c>
      <c r="BM252" s="69">
        <v>0.20200000000000001</v>
      </c>
      <c r="BN252" s="69">
        <v>1.4E-2</v>
      </c>
      <c r="BO252" s="69">
        <v>0</v>
      </c>
      <c r="BP252" s="69">
        <v>0</v>
      </c>
      <c r="BQ252" s="69">
        <v>3.0000000000000001E-3</v>
      </c>
      <c r="BR252" s="62"/>
      <c r="BS252" s="72">
        <f t="shared" ref="BS252:BW252" si="764">AP252-BJ252</f>
        <v>1.6247017275937747E-2</v>
      </c>
      <c r="BT252" s="72">
        <f t="shared" si="764"/>
        <v>-4.6023766345327843E-2</v>
      </c>
      <c r="BU252" s="72">
        <f t="shared" si="764"/>
        <v>5.1988546339601031E-2</v>
      </c>
      <c r="BV252" s="72">
        <f t="shared" si="764"/>
        <v>-0.1325621838312494</v>
      </c>
      <c r="BW252" s="72">
        <f t="shared" si="764"/>
        <v>5.1190417104132857E-2</v>
      </c>
      <c r="BX252" s="72"/>
      <c r="BY252" s="72"/>
      <c r="BZ252" s="72">
        <f t="shared" si="18"/>
        <v>5.9159969456905603E-2</v>
      </c>
    </row>
    <row r="253" spans="1:78" ht="13.15">
      <c r="A253" s="73" t="s">
        <v>6</v>
      </c>
      <c r="B253" s="74" t="s">
        <v>549</v>
      </c>
      <c r="C253" s="75" t="s">
        <v>550</v>
      </c>
      <c r="D253" s="75" t="s">
        <v>53</v>
      </c>
      <c r="E253" s="76"/>
      <c r="F253" s="59"/>
      <c r="G253" s="60"/>
      <c r="H253" s="77">
        <v>18009</v>
      </c>
      <c r="I253" s="77">
        <v>14189</v>
      </c>
      <c r="J253" s="77">
        <v>8468</v>
      </c>
      <c r="K253" s="77">
        <v>1357</v>
      </c>
      <c r="L253" s="77">
        <v>7004</v>
      </c>
      <c r="M253" s="77"/>
      <c r="N253" s="77"/>
      <c r="O253" s="77">
        <v>1057</v>
      </c>
      <c r="P253" s="77"/>
      <c r="Q253" s="77">
        <v>85</v>
      </c>
      <c r="R253" s="77"/>
      <c r="S253" s="77"/>
      <c r="T253" s="77"/>
      <c r="U253" s="77"/>
      <c r="V253" s="77"/>
      <c r="W253" s="77"/>
      <c r="X253" s="77"/>
      <c r="Y253" s="77">
        <v>62</v>
      </c>
      <c r="Z253" s="77"/>
      <c r="AA253" s="77"/>
      <c r="AB253" s="77"/>
      <c r="AC253" s="77"/>
      <c r="AD253" s="77"/>
      <c r="AE253" s="62"/>
      <c r="AF253" s="63" t="b">
        <v>0</v>
      </c>
      <c r="AG253" s="63" t="b">
        <v>0</v>
      </c>
      <c r="AH253" s="62"/>
      <c r="AI253" s="64">
        <f t="shared" si="7"/>
        <v>50231</v>
      </c>
      <c r="AJ253" s="65" t="str">
        <f t="shared" si="340"/>
        <v>LAB</v>
      </c>
      <c r="AK253" s="66" t="str">
        <f t="shared" si="9"/>
        <v>GAIN</v>
      </c>
      <c r="AL253" s="67" t="e">
        <f t="shared" ca="1" si="10"/>
        <v>#NAME?</v>
      </c>
      <c r="AM253" s="68">
        <f t="shared" si="637"/>
        <v>3820</v>
      </c>
      <c r="AN253" s="69">
        <f t="shared" si="638"/>
        <v>7.6048655212916372E-2</v>
      </c>
      <c r="AO253" s="62"/>
      <c r="AP253" s="70">
        <f t="shared" ref="AP253:AT253" si="765">H253/$AI253</f>
        <v>0.35852362087157336</v>
      </c>
      <c r="AQ253" s="70">
        <f t="shared" si="765"/>
        <v>0.28247496565865698</v>
      </c>
      <c r="AR253" s="70">
        <f t="shared" si="765"/>
        <v>0.16858115506360613</v>
      </c>
      <c r="AS253" s="70">
        <f t="shared" si="765"/>
        <v>2.7015189823017659E-2</v>
      </c>
      <c r="AT253" s="70">
        <f t="shared" si="765"/>
        <v>0.13943580657362983</v>
      </c>
      <c r="AU253" s="70"/>
      <c r="AV253" s="70"/>
      <c r="AW253" s="81">
        <f t="shared" si="14"/>
        <v>2.396926200951599E-2</v>
      </c>
      <c r="AX253" s="70">
        <f t="shared" ref="AX253:BG253" si="766">O253/$AI253</f>
        <v>2.1042782345563497E-2</v>
      </c>
      <c r="AY253" s="70">
        <f t="shared" si="766"/>
        <v>0</v>
      </c>
      <c r="AZ253" s="70">
        <f t="shared" si="766"/>
        <v>1.6921821186120125E-3</v>
      </c>
      <c r="BA253" s="70">
        <f t="shared" si="766"/>
        <v>0</v>
      </c>
      <c r="BB253" s="70">
        <f t="shared" si="766"/>
        <v>0</v>
      </c>
      <c r="BC253" s="70">
        <f t="shared" si="766"/>
        <v>0</v>
      </c>
      <c r="BD253" s="70">
        <f t="shared" si="766"/>
        <v>0</v>
      </c>
      <c r="BE253" s="70">
        <f t="shared" si="766"/>
        <v>0</v>
      </c>
      <c r="BF253" s="70">
        <f t="shared" si="766"/>
        <v>0</v>
      </c>
      <c r="BG253" s="70">
        <f t="shared" si="766"/>
        <v>0</v>
      </c>
      <c r="BH253" s="70">
        <f t="shared" si="16"/>
        <v>1.2342975453404799E-3</v>
      </c>
      <c r="BI253" s="62"/>
      <c r="BJ253" s="69">
        <v>0.26900000000000002</v>
      </c>
      <c r="BK253" s="69">
        <v>0.60299999999999998</v>
      </c>
      <c r="BL253" s="69">
        <v>0</v>
      </c>
      <c r="BM253" s="69">
        <v>6.7000000000000004E-2</v>
      </c>
      <c r="BN253" s="69">
        <v>0.03</v>
      </c>
      <c r="BO253" s="69">
        <v>0</v>
      </c>
      <c r="BP253" s="69">
        <v>0</v>
      </c>
      <c r="BQ253" s="69">
        <v>3.2000000000000001E-2</v>
      </c>
      <c r="BR253" s="62"/>
      <c r="BS253" s="72">
        <f t="shared" ref="BS253:BW253" si="767">AP253-BJ253</f>
        <v>8.9523620871573339E-2</v>
      </c>
      <c r="BT253" s="72">
        <f t="shared" si="767"/>
        <v>-0.320525034341343</v>
      </c>
      <c r="BU253" s="72">
        <f t="shared" si="767"/>
        <v>0.16858115506360613</v>
      </c>
      <c r="BV253" s="72">
        <f t="shared" si="767"/>
        <v>-3.9984810176982341E-2</v>
      </c>
      <c r="BW253" s="72">
        <f t="shared" si="767"/>
        <v>0.10943580657362983</v>
      </c>
      <c r="BX253" s="72"/>
      <c r="BY253" s="72"/>
      <c r="BZ253" s="72">
        <f t="shared" si="18"/>
        <v>-8.0307379904840104E-3</v>
      </c>
    </row>
    <row r="254" spans="1:78" ht="13.15">
      <c r="A254" s="79" t="s">
        <v>8</v>
      </c>
      <c r="B254" s="74" t="s">
        <v>551</v>
      </c>
      <c r="C254" s="75" t="s">
        <v>552</v>
      </c>
      <c r="D254" s="75" t="s">
        <v>68</v>
      </c>
      <c r="E254" s="76"/>
      <c r="F254" s="59"/>
      <c r="G254" s="60"/>
      <c r="H254" s="77">
        <v>6561</v>
      </c>
      <c r="I254" s="77">
        <v>8635</v>
      </c>
      <c r="J254" s="77">
        <v>4787</v>
      </c>
      <c r="K254" s="77">
        <v>25870</v>
      </c>
      <c r="L254" s="77">
        <v>3009</v>
      </c>
      <c r="M254" s="77"/>
      <c r="N254" s="77"/>
      <c r="O254" s="77"/>
      <c r="P254" s="77">
        <v>395</v>
      </c>
      <c r="Q254" s="77"/>
      <c r="R254" s="77"/>
      <c r="S254" s="77"/>
      <c r="T254" s="77"/>
      <c r="U254" s="77"/>
      <c r="V254" s="77"/>
      <c r="W254" s="77"/>
      <c r="X254" s="77"/>
      <c r="Y254" s="77">
        <v>230</v>
      </c>
      <c r="Z254" s="77">
        <v>1177</v>
      </c>
      <c r="AA254" s="77"/>
      <c r="AB254" s="77"/>
      <c r="AC254" s="77"/>
      <c r="AD254" s="77"/>
      <c r="AE254" s="62"/>
      <c r="AF254" s="63" t="b">
        <v>0</v>
      </c>
      <c r="AG254" s="63" t="b">
        <v>0</v>
      </c>
      <c r="AH254" s="62"/>
      <c r="AI254" s="64">
        <f t="shared" si="7"/>
        <v>50664</v>
      </c>
      <c r="AJ254" s="65" t="str">
        <f t="shared" si="340"/>
        <v>LDM</v>
      </c>
      <c r="AK254" s="66" t="str">
        <f t="shared" si="9"/>
        <v>HOLD</v>
      </c>
      <c r="AL254" s="67" t="e">
        <f t="shared" ca="1" si="10"/>
        <v>#NAME?</v>
      </c>
      <c r="AM254" s="68">
        <f t="shared" si="637"/>
        <v>17235</v>
      </c>
      <c r="AN254" s="69">
        <f t="shared" si="638"/>
        <v>0.34018237801989581</v>
      </c>
      <c r="AO254" s="62"/>
      <c r="AP254" s="70">
        <f t="shared" ref="AP254:AT254" si="768">H254/$AI254</f>
        <v>0.12950023685457129</v>
      </c>
      <c r="AQ254" s="70">
        <f t="shared" si="768"/>
        <v>0.17043660192641719</v>
      </c>
      <c r="AR254" s="70">
        <f t="shared" si="768"/>
        <v>9.4485236065056058E-2</v>
      </c>
      <c r="AS254" s="70">
        <f t="shared" si="768"/>
        <v>0.510618979946313</v>
      </c>
      <c r="AT254" s="70">
        <f t="shared" si="768"/>
        <v>5.9391283751776408E-2</v>
      </c>
      <c r="AU254" s="70"/>
      <c r="AV254" s="70"/>
      <c r="AW254" s="81">
        <f t="shared" si="14"/>
        <v>3.5567661455866095E-2</v>
      </c>
      <c r="AX254" s="70">
        <f t="shared" ref="AX254:BG254" si="769">O254/$AI254</f>
        <v>0</v>
      </c>
      <c r="AY254" s="70">
        <f t="shared" si="769"/>
        <v>7.7964629717353542E-3</v>
      </c>
      <c r="AZ254" s="70">
        <f t="shared" si="769"/>
        <v>0</v>
      </c>
      <c r="BA254" s="70">
        <f t="shared" si="769"/>
        <v>0</v>
      </c>
      <c r="BB254" s="70">
        <f t="shared" si="769"/>
        <v>0</v>
      </c>
      <c r="BC254" s="70">
        <f t="shared" si="769"/>
        <v>0</v>
      </c>
      <c r="BD254" s="70">
        <f t="shared" si="769"/>
        <v>0</v>
      </c>
      <c r="BE254" s="70">
        <f t="shared" si="769"/>
        <v>0</v>
      </c>
      <c r="BF254" s="70">
        <f t="shared" si="769"/>
        <v>0</v>
      </c>
      <c r="BG254" s="70">
        <f t="shared" si="769"/>
        <v>0</v>
      </c>
      <c r="BH254" s="70">
        <f t="shared" si="16"/>
        <v>2.7771198484130739E-2</v>
      </c>
      <c r="BI254" s="62"/>
      <c r="BJ254" s="69">
        <v>0.10199999999999999</v>
      </c>
      <c r="BK254" s="69">
        <v>0.33100000000000002</v>
      </c>
      <c r="BL254" s="69">
        <v>1.0999999999999999E-2</v>
      </c>
      <c r="BM254" s="69">
        <v>0.52700000000000002</v>
      </c>
      <c r="BN254" s="69">
        <v>1.6E-2</v>
      </c>
      <c r="BO254" s="69">
        <v>0</v>
      </c>
      <c r="BP254" s="69">
        <v>0</v>
      </c>
      <c r="BQ254" s="69">
        <v>1.4E-2</v>
      </c>
      <c r="BR254" s="62"/>
      <c r="BS254" s="72">
        <f t="shared" ref="BS254:BW254" si="770">AP254-BJ254</f>
        <v>2.75002368545713E-2</v>
      </c>
      <c r="BT254" s="72">
        <f t="shared" si="770"/>
        <v>-0.16056339807358283</v>
      </c>
      <c r="BU254" s="72">
        <f t="shared" si="770"/>
        <v>8.3485236065056062E-2</v>
      </c>
      <c r="BV254" s="72">
        <f t="shared" si="770"/>
        <v>-1.6381020053687023E-2</v>
      </c>
      <c r="BW254" s="72">
        <f t="shared" si="770"/>
        <v>4.3391283751776408E-2</v>
      </c>
      <c r="BX254" s="72"/>
      <c r="BY254" s="72"/>
      <c r="BZ254" s="72">
        <f t="shared" si="18"/>
        <v>2.1567661455866097E-2</v>
      </c>
    </row>
    <row r="255" spans="1:78" ht="13.15">
      <c r="A255" s="78" t="s">
        <v>5</v>
      </c>
      <c r="B255" s="74" t="s">
        <v>553</v>
      </c>
      <c r="C255" s="75" t="s">
        <v>554</v>
      </c>
      <c r="D255" s="75" t="s">
        <v>71</v>
      </c>
      <c r="E255" s="76"/>
      <c r="F255" s="59"/>
      <c r="G255" s="60"/>
      <c r="H255" s="77">
        <v>13047</v>
      </c>
      <c r="I255" s="77">
        <v>2715</v>
      </c>
      <c r="J255" s="77">
        <v>9127</v>
      </c>
      <c r="K255" s="77">
        <v>3252</v>
      </c>
      <c r="L255" s="77">
        <v>1675</v>
      </c>
      <c r="M255" s="77"/>
      <c r="N255" s="77"/>
      <c r="O255" s="77"/>
      <c r="P255" s="77"/>
      <c r="Q255" s="77"/>
      <c r="R255" s="77"/>
      <c r="S255" s="77"/>
      <c r="T255" s="77"/>
      <c r="U255" s="77"/>
      <c r="V255" s="77"/>
      <c r="W255" s="77"/>
      <c r="X255" s="77"/>
      <c r="Y255" s="77"/>
      <c r="Z255" s="77"/>
      <c r="AA255" s="77"/>
      <c r="AB255" s="77"/>
      <c r="AC255" s="77"/>
      <c r="AD255" s="77"/>
      <c r="AE255" s="62"/>
      <c r="AF255" s="63" t="b">
        <v>0</v>
      </c>
      <c r="AG255" s="63" t="b">
        <v>0</v>
      </c>
      <c r="AH255" s="62"/>
      <c r="AI255" s="64">
        <f t="shared" si="7"/>
        <v>29816</v>
      </c>
      <c r="AJ255" s="65" t="str">
        <f t="shared" si="340"/>
        <v>LAB</v>
      </c>
      <c r="AK255" s="66" t="str">
        <f t="shared" si="9"/>
        <v>HOLD</v>
      </c>
      <c r="AL255" s="67" t="e">
        <f t="shared" ca="1" si="10"/>
        <v>#NAME?</v>
      </c>
      <c r="AM255" s="68">
        <f t="shared" si="637"/>
        <v>3920</v>
      </c>
      <c r="AN255" s="69">
        <f t="shared" si="638"/>
        <v>0.13147303461228871</v>
      </c>
      <c r="AO255" s="62"/>
      <c r="AP255" s="70">
        <f t="shared" ref="AP255:AT255" si="771">H255/$AI255</f>
        <v>0.4375838475986048</v>
      </c>
      <c r="AQ255" s="70">
        <f t="shared" si="771"/>
        <v>9.1058492084786696E-2</v>
      </c>
      <c r="AR255" s="70">
        <f t="shared" si="771"/>
        <v>0.30611081298631609</v>
      </c>
      <c r="AS255" s="70">
        <f t="shared" si="771"/>
        <v>0.10906895626509257</v>
      </c>
      <c r="AT255" s="70">
        <f t="shared" si="771"/>
        <v>5.6177891065199895E-2</v>
      </c>
      <c r="AU255" s="70"/>
      <c r="AV255" s="70"/>
      <c r="AW255" s="81">
        <f t="shared" si="14"/>
        <v>0</v>
      </c>
      <c r="AX255" s="70">
        <f t="shared" ref="AX255:BG255" si="772">O255/$AI255</f>
        <v>0</v>
      </c>
      <c r="AY255" s="70">
        <f t="shared" si="772"/>
        <v>0</v>
      </c>
      <c r="AZ255" s="70">
        <f t="shared" si="772"/>
        <v>0</v>
      </c>
      <c r="BA255" s="70">
        <f t="shared" si="772"/>
        <v>0</v>
      </c>
      <c r="BB255" s="70">
        <f t="shared" si="772"/>
        <v>0</v>
      </c>
      <c r="BC255" s="70">
        <f t="shared" si="772"/>
        <v>0</v>
      </c>
      <c r="BD255" s="70">
        <f t="shared" si="772"/>
        <v>0</v>
      </c>
      <c r="BE255" s="70">
        <f t="shared" si="772"/>
        <v>0</v>
      </c>
      <c r="BF255" s="70">
        <f t="shared" si="772"/>
        <v>0</v>
      </c>
      <c r="BG255" s="70">
        <f t="shared" si="772"/>
        <v>0</v>
      </c>
      <c r="BH255" s="70">
        <f t="shared" si="16"/>
        <v>-2.2204460492503131E-16</v>
      </c>
      <c r="BI255" s="62"/>
      <c r="BJ255" s="69">
        <v>0.41599999999999998</v>
      </c>
      <c r="BK255" s="69">
        <v>0.34300000000000003</v>
      </c>
      <c r="BL255" s="69">
        <v>0.16800000000000001</v>
      </c>
      <c r="BM255" s="69">
        <v>0.05</v>
      </c>
      <c r="BN255" s="69">
        <v>2.3E-2</v>
      </c>
      <c r="BO255" s="69">
        <v>0</v>
      </c>
      <c r="BP255" s="69">
        <v>0</v>
      </c>
      <c r="BQ255" s="69">
        <v>0</v>
      </c>
      <c r="BR255" s="62"/>
      <c r="BS255" s="72">
        <f t="shared" ref="BS255:BW255" si="773">AP255-BJ255</f>
        <v>2.1583847598604822E-2</v>
      </c>
      <c r="BT255" s="72">
        <f t="shared" si="773"/>
        <v>-0.2519415079152133</v>
      </c>
      <c r="BU255" s="72">
        <f t="shared" si="773"/>
        <v>0.13811081298631608</v>
      </c>
      <c r="BV255" s="72">
        <f t="shared" si="773"/>
        <v>5.9068956265092565E-2</v>
      </c>
      <c r="BW255" s="72">
        <f t="shared" si="773"/>
        <v>3.3177891065199895E-2</v>
      </c>
      <c r="BX255" s="72"/>
      <c r="BY255" s="72"/>
      <c r="BZ255" s="72">
        <f t="shared" si="18"/>
        <v>-2.2204460492503131E-16</v>
      </c>
    </row>
    <row r="256" spans="1:78" ht="13.15">
      <c r="A256" s="78" t="s">
        <v>5</v>
      </c>
      <c r="B256" s="74" t="s">
        <v>555</v>
      </c>
      <c r="C256" s="75" t="s">
        <v>556</v>
      </c>
      <c r="D256" s="75" t="s">
        <v>71</v>
      </c>
      <c r="E256" s="76"/>
      <c r="F256" s="59"/>
      <c r="G256" s="60"/>
      <c r="H256" s="77">
        <v>18480</v>
      </c>
      <c r="I256" s="77">
        <v>4897</v>
      </c>
      <c r="J256" s="77">
        <v>7801</v>
      </c>
      <c r="K256" s="77">
        <v>3246</v>
      </c>
      <c r="L256" s="77">
        <v>2322</v>
      </c>
      <c r="M256" s="77"/>
      <c r="N256" s="77"/>
      <c r="O256" s="77">
        <v>720</v>
      </c>
      <c r="P256" s="77"/>
      <c r="Q256" s="77"/>
      <c r="R256" s="77">
        <v>339</v>
      </c>
      <c r="S256" s="77"/>
      <c r="T256" s="77"/>
      <c r="U256" s="77"/>
      <c r="V256" s="77"/>
      <c r="W256" s="77"/>
      <c r="X256" s="77"/>
      <c r="Y256" s="77">
        <v>262</v>
      </c>
      <c r="Z256" s="77">
        <v>161</v>
      </c>
      <c r="AA256" s="77"/>
      <c r="AB256" s="77"/>
      <c r="AC256" s="77"/>
      <c r="AD256" s="77"/>
      <c r="AE256" s="62"/>
      <c r="AF256" s="63" t="b">
        <v>0</v>
      </c>
      <c r="AG256" s="63" t="b">
        <v>0</v>
      </c>
      <c r="AH256" s="62"/>
      <c r="AI256" s="64">
        <f t="shared" si="7"/>
        <v>38228</v>
      </c>
      <c r="AJ256" s="65" t="str">
        <f t="shared" si="340"/>
        <v>LAB</v>
      </c>
      <c r="AK256" s="66" t="str">
        <f t="shared" si="9"/>
        <v>HOLD</v>
      </c>
      <c r="AL256" s="67" t="e">
        <f t="shared" ca="1" si="10"/>
        <v>#NAME?</v>
      </c>
      <c r="AM256" s="68">
        <f t="shared" si="637"/>
        <v>10679</v>
      </c>
      <c r="AN256" s="69">
        <f t="shared" si="638"/>
        <v>0.27935021450245895</v>
      </c>
      <c r="AO256" s="62"/>
      <c r="AP256" s="70">
        <f t="shared" ref="AP256:AT256" si="774">H256/$AI256</f>
        <v>0.48341529768755886</v>
      </c>
      <c r="AQ256" s="70">
        <f t="shared" si="774"/>
        <v>0.12809982211991211</v>
      </c>
      <c r="AR256" s="70">
        <f t="shared" si="774"/>
        <v>0.20406508318509992</v>
      </c>
      <c r="AS256" s="70">
        <f t="shared" si="774"/>
        <v>8.4911583132782256E-2</v>
      </c>
      <c r="AT256" s="70">
        <f t="shared" si="774"/>
        <v>6.0740818248404313E-2</v>
      </c>
      <c r="AU256" s="70"/>
      <c r="AV256" s="70"/>
      <c r="AW256" s="81">
        <f t="shared" si="14"/>
        <v>3.876739562624254E-2</v>
      </c>
      <c r="AX256" s="70">
        <f t="shared" ref="AX256:BG256" si="775">O256/$AI256</f>
        <v>1.8834362247567227E-2</v>
      </c>
      <c r="AY256" s="70">
        <f t="shared" si="775"/>
        <v>0</v>
      </c>
      <c r="AZ256" s="70">
        <f t="shared" si="775"/>
        <v>0</v>
      </c>
      <c r="BA256" s="70">
        <f t="shared" si="775"/>
        <v>8.8678455582295694E-3</v>
      </c>
      <c r="BB256" s="70">
        <f t="shared" si="775"/>
        <v>0</v>
      </c>
      <c r="BC256" s="70">
        <f t="shared" si="775"/>
        <v>0</v>
      </c>
      <c r="BD256" s="70">
        <f t="shared" si="775"/>
        <v>0</v>
      </c>
      <c r="BE256" s="70">
        <f t="shared" si="775"/>
        <v>0</v>
      </c>
      <c r="BF256" s="70">
        <f t="shared" si="775"/>
        <v>0</v>
      </c>
      <c r="BG256" s="70">
        <f t="shared" si="775"/>
        <v>0</v>
      </c>
      <c r="BH256" s="70">
        <f t="shared" si="16"/>
        <v>1.1065187820445743E-2</v>
      </c>
      <c r="BI256" s="62"/>
      <c r="BJ256" s="69">
        <v>0.46600000000000003</v>
      </c>
      <c r="BK256" s="69">
        <v>0.33500000000000002</v>
      </c>
      <c r="BL256" s="69">
        <v>0.108</v>
      </c>
      <c r="BM256" s="69">
        <v>6.5000000000000002E-2</v>
      </c>
      <c r="BN256" s="69">
        <v>2.5999999999999999E-2</v>
      </c>
      <c r="BO256" s="69">
        <v>0</v>
      </c>
      <c r="BP256" s="69">
        <v>0</v>
      </c>
      <c r="BQ256" s="69">
        <v>0</v>
      </c>
      <c r="BR256" s="62"/>
      <c r="BS256" s="72">
        <f t="shared" ref="BS256:BW256" si="776">AP256-BJ256</f>
        <v>1.7415297687558839E-2</v>
      </c>
      <c r="BT256" s="72">
        <f t="shared" si="776"/>
        <v>-0.20690017788008791</v>
      </c>
      <c r="BU256" s="72">
        <f t="shared" si="776"/>
        <v>9.6065083185099917E-2</v>
      </c>
      <c r="BV256" s="72">
        <f t="shared" si="776"/>
        <v>1.9911583132782254E-2</v>
      </c>
      <c r="BW256" s="72">
        <f t="shared" si="776"/>
        <v>3.4740818248404318E-2</v>
      </c>
      <c r="BX256" s="72"/>
      <c r="BY256" s="72"/>
      <c r="BZ256" s="72">
        <f t="shared" si="18"/>
        <v>3.876739562624254E-2</v>
      </c>
    </row>
    <row r="257" spans="1:78" ht="13.15">
      <c r="A257" s="73" t="s">
        <v>6</v>
      </c>
      <c r="B257" s="74" t="s">
        <v>557</v>
      </c>
      <c r="C257" s="75" t="s">
        <v>558</v>
      </c>
      <c r="D257" s="75" t="s">
        <v>71</v>
      </c>
      <c r="E257" s="76"/>
      <c r="F257" s="59"/>
      <c r="G257" s="60"/>
      <c r="H257" s="77">
        <v>17875</v>
      </c>
      <c r="I257" s="77">
        <v>6924</v>
      </c>
      <c r="J257" s="77">
        <v>8896</v>
      </c>
      <c r="K257" s="77">
        <v>2625</v>
      </c>
      <c r="L257" s="77">
        <v>1748</v>
      </c>
      <c r="M257" s="77"/>
      <c r="N257" s="77"/>
      <c r="O257" s="77"/>
      <c r="P257" s="77"/>
      <c r="Q257" s="77">
        <v>110</v>
      </c>
      <c r="R257" s="77"/>
      <c r="S257" s="77"/>
      <c r="T257" s="77"/>
      <c r="U257" s="77"/>
      <c r="V257" s="77"/>
      <c r="W257" s="77"/>
      <c r="X257" s="77"/>
      <c r="Y257" s="77"/>
      <c r="Z257" s="77"/>
      <c r="AA257" s="77"/>
      <c r="AB257" s="77"/>
      <c r="AC257" s="77"/>
      <c r="AD257" s="77"/>
      <c r="AE257" s="62"/>
      <c r="AF257" s="63" t="b">
        <v>0</v>
      </c>
      <c r="AG257" s="63" t="b">
        <v>0</v>
      </c>
      <c r="AH257" s="62"/>
      <c r="AI257" s="64">
        <f t="shared" si="7"/>
        <v>38178</v>
      </c>
      <c r="AJ257" s="65" t="str">
        <f t="shared" si="340"/>
        <v>LAB</v>
      </c>
      <c r="AK257" s="66" t="str">
        <f t="shared" si="9"/>
        <v>GAIN</v>
      </c>
      <c r="AL257" s="67" t="e">
        <f t="shared" ca="1" si="10"/>
        <v>#NAME?</v>
      </c>
      <c r="AM257" s="68">
        <f t="shared" si="637"/>
        <v>8979</v>
      </c>
      <c r="AN257" s="69">
        <f t="shared" si="638"/>
        <v>0.23518780449473517</v>
      </c>
      <c r="AO257" s="62"/>
      <c r="AP257" s="70">
        <f t="shared" ref="AP257:AT257" si="777">H257/$AI257</f>
        <v>0.46820158206296819</v>
      </c>
      <c r="AQ257" s="70">
        <f t="shared" si="777"/>
        <v>0.18136099324218136</v>
      </c>
      <c r="AR257" s="70">
        <f t="shared" si="777"/>
        <v>0.23301377756823302</v>
      </c>
      <c r="AS257" s="70">
        <f t="shared" si="777"/>
        <v>6.8756875687568761E-2</v>
      </c>
      <c r="AT257" s="70">
        <f t="shared" si="777"/>
        <v>4.5785530934045783E-2</v>
      </c>
      <c r="AU257" s="70"/>
      <c r="AV257" s="70"/>
      <c r="AW257" s="81">
        <f t="shared" si="14"/>
        <v>2.8812405050029355E-3</v>
      </c>
      <c r="AX257" s="70">
        <f t="shared" ref="AX257:BG257" si="778">O257/$AI257</f>
        <v>0</v>
      </c>
      <c r="AY257" s="70">
        <f t="shared" si="778"/>
        <v>0</v>
      </c>
      <c r="AZ257" s="70">
        <f t="shared" si="778"/>
        <v>2.8812405050028813E-3</v>
      </c>
      <c r="BA257" s="70">
        <f t="shared" si="778"/>
        <v>0</v>
      </c>
      <c r="BB257" s="70">
        <f t="shared" si="778"/>
        <v>0</v>
      </c>
      <c r="BC257" s="70">
        <f t="shared" si="778"/>
        <v>0</v>
      </c>
      <c r="BD257" s="70">
        <f t="shared" si="778"/>
        <v>0</v>
      </c>
      <c r="BE257" s="70">
        <f t="shared" si="778"/>
        <v>0</v>
      </c>
      <c r="BF257" s="70">
        <f t="shared" si="778"/>
        <v>0</v>
      </c>
      <c r="BG257" s="70">
        <f t="shared" si="778"/>
        <v>0</v>
      </c>
      <c r="BH257" s="70">
        <f t="shared" si="16"/>
        <v>5.4210108624275222E-17</v>
      </c>
      <c r="BI257" s="62"/>
      <c r="BJ257" s="69">
        <v>0.33800000000000002</v>
      </c>
      <c r="BK257" s="69">
        <v>0.42499999999999999</v>
      </c>
      <c r="BL257" s="69">
        <v>0.13500000000000001</v>
      </c>
      <c r="BM257" s="69">
        <v>9.1999999999999998E-2</v>
      </c>
      <c r="BN257" s="69">
        <v>1.0999999999999999E-2</v>
      </c>
      <c r="BO257" s="69">
        <v>0</v>
      </c>
      <c r="BP257" s="69">
        <v>0</v>
      </c>
      <c r="BQ257" s="69">
        <v>0</v>
      </c>
      <c r="BR257" s="62"/>
      <c r="BS257" s="72">
        <f t="shared" ref="BS257:BW257" si="779">AP257-BJ257</f>
        <v>0.13020158206296817</v>
      </c>
      <c r="BT257" s="72">
        <f t="shared" si="779"/>
        <v>-0.24363900675781863</v>
      </c>
      <c r="BU257" s="72">
        <f t="shared" si="779"/>
        <v>9.8013777568233013E-2</v>
      </c>
      <c r="BV257" s="72">
        <f t="shared" si="779"/>
        <v>-2.3243124312431238E-2</v>
      </c>
      <c r="BW257" s="72">
        <f t="shared" si="779"/>
        <v>3.478553093404578E-2</v>
      </c>
      <c r="BX257" s="72"/>
      <c r="BY257" s="72"/>
      <c r="BZ257" s="72">
        <f t="shared" si="18"/>
        <v>2.8812405050029355E-3</v>
      </c>
    </row>
    <row r="258" spans="1:78" ht="13.15">
      <c r="A258" s="73" t="s">
        <v>6</v>
      </c>
      <c r="B258" s="74" t="s">
        <v>559</v>
      </c>
      <c r="C258" s="75" t="s">
        <v>560</v>
      </c>
      <c r="D258" s="75" t="s">
        <v>47</v>
      </c>
      <c r="E258" s="76"/>
      <c r="F258" s="59"/>
      <c r="G258" s="60"/>
      <c r="H258" s="77">
        <v>11896</v>
      </c>
      <c r="I258" s="77">
        <v>18199</v>
      </c>
      <c r="J258" s="77">
        <v>9928</v>
      </c>
      <c r="K258" s="77">
        <v>2080</v>
      </c>
      <c r="L258" s="77">
        <v>2077</v>
      </c>
      <c r="M258" s="77"/>
      <c r="N258" s="77"/>
      <c r="O258" s="77">
        <v>1000</v>
      </c>
      <c r="P258" s="77"/>
      <c r="Q258" s="77"/>
      <c r="R258" s="77"/>
      <c r="S258" s="77"/>
      <c r="T258" s="77"/>
      <c r="U258" s="77"/>
      <c r="V258" s="77"/>
      <c r="W258" s="77"/>
      <c r="X258" s="77"/>
      <c r="Y258" s="77"/>
      <c r="Z258" s="77"/>
      <c r="AA258" s="77"/>
      <c r="AB258" s="77"/>
      <c r="AC258" s="77"/>
      <c r="AD258" s="77"/>
      <c r="AE258" s="62"/>
      <c r="AF258" s="63" t="b">
        <v>0</v>
      </c>
      <c r="AG258" s="63" t="b">
        <v>0</v>
      </c>
      <c r="AH258" s="62"/>
      <c r="AI258" s="64">
        <f t="shared" si="7"/>
        <v>45180</v>
      </c>
      <c r="AJ258" s="65" t="str">
        <f t="shared" si="340"/>
        <v>CON</v>
      </c>
      <c r="AK258" s="66" t="str">
        <f t="shared" si="9"/>
        <v>HOLD</v>
      </c>
      <c r="AL258" s="67" t="e">
        <f t="shared" ca="1" si="10"/>
        <v>#NAME?</v>
      </c>
      <c r="AM258" s="68">
        <f t="shared" si="637"/>
        <v>6303</v>
      </c>
      <c r="AN258" s="69">
        <f t="shared" si="638"/>
        <v>0.13950863213811421</v>
      </c>
      <c r="AO258" s="62"/>
      <c r="AP258" s="70">
        <f t="shared" ref="AP258:AT258" si="780">H258/$AI258</f>
        <v>0.26330234617087206</v>
      </c>
      <c r="AQ258" s="70">
        <f t="shared" si="780"/>
        <v>0.40281097830898627</v>
      </c>
      <c r="AR258" s="70">
        <f t="shared" si="780"/>
        <v>0.21974324922532093</v>
      </c>
      <c r="AS258" s="70">
        <f t="shared" si="780"/>
        <v>4.6038069942452416E-2</v>
      </c>
      <c r="AT258" s="70">
        <f t="shared" si="780"/>
        <v>4.5971668880035413E-2</v>
      </c>
      <c r="AU258" s="70"/>
      <c r="AV258" s="70"/>
      <c r="AW258" s="81">
        <f t="shared" si="14"/>
        <v>2.2133687472332908E-2</v>
      </c>
      <c r="AX258" s="70">
        <f t="shared" ref="AX258:BG258" si="781">O258/$AI258</f>
        <v>2.2133687472332891E-2</v>
      </c>
      <c r="AY258" s="70">
        <f t="shared" si="781"/>
        <v>0</v>
      </c>
      <c r="AZ258" s="70">
        <f t="shared" si="781"/>
        <v>0</v>
      </c>
      <c r="BA258" s="70">
        <f t="shared" si="781"/>
        <v>0</v>
      </c>
      <c r="BB258" s="70">
        <f t="shared" si="781"/>
        <v>0</v>
      </c>
      <c r="BC258" s="70">
        <f t="shared" si="781"/>
        <v>0</v>
      </c>
      <c r="BD258" s="70">
        <f t="shared" si="781"/>
        <v>0</v>
      </c>
      <c r="BE258" s="70">
        <f t="shared" si="781"/>
        <v>0</v>
      </c>
      <c r="BF258" s="70">
        <f t="shared" si="781"/>
        <v>0</v>
      </c>
      <c r="BG258" s="70">
        <f t="shared" si="781"/>
        <v>0</v>
      </c>
      <c r="BH258" s="70">
        <f t="shared" si="16"/>
        <v>0</v>
      </c>
      <c r="BI258" s="62"/>
      <c r="BJ258" s="69">
        <v>0.16800000000000001</v>
      </c>
      <c r="BK258" s="69">
        <v>0.74299999999999999</v>
      </c>
      <c r="BL258" s="69">
        <v>0</v>
      </c>
      <c r="BM258" s="69">
        <v>5.2999999999999999E-2</v>
      </c>
      <c r="BN258" s="69">
        <v>3.5000000000000003E-2</v>
      </c>
      <c r="BO258" s="69">
        <v>0</v>
      </c>
      <c r="BP258" s="69">
        <v>0</v>
      </c>
      <c r="BQ258" s="69">
        <v>0</v>
      </c>
      <c r="BR258" s="62"/>
      <c r="BS258" s="72">
        <f t="shared" ref="BS258:BW258" si="782">AP258-BJ258</f>
        <v>9.5302346170872049E-2</v>
      </c>
      <c r="BT258" s="72">
        <f t="shared" si="782"/>
        <v>-0.34018902169101373</v>
      </c>
      <c r="BU258" s="72">
        <f t="shared" si="782"/>
        <v>0.21974324922532093</v>
      </c>
      <c r="BV258" s="72">
        <f t="shared" si="782"/>
        <v>-6.9619300575475829E-3</v>
      </c>
      <c r="BW258" s="72">
        <f t="shared" si="782"/>
        <v>1.097166888003541E-2</v>
      </c>
      <c r="BX258" s="72"/>
      <c r="BY258" s="72"/>
      <c r="BZ258" s="72">
        <f t="shared" si="18"/>
        <v>2.2133687472332891E-2</v>
      </c>
    </row>
    <row r="259" spans="1:78" ht="13.15">
      <c r="A259" s="78" t="s">
        <v>5</v>
      </c>
      <c r="B259" s="74" t="s">
        <v>561</v>
      </c>
      <c r="C259" s="75" t="s">
        <v>562</v>
      </c>
      <c r="D259" s="75" t="s">
        <v>50</v>
      </c>
      <c r="E259" s="76">
        <v>71228</v>
      </c>
      <c r="F259" s="59">
        <v>0.50600000000000001</v>
      </c>
      <c r="G259" s="60"/>
      <c r="H259" s="77">
        <v>24243</v>
      </c>
      <c r="I259" s="77">
        <v>1496</v>
      </c>
      <c r="J259" s="77">
        <v>5924</v>
      </c>
      <c r="K259" s="77">
        <v>1232</v>
      </c>
      <c r="L259" s="77">
        <v>2772</v>
      </c>
      <c r="M259" s="77"/>
      <c r="N259" s="77"/>
      <c r="O259" s="77"/>
      <c r="P259" s="77">
        <v>245</v>
      </c>
      <c r="Q259" s="77">
        <v>135</v>
      </c>
      <c r="R259" s="77"/>
      <c r="S259" s="77"/>
      <c r="T259" s="77"/>
      <c r="U259" s="77"/>
      <c r="V259" s="77"/>
      <c r="W259" s="77"/>
      <c r="X259" s="77"/>
      <c r="Y259" s="77"/>
      <c r="Z259" s="77"/>
      <c r="AA259" s="77"/>
      <c r="AB259" s="77"/>
      <c r="AC259" s="77"/>
      <c r="AD259" s="77"/>
      <c r="AE259" s="62"/>
      <c r="AF259" s="63" t="b">
        <v>0</v>
      </c>
      <c r="AG259" s="63" t="b">
        <v>0</v>
      </c>
      <c r="AH259" s="62"/>
      <c r="AI259" s="64">
        <f t="shared" si="7"/>
        <v>36047</v>
      </c>
      <c r="AJ259" s="65" t="str">
        <f t="shared" si="340"/>
        <v>LAB</v>
      </c>
      <c r="AK259" s="66" t="str">
        <f t="shared" si="9"/>
        <v>HOLD</v>
      </c>
      <c r="AL259" s="67" t="e">
        <f t="shared" ca="1" si="10"/>
        <v>#NAME?</v>
      </c>
      <c r="AM259" s="68">
        <f t="shared" si="637"/>
        <v>18319</v>
      </c>
      <c r="AN259" s="69">
        <f t="shared" si="638"/>
        <v>0.5081976308708076</v>
      </c>
      <c r="AO259" s="62"/>
      <c r="AP259" s="70">
        <f t="shared" ref="AP259:AT259" si="783">H259/$AI259</f>
        <v>0.6725386301217855</v>
      </c>
      <c r="AQ259" s="70">
        <f t="shared" si="783"/>
        <v>4.1501373207201708E-2</v>
      </c>
      <c r="AR259" s="70">
        <f t="shared" si="783"/>
        <v>0.16434099925097789</v>
      </c>
      <c r="AS259" s="70">
        <f t="shared" si="783"/>
        <v>3.4177601464754348E-2</v>
      </c>
      <c r="AT259" s="70">
        <f t="shared" si="783"/>
        <v>7.6899603295697283E-2</v>
      </c>
      <c r="AU259" s="70"/>
      <c r="AV259" s="70"/>
      <c r="AW259" s="81">
        <f t="shared" si="14"/>
        <v>1.0541792659583216E-2</v>
      </c>
      <c r="AX259" s="70">
        <f t="shared" ref="AX259:BG259" si="784">O259/$AI259</f>
        <v>0</v>
      </c>
      <c r="AY259" s="70">
        <f t="shared" si="784"/>
        <v>6.7966821094681941E-3</v>
      </c>
      <c r="AZ259" s="70">
        <f t="shared" si="784"/>
        <v>3.7451105501151273E-3</v>
      </c>
      <c r="BA259" s="70">
        <f t="shared" si="784"/>
        <v>0</v>
      </c>
      <c r="BB259" s="70">
        <f t="shared" si="784"/>
        <v>0</v>
      </c>
      <c r="BC259" s="70">
        <f t="shared" si="784"/>
        <v>0</v>
      </c>
      <c r="BD259" s="70">
        <f t="shared" si="784"/>
        <v>0</v>
      </c>
      <c r="BE259" s="70">
        <f t="shared" si="784"/>
        <v>0</v>
      </c>
      <c r="BF259" s="70">
        <f t="shared" si="784"/>
        <v>0</v>
      </c>
      <c r="BG259" s="70">
        <f t="shared" si="784"/>
        <v>0</v>
      </c>
      <c r="BH259" s="70">
        <f t="shared" si="16"/>
        <v>-1.0581813203458523E-16</v>
      </c>
      <c r="BI259" s="62"/>
      <c r="BJ259" s="69">
        <v>0.79600000000000004</v>
      </c>
      <c r="BK259" s="69">
        <v>8.7999999999999995E-2</v>
      </c>
      <c r="BL259" s="69">
        <v>6.3E-2</v>
      </c>
      <c r="BM259" s="69">
        <v>2.5000000000000001E-2</v>
      </c>
      <c r="BN259" s="69">
        <v>0.02</v>
      </c>
      <c r="BO259" s="69">
        <v>0</v>
      </c>
      <c r="BP259" s="69">
        <v>0</v>
      </c>
      <c r="BQ259" s="69">
        <v>8.9999999999999993E-3</v>
      </c>
      <c r="BR259" s="62"/>
      <c r="BS259" s="72">
        <f t="shared" ref="BS259:BW259" si="785">AP259-BJ259</f>
        <v>-0.12346136987821454</v>
      </c>
      <c r="BT259" s="72">
        <f t="shared" si="785"/>
        <v>-4.6498626792798287E-2</v>
      </c>
      <c r="BU259" s="72">
        <f t="shared" si="785"/>
        <v>0.10134099925097789</v>
      </c>
      <c r="BV259" s="72">
        <f t="shared" si="785"/>
        <v>9.1776014647543466E-3</v>
      </c>
      <c r="BW259" s="72">
        <f t="shared" si="785"/>
        <v>5.6899603295697279E-2</v>
      </c>
      <c r="BX259" s="72"/>
      <c r="BY259" s="72"/>
      <c r="BZ259" s="72">
        <f t="shared" si="18"/>
        <v>1.5417926595832163E-3</v>
      </c>
    </row>
    <row r="260" spans="1:78" ht="13.15">
      <c r="A260" s="73" t="s">
        <v>6</v>
      </c>
      <c r="B260" s="74" t="s">
        <v>563</v>
      </c>
      <c r="C260" s="75" t="s">
        <v>564</v>
      </c>
      <c r="D260" s="75" t="s">
        <v>50</v>
      </c>
      <c r="E260" s="76"/>
      <c r="F260" s="59"/>
      <c r="G260" s="60"/>
      <c r="H260" s="77">
        <v>19315</v>
      </c>
      <c r="I260" s="77">
        <v>10062</v>
      </c>
      <c r="J260" s="77">
        <v>6866</v>
      </c>
      <c r="K260" s="77">
        <v>1529</v>
      </c>
      <c r="L260" s="77">
        <v>5236</v>
      </c>
      <c r="M260" s="77"/>
      <c r="N260" s="77"/>
      <c r="O260" s="77"/>
      <c r="P260" s="77"/>
      <c r="Q260" s="77"/>
      <c r="R260" s="77"/>
      <c r="S260" s="77"/>
      <c r="T260" s="77"/>
      <c r="U260" s="77"/>
      <c r="V260" s="77"/>
      <c r="W260" s="77"/>
      <c r="X260" s="77"/>
      <c r="Y260" s="77"/>
      <c r="Z260" s="77"/>
      <c r="AA260" s="77"/>
      <c r="AB260" s="77"/>
      <c r="AC260" s="77"/>
      <c r="AD260" s="77"/>
      <c r="AE260" s="62"/>
      <c r="AF260" s="63" t="b">
        <v>0</v>
      </c>
      <c r="AG260" s="63" t="b">
        <v>0</v>
      </c>
      <c r="AH260" s="62"/>
      <c r="AI260" s="64">
        <f t="shared" ref="AI260:AI514" si="786">SUM(H260:AD260)</f>
        <v>43008</v>
      </c>
      <c r="AJ260" s="65" t="str">
        <f t="shared" si="340"/>
        <v>LAB</v>
      </c>
      <c r="AK260" s="66" t="str">
        <f t="shared" ref="AK260:AK514" si="787">IF(A260=AJ260,"HOLD","GAIN")</f>
        <v>GAIN</v>
      </c>
      <c r="AL260" s="67" t="e">
        <f t="shared" ref="AL260:AL514" ca="1" si="788">_xludf.TEXTJOIN(,,AJ260,," ",AK260)</f>
        <v>#NAME?</v>
      </c>
      <c r="AM260" s="68">
        <f t="shared" si="637"/>
        <v>9253</v>
      </c>
      <c r="AN260" s="69">
        <f t="shared" si="638"/>
        <v>0.21514601934523811</v>
      </c>
      <c r="AO260" s="62"/>
      <c r="AP260" s="70">
        <f t="shared" ref="AP260:AT260" si="789">H260/$AI260</f>
        <v>0.44910249255952384</v>
      </c>
      <c r="AQ260" s="70">
        <f t="shared" si="789"/>
        <v>0.23395647321428573</v>
      </c>
      <c r="AR260" s="70">
        <f t="shared" si="789"/>
        <v>0.15964471726190477</v>
      </c>
      <c r="AS260" s="70">
        <f t="shared" si="789"/>
        <v>3.5551525297619048E-2</v>
      </c>
      <c r="AT260" s="70">
        <f t="shared" si="789"/>
        <v>0.12174479166666667</v>
      </c>
      <c r="AU260" s="70"/>
      <c r="AV260" s="70"/>
      <c r="AW260" s="81">
        <f t="shared" ref="AW260:AW514" si="790">1-SUM(AP260:AV260)</f>
        <v>0</v>
      </c>
      <c r="AX260" s="70">
        <f t="shared" ref="AX260:BG260" si="791">O260/$AI260</f>
        <v>0</v>
      </c>
      <c r="AY260" s="70">
        <f t="shared" si="791"/>
        <v>0</v>
      </c>
      <c r="AZ260" s="70">
        <f t="shared" si="791"/>
        <v>0</v>
      </c>
      <c r="BA260" s="70">
        <f t="shared" si="791"/>
        <v>0</v>
      </c>
      <c r="BB260" s="70">
        <f t="shared" si="791"/>
        <v>0</v>
      </c>
      <c r="BC260" s="70">
        <f t="shared" si="791"/>
        <v>0</v>
      </c>
      <c r="BD260" s="70">
        <f t="shared" si="791"/>
        <v>0</v>
      </c>
      <c r="BE260" s="70">
        <f t="shared" si="791"/>
        <v>0</v>
      </c>
      <c r="BF260" s="70">
        <f t="shared" si="791"/>
        <v>0</v>
      </c>
      <c r="BG260" s="70">
        <f t="shared" si="791"/>
        <v>0</v>
      </c>
      <c r="BH260" s="70">
        <f t="shared" ref="BH260:BH514" si="792">1-SUM(AP260:AV260)-SUM(AX260:BG260)</f>
        <v>0</v>
      </c>
      <c r="BI260" s="62"/>
      <c r="BJ260" s="69">
        <v>0.41899999999999998</v>
      </c>
      <c r="BK260" s="69">
        <v>0.48</v>
      </c>
      <c r="BL260" s="69">
        <v>1.7999999999999999E-2</v>
      </c>
      <c r="BM260" s="69">
        <v>3.9E-2</v>
      </c>
      <c r="BN260" s="69">
        <v>4.3999999999999997E-2</v>
      </c>
      <c r="BO260" s="69">
        <v>0</v>
      </c>
      <c r="BP260" s="69">
        <v>0</v>
      </c>
      <c r="BQ260" s="69">
        <v>0</v>
      </c>
      <c r="BR260" s="62"/>
      <c r="BS260" s="72">
        <f t="shared" ref="BS260:BW260" si="793">AP260-BJ260</f>
        <v>3.0102492559523852E-2</v>
      </c>
      <c r="BT260" s="72">
        <f t="shared" si="793"/>
        <v>-0.24604352678571426</v>
      </c>
      <c r="BU260" s="72">
        <f t="shared" si="793"/>
        <v>0.14164471726190478</v>
      </c>
      <c r="BV260" s="72">
        <f t="shared" si="793"/>
        <v>-3.448474702380952E-3</v>
      </c>
      <c r="BW260" s="72">
        <f t="shared" si="793"/>
        <v>7.7744791666666674E-2</v>
      </c>
      <c r="BX260" s="72"/>
      <c r="BY260" s="72"/>
      <c r="BZ260" s="72">
        <f t="shared" ref="BZ260:BZ514" si="794">SUM(AX260:BH260)-BQ260</f>
        <v>0</v>
      </c>
    </row>
    <row r="261" spans="1:78" ht="13.15">
      <c r="A261" s="78" t="s">
        <v>5</v>
      </c>
      <c r="B261" s="74" t="s">
        <v>565</v>
      </c>
      <c r="C261" s="75" t="s">
        <v>566</v>
      </c>
      <c r="D261" s="75" t="s">
        <v>71</v>
      </c>
      <c r="E261" s="76"/>
      <c r="F261" s="59"/>
      <c r="G261" s="60"/>
      <c r="H261" s="77">
        <v>15853</v>
      </c>
      <c r="I261" s="77">
        <v>2237</v>
      </c>
      <c r="J261" s="77">
        <v>2399</v>
      </c>
      <c r="K261" s="77">
        <v>2611</v>
      </c>
      <c r="L261" s="77">
        <v>7431</v>
      </c>
      <c r="M261" s="77"/>
      <c r="N261" s="77"/>
      <c r="O261" s="77"/>
      <c r="P261" s="77">
        <v>691</v>
      </c>
      <c r="Q261" s="77">
        <v>187</v>
      </c>
      <c r="R261" s="77"/>
      <c r="S261" s="77"/>
      <c r="T261" s="77"/>
      <c r="U261" s="77"/>
      <c r="V261" s="77"/>
      <c r="W261" s="77"/>
      <c r="X261" s="77"/>
      <c r="Y261" s="77">
        <v>186</v>
      </c>
      <c r="Z261" s="77"/>
      <c r="AA261" s="77"/>
      <c r="AB261" s="77"/>
      <c r="AC261" s="77"/>
      <c r="AD261" s="77"/>
      <c r="AE261" s="62"/>
      <c r="AF261" s="63" t="b">
        <v>0</v>
      </c>
      <c r="AG261" s="63" t="b">
        <v>0</v>
      </c>
      <c r="AH261" s="62"/>
      <c r="AI261" s="64">
        <f t="shared" si="786"/>
        <v>31595</v>
      </c>
      <c r="AJ261" s="65" t="str">
        <f t="shared" si="340"/>
        <v>LAB</v>
      </c>
      <c r="AK261" s="66" t="str">
        <f t="shared" si="787"/>
        <v>HOLD</v>
      </c>
      <c r="AL261" s="67" t="e">
        <f t="shared" ca="1" si="788"/>
        <v>#NAME?</v>
      </c>
      <c r="AM261" s="68">
        <f t="shared" si="637"/>
        <v>8422</v>
      </c>
      <c r="AN261" s="69">
        <f t="shared" si="638"/>
        <v>0.26656116474125646</v>
      </c>
      <c r="AO261" s="62"/>
      <c r="AP261" s="70">
        <f t="shared" ref="AP261:AT261" si="795">H261/$AI261</f>
        <v>0.50175660705807879</v>
      </c>
      <c r="AQ261" s="70">
        <f t="shared" si="795"/>
        <v>7.0802342142744099E-2</v>
      </c>
      <c r="AR261" s="70">
        <f t="shared" si="795"/>
        <v>7.5929735717676847E-2</v>
      </c>
      <c r="AS261" s="70">
        <f t="shared" si="795"/>
        <v>8.2639658173761676E-2</v>
      </c>
      <c r="AT261" s="70">
        <f t="shared" si="795"/>
        <v>0.2351954423168223</v>
      </c>
      <c r="AU261" s="70"/>
      <c r="AV261" s="70"/>
      <c r="AW261" s="81">
        <f t="shared" si="790"/>
        <v>3.3676214590916409E-2</v>
      </c>
      <c r="AX261" s="70">
        <f t="shared" ref="AX261:BG261" si="796">O261/$AI261</f>
        <v>0</v>
      </c>
      <c r="AY261" s="70">
        <f t="shared" si="796"/>
        <v>2.1870549137521761E-2</v>
      </c>
      <c r="AZ261" s="70">
        <f t="shared" si="796"/>
        <v>5.9186580155087829E-3</v>
      </c>
      <c r="BA261" s="70">
        <f t="shared" si="796"/>
        <v>0</v>
      </c>
      <c r="BB261" s="70">
        <f t="shared" si="796"/>
        <v>0</v>
      </c>
      <c r="BC261" s="70">
        <f t="shared" si="796"/>
        <v>0</v>
      </c>
      <c r="BD261" s="70">
        <f t="shared" si="796"/>
        <v>0</v>
      </c>
      <c r="BE261" s="70">
        <f t="shared" si="796"/>
        <v>0</v>
      </c>
      <c r="BF261" s="70">
        <f t="shared" si="796"/>
        <v>0</v>
      </c>
      <c r="BG261" s="70">
        <f t="shared" si="796"/>
        <v>0</v>
      </c>
      <c r="BH261" s="70">
        <f t="shared" si="792"/>
        <v>5.8870074378858661E-3</v>
      </c>
      <c r="BI261" s="62"/>
      <c r="BJ261" s="69">
        <v>0.63400000000000001</v>
      </c>
      <c r="BK261" s="69">
        <v>0.17899999999999999</v>
      </c>
      <c r="BL261" s="69">
        <v>0.04</v>
      </c>
      <c r="BM261" s="69">
        <v>0.112</v>
      </c>
      <c r="BN261" s="69">
        <v>3.5000000000000003E-2</v>
      </c>
      <c r="BO261" s="69">
        <v>0</v>
      </c>
      <c r="BP261" s="69">
        <v>0</v>
      </c>
      <c r="BQ261" s="69">
        <v>0</v>
      </c>
      <c r="BR261" s="62"/>
      <c r="BS261" s="72">
        <f t="shared" ref="BS261:BW261" si="797">AP261-BJ261</f>
        <v>-0.13224339294192122</v>
      </c>
      <c r="BT261" s="72">
        <f t="shared" si="797"/>
        <v>-0.10819765785725589</v>
      </c>
      <c r="BU261" s="72">
        <f t="shared" si="797"/>
        <v>3.5929735717676846E-2</v>
      </c>
      <c r="BV261" s="72">
        <f t="shared" si="797"/>
        <v>-2.9360341826238326E-2</v>
      </c>
      <c r="BW261" s="72">
        <f t="shared" si="797"/>
        <v>0.20019544231682229</v>
      </c>
      <c r="BX261" s="72"/>
      <c r="BY261" s="72"/>
      <c r="BZ261" s="72">
        <f t="shared" si="794"/>
        <v>3.3676214590916409E-2</v>
      </c>
    </row>
    <row r="262" spans="1:78" ht="13.15">
      <c r="A262" s="78" t="s">
        <v>5</v>
      </c>
      <c r="B262" s="74" t="s">
        <v>567</v>
      </c>
      <c r="C262" s="75" t="s">
        <v>568</v>
      </c>
      <c r="D262" s="75" t="s">
        <v>71</v>
      </c>
      <c r="E262" s="76"/>
      <c r="F262" s="59"/>
      <c r="G262" s="60"/>
      <c r="H262" s="77">
        <v>18610</v>
      </c>
      <c r="I262" s="77">
        <v>6898</v>
      </c>
      <c r="J262" s="77">
        <v>7345</v>
      </c>
      <c r="K262" s="77">
        <v>1445</v>
      </c>
      <c r="L262" s="77">
        <v>3506</v>
      </c>
      <c r="M262" s="77"/>
      <c r="N262" s="77"/>
      <c r="O262" s="77">
        <v>222</v>
      </c>
      <c r="P262" s="77"/>
      <c r="Q262" s="77">
        <v>519</v>
      </c>
      <c r="R262" s="77">
        <v>664</v>
      </c>
      <c r="S262" s="77"/>
      <c r="T262" s="77"/>
      <c r="U262" s="77"/>
      <c r="V262" s="77"/>
      <c r="W262" s="77"/>
      <c r="X262" s="77"/>
      <c r="Y262" s="77">
        <v>179</v>
      </c>
      <c r="Z262" s="77"/>
      <c r="AA262" s="77"/>
      <c r="AB262" s="77"/>
      <c r="AC262" s="77"/>
      <c r="AD262" s="77"/>
      <c r="AE262" s="62"/>
      <c r="AF262" s="63" t="b">
        <v>0</v>
      </c>
      <c r="AG262" s="63" t="b">
        <v>0</v>
      </c>
      <c r="AH262" s="62"/>
      <c r="AI262" s="64">
        <f t="shared" si="786"/>
        <v>39388</v>
      </c>
      <c r="AJ262" s="65" t="str">
        <f t="shared" si="340"/>
        <v>LAB</v>
      </c>
      <c r="AK262" s="66" t="str">
        <f t="shared" si="787"/>
        <v>HOLD</v>
      </c>
      <c r="AL262" s="67" t="e">
        <f t="shared" ca="1" si="788"/>
        <v>#NAME?</v>
      </c>
      <c r="AM262" s="68">
        <f t="shared" si="637"/>
        <v>11265</v>
      </c>
      <c r="AN262" s="69">
        <f t="shared" si="638"/>
        <v>0.28600081243018177</v>
      </c>
      <c r="AO262" s="62"/>
      <c r="AP262" s="70">
        <f t="shared" ref="AP262:AT262" si="798">H262/$AI262</f>
        <v>0.47247892759216004</v>
      </c>
      <c r="AQ262" s="70">
        <f t="shared" si="798"/>
        <v>0.17512948106022139</v>
      </c>
      <c r="AR262" s="70">
        <f t="shared" si="798"/>
        <v>0.18647811516197826</v>
      </c>
      <c r="AS262" s="70">
        <f t="shared" si="798"/>
        <v>3.6686300396059711E-2</v>
      </c>
      <c r="AT262" s="70">
        <f t="shared" si="798"/>
        <v>8.9011881791408551E-2</v>
      </c>
      <c r="AU262" s="70"/>
      <c r="AV262" s="70"/>
      <c r="AW262" s="81">
        <f t="shared" si="790"/>
        <v>4.021529399817203E-2</v>
      </c>
      <c r="AX262" s="70">
        <f t="shared" ref="AX262:BG262" si="799">O262/$AI262</f>
        <v>5.6362343861074441E-3</v>
      </c>
      <c r="AY262" s="70">
        <f t="shared" si="799"/>
        <v>0</v>
      </c>
      <c r="AZ262" s="70">
        <f t="shared" si="799"/>
        <v>1.3176602010764701E-2</v>
      </c>
      <c r="BA262" s="70">
        <f t="shared" si="799"/>
        <v>1.6857926271961005E-2</v>
      </c>
      <c r="BB262" s="70">
        <f t="shared" si="799"/>
        <v>0</v>
      </c>
      <c r="BC262" s="70">
        <f t="shared" si="799"/>
        <v>0</v>
      </c>
      <c r="BD262" s="70">
        <f t="shared" si="799"/>
        <v>0</v>
      </c>
      <c r="BE262" s="70">
        <f t="shared" si="799"/>
        <v>0</v>
      </c>
      <c r="BF262" s="70">
        <f t="shared" si="799"/>
        <v>0</v>
      </c>
      <c r="BG262" s="70">
        <f t="shared" si="799"/>
        <v>0</v>
      </c>
      <c r="BH262" s="70">
        <f t="shared" si="792"/>
        <v>4.54453132933888E-3</v>
      </c>
      <c r="BI262" s="62"/>
      <c r="BJ262" s="69">
        <v>0.47</v>
      </c>
      <c r="BK262" s="69">
        <v>0.40799999999999997</v>
      </c>
      <c r="BL262" s="69">
        <v>5.8999999999999997E-2</v>
      </c>
      <c r="BM262" s="69">
        <v>3.6999999999999998E-2</v>
      </c>
      <c r="BN262" s="69">
        <v>2.1000000000000001E-2</v>
      </c>
      <c r="BO262" s="69">
        <v>0</v>
      </c>
      <c r="BP262" s="69">
        <v>0</v>
      </c>
      <c r="BQ262" s="69">
        <v>6.0000000000000001E-3</v>
      </c>
      <c r="BR262" s="62"/>
      <c r="BS262" s="72">
        <f t="shared" ref="BS262:BW262" si="800">AP262-BJ262</f>
        <v>2.4789275921600629E-3</v>
      </c>
      <c r="BT262" s="72">
        <f t="shared" si="800"/>
        <v>-0.23287051893977859</v>
      </c>
      <c r="BU262" s="72">
        <f t="shared" si="800"/>
        <v>0.12747811516197827</v>
      </c>
      <c r="BV262" s="72">
        <f t="shared" si="800"/>
        <v>-3.1369960394028729E-4</v>
      </c>
      <c r="BW262" s="72">
        <f t="shared" si="800"/>
        <v>6.8011881791408546E-2</v>
      </c>
      <c r="BX262" s="72"/>
      <c r="BY262" s="72"/>
      <c r="BZ262" s="72">
        <f t="shared" si="794"/>
        <v>3.4215293998172032E-2</v>
      </c>
    </row>
    <row r="263" spans="1:78" ht="13.15">
      <c r="A263" s="78" t="s">
        <v>5</v>
      </c>
      <c r="B263" s="74" t="s">
        <v>569</v>
      </c>
      <c r="C263" s="75" t="s">
        <v>570</v>
      </c>
      <c r="D263" s="75" t="s">
        <v>71</v>
      </c>
      <c r="E263" s="76"/>
      <c r="F263" s="59"/>
      <c r="G263" s="60"/>
      <c r="H263" s="77">
        <v>23260</v>
      </c>
      <c r="I263" s="77">
        <v>7177</v>
      </c>
      <c r="J263" s="77">
        <v>3426</v>
      </c>
      <c r="K263" s="77">
        <v>2168</v>
      </c>
      <c r="L263" s="77">
        <v>5911</v>
      </c>
      <c r="M263" s="77"/>
      <c r="N263" s="77"/>
      <c r="O263" s="77"/>
      <c r="P263" s="77">
        <v>2067</v>
      </c>
      <c r="Q263" s="77">
        <v>125</v>
      </c>
      <c r="R263" s="77">
        <v>574</v>
      </c>
      <c r="S263" s="77"/>
      <c r="T263" s="77"/>
      <c r="U263" s="77"/>
      <c r="V263" s="77"/>
      <c r="W263" s="77"/>
      <c r="X263" s="77"/>
      <c r="Y263" s="77">
        <v>259</v>
      </c>
      <c r="Z263" s="77">
        <v>109</v>
      </c>
      <c r="AA263" s="77">
        <v>91</v>
      </c>
      <c r="AB263" s="77"/>
      <c r="AC263" s="77"/>
      <c r="AD263" s="77"/>
      <c r="AE263" s="62"/>
      <c r="AF263" s="63" t="b">
        <v>0</v>
      </c>
      <c r="AG263" s="63" t="b">
        <v>0</v>
      </c>
      <c r="AH263" s="62"/>
      <c r="AI263" s="64">
        <f t="shared" si="786"/>
        <v>45167</v>
      </c>
      <c r="AJ263" s="65" t="str">
        <f t="shared" si="340"/>
        <v>LAB</v>
      </c>
      <c r="AK263" s="66" t="str">
        <f t="shared" si="787"/>
        <v>HOLD</v>
      </c>
      <c r="AL263" s="67" t="e">
        <f t="shared" ca="1" si="788"/>
        <v>#NAME?</v>
      </c>
      <c r="AM263" s="68">
        <f t="shared" si="637"/>
        <v>16083</v>
      </c>
      <c r="AN263" s="69">
        <f t="shared" si="638"/>
        <v>0.3560785529258087</v>
      </c>
      <c r="AO263" s="62"/>
      <c r="AP263" s="70">
        <f t="shared" ref="AP263:AT263" si="801">H263/$AI263</f>
        <v>0.51497774924170303</v>
      </c>
      <c r="AQ263" s="70">
        <f t="shared" si="801"/>
        <v>0.15889919631589436</v>
      </c>
      <c r="AR263" s="70">
        <f t="shared" si="801"/>
        <v>7.5851838731817472E-2</v>
      </c>
      <c r="AS263" s="70">
        <f t="shared" si="801"/>
        <v>4.7999645759071889E-2</v>
      </c>
      <c r="AT263" s="70">
        <f t="shared" si="801"/>
        <v>0.13086988287909315</v>
      </c>
      <c r="AU263" s="70"/>
      <c r="AV263" s="70"/>
      <c r="AW263" s="81">
        <f t="shared" si="790"/>
        <v>7.1401687072420117E-2</v>
      </c>
      <c r="AX263" s="70">
        <f t="shared" ref="AX263:BG263" si="802">O263/$AI263</f>
        <v>0</v>
      </c>
      <c r="AY263" s="70">
        <f t="shared" si="802"/>
        <v>4.5763499900369736E-2</v>
      </c>
      <c r="AZ263" s="70">
        <f t="shared" si="802"/>
        <v>2.7675072508689972E-3</v>
      </c>
      <c r="BA263" s="70">
        <f t="shared" si="802"/>
        <v>1.2708393295990435E-2</v>
      </c>
      <c r="BB263" s="70">
        <f t="shared" si="802"/>
        <v>0</v>
      </c>
      <c r="BC263" s="70">
        <f t="shared" si="802"/>
        <v>0</v>
      </c>
      <c r="BD263" s="70">
        <f t="shared" si="802"/>
        <v>0</v>
      </c>
      <c r="BE263" s="70">
        <f t="shared" si="802"/>
        <v>0</v>
      </c>
      <c r="BF263" s="70">
        <f t="shared" si="802"/>
        <v>0</v>
      </c>
      <c r="BG263" s="70">
        <f t="shared" si="802"/>
        <v>0</v>
      </c>
      <c r="BH263" s="70">
        <f t="shared" si="792"/>
        <v>1.0162286625190947E-2</v>
      </c>
      <c r="BI263" s="62"/>
      <c r="BJ263" s="69">
        <v>0.57499999999999996</v>
      </c>
      <c r="BK263" s="69">
        <v>0.23599999999999999</v>
      </c>
      <c r="BL263" s="69">
        <v>3.5000000000000003E-2</v>
      </c>
      <c r="BM263" s="69">
        <v>0.112</v>
      </c>
      <c r="BN263" s="69">
        <v>3.7999999999999999E-2</v>
      </c>
      <c r="BO263" s="69">
        <v>0</v>
      </c>
      <c r="BP263" s="69">
        <v>0</v>
      </c>
      <c r="BQ263" s="69">
        <v>4.0000000000000001E-3</v>
      </c>
      <c r="BR263" s="62"/>
      <c r="BS263" s="72">
        <f t="shared" ref="BS263:BW263" si="803">AP263-BJ263</f>
        <v>-6.0022250758296924E-2</v>
      </c>
      <c r="BT263" s="72">
        <f t="shared" si="803"/>
        <v>-7.7100803684105629E-2</v>
      </c>
      <c r="BU263" s="72">
        <f t="shared" si="803"/>
        <v>4.0851838731817469E-2</v>
      </c>
      <c r="BV263" s="72">
        <f t="shared" si="803"/>
        <v>-6.400035424092812E-2</v>
      </c>
      <c r="BW263" s="72">
        <f t="shared" si="803"/>
        <v>9.2869882879093146E-2</v>
      </c>
      <c r="BX263" s="72"/>
      <c r="BY263" s="72"/>
      <c r="BZ263" s="72">
        <f t="shared" si="794"/>
        <v>6.7401687072420113E-2</v>
      </c>
    </row>
    <row r="264" spans="1:78" ht="13.15">
      <c r="A264" s="73" t="s">
        <v>6</v>
      </c>
      <c r="B264" s="74" t="s">
        <v>571</v>
      </c>
      <c r="C264" s="75" t="s">
        <v>572</v>
      </c>
      <c r="D264" s="75" t="s">
        <v>71</v>
      </c>
      <c r="E264" s="76"/>
      <c r="F264" s="59"/>
      <c r="G264" s="60"/>
      <c r="H264" s="77">
        <v>22882</v>
      </c>
      <c r="I264" s="77">
        <v>10986</v>
      </c>
      <c r="J264" s="77">
        <v>5935</v>
      </c>
      <c r="K264" s="77">
        <v>5641</v>
      </c>
      <c r="L264" s="77">
        <v>3231</v>
      </c>
      <c r="M264" s="77"/>
      <c r="N264" s="77"/>
      <c r="O264" s="77"/>
      <c r="P264" s="77"/>
      <c r="Q264" s="77">
        <v>78</v>
      </c>
      <c r="R264" s="77">
        <v>1024</v>
      </c>
      <c r="S264" s="77"/>
      <c r="T264" s="77"/>
      <c r="U264" s="77"/>
      <c r="V264" s="77"/>
      <c r="W264" s="77"/>
      <c r="X264" s="77"/>
      <c r="Y264" s="77"/>
      <c r="Z264" s="77"/>
      <c r="AA264" s="77"/>
      <c r="AB264" s="77"/>
      <c r="AC264" s="77"/>
      <c r="AD264" s="77"/>
      <c r="AE264" s="62"/>
      <c r="AF264" s="63" t="b">
        <v>0</v>
      </c>
      <c r="AG264" s="63" t="b">
        <v>0</v>
      </c>
      <c r="AH264" s="62"/>
      <c r="AI264" s="64">
        <f t="shared" si="786"/>
        <v>49777</v>
      </c>
      <c r="AJ264" s="65" t="str">
        <f t="shared" si="340"/>
        <v>LAB</v>
      </c>
      <c r="AK264" s="66" t="str">
        <f t="shared" si="787"/>
        <v>GAIN</v>
      </c>
      <c r="AL264" s="67" t="e">
        <f t="shared" ca="1" si="788"/>
        <v>#NAME?</v>
      </c>
      <c r="AM264" s="68">
        <f t="shared" si="637"/>
        <v>11896</v>
      </c>
      <c r="AN264" s="69">
        <f t="shared" si="638"/>
        <v>0.23898587701147114</v>
      </c>
      <c r="AO264" s="62"/>
      <c r="AP264" s="70">
        <f t="shared" ref="AP264:AT264" si="804">H264/$AI264</f>
        <v>0.4596902183739478</v>
      </c>
      <c r="AQ264" s="70">
        <f t="shared" si="804"/>
        <v>0.22070434136247666</v>
      </c>
      <c r="AR264" s="70">
        <f t="shared" si="804"/>
        <v>0.11923177371074994</v>
      </c>
      <c r="AS264" s="70">
        <f t="shared" si="804"/>
        <v>0.11332543142415172</v>
      </c>
      <c r="AT264" s="70">
        <f t="shared" si="804"/>
        <v>6.4909496353737675E-2</v>
      </c>
      <c r="AU264" s="70"/>
      <c r="AV264" s="70"/>
      <c r="AW264" s="81">
        <f t="shared" si="790"/>
        <v>2.2138738774936106E-2</v>
      </c>
      <c r="AX264" s="70">
        <f t="shared" ref="AX264:BG264" si="805">O264/$AI264</f>
        <v>0</v>
      </c>
      <c r="AY264" s="70">
        <f t="shared" si="805"/>
        <v>0</v>
      </c>
      <c r="AZ264" s="70">
        <f t="shared" si="805"/>
        <v>1.5669887699138157E-3</v>
      </c>
      <c r="BA264" s="70">
        <f t="shared" si="805"/>
        <v>2.0571750005022399E-2</v>
      </c>
      <c r="BB264" s="70">
        <f t="shared" si="805"/>
        <v>0</v>
      </c>
      <c r="BC264" s="70">
        <f t="shared" si="805"/>
        <v>0</v>
      </c>
      <c r="BD264" s="70">
        <f t="shared" si="805"/>
        <v>0</v>
      </c>
      <c r="BE264" s="70">
        <f t="shared" si="805"/>
        <v>0</v>
      </c>
      <c r="BF264" s="70">
        <f t="shared" si="805"/>
        <v>0</v>
      </c>
      <c r="BG264" s="70">
        <f t="shared" si="805"/>
        <v>0</v>
      </c>
      <c r="BH264" s="70">
        <f t="shared" si="792"/>
        <v>-1.0755285551056204E-16</v>
      </c>
      <c r="BI264" s="62"/>
      <c r="BJ264" s="69">
        <v>0.38300000000000001</v>
      </c>
      <c r="BK264" s="69">
        <v>0.41899999999999998</v>
      </c>
      <c r="BL264" s="69">
        <v>1.2999999999999999E-2</v>
      </c>
      <c r="BM264" s="69">
        <v>0.14799999999999999</v>
      </c>
      <c r="BN264" s="69">
        <v>2.3E-2</v>
      </c>
      <c r="BO264" s="69">
        <v>0</v>
      </c>
      <c r="BP264" s="69">
        <v>0</v>
      </c>
      <c r="BQ264" s="69">
        <v>1.4999999999999999E-2</v>
      </c>
      <c r="BR264" s="62"/>
      <c r="BS264" s="72">
        <f t="shared" ref="BS264:BW264" si="806">AP264-BJ264</f>
        <v>7.6690218373947794E-2</v>
      </c>
      <c r="BT264" s="72">
        <f t="shared" si="806"/>
        <v>-0.19829565863752333</v>
      </c>
      <c r="BU264" s="72">
        <f t="shared" si="806"/>
        <v>0.10623177371074995</v>
      </c>
      <c r="BV264" s="72">
        <f t="shared" si="806"/>
        <v>-3.4674568575848275E-2</v>
      </c>
      <c r="BW264" s="72">
        <f t="shared" si="806"/>
        <v>4.1909496353737676E-2</v>
      </c>
      <c r="BX264" s="72"/>
      <c r="BY264" s="72"/>
      <c r="BZ264" s="72">
        <f t="shared" si="794"/>
        <v>7.138738774936107E-3</v>
      </c>
    </row>
    <row r="265" spans="1:78" ht="13.15">
      <c r="A265" s="78" t="s">
        <v>5</v>
      </c>
      <c r="B265" s="74" t="s">
        <v>573</v>
      </c>
      <c r="C265" s="75" t="s">
        <v>574</v>
      </c>
      <c r="D265" s="75" t="s">
        <v>71</v>
      </c>
      <c r="E265" s="76"/>
      <c r="F265" s="59"/>
      <c r="G265" s="60"/>
      <c r="H265" s="77">
        <v>17117</v>
      </c>
      <c r="I265" s="77">
        <v>4172</v>
      </c>
      <c r="J265" s="77"/>
      <c r="K265" s="77">
        <v>1340</v>
      </c>
      <c r="L265" s="77">
        <v>5838</v>
      </c>
      <c r="M265" s="77"/>
      <c r="N265" s="77"/>
      <c r="O265" s="77">
        <v>277</v>
      </c>
      <c r="P265" s="77">
        <v>719</v>
      </c>
      <c r="Q265" s="77">
        <v>1874</v>
      </c>
      <c r="R265" s="77"/>
      <c r="S265" s="77"/>
      <c r="T265" s="77"/>
      <c r="U265" s="77"/>
      <c r="V265" s="77"/>
      <c r="W265" s="77"/>
      <c r="X265" s="77"/>
      <c r="Y265" s="77">
        <v>341</v>
      </c>
      <c r="Z265" s="77"/>
      <c r="AA265" s="77"/>
      <c r="AB265" s="77"/>
      <c r="AC265" s="77"/>
      <c r="AD265" s="77"/>
      <c r="AE265" s="62"/>
      <c r="AF265" s="63" t="b">
        <v>0</v>
      </c>
      <c r="AG265" s="63" t="b">
        <v>0</v>
      </c>
      <c r="AH265" s="62"/>
      <c r="AI265" s="64">
        <f t="shared" si="786"/>
        <v>31678</v>
      </c>
      <c r="AJ265" s="65" t="str">
        <f t="shared" si="340"/>
        <v>LAB</v>
      </c>
      <c r="AK265" s="66" t="str">
        <f t="shared" si="787"/>
        <v>HOLD</v>
      </c>
      <c r="AL265" s="67" t="e">
        <f t="shared" ca="1" si="788"/>
        <v>#NAME?</v>
      </c>
      <c r="AM265" s="68">
        <f t="shared" si="637"/>
        <v>11279</v>
      </c>
      <c r="AN265" s="69">
        <f t="shared" si="638"/>
        <v>0.35605151840393967</v>
      </c>
      <c r="AO265" s="62"/>
      <c r="AP265" s="70">
        <f t="shared" ref="AP265:AT265" si="807">H265/$AI265</f>
        <v>0.54034345602626432</v>
      </c>
      <c r="AQ265" s="70">
        <f t="shared" si="807"/>
        <v>0.13170023360060609</v>
      </c>
      <c r="AR265" s="70">
        <f t="shared" si="807"/>
        <v>0</v>
      </c>
      <c r="AS265" s="70">
        <f t="shared" si="807"/>
        <v>4.2300650293579142E-2</v>
      </c>
      <c r="AT265" s="70">
        <f t="shared" si="807"/>
        <v>0.18429193762232465</v>
      </c>
      <c r="AU265" s="70"/>
      <c r="AV265" s="70"/>
      <c r="AW265" s="81">
        <f t="shared" si="790"/>
        <v>0.1013637224572258</v>
      </c>
      <c r="AX265" s="70">
        <f t="shared" ref="AX265:BG265" si="808">O265/$AI265</f>
        <v>8.7442389039712101E-3</v>
      </c>
      <c r="AY265" s="70">
        <f t="shared" si="808"/>
        <v>2.2697139970957764E-2</v>
      </c>
      <c r="AZ265" s="70">
        <f t="shared" si="808"/>
        <v>5.9157775112065158E-2</v>
      </c>
      <c r="BA265" s="70">
        <f t="shared" si="808"/>
        <v>0</v>
      </c>
      <c r="BB265" s="70">
        <f t="shared" si="808"/>
        <v>0</v>
      </c>
      <c r="BC265" s="70">
        <f t="shared" si="808"/>
        <v>0</v>
      </c>
      <c r="BD265" s="70">
        <f t="shared" si="808"/>
        <v>0</v>
      </c>
      <c r="BE265" s="70">
        <f t="shared" si="808"/>
        <v>0</v>
      </c>
      <c r="BF265" s="70">
        <f t="shared" si="808"/>
        <v>0</v>
      </c>
      <c r="BG265" s="70">
        <f t="shared" si="808"/>
        <v>0</v>
      </c>
      <c r="BH265" s="70">
        <f t="shared" si="792"/>
        <v>1.0764568470231661E-2</v>
      </c>
      <c r="BI265" s="62"/>
      <c r="BJ265" s="69">
        <v>0.58399999999999996</v>
      </c>
      <c r="BK265" s="69">
        <v>0.26300000000000001</v>
      </c>
      <c r="BL265" s="69">
        <v>6.4000000000000001E-2</v>
      </c>
      <c r="BM265" s="69">
        <v>4.3999999999999997E-2</v>
      </c>
      <c r="BN265" s="69">
        <v>3.7999999999999999E-2</v>
      </c>
      <c r="BO265" s="69">
        <v>0</v>
      </c>
      <c r="BP265" s="69">
        <v>0</v>
      </c>
      <c r="BQ265" s="69">
        <v>7.0000000000000001E-3</v>
      </c>
      <c r="BR265" s="62"/>
      <c r="BS265" s="72">
        <f t="shared" ref="BS265:BW265" si="809">AP265-BJ265</f>
        <v>-4.365654397373564E-2</v>
      </c>
      <c r="BT265" s="72">
        <f t="shared" si="809"/>
        <v>-0.13129976639939392</v>
      </c>
      <c r="BU265" s="72">
        <f t="shared" si="809"/>
        <v>-6.4000000000000001E-2</v>
      </c>
      <c r="BV265" s="72">
        <f t="shared" si="809"/>
        <v>-1.6993497064208551E-3</v>
      </c>
      <c r="BW265" s="72">
        <f t="shared" si="809"/>
        <v>0.14629193762232465</v>
      </c>
      <c r="BX265" s="72"/>
      <c r="BY265" s="72"/>
      <c r="BZ265" s="72">
        <f t="shared" si="794"/>
        <v>9.4363722457225796E-2</v>
      </c>
    </row>
    <row r="266" spans="1:78" ht="13.15">
      <c r="A266" s="73" t="s">
        <v>6</v>
      </c>
      <c r="B266" s="74" t="s">
        <v>575</v>
      </c>
      <c r="C266" s="75" t="s">
        <v>576</v>
      </c>
      <c r="D266" s="75" t="s">
        <v>71</v>
      </c>
      <c r="E266" s="76"/>
      <c r="F266" s="59"/>
      <c r="G266" s="60"/>
      <c r="H266" s="77">
        <v>17681</v>
      </c>
      <c r="I266" s="77">
        <v>9258</v>
      </c>
      <c r="J266" s="77">
        <v>8187</v>
      </c>
      <c r="K266" s="77">
        <v>1798</v>
      </c>
      <c r="L266" s="77">
        <v>2522</v>
      </c>
      <c r="M266" s="77"/>
      <c r="N266" s="77"/>
      <c r="O266" s="77"/>
      <c r="P266" s="77"/>
      <c r="Q266" s="77">
        <v>99</v>
      </c>
      <c r="R266" s="77">
        <v>664</v>
      </c>
      <c r="S266" s="77"/>
      <c r="T266" s="77"/>
      <c r="U266" s="77"/>
      <c r="V266" s="77"/>
      <c r="W266" s="77"/>
      <c r="X266" s="77"/>
      <c r="Y266" s="77"/>
      <c r="Z266" s="77"/>
      <c r="AA266" s="77"/>
      <c r="AB266" s="77"/>
      <c r="AC266" s="77"/>
      <c r="AD266" s="77"/>
      <c r="AE266" s="62"/>
      <c r="AF266" s="63" t="b">
        <v>0</v>
      </c>
      <c r="AG266" s="63" t="b">
        <v>0</v>
      </c>
      <c r="AH266" s="62"/>
      <c r="AI266" s="64">
        <f t="shared" si="786"/>
        <v>40209</v>
      </c>
      <c r="AJ266" s="65" t="str">
        <f t="shared" si="340"/>
        <v>LAB</v>
      </c>
      <c r="AK266" s="66" t="str">
        <f t="shared" si="787"/>
        <v>GAIN</v>
      </c>
      <c r="AL266" s="67" t="e">
        <f t="shared" ca="1" si="788"/>
        <v>#NAME?</v>
      </c>
      <c r="AM266" s="68">
        <f t="shared" si="637"/>
        <v>8423</v>
      </c>
      <c r="AN266" s="69">
        <f t="shared" si="638"/>
        <v>0.2094804645726081</v>
      </c>
      <c r="AO266" s="62"/>
      <c r="AP266" s="70">
        <f t="shared" ref="AP266:AT266" si="810">H266/$AI266</f>
        <v>0.43972742420851052</v>
      </c>
      <c r="AQ266" s="70">
        <f t="shared" si="810"/>
        <v>0.23024695963590242</v>
      </c>
      <c r="AR266" s="70">
        <f t="shared" si="810"/>
        <v>0.20361113183615609</v>
      </c>
      <c r="AS266" s="70">
        <f t="shared" si="810"/>
        <v>4.4716357034494766E-2</v>
      </c>
      <c r="AT266" s="70">
        <f t="shared" si="810"/>
        <v>6.2722276107339159E-2</v>
      </c>
      <c r="AU266" s="70"/>
      <c r="AV266" s="70"/>
      <c r="AW266" s="81">
        <f t="shared" si="790"/>
        <v>1.8975851177597036E-2</v>
      </c>
      <c r="AX266" s="70">
        <f t="shared" ref="AX266:BG266" si="811">O266/$AI266</f>
        <v>0</v>
      </c>
      <c r="AY266" s="70">
        <f t="shared" si="811"/>
        <v>0</v>
      </c>
      <c r="AZ266" s="70">
        <f t="shared" si="811"/>
        <v>2.462135342833694E-3</v>
      </c>
      <c r="BA266" s="70">
        <f t="shared" si="811"/>
        <v>1.6513715834763361E-2</v>
      </c>
      <c r="BB266" s="70">
        <f t="shared" si="811"/>
        <v>0</v>
      </c>
      <c r="BC266" s="70">
        <f t="shared" si="811"/>
        <v>0</v>
      </c>
      <c r="BD266" s="70">
        <f t="shared" si="811"/>
        <v>0</v>
      </c>
      <c r="BE266" s="70">
        <f t="shared" si="811"/>
        <v>0</v>
      </c>
      <c r="BF266" s="70">
        <f t="shared" si="811"/>
        <v>0</v>
      </c>
      <c r="BG266" s="70">
        <f t="shared" si="811"/>
        <v>0</v>
      </c>
      <c r="BH266" s="70">
        <f t="shared" si="792"/>
        <v>0</v>
      </c>
      <c r="BI266" s="62"/>
      <c r="BJ266" s="69">
        <v>0.36799999999999999</v>
      </c>
      <c r="BK266" s="69">
        <v>0.53100000000000003</v>
      </c>
      <c r="BL266" s="69">
        <v>1.7999999999999999E-2</v>
      </c>
      <c r="BM266" s="69">
        <v>2.8000000000000001E-2</v>
      </c>
      <c r="BN266" s="69">
        <v>3.3000000000000002E-2</v>
      </c>
      <c r="BO266" s="69">
        <v>0</v>
      </c>
      <c r="BP266" s="69">
        <v>0</v>
      </c>
      <c r="BQ266" s="69">
        <v>2.1999999999999999E-2</v>
      </c>
      <c r="BR266" s="62"/>
      <c r="BS266" s="72">
        <f t="shared" ref="BS266:BW266" si="812">AP266-BJ266</f>
        <v>7.1727424208510526E-2</v>
      </c>
      <c r="BT266" s="72">
        <f t="shared" si="812"/>
        <v>-0.30075304036409761</v>
      </c>
      <c r="BU266" s="72">
        <f t="shared" si="812"/>
        <v>0.1856111318361561</v>
      </c>
      <c r="BV266" s="72">
        <f t="shared" si="812"/>
        <v>1.6716357034494766E-2</v>
      </c>
      <c r="BW266" s="72">
        <f t="shared" si="812"/>
        <v>2.9722276107339157E-2</v>
      </c>
      <c r="BX266" s="72"/>
      <c r="BY266" s="72"/>
      <c r="BZ266" s="72">
        <f t="shared" si="794"/>
        <v>-3.0241488224029452E-3</v>
      </c>
    </row>
    <row r="267" spans="1:78" ht="13.15">
      <c r="A267" s="78" t="s">
        <v>5</v>
      </c>
      <c r="B267" s="74" t="s">
        <v>577</v>
      </c>
      <c r="C267" s="75" t="s">
        <v>578</v>
      </c>
      <c r="D267" s="75" t="s">
        <v>71</v>
      </c>
      <c r="E267" s="76"/>
      <c r="F267" s="59"/>
      <c r="G267" s="60"/>
      <c r="H267" s="77">
        <v>18976</v>
      </c>
      <c r="I267" s="77">
        <v>6584</v>
      </c>
      <c r="J267" s="77">
        <v>6281</v>
      </c>
      <c r="K267" s="77">
        <v>1743</v>
      </c>
      <c r="L267" s="77">
        <v>3794</v>
      </c>
      <c r="M267" s="77"/>
      <c r="N267" s="77"/>
      <c r="O267" s="77"/>
      <c r="P267" s="77">
        <v>633</v>
      </c>
      <c r="Q267" s="77">
        <v>79</v>
      </c>
      <c r="R267" s="77"/>
      <c r="S267" s="77"/>
      <c r="T267" s="77"/>
      <c r="U267" s="77"/>
      <c r="V267" s="77"/>
      <c r="W267" s="77"/>
      <c r="X267" s="77"/>
      <c r="Y267" s="77">
        <v>404</v>
      </c>
      <c r="Z267" s="77"/>
      <c r="AA267" s="77"/>
      <c r="AB267" s="77"/>
      <c r="AC267" s="77"/>
      <c r="AD267" s="77"/>
      <c r="AE267" s="62"/>
      <c r="AF267" s="63" t="b">
        <v>0</v>
      </c>
      <c r="AG267" s="63" t="b">
        <v>0</v>
      </c>
      <c r="AH267" s="62"/>
      <c r="AI267" s="64">
        <f t="shared" si="786"/>
        <v>38494</v>
      </c>
      <c r="AJ267" s="65" t="str">
        <f t="shared" si="340"/>
        <v>LAB</v>
      </c>
      <c r="AK267" s="66" t="str">
        <f t="shared" si="787"/>
        <v>HOLD</v>
      </c>
      <c r="AL267" s="67" t="e">
        <f t="shared" ca="1" si="788"/>
        <v>#NAME?</v>
      </c>
      <c r="AM267" s="68">
        <f t="shared" si="637"/>
        <v>12392</v>
      </c>
      <c r="AN267" s="69">
        <f t="shared" si="638"/>
        <v>0.32192029926741828</v>
      </c>
      <c r="AO267" s="62"/>
      <c r="AP267" s="70">
        <f t="shared" ref="AP267:AT267" si="813">H267/$AI267</f>
        <v>0.49295994180911312</v>
      </c>
      <c r="AQ267" s="70">
        <f t="shared" si="813"/>
        <v>0.17103964254169482</v>
      </c>
      <c r="AR267" s="70">
        <f t="shared" si="813"/>
        <v>0.16316828596664415</v>
      </c>
      <c r="AS267" s="70">
        <f t="shared" si="813"/>
        <v>4.5279783862420118E-2</v>
      </c>
      <c r="AT267" s="70">
        <f t="shared" si="813"/>
        <v>9.856081467241648E-2</v>
      </c>
      <c r="AU267" s="70"/>
      <c r="AV267" s="70"/>
      <c r="AW267" s="81">
        <f t="shared" si="790"/>
        <v>2.8991531147711247E-2</v>
      </c>
      <c r="AX267" s="70">
        <f t="shared" ref="AX267:BG267" si="814">O267/$AI267</f>
        <v>0</v>
      </c>
      <c r="AY267" s="70">
        <f t="shared" si="814"/>
        <v>1.6444121161739492E-2</v>
      </c>
      <c r="AZ267" s="70">
        <f t="shared" si="814"/>
        <v>2.0522678859042969E-3</v>
      </c>
      <c r="BA267" s="70">
        <f t="shared" si="814"/>
        <v>0</v>
      </c>
      <c r="BB267" s="70">
        <f t="shared" si="814"/>
        <v>0</v>
      </c>
      <c r="BC267" s="70">
        <f t="shared" si="814"/>
        <v>0</v>
      </c>
      <c r="BD267" s="70">
        <f t="shared" si="814"/>
        <v>0</v>
      </c>
      <c r="BE267" s="70">
        <f t="shared" si="814"/>
        <v>0</v>
      </c>
      <c r="BF267" s="70">
        <f t="shared" si="814"/>
        <v>0</v>
      </c>
      <c r="BG267" s="70">
        <f t="shared" si="814"/>
        <v>0</v>
      </c>
      <c r="BH267" s="70">
        <f t="shared" si="792"/>
        <v>1.0495142100067457E-2</v>
      </c>
      <c r="BI267" s="62"/>
      <c r="BJ267" s="69">
        <v>0.48399999999999999</v>
      </c>
      <c r="BK267" s="69">
        <v>0.42199999999999999</v>
      </c>
      <c r="BL267" s="69">
        <v>2.8000000000000001E-2</v>
      </c>
      <c r="BM267" s="69">
        <v>3.5999999999999997E-2</v>
      </c>
      <c r="BN267" s="69">
        <v>1.4E-2</v>
      </c>
      <c r="BO267" s="69">
        <v>0</v>
      </c>
      <c r="BP267" s="69">
        <v>0</v>
      </c>
      <c r="BQ267" s="69">
        <v>1.4999999999999999E-2</v>
      </c>
      <c r="BR267" s="62"/>
      <c r="BS267" s="72">
        <f t="shared" ref="BS267:BW267" si="815">AP267-BJ267</f>
        <v>8.9599418091131366E-3</v>
      </c>
      <c r="BT267" s="72">
        <f t="shared" si="815"/>
        <v>-0.25096035745830514</v>
      </c>
      <c r="BU267" s="72">
        <f t="shared" si="815"/>
        <v>0.13516828596664415</v>
      </c>
      <c r="BV267" s="72">
        <f t="shared" si="815"/>
        <v>9.2797838624201212E-3</v>
      </c>
      <c r="BW267" s="72">
        <f t="shared" si="815"/>
        <v>8.4560814672416482E-2</v>
      </c>
      <c r="BX267" s="72"/>
      <c r="BY267" s="72"/>
      <c r="BZ267" s="72">
        <f t="shared" si="794"/>
        <v>1.3991531147711248E-2</v>
      </c>
    </row>
    <row r="268" spans="1:78" ht="13.15">
      <c r="A268" s="78" t="s">
        <v>5</v>
      </c>
      <c r="B268" s="74" t="s">
        <v>579</v>
      </c>
      <c r="C268" s="75" t="s">
        <v>580</v>
      </c>
      <c r="D268" s="75" t="s">
        <v>53</v>
      </c>
      <c r="E268" s="76"/>
      <c r="F268" s="59"/>
      <c r="G268" s="60"/>
      <c r="H268" s="77">
        <v>10100</v>
      </c>
      <c r="I268" s="77">
        <v>14526</v>
      </c>
      <c r="J268" s="77">
        <v>2611</v>
      </c>
      <c r="K268" s="77">
        <v>6329</v>
      </c>
      <c r="L268" s="77">
        <v>2143</v>
      </c>
      <c r="M268" s="77"/>
      <c r="N268" s="77"/>
      <c r="O268" s="77">
        <v>5532</v>
      </c>
      <c r="P268" s="77"/>
      <c r="Q268" s="77"/>
      <c r="R268" s="77">
        <v>3681</v>
      </c>
      <c r="S268" s="77"/>
      <c r="T268" s="77"/>
      <c r="U268" s="77"/>
      <c r="V268" s="77"/>
      <c r="W268" s="77"/>
      <c r="X268" s="77"/>
      <c r="Y268" s="77">
        <v>974</v>
      </c>
      <c r="Z268" s="77">
        <v>703</v>
      </c>
      <c r="AA268" s="77">
        <v>115</v>
      </c>
      <c r="AB268" s="77"/>
      <c r="AC268" s="77"/>
      <c r="AD268" s="77"/>
      <c r="AE268" s="62"/>
      <c r="AF268" s="63" t="b">
        <v>0</v>
      </c>
      <c r="AG268" s="63" t="b">
        <v>0</v>
      </c>
      <c r="AH268" s="62"/>
      <c r="AI268" s="64">
        <f t="shared" si="786"/>
        <v>46714</v>
      </c>
      <c r="AJ268" s="65" t="str">
        <f t="shared" si="340"/>
        <v>CON</v>
      </c>
      <c r="AK268" s="66" t="str">
        <f t="shared" si="787"/>
        <v>GAIN</v>
      </c>
      <c r="AL268" s="67" t="e">
        <f t="shared" ca="1" si="788"/>
        <v>#NAME?</v>
      </c>
      <c r="AM268" s="68">
        <f t="shared" si="637"/>
        <v>4426</v>
      </c>
      <c r="AN268" s="69">
        <f t="shared" si="638"/>
        <v>9.4746756860898229E-2</v>
      </c>
      <c r="AO268" s="62"/>
      <c r="AP268" s="70">
        <f t="shared" ref="AP268:AT268" si="816">H268/$AI268</f>
        <v>0.21620927345121377</v>
      </c>
      <c r="AQ268" s="70">
        <f t="shared" si="816"/>
        <v>0.310956030312112</v>
      </c>
      <c r="AR268" s="70">
        <f t="shared" si="816"/>
        <v>5.5893308215952391E-2</v>
      </c>
      <c r="AS268" s="70">
        <f t="shared" si="816"/>
        <v>0.13548400907650812</v>
      </c>
      <c r="AT268" s="70">
        <f t="shared" si="816"/>
        <v>4.5874898317420899E-2</v>
      </c>
      <c r="AU268" s="70"/>
      <c r="AV268" s="70"/>
      <c r="AW268" s="81">
        <f t="shared" si="790"/>
        <v>0.23558248062679288</v>
      </c>
      <c r="AX268" s="70">
        <f t="shared" ref="AX268:BG268" si="817">O268/$AI268</f>
        <v>0.11842274264674402</v>
      </c>
      <c r="AY268" s="70">
        <f t="shared" si="817"/>
        <v>0</v>
      </c>
      <c r="AZ268" s="70">
        <f t="shared" si="817"/>
        <v>0</v>
      </c>
      <c r="BA268" s="70">
        <f t="shared" si="817"/>
        <v>7.8798647086526521E-2</v>
      </c>
      <c r="BB268" s="70">
        <f t="shared" si="817"/>
        <v>0</v>
      </c>
      <c r="BC268" s="70">
        <f t="shared" si="817"/>
        <v>0</v>
      </c>
      <c r="BD268" s="70">
        <f t="shared" si="817"/>
        <v>0</v>
      </c>
      <c r="BE268" s="70">
        <f t="shared" si="817"/>
        <v>0</v>
      </c>
      <c r="BF268" s="70">
        <f t="shared" si="817"/>
        <v>0</v>
      </c>
      <c r="BG268" s="70">
        <f t="shared" si="817"/>
        <v>0</v>
      </c>
      <c r="BH268" s="70">
        <f t="shared" si="792"/>
        <v>3.8361090893522354E-2</v>
      </c>
      <c r="BI268" s="62"/>
      <c r="BJ268" s="69">
        <v>0.50900000000000001</v>
      </c>
      <c r="BK268" s="69">
        <v>0.38500000000000001</v>
      </c>
      <c r="BL268" s="69">
        <v>2.5000000000000001E-2</v>
      </c>
      <c r="BM268" s="69">
        <v>5.6000000000000001E-2</v>
      </c>
      <c r="BN268" s="69">
        <v>1.7999999999999999E-2</v>
      </c>
      <c r="BO268" s="69">
        <v>0</v>
      </c>
      <c r="BP268" s="69">
        <v>0</v>
      </c>
      <c r="BQ268" s="69">
        <v>7.0000000000000001E-3</v>
      </c>
      <c r="BR268" s="62"/>
      <c r="BS268" s="72">
        <f t="shared" ref="BS268:BW268" si="818">AP268-BJ268</f>
        <v>-0.29279072654878624</v>
      </c>
      <c r="BT268" s="72">
        <f t="shared" si="818"/>
        <v>-7.4043969687888012E-2</v>
      </c>
      <c r="BU268" s="72">
        <f t="shared" si="818"/>
        <v>3.0893308215952389E-2</v>
      </c>
      <c r="BV268" s="72">
        <f t="shared" si="818"/>
        <v>7.9484009076508128E-2</v>
      </c>
      <c r="BW268" s="72">
        <f t="shared" si="818"/>
        <v>2.7874898317420901E-2</v>
      </c>
      <c r="BX268" s="72"/>
      <c r="BY268" s="72"/>
      <c r="BZ268" s="72">
        <f t="shared" si="794"/>
        <v>0.22858248062679287</v>
      </c>
    </row>
    <row r="269" spans="1:78" ht="13.15">
      <c r="A269" s="78" t="s">
        <v>5</v>
      </c>
      <c r="B269" s="74" t="s">
        <v>581</v>
      </c>
      <c r="C269" s="75" t="s">
        <v>582</v>
      </c>
      <c r="D269" s="75" t="s">
        <v>53</v>
      </c>
      <c r="E269" s="76"/>
      <c r="F269" s="59"/>
      <c r="G269" s="60"/>
      <c r="H269" s="77">
        <v>13760</v>
      </c>
      <c r="I269" s="77">
        <v>4820</v>
      </c>
      <c r="J269" s="77">
        <v>2470</v>
      </c>
      <c r="K269" s="77">
        <v>1425</v>
      </c>
      <c r="L269" s="77">
        <v>3826</v>
      </c>
      <c r="M269" s="77"/>
      <c r="N269" s="77"/>
      <c r="O269" s="77">
        <v>14739</v>
      </c>
      <c r="P269" s="77"/>
      <c r="Q269" s="77"/>
      <c r="R269" s="77"/>
      <c r="S269" s="77"/>
      <c r="T269" s="77"/>
      <c r="U269" s="77"/>
      <c r="V269" s="77"/>
      <c r="W269" s="77"/>
      <c r="X269" s="77"/>
      <c r="Y269" s="77">
        <v>339</v>
      </c>
      <c r="Z269" s="77">
        <v>279</v>
      </c>
      <c r="AA269" s="77">
        <v>189</v>
      </c>
      <c r="AB269" s="77"/>
      <c r="AC269" s="77"/>
      <c r="AD269" s="77"/>
      <c r="AE269" s="62"/>
      <c r="AF269" s="63" t="b">
        <v>0</v>
      </c>
      <c r="AG269" s="63" t="b">
        <v>0</v>
      </c>
      <c r="AH269" s="62"/>
      <c r="AI269" s="64">
        <f t="shared" si="786"/>
        <v>41847</v>
      </c>
      <c r="AJ269" s="65" t="str">
        <f t="shared" si="340"/>
        <v>IND</v>
      </c>
      <c r="AK269" s="66" t="str">
        <f t="shared" si="787"/>
        <v>GAIN</v>
      </c>
      <c r="AL269" s="67" t="e">
        <f t="shared" ca="1" si="788"/>
        <v>#NAME?</v>
      </c>
      <c r="AM269" s="68">
        <f t="shared" si="637"/>
        <v>979</v>
      </c>
      <c r="AN269" s="69">
        <f t="shared" si="638"/>
        <v>2.3394747532678561E-2</v>
      </c>
      <c r="AO269" s="62"/>
      <c r="AP269" s="70">
        <f t="shared" ref="AP269:AT269" si="819">H269/$AI269</f>
        <v>0.32881688054101849</v>
      </c>
      <c r="AQ269" s="70">
        <f t="shared" si="819"/>
        <v>0.11518149449183931</v>
      </c>
      <c r="AR269" s="70">
        <f t="shared" si="819"/>
        <v>5.9024541783162472E-2</v>
      </c>
      <c r="AS269" s="70">
        <f t="shared" si="819"/>
        <v>3.405262025951681E-2</v>
      </c>
      <c r="AT269" s="70">
        <f t="shared" si="819"/>
        <v>9.1428298324850055E-2</v>
      </c>
      <c r="AU269" s="70"/>
      <c r="AV269" s="70"/>
      <c r="AW269" s="81">
        <f t="shared" si="790"/>
        <v>0.37149616459961288</v>
      </c>
      <c r="AX269" s="70">
        <f t="shared" ref="AX269:BG269" si="820">O269/$AI269</f>
        <v>0.35221162807369705</v>
      </c>
      <c r="AY269" s="70">
        <f t="shared" si="820"/>
        <v>0</v>
      </c>
      <c r="AZ269" s="70">
        <f t="shared" si="820"/>
        <v>0</v>
      </c>
      <c r="BA269" s="70">
        <f t="shared" si="820"/>
        <v>0</v>
      </c>
      <c r="BB269" s="70">
        <f t="shared" si="820"/>
        <v>0</v>
      </c>
      <c r="BC269" s="70">
        <f t="shared" si="820"/>
        <v>0</v>
      </c>
      <c r="BD269" s="70">
        <f t="shared" si="820"/>
        <v>0</v>
      </c>
      <c r="BE269" s="70">
        <f t="shared" si="820"/>
        <v>0</v>
      </c>
      <c r="BF269" s="70">
        <f t="shared" si="820"/>
        <v>0</v>
      </c>
      <c r="BG269" s="70">
        <f t="shared" si="820"/>
        <v>0</v>
      </c>
      <c r="BH269" s="70">
        <f t="shared" si="792"/>
        <v>1.928453652591583E-2</v>
      </c>
      <c r="BI269" s="62"/>
      <c r="BJ269" s="69">
        <v>0.68200000000000005</v>
      </c>
      <c r="BK269" s="69">
        <v>0.218</v>
      </c>
      <c r="BL269" s="69">
        <v>2.3E-2</v>
      </c>
      <c r="BM269" s="69">
        <v>4.2999999999999997E-2</v>
      </c>
      <c r="BN269" s="69">
        <v>3.3000000000000002E-2</v>
      </c>
      <c r="BO269" s="69">
        <v>0</v>
      </c>
      <c r="BP269" s="69">
        <v>0</v>
      </c>
      <c r="BQ269" s="69">
        <v>0</v>
      </c>
      <c r="BR269" s="62"/>
      <c r="BS269" s="72">
        <f t="shared" ref="BS269:BW269" si="821">AP269-BJ269</f>
        <v>-0.35318311945898156</v>
      </c>
      <c r="BT269" s="72">
        <f t="shared" si="821"/>
        <v>-0.10281850550816068</v>
      </c>
      <c r="BU269" s="72">
        <f t="shared" si="821"/>
        <v>3.6024541783162473E-2</v>
      </c>
      <c r="BV269" s="72">
        <f t="shared" si="821"/>
        <v>-8.947379740483187E-3</v>
      </c>
      <c r="BW269" s="72">
        <f t="shared" si="821"/>
        <v>5.8428298324850053E-2</v>
      </c>
      <c r="BX269" s="72"/>
      <c r="BY269" s="72"/>
      <c r="BZ269" s="72">
        <f t="shared" si="794"/>
        <v>0.37149616459961288</v>
      </c>
    </row>
    <row r="270" spans="1:78" ht="13.15">
      <c r="A270" s="78" t="s">
        <v>5</v>
      </c>
      <c r="B270" s="74" t="s">
        <v>583</v>
      </c>
      <c r="C270" s="75" t="s">
        <v>584</v>
      </c>
      <c r="D270" s="75" t="s">
        <v>53</v>
      </c>
      <c r="E270" s="76"/>
      <c r="F270" s="59"/>
      <c r="G270" s="60"/>
      <c r="H270" s="77">
        <v>15798</v>
      </c>
      <c r="I270" s="77">
        <v>7021</v>
      </c>
      <c r="J270" s="77">
        <v>5666</v>
      </c>
      <c r="K270" s="77">
        <v>2179</v>
      </c>
      <c r="L270" s="77">
        <v>4089</v>
      </c>
      <c r="M270" s="77"/>
      <c r="N270" s="77"/>
      <c r="O270" s="77"/>
      <c r="P270" s="77"/>
      <c r="Q270" s="77"/>
      <c r="R270" s="77">
        <v>327</v>
      </c>
      <c r="S270" s="77"/>
      <c r="T270" s="77"/>
      <c r="U270" s="77"/>
      <c r="V270" s="77"/>
      <c r="W270" s="77"/>
      <c r="X270" s="77"/>
      <c r="Y270" s="77">
        <v>317</v>
      </c>
      <c r="Z270" s="77"/>
      <c r="AA270" s="77"/>
      <c r="AB270" s="77"/>
      <c r="AC270" s="77"/>
      <c r="AD270" s="77"/>
      <c r="AE270" s="62"/>
      <c r="AF270" s="63" t="b">
        <v>0</v>
      </c>
      <c r="AG270" s="63" t="b">
        <v>0</v>
      </c>
      <c r="AH270" s="62"/>
      <c r="AI270" s="64">
        <f t="shared" si="786"/>
        <v>35397</v>
      </c>
      <c r="AJ270" s="65" t="str">
        <f t="shared" si="340"/>
        <v>LAB</v>
      </c>
      <c r="AK270" s="66" t="str">
        <f t="shared" si="787"/>
        <v>HOLD</v>
      </c>
      <c r="AL270" s="67" t="e">
        <f t="shared" ca="1" si="788"/>
        <v>#NAME?</v>
      </c>
      <c r="AM270" s="68">
        <f t="shared" si="637"/>
        <v>8777</v>
      </c>
      <c r="AN270" s="69">
        <f t="shared" si="638"/>
        <v>0.24795886657061333</v>
      </c>
      <c r="AO270" s="62"/>
      <c r="AP270" s="70">
        <f t="shared" ref="AP270:AT270" si="822">H270/$AI270</f>
        <v>0.44630900923807104</v>
      </c>
      <c r="AQ270" s="70">
        <f t="shared" si="822"/>
        <v>0.19835014266745771</v>
      </c>
      <c r="AR270" s="70">
        <f t="shared" si="822"/>
        <v>0.16007006243466959</v>
      </c>
      <c r="AS270" s="70">
        <f t="shared" si="822"/>
        <v>6.1558889171398706E-2</v>
      </c>
      <c r="AT270" s="70">
        <f t="shared" si="822"/>
        <v>0.11551826425968302</v>
      </c>
      <c r="AU270" s="70"/>
      <c r="AV270" s="70"/>
      <c r="AW270" s="81">
        <f t="shared" si="790"/>
        <v>1.8193632228719947E-2</v>
      </c>
      <c r="AX270" s="70">
        <f t="shared" ref="AX270:BG270" si="823">O270/$AI270</f>
        <v>0</v>
      </c>
      <c r="AY270" s="70">
        <f t="shared" si="823"/>
        <v>0</v>
      </c>
      <c r="AZ270" s="70">
        <f t="shared" si="823"/>
        <v>0</v>
      </c>
      <c r="BA270" s="70">
        <f t="shared" si="823"/>
        <v>9.2380710229680481E-3</v>
      </c>
      <c r="BB270" s="70">
        <f t="shared" si="823"/>
        <v>0</v>
      </c>
      <c r="BC270" s="70">
        <f t="shared" si="823"/>
        <v>0</v>
      </c>
      <c r="BD270" s="70">
        <f t="shared" si="823"/>
        <v>0</v>
      </c>
      <c r="BE270" s="70">
        <f t="shared" si="823"/>
        <v>0</v>
      </c>
      <c r="BF270" s="70">
        <f t="shared" si="823"/>
        <v>0</v>
      </c>
      <c r="BG270" s="70">
        <f t="shared" si="823"/>
        <v>0</v>
      </c>
      <c r="BH270" s="70">
        <f t="shared" si="792"/>
        <v>8.9555612057518989E-3</v>
      </c>
      <c r="BI270" s="62"/>
      <c r="BJ270" s="69">
        <v>0.49299999999999999</v>
      </c>
      <c r="BK270" s="69">
        <v>0.36699999999999999</v>
      </c>
      <c r="BL270" s="69">
        <v>4.4999999999999998E-2</v>
      </c>
      <c r="BM270" s="69">
        <v>6.7000000000000004E-2</v>
      </c>
      <c r="BN270" s="69">
        <v>2.8000000000000001E-2</v>
      </c>
      <c r="BO270" s="69">
        <v>0</v>
      </c>
      <c r="BP270" s="69">
        <v>0</v>
      </c>
      <c r="BQ270" s="69">
        <v>0</v>
      </c>
      <c r="BR270" s="62"/>
      <c r="BS270" s="72">
        <f t="shared" ref="BS270:BW270" si="824">AP270-BJ270</f>
        <v>-4.6690990761928952E-2</v>
      </c>
      <c r="BT270" s="72">
        <f t="shared" si="824"/>
        <v>-0.16864985733254229</v>
      </c>
      <c r="BU270" s="72">
        <f t="shared" si="824"/>
        <v>0.11507006243466959</v>
      </c>
      <c r="BV270" s="72">
        <f t="shared" si="824"/>
        <v>-5.4411108286012977E-3</v>
      </c>
      <c r="BW270" s="72">
        <f t="shared" si="824"/>
        <v>8.7518264259683023E-2</v>
      </c>
      <c r="BX270" s="72"/>
      <c r="BY270" s="72"/>
      <c r="BZ270" s="72">
        <f t="shared" si="794"/>
        <v>1.8193632228719947E-2</v>
      </c>
    </row>
    <row r="271" spans="1:78" ht="13.15">
      <c r="A271" s="73" t="s">
        <v>6</v>
      </c>
      <c r="B271" s="74" t="s">
        <v>585</v>
      </c>
      <c r="C271" s="75" t="s">
        <v>586</v>
      </c>
      <c r="D271" s="75" t="s">
        <v>50</v>
      </c>
      <c r="E271" s="76">
        <v>79761</v>
      </c>
      <c r="F271" s="59">
        <v>0.51600000000000001</v>
      </c>
      <c r="G271" s="60"/>
      <c r="H271" s="77">
        <v>19971</v>
      </c>
      <c r="I271" s="77">
        <v>6483</v>
      </c>
      <c r="J271" s="77">
        <v>11090</v>
      </c>
      <c r="K271" s="77">
        <v>1597</v>
      </c>
      <c r="L271" s="77">
        <v>1653</v>
      </c>
      <c r="M271" s="77"/>
      <c r="N271" s="77"/>
      <c r="O271" s="77"/>
      <c r="P271" s="77"/>
      <c r="Q271" s="77"/>
      <c r="R271" s="77"/>
      <c r="S271" s="77"/>
      <c r="T271" s="77"/>
      <c r="U271" s="77"/>
      <c r="V271" s="77"/>
      <c r="W271" s="77"/>
      <c r="X271" s="77"/>
      <c r="Y271" s="77">
        <v>376</v>
      </c>
      <c r="Z271" s="77"/>
      <c r="AA271" s="77"/>
      <c r="AB271" s="77"/>
      <c r="AC271" s="77"/>
      <c r="AD271" s="77"/>
      <c r="AE271" s="62"/>
      <c r="AF271" s="63" t="b">
        <v>0</v>
      </c>
      <c r="AG271" s="63" t="b">
        <v>0</v>
      </c>
      <c r="AH271" s="62"/>
      <c r="AI271" s="64">
        <f t="shared" si="786"/>
        <v>41170</v>
      </c>
      <c r="AJ271" s="65" t="str">
        <f t="shared" si="340"/>
        <v>LAB</v>
      </c>
      <c r="AK271" s="66" t="str">
        <f t="shared" si="787"/>
        <v>GAIN</v>
      </c>
      <c r="AL271" s="67" t="e">
        <f t="shared" ca="1" si="788"/>
        <v>#NAME?</v>
      </c>
      <c r="AM271" s="68">
        <f t="shared" si="637"/>
        <v>8881</v>
      </c>
      <c r="AN271" s="69">
        <f t="shared" si="638"/>
        <v>0.2157153266941948</v>
      </c>
      <c r="AO271" s="62"/>
      <c r="AP271" s="70">
        <f t="shared" ref="AP271:AT271" si="825">H271/$AI271</f>
        <v>0.48508622783580274</v>
      </c>
      <c r="AQ271" s="70">
        <f t="shared" si="825"/>
        <v>0.15746903084770464</v>
      </c>
      <c r="AR271" s="70">
        <f t="shared" si="825"/>
        <v>0.26937090114160794</v>
      </c>
      <c r="AS271" s="70">
        <f t="shared" si="825"/>
        <v>3.8790381345640029E-2</v>
      </c>
      <c r="AT271" s="70">
        <f t="shared" si="825"/>
        <v>4.0150595093514693E-2</v>
      </c>
      <c r="AU271" s="70"/>
      <c r="AV271" s="70"/>
      <c r="AW271" s="81">
        <f t="shared" si="790"/>
        <v>9.132863735729857E-3</v>
      </c>
      <c r="AX271" s="70">
        <f t="shared" ref="AX271:BG271" si="826">O271/$AI271</f>
        <v>0</v>
      </c>
      <c r="AY271" s="70">
        <f t="shared" si="826"/>
        <v>0</v>
      </c>
      <c r="AZ271" s="70">
        <f t="shared" si="826"/>
        <v>0</v>
      </c>
      <c r="BA271" s="70">
        <f t="shared" si="826"/>
        <v>0</v>
      </c>
      <c r="BB271" s="70">
        <f t="shared" si="826"/>
        <v>0</v>
      </c>
      <c r="BC271" s="70">
        <f t="shared" si="826"/>
        <v>0</v>
      </c>
      <c r="BD271" s="70">
        <f t="shared" si="826"/>
        <v>0</v>
      </c>
      <c r="BE271" s="70">
        <f t="shared" si="826"/>
        <v>0</v>
      </c>
      <c r="BF271" s="70">
        <f t="shared" si="826"/>
        <v>0</v>
      </c>
      <c r="BG271" s="70">
        <f t="shared" si="826"/>
        <v>0</v>
      </c>
      <c r="BH271" s="70">
        <f t="shared" si="792"/>
        <v>9.132863735729857E-3</v>
      </c>
      <c r="BI271" s="62"/>
      <c r="BJ271" s="69">
        <v>0.432</v>
      </c>
      <c r="BK271" s="69">
        <v>0.438</v>
      </c>
      <c r="BL271" s="69">
        <v>5.8000000000000003E-2</v>
      </c>
      <c r="BM271" s="69">
        <v>4.5999999999999999E-2</v>
      </c>
      <c r="BN271" s="69">
        <v>4.0000000000000001E-3</v>
      </c>
      <c r="BO271" s="69">
        <v>0</v>
      </c>
      <c r="BP271" s="69">
        <v>0</v>
      </c>
      <c r="BQ271" s="69">
        <v>2.3E-2</v>
      </c>
      <c r="BR271" s="62"/>
      <c r="BS271" s="72">
        <f t="shared" ref="BS271:BW271" si="827">AP271-BJ271</f>
        <v>5.3086227835802746E-2</v>
      </c>
      <c r="BT271" s="72">
        <f t="shared" si="827"/>
        <v>-0.28053096915229536</v>
      </c>
      <c r="BU271" s="72">
        <f t="shared" si="827"/>
        <v>0.21137090114160795</v>
      </c>
      <c r="BV271" s="72">
        <f t="shared" si="827"/>
        <v>-7.20961865435997E-3</v>
      </c>
      <c r="BW271" s="72">
        <f t="shared" si="827"/>
        <v>3.615059509351469E-2</v>
      </c>
      <c r="BX271" s="72"/>
      <c r="BY271" s="72"/>
      <c r="BZ271" s="72">
        <f t="shared" si="794"/>
        <v>-1.3867136264270143E-2</v>
      </c>
    </row>
    <row r="272" spans="1:78" ht="13.15">
      <c r="A272" s="73" t="s">
        <v>6</v>
      </c>
      <c r="B272" s="74" t="s">
        <v>587</v>
      </c>
      <c r="C272" s="75" t="s">
        <v>588</v>
      </c>
      <c r="D272" s="75" t="s">
        <v>44</v>
      </c>
      <c r="E272" s="76"/>
      <c r="F272" s="59"/>
      <c r="G272" s="60"/>
      <c r="H272" s="77">
        <v>3574</v>
      </c>
      <c r="I272" s="77">
        <v>14271</v>
      </c>
      <c r="J272" s="77">
        <v>6335</v>
      </c>
      <c r="K272" s="77">
        <v>26895</v>
      </c>
      <c r="L272" s="77">
        <v>1869</v>
      </c>
      <c r="M272" s="77"/>
      <c r="N272" s="77"/>
      <c r="O272" s="77"/>
      <c r="P272" s="77"/>
      <c r="Q272" s="77">
        <v>229</v>
      </c>
      <c r="R272" s="77"/>
      <c r="S272" s="77"/>
      <c r="T272" s="77"/>
      <c r="U272" s="77"/>
      <c r="V272" s="77"/>
      <c r="W272" s="77"/>
      <c r="X272" s="77"/>
      <c r="Y272" s="77"/>
      <c r="Z272" s="77"/>
      <c r="AA272" s="77"/>
      <c r="AB272" s="77"/>
      <c r="AC272" s="77"/>
      <c r="AD272" s="77"/>
      <c r="AE272" s="62"/>
      <c r="AF272" s="63" t="b">
        <v>0</v>
      </c>
      <c r="AG272" s="63" t="b">
        <v>0</v>
      </c>
      <c r="AH272" s="62"/>
      <c r="AI272" s="64">
        <f t="shared" si="786"/>
        <v>53173</v>
      </c>
      <c r="AJ272" s="65" t="str">
        <f t="shared" si="340"/>
        <v>LDM</v>
      </c>
      <c r="AK272" s="66" t="str">
        <f t="shared" si="787"/>
        <v>GAIN</v>
      </c>
      <c r="AL272" s="67" t="e">
        <f t="shared" ca="1" si="788"/>
        <v>#NAME?</v>
      </c>
      <c r="AM272" s="68">
        <f t="shared" si="637"/>
        <v>12624</v>
      </c>
      <c r="AN272" s="69">
        <f t="shared" si="638"/>
        <v>0.23741372501081376</v>
      </c>
      <c r="AO272" s="62"/>
      <c r="AP272" s="70">
        <f t="shared" ref="AP272:AT272" si="828">H272/$AI272</f>
        <v>6.7214563782370756E-2</v>
      </c>
      <c r="AQ272" s="70">
        <f t="shared" si="828"/>
        <v>0.26838809170067518</v>
      </c>
      <c r="AR272" s="70">
        <f t="shared" si="828"/>
        <v>0.1191394128599101</v>
      </c>
      <c r="AS272" s="70">
        <f t="shared" si="828"/>
        <v>0.50580181671148894</v>
      </c>
      <c r="AT272" s="70">
        <f t="shared" si="828"/>
        <v>3.5149417937675134E-2</v>
      </c>
      <c r="AU272" s="70"/>
      <c r="AV272" s="70"/>
      <c r="AW272" s="81">
        <f t="shared" si="790"/>
        <v>4.3066970078798894E-3</v>
      </c>
      <c r="AX272" s="70">
        <f t="shared" ref="AX272:BG272" si="829">O272/$AI272</f>
        <v>0</v>
      </c>
      <c r="AY272" s="70">
        <f t="shared" si="829"/>
        <v>0</v>
      </c>
      <c r="AZ272" s="70">
        <f t="shared" si="829"/>
        <v>4.3066970078799388E-3</v>
      </c>
      <c r="BA272" s="70">
        <f t="shared" si="829"/>
        <v>0</v>
      </c>
      <c r="BB272" s="70">
        <f t="shared" si="829"/>
        <v>0</v>
      </c>
      <c r="BC272" s="70">
        <f t="shared" si="829"/>
        <v>0</v>
      </c>
      <c r="BD272" s="70">
        <f t="shared" si="829"/>
        <v>0</v>
      </c>
      <c r="BE272" s="70">
        <f t="shared" si="829"/>
        <v>0</v>
      </c>
      <c r="BF272" s="70">
        <f t="shared" si="829"/>
        <v>0</v>
      </c>
      <c r="BG272" s="70">
        <f t="shared" si="829"/>
        <v>0</v>
      </c>
      <c r="BH272" s="70">
        <f t="shared" si="792"/>
        <v>-4.9439619065339002E-17</v>
      </c>
      <c r="BI272" s="62"/>
      <c r="BJ272" s="69">
        <v>7.0999999999999994E-2</v>
      </c>
      <c r="BK272" s="69">
        <v>0.48499999999999999</v>
      </c>
      <c r="BL272" s="69">
        <v>2E-3</v>
      </c>
      <c r="BM272" s="69">
        <v>0.41099999999999998</v>
      </c>
      <c r="BN272" s="69">
        <v>2.9000000000000001E-2</v>
      </c>
      <c r="BO272" s="69">
        <v>0</v>
      </c>
      <c r="BP272" s="69">
        <v>0</v>
      </c>
      <c r="BQ272" s="69">
        <v>2E-3</v>
      </c>
      <c r="BR272" s="62"/>
      <c r="BS272" s="72">
        <f t="shared" ref="BS272:BW272" si="830">AP272-BJ272</f>
        <v>-3.7854362176292372E-3</v>
      </c>
      <c r="BT272" s="72">
        <f t="shared" si="830"/>
        <v>-0.21661190829932481</v>
      </c>
      <c r="BU272" s="72">
        <f t="shared" si="830"/>
        <v>0.1171394128599101</v>
      </c>
      <c r="BV272" s="72">
        <f t="shared" si="830"/>
        <v>9.4801816711488962E-2</v>
      </c>
      <c r="BW272" s="72">
        <f t="shared" si="830"/>
        <v>6.1494179376751328E-3</v>
      </c>
      <c r="BX272" s="72"/>
      <c r="BY272" s="72"/>
      <c r="BZ272" s="72">
        <f t="shared" si="794"/>
        <v>2.3066970078798894E-3</v>
      </c>
    </row>
    <row r="273" spans="1:78" ht="13.15">
      <c r="A273" s="78" t="s">
        <v>5</v>
      </c>
      <c r="B273" s="74" t="s">
        <v>589</v>
      </c>
      <c r="C273" s="75" t="s">
        <v>590</v>
      </c>
      <c r="D273" s="75" t="s">
        <v>68</v>
      </c>
      <c r="E273" s="76"/>
      <c r="F273" s="59"/>
      <c r="G273" s="60"/>
      <c r="H273" s="77">
        <v>23646</v>
      </c>
      <c r="I273" s="77">
        <v>4401</v>
      </c>
      <c r="J273" s="77">
        <v>3469</v>
      </c>
      <c r="K273" s="77">
        <v>2471</v>
      </c>
      <c r="L273" s="77">
        <v>5573</v>
      </c>
      <c r="M273" s="77"/>
      <c r="N273" s="77"/>
      <c r="O273" s="77"/>
      <c r="P273" s="77">
        <v>577</v>
      </c>
      <c r="Q273" s="77"/>
      <c r="R273" s="77"/>
      <c r="S273" s="77"/>
      <c r="T273" s="77"/>
      <c r="U273" s="77"/>
      <c r="V273" s="77"/>
      <c r="W273" s="77"/>
      <c r="X273" s="77"/>
      <c r="Y273" s="77">
        <v>404</v>
      </c>
      <c r="Z273" s="77">
        <v>96</v>
      </c>
      <c r="AA273" s="77"/>
      <c r="AB273" s="77"/>
      <c r="AC273" s="77"/>
      <c r="AD273" s="77"/>
      <c r="AE273" s="62"/>
      <c r="AF273" s="63" t="b">
        <v>0</v>
      </c>
      <c r="AG273" s="63" t="b">
        <v>0</v>
      </c>
      <c r="AH273" s="62"/>
      <c r="AI273" s="64">
        <f t="shared" si="786"/>
        <v>40637</v>
      </c>
      <c r="AJ273" s="65" t="str">
        <f t="shared" si="340"/>
        <v>LAB</v>
      </c>
      <c r="AK273" s="66" t="str">
        <f t="shared" si="787"/>
        <v>HOLD</v>
      </c>
      <c r="AL273" s="67" t="e">
        <f t="shared" ca="1" si="788"/>
        <v>#NAME?</v>
      </c>
      <c r="AM273" s="68">
        <f t="shared" si="637"/>
        <v>18073</v>
      </c>
      <c r="AN273" s="69">
        <f t="shared" si="638"/>
        <v>0.44474247606860751</v>
      </c>
      <c r="AO273" s="62"/>
      <c r="AP273" s="70">
        <f t="shared" ref="AP273:AT273" si="831">H273/$AI273</f>
        <v>0.58188350518000842</v>
      </c>
      <c r="AQ273" s="70">
        <f t="shared" si="831"/>
        <v>0.10830031744469326</v>
      </c>
      <c r="AR273" s="70">
        <f t="shared" si="831"/>
        <v>8.5365553559563948E-2</v>
      </c>
      <c r="AS273" s="70">
        <f t="shared" si="831"/>
        <v>6.0806654034500578E-2</v>
      </c>
      <c r="AT273" s="70">
        <f t="shared" si="831"/>
        <v>0.13714102911140094</v>
      </c>
      <c r="AU273" s="70"/>
      <c r="AV273" s="70"/>
      <c r="AW273" s="81">
        <f t="shared" si="790"/>
        <v>2.6502940669832831E-2</v>
      </c>
      <c r="AX273" s="70">
        <f t="shared" ref="AX273:BG273" si="832">O273/$AI273</f>
        <v>0</v>
      </c>
      <c r="AY273" s="70">
        <f t="shared" si="832"/>
        <v>1.4198882791544652E-2</v>
      </c>
      <c r="AZ273" s="70">
        <f t="shared" si="832"/>
        <v>0</v>
      </c>
      <c r="BA273" s="70">
        <f t="shared" si="832"/>
        <v>0</v>
      </c>
      <c r="BB273" s="70">
        <f t="shared" si="832"/>
        <v>0</v>
      </c>
      <c r="BC273" s="70">
        <f t="shared" si="832"/>
        <v>0</v>
      </c>
      <c r="BD273" s="70">
        <f t="shared" si="832"/>
        <v>0</v>
      </c>
      <c r="BE273" s="70">
        <f t="shared" si="832"/>
        <v>0</v>
      </c>
      <c r="BF273" s="70">
        <f t="shared" si="832"/>
        <v>0</v>
      </c>
      <c r="BG273" s="70">
        <f t="shared" si="832"/>
        <v>0</v>
      </c>
      <c r="BH273" s="70">
        <f t="shared" si="792"/>
        <v>1.2304057878288178E-2</v>
      </c>
      <c r="BI273" s="62"/>
      <c r="BJ273" s="69">
        <v>0.627</v>
      </c>
      <c r="BK273" s="69">
        <v>0.2</v>
      </c>
      <c r="BL273" s="69">
        <v>2.5999999999999999E-2</v>
      </c>
      <c r="BM273" s="69">
        <v>0.10100000000000001</v>
      </c>
      <c r="BN273" s="69">
        <v>3.5000000000000003E-2</v>
      </c>
      <c r="BO273" s="69">
        <v>0</v>
      </c>
      <c r="BP273" s="69">
        <v>0</v>
      </c>
      <c r="BQ273" s="69">
        <v>1.0999999999999999E-2</v>
      </c>
      <c r="BR273" s="62"/>
      <c r="BS273" s="72">
        <f t="shared" ref="BS273:BW273" si="833">AP273-BJ273</f>
        <v>-4.5116494819991582E-2</v>
      </c>
      <c r="BT273" s="72">
        <f t="shared" si="833"/>
        <v>-9.169968255530675E-2</v>
      </c>
      <c r="BU273" s="72">
        <f t="shared" si="833"/>
        <v>5.9365553559563952E-2</v>
      </c>
      <c r="BV273" s="72">
        <f t="shared" si="833"/>
        <v>-4.0193345965499429E-2</v>
      </c>
      <c r="BW273" s="72">
        <f t="shared" si="833"/>
        <v>0.10214102911140094</v>
      </c>
      <c r="BX273" s="72"/>
      <c r="BY273" s="72"/>
      <c r="BZ273" s="72">
        <f t="shared" si="794"/>
        <v>1.5502940669832831E-2</v>
      </c>
    </row>
    <row r="274" spans="1:78" ht="13.15">
      <c r="A274" s="78" t="s">
        <v>5</v>
      </c>
      <c r="B274" s="74" t="s">
        <v>591</v>
      </c>
      <c r="C274" s="75" t="s">
        <v>592</v>
      </c>
      <c r="D274" s="75" t="s">
        <v>68</v>
      </c>
      <c r="E274" s="76"/>
      <c r="F274" s="59"/>
      <c r="G274" s="60"/>
      <c r="H274" s="77">
        <v>25467</v>
      </c>
      <c r="I274" s="77">
        <v>2701</v>
      </c>
      <c r="J274" s="77">
        <v>2000</v>
      </c>
      <c r="K274" s="77">
        <v>3284</v>
      </c>
      <c r="L274" s="77">
        <v>9685</v>
      </c>
      <c r="M274" s="77"/>
      <c r="N274" s="77"/>
      <c r="O274" s="77">
        <v>243</v>
      </c>
      <c r="P274" s="77">
        <v>457</v>
      </c>
      <c r="Q274" s="77"/>
      <c r="R274" s="77"/>
      <c r="S274" s="77"/>
      <c r="T274" s="77"/>
      <c r="U274" s="77"/>
      <c r="V274" s="77"/>
      <c r="W274" s="77"/>
      <c r="X274" s="77"/>
      <c r="Y274" s="77">
        <v>211</v>
      </c>
      <c r="Z274" s="77">
        <v>119</v>
      </c>
      <c r="AA274" s="77"/>
      <c r="AB274" s="77"/>
      <c r="AC274" s="77"/>
      <c r="AD274" s="77"/>
      <c r="AE274" s="62"/>
      <c r="AF274" s="63" t="b">
        <v>0</v>
      </c>
      <c r="AG274" s="63" t="b">
        <v>0</v>
      </c>
      <c r="AH274" s="62"/>
      <c r="AI274" s="64">
        <f t="shared" si="786"/>
        <v>44167</v>
      </c>
      <c r="AJ274" s="65" t="str">
        <f t="shared" si="340"/>
        <v>LAB</v>
      </c>
      <c r="AK274" s="66" t="str">
        <f t="shared" si="787"/>
        <v>HOLD</v>
      </c>
      <c r="AL274" s="67" t="e">
        <f t="shared" ca="1" si="788"/>
        <v>#NAME?</v>
      </c>
      <c r="AM274" s="68">
        <f t="shared" si="637"/>
        <v>15782</v>
      </c>
      <c r="AN274" s="69">
        <f t="shared" si="638"/>
        <v>0.35732560508977296</v>
      </c>
      <c r="AO274" s="62"/>
      <c r="AP274" s="70">
        <f t="shared" ref="AP274:AT274" si="834">H274/$AI274</f>
        <v>0.57660696900400754</v>
      </c>
      <c r="AQ274" s="70">
        <f t="shared" si="834"/>
        <v>6.1154255439581591E-2</v>
      </c>
      <c r="AR274" s="70">
        <f t="shared" si="834"/>
        <v>4.5282677111870853E-2</v>
      </c>
      <c r="AS274" s="70">
        <f t="shared" si="834"/>
        <v>7.4354155817691947E-2</v>
      </c>
      <c r="AT274" s="70">
        <f t="shared" si="834"/>
        <v>0.21928136391423461</v>
      </c>
      <c r="AU274" s="70"/>
      <c r="AV274" s="70"/>
      <c r="AW274" s="81">
        <f t="shared" si="790"/>
        <v>2.3320578712613393E-2</v>
      </c>
      <c r="AX274" s="70">
        <f t="shared" ref="AX274:BG274" si="835">O274/$AI274</f>
        <v>5.5018452690923083E-3</v>
      </c>
      <c r="AY274" s="70">
        <f t="shared" si="835"/>
        <v>1.034709172006249E-2</v>
      </c>
      <c r="AZ274" s="70">
        <f t="shared" si="835"/>
        <v>0</v>
      </c>
      <c r="BA274" s="70">
        <f t="shared" si="835"/>
        <v>0</v>
      </c>
      <c r="BB274" s="70">
        <f t="shared" si="835"/>
        <v>0</v>
      </c>
      <c r="BC274" s="70">
        <f t="shared" si="835"/>
        <v>0</v>
      </c>
      <c r="BD274" s="70">
        <f t="shared" si="835"/>
        <v>0</v>
      </c>
      <c r="BE274" s="70">
        <f t="shared" si="835"/>
        <v>0</v>
      </c>
      <c r="BF274" s="70">
        <f t="shared" si="835"/>
        <v>0</v>
      </c>
      <c r="BG274" s="70">
        <f t="shared" si="835"/>
        <v>0</v>
      </c>
      <c r="BH274" s="70">
        <f t="shared" si="792"/>
        <v>7.4716417234585962E-3</v>
      </c>
      <c r="BI274" s="62"/>
      <c r="BJ274" s="69">
        <v>0.69399999999999995</v>
      </c>
      <c r="BK274" s="69">
        <v>0.122</v>
      </c>
      <c r="BL274" s="69">
        <v>1.6E-2</v>
      </c>
      <c r="BM274" s="69">
        <v>0.111</v>
      </c>
      <c r="BN274" s="69">
        <v>5.2999999999999999E-2</v>
      </c>
      <c r="BO274" s="69">
        <v>0</v>
      </c>
      <c r="BP274" s="69">
        <v>0</v>
      </c>
      <c r="BQ274" s="69">
        <v>4.0000000000000001E-3</v>
      </c>
      <c r="BR274" s="62"/>
      <c r="BS274" s="72">
        <f t="shared" ref="BS274:BW274" si="836">AP274-BJ274</f>
        <v>-0.11739303099599241</v>
      </c>
      <c r="BT274" s="72">
        <f t="shared" si="836"/>
        <v>-6.0845744560418406E-2</v>
      </c>
      <c r="BU274" s="72">
        <f t="shared" si="836"/>
        <v>2.9282677111870853E-2</v>
      </c>
      <c r="BV274" s="72">
        <f t="shared" si="836"/>
        <v>-3.6645844182308054E-2</v>
      </c>
      <c r="BW274" s="72">
        <f t="shared" si="836"/>
        <v>0.16628136391423462</v>
      </c>
      <c r="BX274" s="72"/>
      <c r="BY274" s="72"/>
      <c r="BZ274" s="72">
        <f t="shared" si="794"/>
        <v>1.9320578712613393E-2</v>
      </c>
    </row>
    <row r="275" spans="1:78" ht="13.15">
      <c r="A275" s="78" t="s">
        <v>5</v>
      </c>
      <c r="B275" s="74" t="s">
        <v>593</v>
      </c>
      <c r="C275" s="75" t="s">
        <v>594</v>
      </c>
      <c r="D275" s="75" t="s">
        <v>68</v>
      </c>
      <c r="E275" s="76"/>
      <c r="F275" s="59"/>
      <c r="G275" s="60"/>
      <c r="H275" s="77">
        <v>27406</v>
      </c>
      <c r="I275" s="77">
        <v>3477</v>
      </c>
      <c r="J275" s="77">
        <v>2234</v>
      </c>
      <c r="K275" s="77">
        <v>3558</v>
      </c>
      <c r="L275" s="77">
        <v>9009</v>
      </c>
      <c r="M275" s="77"/>
      <c r="N275" s="77"/>
      <c r="O275" s="77"/>
      <c r="P275" s="77">
        <v>427</v>
      </c>
      <c r="Q275" s="77"/>
      <c r="R275" s="77"/>
      <c r="S275" s="77"/>
      <c r="T275" s="77"/>
      <c r="U275" s="77"/>
      <c r="V275" s="77"/>
      <c r="W275" s="77"/>
      <c r="X275" s="77"/>
      <c r="Y275" s="77">
        <v>303</v>
      </c>
      <c r="Z275" s="77"/>
      <c r="AA275" s="77"/>
      <c r="AB275" s="77"/>
      <c r="AC275" s="77"/>
      <c r="AD275" s="77"/>
      <c r="AE275" s="62"/>
      <c r="AF275" s="63" t="b">
        <v>0</v>
      </c>
      <c r="AG275" s="63" t="b">
        <v>0</v>
      </c>
      <c r="AH275" s="62"/>
      <c r="AI275" s="64">
        <f t="shared" si="786"/>
        <v>46414</v>
      </c>
      <c r="AJ275" s="65" t="str">
        <f t="shared" si="340"/>
        <v>LAB</v>
      </c>
      <c r="AK275" s="66" t="str">
        <f t="shared" si="787"/>
        <v>HOLD</v>
      </c>
      <c r="AL275" s="67" t="e">
        <f t="shared" ca="1" si="788"/>
        <v>#NAME?</v>
      </c>
      <c r="AM275" s="68">
        <f t="shared" si="637"/>
        <v>18397</v>
      </c>
      <c r="AN275" s="69">
        <f t="shared" si="638"/>
        <v>0.39636747533071925</v>
      </c>
      <c r="AO275" s="62"/>
      <c r="AP275" s="70">
        <f t="shared" ref="AP275:AT275" si="837">H275/$AI275</f>
        <v>0.59046839315723709</v>
      </c>
      <c r="AQ275" s="70">
        <f t="shared" si="837"/>
        <v>7.4912741845132941E-2</v>
      </c>
      <c r="AR275" s="70">
        <f t="shared" si="837"/>
        <v>4.8132029129142072E-2</v>
      </c>
      <c r="AS275" s="70">
        <f t="shared" si="837"/>
        <v>7.665790494247425E-2</v>
      </c>
      <c r="AT275" s="70">
        <f t="shared" si="837"/>
        <v>0.19410091782651787</v>
      </c>
      <c r="AU275" s="70"/>
      <c r="AV275" s="70"/>
      <c r="AW275" s="81">
        <f t="shared" si="790"/>
        <v>1.5728013099495786E-2</v>
      </c>
      <c r="AX275" s="70">
        <f t="shared" ref="AX275:BG275" si="838">O275/$AI275</f>
        <v>0</v>
      </c>
      <c r="AY275" s="70">
        <f t="shared" si="838"/>
        <v>9.199810402033869E-3</v>
      </c>
      <c r="AZ275" s="70">
        <f t="shared" si="838"/>
        <v>0</v>
      </c>
      <c r="BA275" s="70">
        <f t="shared" si="838"/>
        <v>0</v>
      </c>
      <c r="BB275" s="70">
        <f t="shared" si="838"/>
        <v>0</v>
      </c>
      <c r="BC275" s="70">
        <f t="shared" si="838"/>
        <v>0</v>
      </c>
      <c r="BD275" s="70">
        <f t="shared" si="838"/>
        <v>0</v>
      </c>
      <c r="BE275" s="70">
        <f t="shared" si="838"/>
        <v>0</v>
      </c>
      <c r="BF275" s="70">
        <f t="shared" si="838"/>
        <v>0</v>
      </c>
      <c r="BG275" s="70">
        <f t="shared" si="838"/>
        <v>0</v>
      </c>
      <c r="BH275" s="70">
        <f t="shared" si="792"/>
        <v>6.5282026974619167E-3</v>
      </c>
      <c r="BI275" s="62"/>
      <c r="BJ275" s="69">
        <v>0.66100000000000003</v>
      </c>
      <c r="BK275" s="69">
        <v>0.14499999999999999</v>
      </c>
      <c r="BL275" s="69">
        <v>1.7999999999999999E-2</v>
      </c>
      <c r="BM275" s="69">
        <v>9.9000000000000005E-2</v>
      </c>
      <c r="BN275" s="69">
        <v>7.2999999999999995E-2</v>
      </c>
      <c r="BO275" s="69">
        <v>0</v>
      </c>
      <c r="BP275" s="69">
        <v>0</v>
      </c>
      <c r="BQ275" s="69">
        <v>5.0000000000000001E-3</v>
      </c>
      <c r="BR275" s="62"/>
      <c r="BS275" s="72">
        <f t="shared" ref="BS275:BW275" si="839">AP275-BJ275</f>
        <v>-7.0531606842762939E-2</v>
      </c>
      <c r="BT275" s="72">
        <f t="shared" si="839"/>
        <v>-7.0087258154867049E-2</v>
      </c>
      <c r="BU275" s="72">
        <f t="shared" si="839"/>
        <v>3.0132029129142073E-2</v>
      </c>
      <c r="BV275" s="72">
        <f t="shared" si="839"/>
        <v>-2.2342095057525754E-2</v>
      </c>
      <c r="BW275" s="72">
        <f t="shared" si="839"/>
        <v>0.12110091782651787</v>
      </c>
      <c r="BX275" s="72"/>
      <c r="BY275" s="72"/>
      <c r="BZ275" s="72">
        <f t="shared" si="794"/>
        <v>1.0728013099495785E-2</v>
      </c>
    </row>
    <row r="276" spans="1:78" ht="13.15">
      <c r="A276" s="78" t="s">
        <v>5</v>
      </c>
      <c r="B276" s="74" t="s">
        <v>595</v>
      </c>
      <c r="C276" s="75" t="s">
        <v>596</v>
      </c>
      <c r="D276" s="75" t="s">
        <v>68</v>
      </c>
      <c r="E276" s="76">
        <v>71330</v>
      </c>
      <c r="F276" s="59">
        <v>0.61299999999999999</v>
      </c>
      <c r="G276" s="60"/>
      <c r="H276" s="77">
        <v>20755</v>
      </c>
      <c r="I276" s="77">
        <v>4846</v>
      </c>
      <c r="J276" s="77">
        <v>2475</v>
      </c>
      <c r="K276" s="77">
        <v>2815</v>
      </c>
      <c r="L276" s="77">
        <v>6791</v>
      </c>
      <c r="M276" s="77"/>
      <c r="N276" s="77"/>
      <c r="O276" s="77">
        <v>4173</v>
      </c>
      <c r="P276" s="77">
        <v>1633</v>
      </c>
      <c r="Q276" s="77"/>
      <c r="R276" s="77"/>
      <c r="S276" s="77"/>
      <c r="T276" s="77"/>
      <c r="U276" s="77"/>
      <c r="V276" s="77"/>
      <c r="W276" s="77"/>
      <c r="X276" s="77"/>
      <c r="Y276" s="77">
        <v>244</v>
      </c>
      <c r="Z276" s="77"/>
      <c r="AA276" s="77"/>
      <c r="AB276" s="77"/>
      <c r="AC276" s="77"/>
      <c r="AD276" s="77"/>
      <c r="AE276" s="62"/>
      <c r="AF276" s="63" t="b">
        <v>0</v>
      </c>
      <c r="AG276" s="63" t="b">
        <v>0</v>
      </c>
      <c r="AH276" s="62"/>
      <c r="AI276" s="64">
        <f t="shared" si="786"/>
        <v>43732</v>
      </c>
      <c r="AJ276" s="65" t="str">
        <f t="shared" si="340"/>
        <v>LAB</v>
      </c>
      <c r="AK276" s="66" t="str">
        <f t="shared" si="787"/>
        <v>HOLD</v>
      </c>
      <c r="AL276" s="67" t="e">
        <f t="shared" ca="1" si="788"/>
        <v>#NAME?</v>
      </c>
      <c r="AM276" s="68">
        <f t="shared" si="637"/>
        <v>13964</v>
      </c>
      <c r="AN276" s="69">
        <f t="shared" si="638"/>
        <v>0.31930851550352146</v>
      </c>
      <c r="AO276" s="62"/>
      <c r="AP276" s="70">
        <f t="shared" ref="AP276:AT276" si="840">H276/$AI276</f>
        <v>0.47459526205067226</v>
      </c>
      <c r="AQ276" s="70">
        <f t="shared" si="840"/>
        <v>0.1108113052227202</v>
      </c>
      <c r="AR276" s="70">
        <f t="shared" si="840"/>
        <v>5.6594713253452847E-2</v>
      </c>
      <c r="AS276" s="70">
        <f t="shared" si="840"/>
        <v>6.4369340528674657E-2</v>
      </c>
      <c r="AT276" s="70">
        <f t="shared" si="840"/>
        <v>0.15528674654715083</v>
      </c>
      <c r="AU276" s="70"/>
      <c r="AV276" s="70"/>
      <c r="AW276" s="81">
        <f t="shared" si="790"/>
        <v>0.13834263239732913</v>
      </c>
      <c r="AX276" s="70">
        <f t="shared" ref="AX276:BG276" si="841">O276/$AI276</f>
        <v>9.5422116527942927E-2</v>
      </c>
      <c r="AY276" s="70">
        <f t="shared" si="841"/>
        <v>3.7341077471874144E-2</v>
      </c>
      <c r="AZ276" s="70">
        <f t="shared" si="841"/>
        <v>0</v>
      </c>
      <c r="BA276" s="70">
        <f t="shared" si="841"/>
        <v>0</v>
      </c>
      <c r="BB276" s="70">
        <f t="shared" si="841"/>
        <v>0</v>
      </c>
      <c r="BC276" s="70">
        <f t="shared" si="841"/>
        <v>0</v>
      </c>
      <c r="BD276" s="70">
        <f t="shared" si="841"/>
        <v>0</v>
      </c>
      <c r="BE276" s="70">
        <f t="shared" si="841"/>
        <v>0</v>
      </c>
      <c r="BF276" s="70">
        <f t="shared" si="841"/>
        <v>0</v>
      </c>
      <c r="BG276" s="70">
        <f t="shared" si="841"/>
        <v>0</v>
      </c>
      <c r="BH276" s="70">
        <f t="shared" si="792"/>
        <v>5.5794383975120709E-3</v>
      </c>
      <c r="BI276" s="62"/>
      <c r="BJ276" s="69">
        <v>0.63100000000000001</v>
      </c>
      <c r="BK276" s="69">
        <v>0.19900000000000001</v>
      </c>
      <c r="BL276" s="69">
        <v>1.7000000000000001E-2</v>
      </c>
      <c r="BM276" s="69">
        <v>0.107</v>
      </c>
      <c r="BN276" s="69">
        <v>3.7999999999999999E-2</v>
      </c>
      <c r="BO276" s="69">
        <v>0</v>
      </c>
      <c r="BP276" s="69">
        <v>0</v>
      </c>
      <c r="BQ276" s="69">
        <v>8.9999999999999993E-3</v>
      </c>
      <c r="BR276" s="62"/>
      <c r="BS276" s="72">
        <f t="shared" ref="BS276:BW276" si="842">AP276-BJ276</f>
        <v>-0.15640473794932774</v>
      </c>
      <c r="BT276" s="72">
        <f t="shared" si="842"/>
        <v>-8.8188694777279808E-2</v>
      </c>
      <c r="BU276" s="72">
        <f t="shared" si="842"/>
        <v>3.9594713253452846E-2</v>
      </c>
      <c r="BV276" s="72">
        <f t="shared" si="842"/>
        <v>-4.2630659471325341E-2</v>
      </c>
      <c r="BW276" s="72">
        <f t="shared" si="842"/>
        <v>0.11728674654715082</v>
      </c>
      <c r="BX276" s="72"/>
      <c r="BY276" s="72"/>
      <c r="BZ276" s="72">
        <f t="shared" si="794"/>
        <v>0.12934263239732913</v>
      </c>
    </row>
    <row r="277" spans="1:78" ht="13.15">
      <c r="A277" s="73" t="s">
        <v>6</v>
      </c>
      <c r="B277" s="74" t="s">
        <v>597</v>
      </c>
      <c r="C277" s="75" t="s">
        <v>598</v>
      </c>
      <c r="D277" s="75" t="s">
        <v>47</v>
      </c>
      <c r="E277" s="76"/>
      <c r="F277" s="59"/>
      <c r="G277" s="60"/>
      <c r="H277" s="77">
        <v>17232</v>
      </c>
      <c r="I277" s="77">
        <v>16422</v>
      </c>
      <c r="J277" s="77">
        <v>9734</v>
      </c>
      <c r="K277" s="77">
        <v>3572</v>
      </c>
      <c r="L277" s="77">
        <v>1724</v>
      </c>
      <c r="M277" s="77"/>
      <c r="N277" s="77"/>
      <c r="O277" s="77">
        <v>322</v>
      </c>
      <c r="P277" s="77"/>
      <c r="Q277" s="77"/>
      <c r="R277" s="77"/>
      <c r="S277" s="77"/>
      <c r="T277" s="77"/>
      <c r="U277" s="77"/>
      <c r="V277" s="77"/>
      <c r="W277" s="77"/>
      <c r="X277" s="77"/>
      <c r="Y277" s="77">
        <v>98</v>
      </c>
      <c r="Z277" s="77"/>
      <c r="AA277" s="77"/>
      <c r="AB277" s="77"/>
      <c r="AC277" s="77"/>
      <c r="AD277" s="77"/>
      <c r="AE277" s="62"/>
      <c r="AF277" s="63" t="b">
        <v>0</v>
      </c>
      <c r="AG277" s="63" t="b">
        <v>0</v>
      </c>
      <c r="AH277" s="62"/>
      <c r="AI277" s="64">
        <f t="shared" si="786"/>
        <v>49104</v>
      </c>
      <c r="AJ277" s="65" t="str">
        <f t="shared" si="340"/>
        <v>LAB</v>
      </c>
      <c r="AK277" s="66" t="str">
        <f t="shared" si="787"/>
        <v>GAIN</v>
      </c>
      <c r="AL277" s="67" t="e">
        <f t="shared" ca="1" si="788"/>
        <v>#NAME?</v>
      </c>
      <c r="AM277" s="68">
        <f t="shared" si="637"/>
        <v>810</v>
      </c>
      <c r="AN277" s="69">
        <f t="shared" si="638"/>
        <v>1.6495601173020569E-2</v>
      </c>
      <c r="AO277" s="62"/>
      <c r="AP277" s="70">
        <f t="shared" ref="AP277:AT277" si="843">H277/$AI277</f>
        <v>0.35092864125122192</v>
      </c>
      <c r="AQ277" s="70">
        <f t="shared" si="843"/>
        <v>0.33443304007820135</v>
      </c>
      <c r="AR277" s="70">
        <f t="shared" si="843"/>
        <v>0.19823232323232323</v>
      </c>
      <c r="AS277" s="70">
        <f t="shared" si="843"/>
        <v>7.274356467904855E-2</v>
      </c>
      <c r="AT277" s="70">
        <f t="shared" si="843"/>
        <v>3.5109156076898011E-2</v>
      </c>
      <c r="AU277" s="70"/>
      <c r="AV277" s="70"/>
      <c r="AW277" s="81">
        <f t="shared" si="790"/>
        <v>8.5532746823070438E-3</v>
      </c>
      <c r="AX277" s="70">
        <f t="shared" ref="AX277:BG277" si="844">O277/$AI277</f>
        <v>6.557510589768654E-3</v>
      </c>
      <c r="AY277" s="70">
        <f t="shared" si="844"/>
        <v>0</v>
      </c>
      <c r="AZ277" s="70">
        <f t="shared" si="844"/>
        <v>0</v>
      </c>
      <c r="BA277" s="70">
        <f t="shared" si="844"/>
        <v>0</v>
      </c>
      <c r="BB277" s="70">
        <f t="shared" si="844"/>
        <v>0</v>
      </c>
      <c r="BC277" s="70">
        <f t="shared" si="844"/>
        <v>0</v>
      </c>
      <c r="BD277" s="70">
        <f t="shared" si="844"/>
        <v>0</v>
      </c>
      <c r="BE277" s="70">
        <f t="shared" si="844"/>
        <v>0</v>
      </c>
      <c r="BF277" s="70">
        <f t="shared" si="844"/>
        <v>0</v>
      </c>
      <c r="BG277" s="70">
        <f t="shared" si="844"/>
        <v>0</v>
      </c>
      <c r="BH277" s="70">
        <f t="shared" si="792"/>
        <v>1.9957640925383898E-3</v>
      </c>
      <c r="BI277" s="62"/>
      <c r="BJ277" s="69">
        <v>0.21</v>
      </c>
      <c r="BK277" s="69">
        <v>0.64100000000000001</v>
      </c>
      <c r="BL277" s="69">
        <v>0</v>
      </c>
      <c r="BM277" s="69">
        <v>0.105</v>
      </c>
      <c r="BN277" s="69">
        <v>3.2000000000000001E-2</v>
      </c>
      <c r="BO277" s="69">
        <v>0</v>
      </c>
      <c r="BP277" s="69">
        <v>0</v>
      </c>
      <c r="BQ277" s="69">
        <v>1.0999999999999999E-2</v>
      </c>
      <c r="BR277" s="62"/>
      <c r="BS277" s="72">
        <f t="shared" ref="BS277:BW277" si="845">AP277-BJ277</f>
        <v>0.14092864125122193</v>
      </c>
      <c r="BT277" s="72">
        <f t="shared" si="845"/>
        <v>-0.30656695992179867</v>
      </c>
      <c r="BU277" s="72">
        <f t="shared" si="845"/>
        <v>0.19823232323232323</v>
      </c>
      <c r="BV277" s="72">
        <f t="shared" si="845"/>
        <v>-3.2256435320951446E-2</v>
      </c>
      <c r="BW277" s="72">
        <f t="shared" si="845"/>
        <v>3.1091560768980106E-3</v>
      </c>
      <c r="BX277" s="72"/>
      <c r="BY277" s="72"/>
      <c r="BZ277" s="72">
        <f t="shared" si="794"/>
        <v>-2.4467253176929556E-3</v>
      </c>
    </row>
    <row r="278" spans="1:78" ht="13.15">
      <c r="A278" s="73" t="s">
        <v>6</v>
      </c>
      <c r="B278" s="74" t="s">
        <v>599</v>
      </c>
      <c r="C278" s="75" t="s">
        <v>600</v>
      </c>
      <c r="D278" s="75" t="s">
        <v>53</v>
      </c>
      <c r="E278" s="76"/>
      <c r="F278" s="59"/>
      <c r="G278" s="60"/>
      <c r="H278" s="77">
        <v>18470</v>
      </c>
      <c r="I278" s="77">
        <v>9677</v>
      </c>
      <c r="J278" s="77">
        <v>7602</v>
      </c>
      <c r="K278" s="77">
        <v>2580</v>
      </c>
      <c r="L278" s="77">
        <v>2751</v>
      </c>
      <c r="M278" s="77"/>
      <c r="N278" s="77"/>
      <c r="O278" s="77"/>
      <c r="P278" s="77">
        <v>479</v>
      </c>
      <c r="Q278" s="77"/>
      <c r="R278" s="77"/>
      <c r="S278" s="77"/>
      <c r="T278" s="77"/>
      <c r="U278" s="77"/>
      <c r="V278" s="77"/>
      <c r="W278" s="77"/>
      <c r="X278" s="77"/>
      <c r="Y278" s="77">
        <v>278</v>
      </c>
      <c r="Z278" s="77">
        <v>243</v>
      </c>
      <c r="AA278" s="77">
        <v>80</v>
      </c>
      <c r="AB278" s="77"/>
      <c r="AC278" s="77"/>
      <c r="AD278" s="77"/>
      <c r="AE278" s="62"/>
      <c r="AF278" s="63" t="b">
        <v>0</v>
      </c>
      <c r="AG278" s="63" t="b">
        <v>0</v>
      </c>
      <c r="AH278" s="62"/>
      <c r="AI278" s="64">
        <f t="shared" si="786"/>
        <v>42160</v>
      </c>
      <c r="AJ278" s="65" t="str">
        <f t="shared" si="340"/>
        <v>LAB</v>
      </c>
      <c r="AK278" s="66" t="str">
        <f t="shared" si="787"/>
        <v>GAIN</v>
      </c>
      <c r="AL278" s="67" t="e">
        <f t="shared" ca="1" si="788"/>
        <v>#NAME?</v>
      </c>
      <c r="AM278" s="68">
        <f t="shared" si="637"/>
        <v>8793</v>
      </c>
      <c r="AN278" s="69">
        <f t="shared" si="638"/>
        <v>0.20856261859582545</v>
      </c>
      <c r="AO278" s="62"/>
      <c r="AP278" s="70">
        <f t="shared" ref="AP278:AT278" si="846">H278/$AI278</f>
        <v>0.43809297912713474</v>
      </c>
      <c r="AQ278" s="70">
        <f t="shared" si="846"/>
        <v>0.22953036053130929</v>
      </c>
      <c r="AR278" s="70">
        <f t="shared" si="846"/>
        <v>0.18031309297912712</v>
      </c>
      <c r="AS278" s="70">
        <f t="shared" si="846"/>
        <v>6.1195445920303605E-2</v>
      </c>
      <c r="AT278" s="70">
        <f t="shared" si="846"/>
        <v>6.5251423149905119E-2</v>
      </c>
      <c r="AU278" s="70"/>
      <c r="AV278" s="70"/>
      <c r="AW278" s="81">
        <f t="shared" si="790"/>
        <v>2.561669829222013E-2</v>
      </c>
      <c r="AX278" s="70">
        <f t="shared" ref="AX278:BG278" si="847">O278/$AI278</f>
        <v>0</v>
      </c>
      <c r="AY278" s="70">
        <f t="shared" si="847"/>
        <v>1.1361480075901329E-2</v>
      </c>
      <c r="AZ278" s="70">
        <f t="shared" si="847"/>
        <v>0</v>
      </c>
      <c r="BA278" s="70">
        <f t="shared" si="847"/>
        <v>0</v>
      </c>
      <c r="BB278" s="70">
        <f t="shared" si="847"/>
        <v>0</v>
      </c>
      <c r="BC278" s="70">
        <f t="shared" si="847"/>
        <v>0</v>
      </c>
      <c r="BD278" s="70">
        <f t="shared" si="847"/>
        <v>0</v>
      </c>
      <c r="BE278" s="70">
        <f t="shared" si="847"/>
        <v>0</v>
      </c>
      <c r="BF278" s="70">
        <f t="shared" si="847"/>
        <v>0</v>
      </c>
      <c r="BG278" s="70">
        <f t="shared" si="847"/>
        <v>0</v>
      </c>
      <c r="BH278" s="70">
        <f t="shared" si="792"/>
        <v>1.4255218216318801E-2</v>
      </c>
      <c r="BI278" s="62"/>
      <c r="BJ278" s="69">
        <v>0.41</v>
      </c>
      <c r="BK278" s="69">
        <v>0.47899999999999998</v>
      </c>
      <c r="BL278" s="69">
        <v>2.1000000000000001E-2</v>
      </c>
      <c r="BM278" s="69">
        <v>4.8000000000000001E-2</v>
      </c>
      <c r="BN278" s="69">
        <v>2.4E-2</v>
      </c>
      <c r="BO278" s="69">
        <v>0</v>
      </c>
      <c r="BP278" s="69">
        <v>0</v>
      </c>
      <c r="BQ278" s="69">
        <v>1.7999999999999999E-2</v>
      </c>
      <c r="BR278" s="62"/>
      <c r="BS278" s="72">
        <f t="shared" ref="BS278:BW278" si="848">AP278-BJ278</f>
        <v>2.8092979127134765E-2</v>
      </c>
      <c r="BT278" s="72">
        <f t="shared" si="848"/>
        <v>-0.24946963946869069</v>
      </c>
      <c r="BU278" s="72">
        <f t="shared" si="848"/>
        <v>0.15931309297912713</v>
      </c>
      <c r="BV278" s="72">
        <f t="shared" si="848"/>
        <v>1.3195445920303604E-2</v>
      </c>
      <c r="BW278" s="72">
        <f t="shared" si="848"/>
        <v>4.1251423149905118E-2</v>
      </c>
      <c r="BX278" s="72"/>
      <c r="BY278" s="72"/>
      <c r="BZ278" s="72">
        <f t="shared" si="794"/>
        <v>7.6166982922201316E-3</v>
      </c>
    </row>
    <row r="279" spans="1:78" ht="13.15">
      <c r="A279" s="78" t="s">
        <v>5</v>
      </c>
      <c r="B279" s="74" t="s">
        <v>601</v>
      </c>
      <c r="C279" s="75" t="s">
        <v>602</v>
      </c>
      <c r="D279" s="75" t="s">
        <v>50</v>
      </c>
      <c r="E279" s="76"/>
      <c r="F279" s="59"/>
      <c r="G279" s="60"/>
      <c r="H279" s="77">
        <v>24510</v>
      </c>
      <c r="I279" s="77">
        <v>2943</v>
      </c>
      <c r="J279" s="77">
        <v>4406</v>
      </c>
      <c r="K279" s="77">
        <v>3239</v>
      </c>
      <c r="L279" s="77">
        <v>2816</v>
      </c>
      <c r="M279" s="77"/>
      <c r="N279" s="77"/>
      <c r="O279" s="77">
        <v>272</v>
      </c>
      <c r="P279" s="77"/>
      <c r="Q279" s="77"/>
      <c r="R279" s="77">
        <v>3294</v>
      </c>
      <c r="S279" s="77"/>
      <c r="T279" s="77"/>
      <c r="U279" s="77"/>
      <c r="V279" s="77"/>
      <c r="W279" s="77"/>
      <c r="X279" s="77"/>
      <c r="Y279" s="77">
        <v>401</v>
      </c>
      <c r="Z279" s="77">
        <v>112</v>
      </c>
      <c r="AA279" s="77"/>
      <c r="AB279" s="77"/>
      <c r="AC279" s="77"/>
      <c r="AD279" s="77"/>
      <c r="AE279" s="62"/>
      <c r="AF279" s="63" t="b">
        <v>0</v>
      </c>
      <c r="AG279" s="63" t="b">
        <v>0</v>
      </c>
      <c r="AH279" s="62"/>
      <c r="AI279" s="64">
        <f t="shared" si="786"/>
        <v>41993</v>
      </c>
      <c r="AJ279" s="65" t="str">
        <f t="shared" si="340"/>
        <v>LAB</v>
      </c>
      <c r="AK279" s="66" t="str">
        <f t="shared" si="787"/>
        <v>HOLD</v>
      </c>
      <c r="AL279" s="67" t="e">
        <f t="shared" ca="1" si="788"/>
        <v>#NAME?</v>
      </c>
      <c r="AM279" s="68">
        <f t="shared" si="637"/>
        <v>20104</v>
      </c>
      <c r="AN279" s="69">
        <f t="shared" si="638"/>
        <v>0.47874645774295715</v>
      </c>
      <c r="AO279" s="62"/>
      <c r="AP279" s="70">
        <f t="shared" ref="AP279:AT279" si="849">H279/$AI279</f>
        <v>0.58366870668921012</v>
      </c>
      <c r="AQ279" s="70">
        <f t="shared" si="849"/>
        <v>7.0083109089610171E-2</v>
      </c>
      <c r="AR279" s="70">
        <f t="shared" si="849"/>
        <v>0.10492224894625295</v>
      </c>
      <c r="AS279" s="70">
        <f t="shared" si="849"/>
        <v>7.7131902936203658E-2</v>
      </c>
      <c r="AT279" s="70">
        <f t="shared" si="849"/>
        <v>6.7058795513537967E-2</v>
      </c>
      <c r="AU279" s="70"/>
      <c r="AV279" s="70"/>
      <c r="AW279" s="81">
        <f t="shared" si="790"/>
        <v>9.7135236825185212E-2</v>
      </c>
      <c r="AX279" s="70">
        <f t="shared" ref="AX279:BG279" si="850">O279/$AI279</f>
        <v>6.4772700211940086E-3</v>
      </c>
      <c r="AY279" s="70">
        <f t="shared" si="850"/>
        <v>0</v>
      </c>
      <c r="AZ279" s="70">
        <f t="shared" si="850"/>
        <v>0</v>
      </c>
      <c r="BA279" s="70">
        <f t="shared" si="850"/>
        <v>7.8441645036077437E-2</v>
      </c>
      <c r="BB279" s="70">
        <f t="shared" si="850"/>
        <v>0</v>
      </c>
      <c r="BC279" s="70">
        <f t="shared" si="850"/>
        <v>0</v>
      </c>
      <c r="BD279" s="70">
        <f t="shared" si="850"/>
        <v>0</v>
      </c>
      <c r="BE279" s="70">
        <f t="shared" si="850"/>
        <v>0</v>
      </c>
      <c r="BF279" s="70">
        <f t="shared" si="850"/>
        <v>0</v>
      </c>
      <c r="BG279" s="70">
        <f t="shared" si="850"/>
        <v>0</v>
      </c>
      <c r="BH279" s="70">
        <f t="shared" si="792"/>
        <v>1.2216321767913763E-2</v>
      </c>
      <c r="BI279" s="62"/>
      <c r="BJ279" s="69">
        <v>0.70199999999999996</v>
      </c>
      <c r="BK279" s="69">
        <v>0.11700000000000001</v>
      </c>
      <c r="BL279" s="69">
        <v>4.9000000000000002E-2</v>
      </c>
      <c r="BM279" s="69">
        <v>9.9000000000000005E-2</v>
      </c>
      <c r="BN279" s="69">
        <v>2.7E-2</v>
      </c>
      <c r="BO279" s="69">
        <v>0</v>
      </c>
      <c r="BP279" s="69">
        <v>0</v>
      </c>
      <c r="BQ279" s="69">
        <v>7.0000000000000001E-3</v>
      </c>
      <c r="BR279" s="62"/>
      <c r="BS279" s="72">
        <f t="shared" ref="BS279:BW279" si="851">AP279-BJ279</f>
        <v>-0.11833129331078984</v>
      </c>
      <c r="BT279" s="72">
        <f t="shared" si="851"/>
        <v>-4.6916890910389836E-2</v>
      </c>
      <c r="BU279" s="72">
        <f t="shared" si="851"/>
        <v>5.5922248946252945E-2</v>
      </c>
      <c r="BV279" s="72">
        <f t="shared" si="851"/>
        <v>-2.1868097063796346E-2</v>
      </c>
      <c r="BW279" s="72">
        <f t="shared" si="851"/>
        <v>4.005879551353797E-2</v>
      </c>
      <c r="BX279" s="72"/>
      <c r="BY279" s="72"/>
      <c r="BZ279" s="72">
        <f t="shared" si="794"/>
        <v>9.0135236825185205E-2</v>
      </c>
    </row>
    <row r="280" spans="1:78" ht="13.15">
      <c r="A280" s="78" t="s">
        <v>5</v>
      </c>
      <c r="B280" s="74" t="s">
        <v>603</v>
      </c>
      <c r="C280" s="75" t="s">
        <v>604</v>
      </c>
      <c r="D280" s="75" t="s">
        <v>50</v>
      </c>
      <c r="E280" s="76"/>
      <c r="F280" s="59"/>
      <c r="G280" s="60"/>
      <c r="H280" s="77">
        <v>20039</v>
      </c>
      <c r="I280" s="77">
        <v>3272</v>
      </c>
      <c r="J280" s="77">
        <v>1155</v>
      </c>
      <c r="K280" s="77">
        <v>1544</v>
      </c>
      <c r="L280" s="77">
        <v>5246</v>
      </c>
      <c r="M280" s="77"/>
      <c r="N280" s="77"/>
      <c r="O280" s="77"/>
      <c r="P280" s="77"/>
      <c r="Q280" s="77"/>
      <c r="R280" s="77"/>
      <c r="S280" s="77"/>
      <c r="T280" s="77"/>
      <c r="U280" s="77"/>
      <c r="V280" s="77"/>
      <c r="W280" s="77"/>
      <c r="X280" s="77"/>
      <c r="Y280" s="77">
        <v>622</v>
      </c>
      <c r="Z280" s="77">
        <v>256</v>
      </c>
      <c r="AA280" s="77">
        <v>247</v>
      </c>
      <c r="AB280" s="77"/>
      <c r="AC280" s="77"/>
      <c r="AD280" s="77"/>
      <c r="AE280" s="62"/>
      <c r="AF280" s="63" t="b">
        <v>0</v>
      </c>
      <c r="AG280" s="63" t="b">
        <v>0</v>
      </c>
      <c r="AH280" s="62"/>
      <c r="AI280" s="64">
        <f t="shared" si="786"/>
        <v>32381</v>
      </c>
      <c r="AJ280" s="65" t="str">
        <f t="shared" si="340"/>
        <v>LAB</v>
      </c>
      <c r="AK280" s="66" t="str">
        <f t="shared" si="787"/>
        <v>HOLD</v>
      </c>
      <c r="AL280" s="67" t="e">
        <f t="shared" ca="1" si="788"/>
        <v>#NAME?</v>
      </c>
      <c r="AM280" s="68">
        <f t="shared" si="637"/>
        <v>14793</v>
      </c>
      <c r="AN280" s="69">
        <f t="shared" si="638"/>
        <v>0.45684197523238934</v>
      </c>
      <c r="AO280" s="62"/>
      <c r="AP280" s="70">
        <f t="shared" ref="AP280:AT280" si="852">H280/$AI280</f>
        <v>0.61885056051388154</v>
      </c>
      <c r="AQ280" s="70">
        <f t="shared" si="852"/>
        <v>0.10104691022513203</v>
      </c>
      <c r="AR280" s="70">
        <f t="shared" si="852"/>
        <v>3.566906519255119E-2</v>
      </c>
      <c r="AS280" s="70">
        <f t="shared" si="852"/>
        <v>4.7682282820172325E-2</v>
      </c>
      <c r="AT280" s="70">
        <f t="shared" si="852"/>
        <v>0.16200858528149223</v>
      </c>
      <c r="AU280" s="70"/>
      <c r="AV280" s="70"/>
      <c r="AW280" s="81">
        <f t="shared" si="790"/>
        <v>3.4742595966770762E-2</v>
      </c>
      <c r="AX280" s="70">
        <f t="shared" ref="AX280:BG280" si="853">O280/$AI280</f>
        <v>0</v>
      </c>
      <c r="AY280" s="70">
        <f t="shared" si="853"/>
        <v>0</v>
      </c>
      <c r="AZ280" s="70">
        <f t="shared" si="853"/>
        <v>0</v>
      </c>
      <c r="BA280" s="70">
        <f t="shared" si="853"/>
        <v>0</v>
      </c>
      <c r="BB280" s="70">
        <f t="shared" si="853"/>
        <v>0</v>
      </c>
      <c r="BC280" s="70">
        <f t="shared" si="853"/>
        <v>0</v>
      </c>
      <c r="BD280" s="70">
        <f t="shared" si="853"/>
        <v>0</v>
      </c>
      <c r="BE280" s="70">
        <f t="shared" si="853"/>
        <v>0</v>
      </c>
      <c r="BF280" s="70">
        <f t="shared" si="853"/>
        <v>0</v>
      </c>
      <c r="BG280" s="70">
        <f t="shared" si="853"/>
        <v>0</v>
      </c>
      <c r="BH280" s="70">
        <f t="shared" si="792"/>
        <v>3.4742595966770762E-2</v>
      </c>
      <c r="BI280" s="62"/>
      <c r="BJ280" s="69">
        <v>0.85099999999999998</v>
      </c>
      <c r="BK280" s="69">
        <v>7.8E-2</v>
      </c>
      <c r="BL280" s="69">
        <v>2.5999999999999999E-2</v>
      </c>
      <c r="BM280" s="69">
        <v>2.1999999999999999E-2</v>
      </c>
      <c r="BN280" s="69">
        <v>2.4E-2</v>
      </c>
      <c r="BO280" s="69">
        <v>0</v>
      </c>
      <c r="BP280" s="69">
        <v>0</v>
      </c>
      <c r="BQ280" s="69">
        <v>0</v>
      </c>
      <c r="BR280" s="62"/>
      <c r="BS280" s="72">
        <f t="shared" ref="BS280:BW280" si="854">AP280-BJ280</f>
        <v>-0.23214943948611844</v>
      </c>
      <c r="BT280" s="72">
        <f t="shared" si="854"/>
        <v>2.3046910225132028E-2</v>
      </c>
      <c r="BU280" s="72">
        <f t="shared" si="854"/>
        <v>9.6690651925511913E-3</v>
      </c>
      <c r="BV280" s="72">
        <f t="shared" si="854"/>
        <v>2.5682282820172327E-2</v>
      </c>
      <c r="BW280" s="72">
        <f t="shared" si="854"/>
        <v>0.13800858528149224</v>
      </c>
      <c r="BX280" s="72"/>
      <c r="BY280" s="72"/>
      <c r="BZ280" s="72">
        <f t="shared" si="794"/>
        <v>3.4742595966770762E-2</v>
      </c>
    </row>
    <row r="281" spans="1:78" ht="13.15">
      <c r="A281" s="78" t="s">
        <v>5</v>
      </c>
      <c r="B281" s="74" t="s">
        <v>605</v>
      </c>
      <c r="C281" s="75" t="s">
        <v>606</v>
      </c>
      <c r="D281" s="75" t="s">
        <v>50</v>
      </c>
      <c r="E281" s="76"/>
      <c r="F281" s="59"/>
      <c r="G281" s="60"/>
      <c r="H281" s="77">
        <v>26032</v>
      </c>
      <c r="I281" s="77">
        <v>1282</v>
      </c>
      <c r="J281" s="77">
        <v>5787</v>
      </c>
      <c r="K281" s="77">
        <v>945</v>
      </c>
      <c r="L281" s="77">
        <v>2388</v>
      </c>
      <c r="M281" s="77"/>
      <c r="N281" s="77"/>
      <c r="O281" s="77"/>
      <c r="P281" s="77"/>
      <c r="Q281" s="77"/>
      <c r="R281" s="77"/>
      <c r="S281" s="77"/>
      <c r="T281" s="77"/>
      <c r="U281" s="77"/>
      <c r="V281" s="77"/>
      <c r="W281" s="77"/>
      <c r="X281" s="77"/>
      <c r="Y281" s="77">
        <v>452</v>
      </c>
      <c r="Z281" s="77"/>
      <c r="AA281" s="77"/>
      <c r="AB281" s="77"/>
      <c r="AC281" s="77"/>
      <c r="AD281" s="77"/>
      <c r="AE281" s="62"/>
      <c r="AF281" s="63" t="b">
        <v>0</v>
      </c>
      <c r="AG281" s="63" t="b">
        <v>0</v>
      </c>
      <c r="AH281" s="62"/>
      <c r="AI281" s="64">
        <f t="shared" si="786"/>
        <v>36886</v>
      </c>
      <c r="AJ281" s="65" t="str">
        <f t="shared" si="340"/>
        <v>LAB</v>
      </c>
      <c r="AK281" s="66" t="str">
        <f t="shared" si="787"/>
        <v>HOLD</v>
      </c>
      <c r="AL281" s="67" t="e">
        <f t="shared" ca="1" si="788"/>
        <v>#NAME?</v>
      </c>
      <c r="AM281" s="68">
        <f t="shared" si="637"/>
        <v>20245</v>
      </c>
      <c r="AN281" s="69">
        <f t="shared" si="638"/>
        <v>0.54885322344520948</v>
      </c>
      <c r="AO281" s="62"/>
      <c r="AP281" s="70">
        <f t="shared" ref="AP281:AT281" si="855">H281/$AI281</f>
        <v>0.70574201594100738</v>
      </c>
      <c r="AQ281" s="70">
        <f t="shared" si="855"/>
        <v>3.4755733882773955E-2</v>
      </c>
      <c r="AR281" s="70">
        <f t="shared" si="855"/>
        <v>0.15688879249579787</v>
      </c>
      <c r="AS281" s="70">
        <f t="shared" si="855"/>
        <v>2.5619476224041642E-2</v>
      </c>
      <c r="AT281" s="70">
        <f t="shared" si="855"/>
        <v>6.474000975980046E-2</v>
      </c>
      <c r="AU281" s="70"/>
      <c r="AV281" s="70"/>
      <c r="AW281" s="81">
        <f t="shared" si="790"/>
        <v>1.2253971696578714E-2</v>
      </c>
      <c r="AX281" s="70">
        <f t="shared" ref="AX281:BG281" si="856">O281/$AI281</f>
        <v>0</v>
      </c>
      <c r="AY281" s="70">
        <f t="shared" si="856"/>
        <v>0</v>
      </c>
      <c r="AZ281" s="70">
        <f t="shared" si="856"/>
        <v>0</v>
      </c>
      <c r="BA281" s="70">
        <f t="shared" si="856"/>
        <v>0</v>
      </c>
      <c r="BB281" s="70">
        <f t="shared" si="856"/>
        <v>0</v>
      </c>
      <c r="BC281" s="70">
        <f t="shared" si="856"/>
        <v>0</v>
      </c>
      <c r="BD281" s="70">
        <f t="shared" si="856"/>
        <v>0</v>
      </c>
      <c r="BE281" s="70">
        <f t="shared" si="856"/>
        <v>0</v>
      </c>
      <c r="BF281" s="70">
        <f t="shared" si="856"/>
        <v>0</v>
      </c>
      <c r="BG281" s="70">
        <f t="shared" si="856"/>
        <v>0</v>
      </c>
      <c r="BH281" s="70">
        <f t="shared" si="792"/>
        <v>1.2253971696578714E-2</v>
      </c>
      <c r="BI281" s="62"/>
      <c r="BJ281" s="69">
        <v>0.82399999999999995</v>
      </c>
      <c r="BK281" s="69">
        <v>9.9000000000000005E-2</v>
      </c>
      <c r="BL281" s="69">
        <v>2.1999999999999999E-2</v>
      </c>
      <c r="BM281" s="69">
        <v>2.3E-2</v>
      </c>
      <c r="BN281" s="69">
        <v>1.7999999999999999E-2</v>
      </c>
      <c r="BO281" s="69">
        <v>0</v>
      </c>
      <c r="BP281" s="69">
        <v>0</v>
      </c>
      <c r="BQ281" s="69">
        <v>1.4E-2</v>
      </c>
      <c r="BR281" s="62"/>
      <c r="BS281" s="72">
        <f t="shared" ref="BS281:BW281" si="857">AP281-BJ281</f>
        <v>-0.11825798405899257</v>
      </c>
      <c r="BT281" s="72">
        <f t="shared" si="857"/>
        <v>-6.4244266117226057E-2</v>
      </c>
      <c r="BU281" s="72">
        <f t="shared" si="857"/>
        <v>0.13488879249579788</v>
      </c>
      <c r="BV281" s="72">
        <f t="shared" si="857"/>
        <v>2.6194762240416419E-3</v>
      </c>
      <c r="BW281" s="72">
        <f t="shared" si="857"/>
        <v>4.6740009759800458E-2</v>
      </c>
      <c r="BX281" s="72"/>
      <c r="BY281" s="72"/>
      <c r="BZ281" s="72">
        <f t="shared" si="794"/>
        <v>-1.7460283034212865E-3</v>
      </c>
    </row>
    <row r="282" spans="1:78" ht="13.15">
      <c r="A282" s="78" t="s">
        <v>5</v>
      </c>
      <c r="B282" s="74" t="s">
        <v>607</v>
      </c>
      <c r="C282" s="75" t="s">
        <v>608</v>
      </c>
      <c r="D282" s="75" t="s">
        <v>50</v>
      </c>
      <c r="E282" s="76"/>
      <c r="F282" s="59"/>
      <c r="G282" s="60"/>
      <c r="H282" s="77">
        <v>23077</v>
      </c>
      <c r="I282" s="77">
        <v>1887</v>
      </c>
      <c r="J282" s="77">
        <v>3454</v>
      </c>
      <c r="K282" s="77">
        <v>2759</v>
      </c>
      <c r="L282" s="77">
        <v>6773</v>
      </c>
      <c r="M282" s="77"/>
      <c r="N282" s="77"/>
      <c r="O282" s="77">
        <v>1191</v>
      </c>
      <c r="P282" s="77"/>
      <c r="Q282" s="77"/>
      <c r="R282" s="77"/>
      <c r="S282" s="77"/>
      <c r="T282" s="77"/>
      <c r="U282" s="77"/>
      <c r="V282" s="77"/>
      <c r="W282" s="77"/>
      <c r="X282" s="77"/>
      <c r="Y282" s="77">
        <v>566</v>
      </c>
      <c r="Z282" s="77">
        <v>108</v>
      </c>
      <c r="AA282" s="77"/>
      <c r="AB282" s="77"/>
      <c r="AC282" s="77"/>
      <c r="AD282" s="77"/>
      <c r="AE282" s="62"/>
      <c r="AF282" s="63" t="b">
        <v>0</v>
      </c>
      <c r="AG282" s="63" t="b">
        <v>0</v>
      </c>
      <c r="AH282" s="62"/>
      <c r="AI282" s="64">
        <f t="shared" si="786"/>
        <v>39815</v>
      </c>
      <c r="AJ282" s="65" t="str">
        <f t="shared" si="340"/>
        <v>LAB</v>
      </c>
      <c r="AK282" s="66" t="str">
        <f t="shared" si="787"/>
        <v>HOLD</v>
      </c>
      <c r="AL282" s="67" t="e">
        <f t="shared" ca="1" si="788"/>
        <v>#NAME?</v>
      </c>
      <c r="AM282" s="68">
        <f t="shared" si="637"/>
        <v>16304</v>
      </c>
      <c r="AN282" s="69">
        <f t="shared" si="638"/>
        <v>0.40949390933065422</v>
      </c>
      <c r="AO282" s="62"/>
      <c r="AP282" s="70">
        <f t="shared" ref="AP282:AT282" si="858">H282/$AI282</f>
        <v>0.57960567625266857</v>
      </c>
      <c r="AQ282" s="70">
        <f t="shared" si="858"/>
        <v>4.7394198166520157E-2</v>
      </c>
      <c r="AR282" s="70">
        <f t="shared" si="858"/>
        <v>8.6751224412909708E-2</v>
      </c>
      <c r="AS282" s="70">
        <f t="shared" si="858"/>
        <v>6.9295491648876051E-2</v>
      </c>
      <c r="AT282" s="70">
        <f t="shared" si="858"/>
        <v>0.17011176692201432</v>
      </c>
      <c r="AU282" s="70"/>
      <c r="AV282" s="70"/>
      <c r="AW282" s="81">
        <f t="shared" si="790"/>
        <v>4.6841642597011179E-2</v>
      </c>
      <c r="AX282" s="70">
        <f t="shared" ref="AX282:BG282" si="859">O282/$AI282</f>
        <v>2.991334924023609E-2</v>
      </c>
      <c r="AY282" s="70">
        <f t="shared" si="859"/>
        <v>0</v>
      </c>
      <c r="AZ282" s="70">
        <f t="shared" si="859"/>
        <v>0</v>
      </c>
      <c r="BA282" s="70">
        <f t="shared" si="859"/>
        <v>0</v>
      </c>
      <c r="BB282" s="70">
        <f t="shared" si="859"/>
        <v>0</v>
      </c>
      <c r="BC282" s="70">
        <f t="shared" si="859"/>
        <v>0</v>
      </c>
      <c r="BD282" s="70">
        <f t="shared" si="859"/>
        <v>0</v>
      </c>
      <c r="BE282" s="70">
        <f t="shared" si="859"/>
        <v>0</v>
      </c>
      <c r="BF282" s="70">
        <f t="shared" si="859"/>
        <v>0</v>
      </c>
      <c r="BG282" s="70">
        <f t="shared" si="859"/>
        <v>0</v>
      </c>
      <c r="BH282" s="70">
        <f t="shared" si="792"/>
        <v>1.6928293356775089E-2</v>
      </c>
      <c r="BI282" s="62"/>
      <c r="BJ282" s="69">
        <v>0.71599999999999997</v>
      </c>
      <c r="BK282" s="69">
        <v>9.6000000000000002E-2</v>
      </c>
      <c r="BL282" s="69">
        <v>3.6999999999999998E-2</v>
      </c>
      <c r="BM282" s="69">
        <v>0.08</v>
      </c>
      <c r="BN282" s="69">
        <v>6.2E-2</v>
      </c>
      <c r="BO282" s="69">
        <v>0</v>
      </c>
      <c r="BP282" s="69">
        <v>0</v>
      </c>
      <c r="BQ282" s="69">
        <v>0.01</v>
      </c>
      <c r="BR282" s="62"/>
      <c r="BS282" s="72">
        <f t="shared" ref="BS282:BW282" si="860">AP282-BJ282</f>
        <v>-0.1363943237473314</v>
      </c>
      <c r="BT282" s="72">
        <f t="shared" si="860"/>
        <v>-4.8605801833479845E-2</v>
      </c>
      <c r="BU282" s="72">
        <f t="shared" si="860"/>
        <v>4.975122441290971E-2</v>
      </c>
      <c r="BV282" s="72">
        <f t="shared" si="860"/>
        <v>-1.0704508351123951E-2</v>
      </c>
      <c r="BW282" s="72">
        <f t="shared" si="860"/>
        <v>0.10811176692201432</v>
      </c>
      <c r="BX282" s="72"/>
      <c r="BY282" s="72"/>
      <c r="BZ282" s="72">
        <f t="shared" si="794"/>
        <v>3.6841642597011177E-2</v>
      </c>
    </row>
    <row r="283" spans="1:78" ht="13.15">
      <c r="A283" s="78" t="s">
        <v>5</v>
      </c>
      <c r="B283" s="74" t="s">
        <v>609</v>
      </c>
      <c r="C283" s="75" t="s">
        <v>610</v>
      </c>
      <c r="D283" s="75" t="s">
        <v>50</v>
      </c>
      <c r="E283" s="76"/>
      <c r="F283" s="59"/>
      <c r="G283" s="60"/>
      <c r="H283" s="77">
        <v>25302</v>
      </c>
      <c r="I283" s="77">
        <v>1566</v>
      </c>
      <c r="J283" s="77">
        <v>4879</v>
      </c>
      <c r="K283" s="77">
        <v>1276</v>
      </c>
      <c r="L283" s="77">
        <v>2647</v>
      </c>
      <c r="M283" s="77"/>
      <c r="N283" s="77"/>
      <c r="O283" s="77"/>
      <c r="P283" s="77"/>
      <c r="Q283" s="77"/>
      <c r="R283" s="77"/>
      <c r="S283" s="77"/>
      <c r="T283" s="77"/>
      <c r="U283" s="77"/>
      <c r="V283" s="77"/>
      <c r="W283" s="77"/>
      <c r="X283" s="77"/>
      <c r="Y283" s="77">
        <v>2336</v>
      </c>
      <c r="Z283" s="77"/>
      <c r="AA283" s="77"/>
      <c r="AB283" s="77"/>
      <c r="AC283" s="77"/>
      <c r="AD283" s="77"/>
      <c r="AE283" s="62"/>
      <c r="AF283" s="63" t="b">
        <v>0</v>
      </c>
      <c r="AG283" s="63" t="b">
        <v>0</v>
      </c>
      <c r="AH283" s="62"/>
      <c r="AI283" s="64">
        <f t="shared" si="786"/>
        <v>38006</v>
      </c>
      <c r="AJ283" s="65" t="str">
        <f t="shared" si="340"/>
        <v>LAB</v>
      </c>
      <c r="AK283" s="66" t="str">
        <f t="shared" si="787"/>
        <v>HOLD</v>
      </c>
      <c r="AL283" s="67" t="e">
        <f t="shared" ca="1" si="788"/>
        <v>#NAME?</v>
      </c>
      <c r="AM283" s="68">
        <f t="shared" si="637"/>
        <v>20423</v>
      </c>
      <c r="AN283" s="69">
        <f t="shared" si="638"/>
        <v>0.53736252170709886</v>
      </c>
      <c r="AO283" s="62"/>
      <c r="AP283" s="70">
        <f t="shared" ref="AP283:AT283" si="861">H283/$AI283</f>
        <v>0.66573698889649002</v>
      </c>
      <c r="AQ283" s="70">
        <f t="shared" si="861"/>
        <v>4.1204020417828766E-2</v>
      </c>
      <c r="AR283" s="70">
        <f t="shared" si="861"/>
        <v>0.12837446718939116</v>
      </c>
      <c r="AS283" s="70">
        <f t="shared" si="861"/>
        <v>3.3573646266378994E-2</v>
      </c>
      <c r="AT283" s="70">
        <f t="shared" si="861"/>
        <v>6.9646897858232915E-2</v>
      </c>
      <c r="AU283" s="70"/>
      <c r="AV283" s="70"/>
      <c r="AW283" s="81">
        <f t="shared" si="790"/>
        <v>6.1463979371678024E-2</v>
      </c>
      <c r="AX283" s="70">
        <f t="shared" ref="AX283:BG283" si="862">O283/$AI283</f>
        <v>0</v>
      </c>
      <c r="AY283" s="70">
        <f t="shared" si="862"/>
        <v>0</v>
      </c>
      <c r="AZ283" s="70">
        <f t="shared" si="862"/>
        <v>0</v>
      </c>
      <c r="BA283" s="70">
        <f t="shared" si="862"/>
        <v>0</v>
      </c>
      <c r="BB283" s="70">
        <f t="shared" si="862"/>
        <v>0</v>
      </c>
      <c r="BC283" s="70">
        <f t="shared" si="862"/>
        <v>0</v>
      </c>
      <c r="BD283" s="70">
        <f t="shared" si="862"/>
        <v>0</v>
      </c>
      <c r="BE283" s="70">
        <f t="shared" si="862"/>
        <v>0</v>
      </c>
      <c r="BF283" s="70">
        <f t="shared" si="862"/>
        <v>0</v>
      </c>
      <c r="BG283" s="70">
        <f t="shared" si="862"/>
        <v>0</v>
      </c>
      <c r="BH283" s="70">
        <f t="shared" si="792"/>
        <v>6.1463979371678024E-2</v>
      </c>
      <c r="BI283" s="62"/>
      <c r="BJ283" s="69">
        <v>0.77900000000000003</v>
      </c>
      <c r="BK283" s="69">
        <v>8.5999999999999993E-2</v>
      </c>
      <c r="BL283" s="69">
        <v>4.9000000000000002E-2</v>
      </c>
      <c r="BM283" s="69">
        <v>2.7E-2</v>
      </c>
      <c r="BN283" s="69">
        <v>0.02</v>
      </c>
      <c r="BO283" s="69">
        <v>0</v>
      </c>
      <c r="BP283" s="69">
        <v>0</v>
      </c>
      <c r="BQ283" s="69">
        <v>3.9E-2</v>
      </c>
      <c r="BR283" s="62"/>
      <c r="BS283" s="72">
        <f t="shared" ref="BS283:BW283" si="863">AP283-BJ283</f>
        <v>-0.11326301110351</v>
      </c>
      <c r="BT283" s="72">
        <f t="shared" si="863"/>
        <v>-4.4795979582171228E-2</v>
      </c>
      <c r="BU283" s="72">
        <f t="shared" si="863"/>
        <v>7.937446718939116E-2</v>
      </c>
      <c r="BV283" s="72">
        <f t="shared" si="863"/>
        <v>6.5736462663789942E-3</v>
      </c>
      <c r="BW283" s="72">
        <f t="shared" si="863"/>
        <v>4.9646897858232911E-2</v>
      </c>
      <c r="BX283" s="72"/>
      <c r="BY283" s="72"/>
      <c r="BZ283" s="72">
        <f t="shared" si="794"/>
        <v>2.2463979371678024E-2</v>
      </c>
    </row>
    <row r="284" spans="1:78" ht="13.15">
      <c r="A284" s="73" t="s">
        <v>6</v>
      </c>
      <c r="B284" s="74" t="s">
        <v>611</v>
      </c>
      <c r="C284" s="75" t="s">
        <v>612</v>
      </c>
      <c r="D284" s="75" t="s">
        <v>53</v>
      </c>
      <c r="E284" s="76"/>
      <c r="F284" s="59"/>
      <c r="G284" s="60"/>
      <c r="H284" s="77">
        <v>17249</v>
      </c>
      <c r="I284" s="77">
        <v>12289</v>
      </c>
      <c r="J284" s="77">
        <v>7204</v>
      </c>
      <c r="K284" s="77">
        <v>2561</v>
      </c>
      <c r="L284" s="77">
        <v>2956</v>
      </c>
      <c r="M284" s="77"/>
      <c r="N284" s="77"/>
      <c r="O284" s="77"/>
      <c r="P284" s="77"/>
      <c r="Q284" s="77"/>
      <c r="R284" s="77"/>
      <c r="S284" s="77"/>
      <c r="T284" s="77"/>
      <c r="U284" s="77"/>
      <c r="V284" s="77"/>
      <c r="W284" s="77"/>
      <c r="X284" s="77"/>
      <c r="Y284" s="77"/>
      <c r="Z284" s="77"/>
      <c r="AA284" s="77"/>
      <c r="AB284" s="77"/>
      <c r="AC284" s="77"/>
      <c r="AD284" s="77"/>
      <c r="AE284" s="62"/>
      <c r="AF284" s="63" t="b">
        <v>0</v>
      </c>
      <c r="AG284" s="63" t="b">
        <v>0</v>
      </c>
      <c r="AH284" s="62"/>
      <c r="AI284" s="64">
        <f t="shared" si="786"/>
        <v>42259</v>
      </c>
      <c r="AJ284" s="65" t="str">
        <f t="shared" si="340"/>
        <v>LAB</v>
      </c>
      <c r="AK284" s="66" t="str">
        <f t="shared" si="787"/>
        <v>GAIN</v>
      </c>
      <c r="AL284" s="67" t="e">
        <f t="shared" ca="1" si="788"/>
        <v>#NAME?</v>
      </c>
      <c r="AM284" s="68">
        <f t="shared" si="637"/>
        <v>4960</v>
      </c>
      <c r="AN284" s="69">
        <f t="shared" si="638"/>
        <v>0.11737144750230716</v>
      </c>
      <c r="AO284" s="62"/>
      <c r="AP284" s="70">
        <f t="shared" ref="AP284:AT284" si="864">H284/$AI284</f>
        <v>0.40817340684824532</v>
      </c>
      <c r="AQ284" s="70">
        <f t="shared" si="864"/>
        <v>0.29080195934593817</v>
      </c>
      <c r="AR284" s="70">
        <f t="shared" si="864"/>
        <v>0.17047256205778652</v>
      </c>
      <c r="AS284" s="70">
        <f t="shared" si="864"/>
        <v>6.0602475212380796E-2</v>
      </c>
      <c r="AT284" s="70">
        <f t="shared" si="864"/>
        <v>6.9949596535649208E-2</v>
      </c>
      <c r="AU284" s="70"/>
      <c r="AV284" s="70"/>
      <c r="AW284" s="81">
        <f t="shared" si="790"/>
        <v>0</v>
      </c>
      <c r="AX284" s="70">
        <f t="shared" ref="AX284:BG284" si="865">O284/$AI284</f>
        <v>0</v>
      </c>
      <c r="AY284" s="70">
        <f t="shared" si="865"/>
        <v>0</v>
      </c>
      <c r="AZ284" s="70">
        <f t="shared" si="865"/>
        <v>0</v>
      </c>
      <c r="BA284" s="70">
        <f t="shared" si="865"/>
        <v>0</v>
      </c>
      <c r="BB284" s="70">
        <f t="shared" si="865"/>
        <v>0</v>
      </c>
      <c r="BC284" s="70">
        <f t="shared" si="865"/>
        <v>0</v>
      </c>
      <c r="BD284" s="70">
        <f t="shared" si="865"/>
        <v>0</v>
      </c>
      <c r="BE284" s="70">
        <f t="shared" si="865"/>
        <v>0</v>
      </c>
      <c r="BF284" s="70">
        <f t="shared" si="865"/>
        <v>0</v>
      </c>
      <c r="BG284" s="70">
        <f t="shared" si="865"/>
        <v>0</v>
      </c>
      <c r="BH284" s="70">
        <f t="shared" si="792"/>
        <v>0</v>
      </c>
      <c r="BI284" s="62"/>
      <c r="BJ284" s="69">
        <v>0.38800000000000001</v>
      </c>
      <c r="BK284" s="69">
        <v>0.50600000000000001</v>
      </c>
      <c r="BL284" s="69">
        <v>0</v>
      </c>
      <c r="BM284" s="69">
        <v>7.5999999999999998E-2</v>
      </c>
      <c r="BN284" s="69">
        <v>2.5999999999999999E-2</v>
      </c>
      <c r="BO284" s="69">
        <v>0</v>
      </c>
      <c r="BP284" s="69">
        <v>0</v>
      </c>
      <c r="BQ284" s="69">
        <v>5.0000000000000001E-3</v>
      </c>
      <c r="BR284" s="62"/>
      <c r="BS284" s="72">
        <f t="shared" ref="BS284:BW284" si="866">AP284-BJ284</f>
        <v>2.0173406848245312E-2</v>
      </c>
      <c r="BT284" s="72">
        <f t="shared" si="866"/>
        <v>-0.21519804065406184</v>
      </c>
      <c r="BU284" s="72">
        <f t="shared" si="866"/>
        <v>0.17047256205778652</v>
      </c>
      <c r="BV284" s="72">
        <f t="shared" si="866"/>
        <v>-1.5397524787619202E-2</v>
      </c>
      <c r="BW284" s="72">
        <f t="shared" si="866"/>
        <v>4.3949596535649213E-2</v>
      </c>
      <c r="BX284" s="72"/>
      <c r="BY284" s="72"/>
      <c r="BZ284" s="72">
        <f t="shared" si="794"/>
        <v>-5.0000000000000001E-3</v>
      </c>
    </row>
    <row r="285" spans="1:78" ht="13.15">
      <c r="A285" s="73" t="s">
        <v>6</v>
      </c>
      <c r="B285" s="74" t="s">
        <v>613</v>
      </c>
      <c r="C285" s="75" t="s">
        <v>614</v>
      </c>
      <c r="D285" s="75" t="s">
        <v>53</v>
      </c>
      <c r="E285" s="76"/>
      <c r="F285" s="59"/>
      <c r="G285" s="60"/>
      <c r="H285" s="77">
        <v>10475</v>
      </c>
      <c r="I285" s="77">
        <v>17441</v>
      </c>
      <c r="J285" s="77">
        <v>11935</v>
      </c>
      <c r="K285" s="77">
        <v>2364</v>
      </c>
      <c r="L285" s="77">
        <v>2504</v>
      </c>
      <c r="M285" s="77"/>
      <c r="N285" s="77"/>
      <c r="O285" s="77">
        <v>1359</v>
      </c>
      <c r="P285" s="77"/>
      <c r="Q285" s="77"/>
      <c r="R285" s="77"/>
      <c r="S285" s="77"/>
      <c r="T285" s="77"/>
      <c r="U285" s="77"/>
      <c r="V285" s="77"/>
      <c r="W285" s="77"/>
      <c r="X285" s="77"/>
      <c r="Y285" s="77">
        <v>309</v>
      </c>
      <c r="Z285" s="77">
        <v>92</v>
      </c>
      <c r="AA285" s="77"/>
      <c r="AB285" s="77"/>
      <c r="AC285" s="77"/>
      <c r="AD285" s="77"/>
      <c r="AE285" s="62"/>
      <c r="AF285" s="63" t="b">
        <v>0</v>
      </c>
      <c r="AG285" s="63" t="b">
        <v>0</v>
      </c>
      <c r="AH285" s="62"/>
      <c r="AI285" s="64">
        <f t="shared" si="786"/>
        <v>46479</v>
      </c>
      <c r="AJ285" s="65" t="str">
        <f t="shared" si="340"/>
        <v>CON</v>
      </c>
      <c r="AK285" s="66" t="str">
        <f t="shared" si="787"/>
        <v>HOLD</v>
      </c>
      <c r="AL285" s="67" t="e">
        <f t="shared" ca="1" si="788"/>
        <v>#NAME?</v>
      </c>
      <c r="AM285" s="68">
        <f t="shared" si="637"/>
        <v>5506</v>
      </c>
      <c r="AN285" s="69">
        <f t="shared" si="638"/>
        <v>0.11846210116396655</v>
      </c>
      <c r="AO285" s="62"/>
      <c r="AP285" s="70">
        <f t="shared" ref="AP285:AT285" si="867">H285/$AI285</f>
        <v>0.2253705974741281</v>
      </c>
      <c r="AQ285" s="70">
        <f t="shared" si="867"/>
        <v>0.37524473418102799</v>
      </c>
      <c r="AR285" s="70">
        <f t="shared" si="867"/>
        <v>0.25678263301706145</v>
      </c>
      <c r="AS285" s="70">
        <f t="shared" si="867"/>
        <v>5.0861679468146903E-2</v>
      </c>
      <c r="AT285" s="70">
        <f t="shared" si="867"/>
        <v>5.3873792465414488E-2</v>
      </c>
      <c r="AU285" s="70"/>
      <c r="AV285" s="70"/>
      <c r="AW285" s="81">
        <f t="shared" si="790"/>
        <v>3.7866563394221009E-2</v>
      </c>
      <c r="AX285" s="70">
        <f t="shared" ref="AX285:BG285" si="868">O285/$AI285</f>
        <v>2.9239011166333182E-2</v>
      </c>
      <c r="AY285" s="70">
        <f t="shared" si="868"/>
        <v>0</v>
      </c>
      <c r="AZ285" s="70">
        <f t="shared" si="868"/>
        <v>0</v>
      </c>
      <c r="BA285" s="70">
        <f t="shared" si="868"/>
        <v>0</v>
      </c>
      <c r="BB285" s="70">
        <f t="shared" si="868"/>
        <v>0</v>
      </c>
      <c r="BC285" s="70">
        <f t="shared" si="868"/>
        <v>0</v>
      </c>
      <c r="BD285" s="70">
        <f t="shared" si="868"/>
        <v>0</v>
      </c>
      <c r="BE285" s="70">
        <f t="shared" si="868"/>
        <v>0</v>
      </c>
      <c r="BF285" s="70">
        <f t="shared" si="868"/>
        <v>0</v>
      </c>
      <c r="BG285" s="70">
        <f t="shared" si="868"/>
        <v>0</v>
      </c>
      <c r="BH285" s="70">
        <f t="shared" si="792"/>
        <v>8.6275522278878268E-3</v>
      </c>
      <c r="BI285" s="62"/>
      <c r="BJ285" s="69">
        <v>0.17699999999999999</v>
      </c>
      <c r="BK285" s="69">
        <v>0.72499999999999998</v>
      </c>
      <c r="BL285" s="69">
        <v>0</v>
      </c>
      <c r="BM285" s="69">
        <v>7.8E-2</v>
      </c>
      <c r="BN285" s="69">
        <v>0</v>
      </c>
      <c r="BO285" s="69">
        <v>0</v>
      </c>
      <c r="BP285" s="69">
        <v>0</v>
      </c>
      <c r="BQ285" s="69">
        <v>2.1000000000000001E-2</v>
      </c>
      <c r="BR285" s="62"/>
      <c r="BS285" s="72">
        <f t="shared" ref="BS285:BW285" si="869">AP285-BJ285</f>
        <v>4.8370597474128113E-2</v>
      </c>
      <c r="BT285" s="72">
        <f t="shared" si="869"/>
        <v>-0.34975526581897198</v>
      </c>
      <c r="BU285" s="72">
        <f t="shared" si="869"/>
        <v>0.25678263301706145</v>
      </c>
      <c r="BV285" s="72">
        <f t="shared" si="869"/>
        <v>-2.7138320531853097E-2</v>
      </c>
      <c r="BW285" s="72">
        <f t="shared" si="869"/>
        <v>5.3873792465414488E-2</v>
      </c>
      <c r="BX285" s="72"/>
      <c r="BY285" s="72"/>
      <c r="BZ285" s="72">
        <f t="shared" si="794"/>
        <v>1.6866563394221008E-2</v>
      </c>
    </row>
    <row r="286" spans="1:78" ht="13.15">
      <c r="A286" s="73" t="s">
        <v>6</v>
      </c>
      <c r="B286" s="74" t="s">
        <v>615</v>
      </c>
      <c r="C286" s="75" t="s">
        <v>616</v>
      </c>
      <c r="D286" s="75" t="s">
        <v>78</v>
      </c>
      <c r="E286" s="76"/>
      <c r="F286" s="59"/>
      <c r="G286" s="60"/>
      <c r="H286" s="77">
        <v>14464</v>
      </c>
      <c r="I286" s="77">
        <v>12448</v>
      </c>
      <c r="J286" s="77">
        <v>10328</v>
      </c>
      <c r="K286" s="77">
        <v>1489</v>
      </c>
      <c r="L286" s="77">
        <v>3095</v>
      </c>
      <c r="M286" s="77"/>
      <c r="N286" s="77"/>
      <c r="O286" s="77"/>
      <c r="P286" s="77"/>
      <c r="Q286" s="77"/>
      <c r="R286" s="77"/>
      <c r="S286" s="77"/>
      <c r="T286" s="77"/>
      <c r="U286" s="77"/>
      <c r="V286" s="77"/>
      <c r="W286" s="77"/>
      <c r="X286" s="77"/>
      <c r="Y286" s="77"/>
      <c r="Z286" s="77"/>
      <c r="AA286" s="77"/>
      <c r="AB286" s="77"/>
      <c r="AC286" s="77"/>
      <c r="AD286" s="77"/>
      <c r="AE286" s="62"/>
      <c r="AF286" s="63" t="b">
        <v>0</v>
      </c>
      <c r="AG286" s="63" t="b">
        <v>0</v>
      </c>
      <c r="AH286" s="62"/>
      <c r="AI286" s="64">
        <f t="shared" si="786"/>
        <v>41824</v>
      </c>
      <c r="AJ286" s="65" t="str">
        <f t="shared" si="340"/>
        <v>LAB</v>
      </c>
      <c r="AK286" s="66" t="str">
        <f t="shared" si="787"/>
        <v>GAIN</v>
      </c>
      <c r="AL286" s="67" t="e">
        <f t="shared" ca="1" si="788"/>
        <v>#NAME?</v>
      </c>
      <c r="AM286" s="68">
        <f t="shared" si="637"/>
        <v>2016</v>
      </c>
      <c r="AN286" s="69">
        <f t="shared" si="638"/>
        <v>4.8201989288446823E-2</v>
      </c>
      <c r="AO286" s="62"/>
      <c r="AP286" s="70">
        <f t="shared" ref="AP286:AT286" si="870">H286/$AI286</f>
        <v>0.34583014537107881</v>
      </c>
      <c r="AQ286" s="70">
        <f t="shared" si="870"/>
        <v>0.29762815608263199</v>
      </c>
      <c r="AR286" s="70">
        <f t="shared" si="870"/>
        <v>0.24693955623565417</v>
      </c>
      <c r="AS286" s="70">
        <f t="shared" si="870"/>
        <v>3.5601568477429228E-2</v>
      </c>
      <c r="AT286" s="70">
        <f t="shared" si="870"/>
        <v>7.400057383320581E-2</v>
      </c>
      <c r="AU286" s="70"/>
      <c r="AV286" s="70"/>
      <c r="AW286" s="81">
        <f t="shared" si="790"/>
        <v>0</v>
      </c>
      <c r="AX286" s="70">
        <f t="shared" ref="AX286:BG286" si="871">O286/$AI286</f>
        <v>0</v>
      </c>
      <c r="AY286" s="70">
        <f t="shared" si="871"/>
        <v>0</v>
      </c>
      <c r="AZ286" s="70">
        <f t="shared" si="871"/>
        <v>0</v>
      </c>
      <c r="BA286" s="70">
        <f t="shared" si="871"/>
        <v>0</v>
      </c>
      <c r="BB286" s="70">
        <f t="shared" si="871"/>
        <v>0</v>
      </c>
      <c r="BC286" s="70">
        <f t="shared" si="871"/>
        <v>0</v>
      </c>
      <c r="BD286" s="70">
        <f t="shared" si="871"/>
        <v>0</v>
      </c>
      <c r="BE286" s="70">
        <f t="shared" si="871"/>
        <v>0</v>
      </c>
      <c r="BF286" s="70">
        <f t="shared" si="871"/>
        <v>0</v>
      </c>
      <c r="BG286" s="70">
        <f t="shared" si="871"/>
        <v>0</v>
      </c>
      <c r="BH286" s="70">
        <f t="shared" si="792"/>
        <v>0</v>
      </c>
      <c r="BI286" s="62"/>
      <c r="BJ286" s="69">
        <v>0.28199999999999997</v>
      </c>
      <c r="BK286" s="69">
        <v>0.60899999999999999</v>
      </c>
      <c r="BL286" s="69">
        <v>0</v>
      </c>
      <c r="BM286" s="69">
        <v>5.0999999999999997E-2</v>
      </c>
      <c r="BN286" s="69">
        <v>5.1999999999999998E-2</v>
      </c>
      <c r="BO286" s="69">
        <v>0</v>
      </c>
      <c r="BP286" s="69">
        <v>0</v>
      </c>
      <c r="BQ286" s="69">
        <v>5.0000000000000001E-3</v>
      </c>
      <c r="BR286" s="62"/>
      <c r="BS286" s="72">
        <f t="shared" ref="BS286:BW286" si="872">AP286-BJ286</f>
        <v>6.3830145371078839E-2</v>
      </c>
      <c r="BT286" s="72">
        <f t="shared" si="872"/>
        <v>-0.311371843917368</v>
      </c>
      <c r="BU286" s="72">
        <f t="shared" si="872"/>
        <v>0.24693955623565417</v>
      </c>
      <c r="BV286" s="72">
        <f t="shared" si="872"/>
        <v>-1.5398431522570769E-2</v>
      </c>
      <c r="BW286" s="72">
        <f t="shared" si="872"/>
        <v>2.2000573833205812E-2</v>
      </c>
      <c r="BX286" s="72"/>
      <c r="BY286" s="72"/>
      <c r="BZ286" s="72">
        <f t="shared" si="794"/>
        <v>-5.0000000000000001E-3</v>
      </c>
    </row>
    <row r="287" spans="1:78" ht="13.15">
      <c r="A287" s="78" t="s">
        <v>5</v>
      </c>
      <c r="B287" s="74" t="s">
        <v>617</v>
      </c>
      <c r="C287" s="75" t="s">
        <v>618</v>
      </c>
      <c r="D287" s="75" t="s">
        <v>78</v>
      </c>
      <c r="E287" s="76"/>
      <c r="F287" s="59"/>
      <c r="G287" s="60"/>
      <c r="H287" s="77">
        <v>14677</v>
      </c>
      <c r="I287" s="77">
        <v>7167</v>
      </c>
      <c r="J287" s="77">
        <v>4666</v>
      </c>
      <c r="K287" s="77">
        <v>1890</v>
      </c>
      <c r="L287" s="77">
        <v>1940</v>
      </c>
      <c r="M287" s="77"/>
      <c r="N287" s="77"/>
      <c r="O287" s="77">
        <v>4392</v>
      </c>
      <c r="P287" s="77">
        <v>3914</v>
      </c>
      <c r="Q287" s="77"/>
      <c r="R287" s="77"/>
      <c r="S287" s="77"/>
      <c r="T287" s="77"/>
      <c r="U287" s="77"/>
      <c r="V287" s="77"/>
      <c r="W287" s="77"/>
      <c r="X287" s="77"/>
      <c r="Y287" s="77">
        <v>98</v>
      </c>
      <c r="Z287" s="77"/>
      <c r="AA287" s="77"/>
      <c r="AB287" s="77"/>
      <c r="AC287" s="77"/>
      <c r="AD287" s="77"/>
      <c r="AE287" s="62"/>
      <c r="AF287" s="63" t="b">
        <v>0</v>
      </c>
      <c r="AG287" s="63" t="b">
        <v>0</v>
      </c>
      <c r="AH287" s="62"/>
      <c r="AI287" s="64">
        <f t="shared" si="786"/>
        <v>38744</v>
      </c>
      <c r="AJ287" s="65" t="str">
        <f t="shared" si="340"/>
        <v>LAB</v>
      </c>
      <c r="AK287" s="66" t="str">
        <f t="shared" si="787"/>
        <v>HOLD</v>
      </c>
      <c r="AL287" s="67" t="e">
        <f t="shared" ca="1" si="788"/>
        <v>#NAME?</v>
      </c>
      <c r="AM287" s="68">
        <f t="shared" si="637"/>
        <v>7510</v>
      </c>
      <c r="AN287" s="69">
        <f t="shared" si="638"/>
        <v>0.19383646500103241</v>
      </c>
      <c r="AO287" s="62"/>
      <c r="AP287" s="70">
        <f t="shared" ref="AP287:AT287" si="873">H287/$AI287</f>
        <v>0.37881994631426802</v>
      </c>
      <c r="AQ287" s="70">
        <f t="shared" si="873"/>
        <v>0.18498348131323561</v>
      </c>
      <c r="AR287" s="70">
        <f t="shared" si="873"/>
        <v>0.12043155069172001</v>
      </c>
      <c r="AS287" s="70">
        <f t="shared" si="873"/>
        <v>4.8781746851125338E-2</v>
      </c>
      <c r="AT287" s="70">
        <f t="shared" si="873"/>
        <v>5.0072269254594258E-2</v>
      </c>
      <c r="AU287" s="70"/>
      <c r="AV287" s="70"/>
      <c r="AW287" s="81">
        <f t="shared" si="790"/>
        <v>0.21691100557505671</v>
      </c>
      <c r="AX287" s="70">
        <f t="shared" ref="AX287:BG287" si="874">O287/$AI287</f>
        <v>0.11335948792071031</v>
      </c>
      <c r="AY287" s="70">
        <f t="shared" si="874"/>
        <v>0.10102209374354738</v>
      </c>
      <c r="AZ287" s="70">
        <f t="shared" si="874"/>
        <v>0</v>
      </c>
      <c r="BA287" s="70">
        <f t="shared" si="874"/>
        <v>0</v>
      </c>
      <c r="BB287" s="70">
        <f t="shared" si="874"/>
        <v>0</v>
      </c>
      <c r="BC287" s="70">
        <f t="shared" si="874"/>
        <v>0</v>
      </c>
      <c r="BD287" s="70">
        <f t="shared" si="874"/>
        <v>0</v>
      </c>
      <c r="BE287" s="70">
        <f t="shared" si="874"/>
        <v>0</v>
      </c>
      <c r="BF287" s="70">
        <f t="shared" si="874"/>
        <v>0</v>
      </c>
      <c r="BG287" s="70">
        <f t="shared" si="874"/>
        <v>0</v>
      </c>
      <c r="BH287" s="70">
        <f t="shared" si="792"/>
        <v>2.5294239107990224E-3</v>
      </c>
      <c r="BI287" s="62"/>
      <c r="BJ287" s="69">
        <v>0.53900000000000003</v>
      </c>
      <c r="BK287" s="69">
        <v>0.34300000000000003</v>
      </c>
      <c r="BL287" s="69">
        <v>0.03</v>
      </c>
      <c r="BM287" s="69">
        <v>4.5999999999999999E-2</v>
      </c>
      <c r="BN287" s="69">
        <v>1.9E-2</v>
      </c>
      <c r="BO287" s="69">
        <v>0</v>
      </c>
      <c r="BP287" s="69">
        <v>0</v>
      </c>
      <c r="BQ287" s="69">
        <v>2.4E-2</v>
      </c>
      <c r="BR287" s="62"/>
      <c r="BS287" s="72">
        <f t="shared" ref="BS287:BW287" si="875">AP287-BJ287</f>
        <v>-0.16018005368573202</v>
      </c>
      <c r="BT287" s="72">
        <f t="shared" si="875"/>
        <v>-0.15801651868676442</v>
      </c>
      <c r="BU287" s="72">
        <f t="shared" si="875"/>
        <v>9.0431550691720014E-2</v>
      </c>
      <c r="BV287" s="72">
        <f t="shared" si="875"/>
        <v>2.7817468511253385E-3</v>
      </c>
      <c r="BW287" s="72">
        <f t="shared" si="875"/>
        <v>3.1072269254594258E-2</v>
      </c>
      <c r="BX287" s="72"/>
      <c r="BY287" s="72"/>
      <c r="BZ287" s="72">
        <f t="shared" si="794"/>
        <v>0.19291100557505672</v>
      </c>
    </row>
    <row r="288" spans="1:78" ht="13.15">
      <c r="A288" s="78" t="s">
        <v>5</v>
      </c>
      <c r="B288" s="74" t="s">
        <v>619</v>
      </c>
      <c r="C288" s="75" t="s">
        <v>620</v>
      </c>
      <c r="D288" s="75" t="s">
        <v>78</v>
      </c>
      <c r="E288" s="76"/>
      <c r="F288" s="59"/>
      <c r="G288" s="60"/>
      <c r="H288" s="77">
        <v>13593</v>
      </c>
      <c r="I288" s="77">
        <v>6735</v>
      </c>
      <c r="J288" s="77">
        <v>4759</v>
      </c>
      <c r="K288" s="77">
        <v>2400</v>
      </c>
      <c r="L288" s="77">
        <v>2401</v>
      </c>
      <c r="M288" s="77"/>
      <c r="N288" s="77"/>
      <c r="O288" s="77">
        <v>5384</v>
      </c>
      <c r="P288" s="77">
        <v>3110</v>
      </c>
      <c r="Q288" s="77"/>
      <c r="R288" s="77"/>
      <c r="S288" s="77"/>
      <c r="T288" s="77"/>
      <c r="U288" s="77"/>
      <c r="V288" s="77"/>
      <c r="W288" s="77"/>
      <c r="X288" s="77"/>
      <c r="Y288" s="77"/>
      <c r="Z288" s="77"/>
      <c r="AA288" s="77"/>
      <c r="AB288" s="77"/>
      <c r="AC288" s="77"/>
      <c r="AD288" s="77"/>
      <c r="AE288" s="62"/>
      <c r="AF288" s="63" t="b">
        <v>0</v>
      </c>
      <c r="AG288" s="63" t="b">
        <v>0</v>
      </c>
      <c r="AH288" s="62"/>
      <c r="AI288" s="64">
        <f t="shared" si="786"/>
        <v>38382</v>
      </c>
      <c r="AJ288" s="65" t="str">
        <f t="shared" si="340"/>
        <v>LAB</v>
      </c>
      <c r="AK288" s="66" t="str">
        <f t="shared" si="787"/>
        <v>HOLD</v>
      </c>
      <c r="AL288" s="67" t="e">
        <f t="shared" ca="1" si="788"/>
        <v>#NAME?</v>
      </c>
      <c r="AM288" s="68">
        <f t="shared" si="637"/>
        <v>6858</v>
      </c>
      <c r="AN288" s="69">
        <f t="shared" si="638"/>
        <v>0.17867750508050648</v>
      </c>
      <c r="AO288" s="62"/>
      <c r="AP288" s="70">
        <f t="shared" ref="AP288:AT288" si="876">H288/$AI288</f>
        <v>0.3541503829920275</v>
      </c>
      <c r="AQ288" s="70">
        <f t="shared" si="876"/>
        <v>0.17547287791152102</v>
      </c>
      <c r="AR288" s="70">
        <f t="shared" si="876"/>
        <v>0.12399041217237247</v>
      </c>
      <c r="AS288" s="70">
        <f t="shared" si="876"/>
        <v>6.2529310614350478E-2</v>
      </c>
      <c r="AT288" s="70">
        <f t="shared" si="876"/>
        <v>6.2555364493773122E-2</v>
      </c>
      <c r="AU288" s="70"/>
      <c r="AV288" s="70"/>
      <c r="AW288" s="81">
        <f t="shared" si="790"/>
        <v>0.2213016518159554</v>
      </c>
      <c r="AX288" s="70">
        <f t="shared" ref="AX288:BG288" si="877">O288/$AI288</f>
        <v>0.14027408681152623</v>
      </c>
      <c r="AY288" s="70">
        <f t="shared" si="877"/>
        <v>8.1027565004429161E-2</v>
      </c>
      <c r="AZ288" s="70">
        <f t="shared" si="877"/>
        <v>0</v>
      </c>
      <c r="BA288" s="70">
        <f t="shared" si="877"/>
        <v>0</v>
      </c>
      <c r="BB288" s="70">
        <f t="shared" si="877"/>
        <v>0</v>
      </c>
      <c r="BC288" s="70">
        <f t="shared" si="877"/>
        <v>0</v>
      </c>
      <c r="BD288" s="70">
        <f t="shared" si="877"/>
        <v>0</v>
      </c>
      <c r="BE288" s="70">
        <f t="shared" si="877"/>
        <v>0</v>
      </c>
      <c r="BF288" s="70">
        <f t="shared" si="877"/>
        <v>0</v>
      </c>
      <c r="BG288" s="70">
        <f t="shared" si="877"/>
        <v>0</v>
      </c>
      <c r="BH288" s="70">
        <f t="shared" si="792"/>
        <v>0</v>
      </c>
      <c r="BI288" s="62"/>
      <c r="BJ288" s="69">
        <v>0.48699999999999999</v>
      </c>
      <c r="BK288" s="69">
        <v>0.35199999999999998</v>
      </c>
      <c r="BL288" s="69">
        <v>3.3000000000000002E-2</v>
      </c>
      <c r="BM288" s="69">
        <v>5.0000000000000001E-3</v>
      </c>
      <c r="BN288" s="69">
        <v>2.7E-2</v>
      </c>
      <c r="BO288" s="69">
        <v>0</v>
      </c>
      <c r="BP288" s="69">
        <v>0</v>
      </c>
      <c r="BQ288" s="69">
        <v>9.7000000000000003E-2</v>
      </c>
      <c r="BR288" s="62"/>
      <c r="BS288" s="72">
        <f t="shared" ref="BS288:BW288" si="878">AP288-BJ288</f>
        <v>-0.13284961700797249</v>
      </c>
      <c r="BT288" s="72">
        <f t="shared" si="878"/>
        <v>-0.17652712208847895</v>
      </c>
      <c r="BU288" s="72">
        <f t="shared" si="878"/>
        <v>9.099041217237247E-2</v>
      </c>
      <c r="BV288" s="72">
        <f t="shared" si="878"/>
        <v>5.752931061435048E-2</v>
      </c>
      <c r="BW288" s="72">
        <f t="shared" si="878"/>
        <v>3.5555364493773126E-2</v>
      </c>
      <c r="BX288" s="72"/>
      <c r="BY288" s="72"/>
      <c r="BZ288" s="72">
        <f t="shared" si="794"/>
        <v>0.1243016518159554</v>
      </c>
    </row>
    <row r="289" spans="1:78" ht="13.15">
      <c r="A289" s="73" t="s">
        <v>6</v>
      </c>
      <c r="B289" s="74" t="s">
        <v>621</v>
      </c>
      <c r="C289" s="75" t="s">
        <v>622</v>
      </c>
      <c r="D289" s="75" t="s">
        <v>50</v>
      </c>
      <c r="E289" s="76"/>
      <c r="F289" s="59"/>
      <c r="G289" s="60"/>
      <c r="H289" s="77">
        <v>24672</v>
      </c>
      <c r="I289" s="77">
        <v>15552</v>
      </c>
      <c r="J289" s="77">
        <v>6592</v>
      </c>
      <c r="K289" s="77">
        <v>2482</v>
      </c>
      <c r="L289" s="77">
        <v>2493</v>
      </c>
      <c r="M289" s="77"/>
      <c r="N289" s="77"/>
      <c r="O289" s="77">
        <v>779</v>
      </c>
      <c r="P289" s="77"/>
      <c r="Q289" s="77">
        <v>222</v>
      </c>
      <c r="R289" s="77"/>
      <c r="S289" s="77"/>
      <c r="T289" s="77"/>
      <c r="U289" s="77"/>
      <c r="V289" s="77"/>
      <c r="W289" s="77"/>
      <c r="X289" s="77"/>
      <c r="Y289" s="77"/>
      <c r="Z289" s="77"/>
      <c r="AA289" s="77"/>
      <c r="AB289" s="77"/>
      <c r="AC289" s="77"/>
      <c r="AD289" s="77"/>
      <c r="AE289" s="62"/>
      <c r="AF289" s="63" t="b">
        <v>0</v>
      </c>
      <c r="AG289" s="63" t="b">
        <v>0</v>
      </c>
      <c r="AH289" s="62"/>
      <c r="AI289" s="64">
        <f t="shared" si="786"/>
        <v>52792</v>
      </c>
      <c r="AJ289" s="65" t="str">
        <f t="shared" si="340"/>
        <v>LAB</v>
      </c>
      <c r="AK289" s="66" t="str">
        <f t="shared" si="787"/>
        <v>GAIN</v>
      </c>
      <c r="AL289" s="67" t="e">
        <f t="shared" ca="1" si="788"/>
        <v>#NAME?</v>
      </c>
      <c r="AM289" s="68">
        <f t="shared" si="637"/>
        <v>9120</v>
      </c>
      <c r="AN289" s="69">
        <f t="shared" si="638"/>
        <v>0.17275344749204424</v>
      </c>
      <c r="AO289" s="62"/>
      <c r="AP289" s="70">
        <f t="shared" ref="AP289:AT289" si="879">H289/$AI289</f>
        <v>0.46734353689953023</v>
      </c>
      <c r="AQ289" s="70">
        <f t="shared" si="879"/>
        <v>0.29459008940748599</v>
      </c>
      <c r="AR289" s="70">
        <f t="shared" si="879"/>
        <v>0.12486740415214427</v>
      </c>
      <c r="AS289" s="70">
        <f t="shared" si="879"/>
        <v>4.701469919684801E-2</v>
      </c>
      <c r="AT289" s="70">
        <f t="shared" si="879"/>
        <v>4.7223064100621305E-2</v>
      </c>
      <c r="AU289" s="70"/>
      <c r="AV289" s="70"/>
      <c r="AW289" s="81">
        <f t="shared" si="790"/>
        <v>1.8961206243370277E-2</v>
      </c>
      <c r="AX289" s="70">
        <f t="shared" ref="AX289:BG289" si="880">O289/$AI289</f>
        <v>1.4756023639945446E-2</v>
      </c>
      <c r="AY289" s="70">
        <f t="shared" si="880"/>
        <v>0</v>
      </c>
      <c r="AZ289" s="70">
        <f t="shared" si="880"/>
        <v>4.2051826034247616E-3</v>
      </c>
      <c r="BA289" s="70">
        <f t="shared" si="880"/>
        <v>0</v>
      </c>
      <c r="BB289" s="70">
        <f t="shared" si="880"/>
        <v>0</v>
      </c>
      <c r="BC289" s="70">
        <f t="shared" si="880"/>
        <v>0</v>
      </c>
      <c r="BD289" s="70">
        <f t="shared" si="880"/>
        <v>0</v>
      </c>
      <c r="BE289" s="70">
        <f t="shared" si="880"/>
        <v>0</v>
      </c>
      <c r="BF289" s="70">
        <f t="shared" si="880"/>
        <v>0</v>
      </c>
      <c r="BG289" s="70">
        <f t="shared" si="880"/>
        <v>0</v>
      </c>
      <c r="BH289" s="70">
        <f t="shared" si="792"/>
        <v>6.9388939039072284E-17</v>
      </c>
      <c r="BI289" s="62"/>
      <c r="BJ289" s="69">
        <v>0.32600000000000001</v>
      </c>
      <c r="BK289" s="69">
        <v>0.52500000000000002</v>
      </c>
      <c r="BL289" s="69">
        <v>0</v>
      </c>
      <c r="BM289" s="69">
        <v>0.106</v>
      </c>
      <c r="BN289" s="69">
        <v>4.2999999999999997E-2</v>
      </c>
      <c r="BO289" s="69">
        <v>0</v>
      </c>
      <c r="BP289" s="69">
        <v>0</v>
      </c>
      <c r="BQ289" s="69">
        <v>0</v>
      </c>
      <c r="BR289" s="62"/>
      <c r="BS289" s="72">
        <f t="shared" ref="BS289:BW289" si="881">AP289-BJ289</f>
        <v>0.14134353689953022</v>
      </c>
      <c r="BT289" s="72">
        <f t="shared" si="881"/>
        <v>-0.23040991059251403</v>
      </c>
      <c r="BU289" s="72">
        <f t="shared" si="881"/>
        <v>0.12486740415214427</v>
      </c>
      <c r="BV289" s="72">
        <f t="shared" si="881"/>
        <v>-5.8985300803151987E-2</v>
      </c>
      <c r="BW289" s="72">
        <f t="shared" si="881"/>
        <v>4.2230641006213085E-3</v>
      </c>
      <c r="BX289" s="72"/>
      <c r="BY289" s="72"/>
      <c r="BZ289" s="72">
        <f t="shared" si="794"/>
        <v>1.8961206243370277E-2</v>
      </c>
    </row>
    <row r="290" spans="1:78" ht="13.15">
      <c r="A290" s="73" t="s">
        <v>6</v>
      </c>
      <c r="B290" s="74" t="s">
        <v>623</v>
      </c>
      <c r="C290" s="75" t="s">
        <v>624</v>
      </c>
      <c r="D290" s="75" t="s">
        <v>44</v>
      </c>
      <c r="E290" s="76"/>
      <c r="F290" s="59"/>
      <c r="G290" s="60"/>
      <c r="H290" s="77">
        <v>5766</v>
      </c>
      <c r="I290" s="77">
        <v>18932</v>
      </c>
      <c r="J290" s="77"/>
      <c r="K290" s="77">
        <v>21895</v>
      </c>
      <c r="L290" s="77">
        <v>1996</v>
      </c>
      <c r="M290" s="77"/>
      <c r="N290" s="77"/>
      <c r="O290" s="77">
        <v>791</v>
      </c>
      <c r="P290" s="77"/>
      <c r="Q290" s="77">
        <v>518</v>
      </c>
      <c r="R290" s="77"/>
      <c r="S290" s="77"/>
      <c r="T290" s="77"/>
      <c r="U290" s="77"/>
      <c r="V290" s="77"/>
      <c r="W290" s="77"/>
      <c r="X290" s="77"/>
      <c r="Y290" s="77">
        <v>431</v>
      </c>
      <c r="Z290" s="77"/>
      <c r="AA290" s="77"/>
      <c r="AB290" s="77"/>
      <c r="AC290" s="77"/>
      <c r="AD290" s="77"/>
      <c r="AE290" s="62"/>
      <c r="AF290" s="63" t="b">
        <v>0</v>
      </c>
      <c r="AG290" s="63" t="b">
        <v>0</v>
      </c>
      <c r="AH290" s="62"/>
      <c r="AI290" s="64">
        <f t="shared" si="786"/>
        <v>50329</v>
      </c>
      <c r="AJ290" s="65" t="str">
        <f t="shared" si="340"/>
        <v>LDM</v>
      </c>
      <c r="AK290" s="66" t="str">
        <f t="shared" si="787"/>
        <v>GAIN</v>
      </c>
      <c r="AL290" s="67" t="e">
        <f t="shared" ca="1" si="788"/>
        <v>#NAME?</v>
      </c>
      <c r="AM290" s="68">
        <f t="shared" si="637"/>
        <v>2963</v>
      </c>
      <c r="AN290" s="69">
        <f t="shared" si="638"/>
        <v>5.887261817242545E-2</v>
      </c>
      <c r="AO290" s="62"/>
      <c r="AP290" s="70">
        <f t="shared" ref="AP290:AT290" si="882">H290/$AI290</f>
        <v>0.11456615470206044</v>
      </c>
      <c r="AQ290" s="70">
        <f t="shared" si="882"/>
        <v>0.37616483538317869</v>
      </c>
      <c r="AR290" s="70">
        <f t="shared" si="882"/>
        <v>0</v>
      </c>
      <c r="AS290" s="70">
        <f t="shared" si="882"/>
        <v>0.43503745355560414</v>
      </c>
      <c r="AT290" s="70">
        <f t="shared" si="882"/>
        <v>3.9659043493810726E-2</v>
      </c>
      <c r="AU290" s="70"/>
      <c r="AV290" s="70"/>
      <c r="AW290" s="81">
        <f t="shared" si="790"/>
        <v>3.4572512865345906E-2</v>
      </c>
      <c r="AX290" s="70">
        <f t="shared" ref="AX290:BG290" si="883">O290/$AI290</f>
        <v>1.5716584871545234E-2</v>
      </c>
      <c r="AY290" s="70">
        <f t="shared" si="883"/>
        <v>0</v>
      </c>
      <c r="AZ290" s="70">
        <f t="shared" si="883"/>
        <v>1.0292276818534046E-2</v>
      </c>
      <c r="BA290" s="70">
        <f t="shared" si="883"/>
        <v>0</v>
      </c>
      <c r="BB290" s="70">
        <f t="shared" si="883"/>
        <v>0</v>
      </c>
      <c r="BC290" s="70">
        <f t="shared" si="883"/>
        <v>0</v>
      </c>
      <c r="BD290" s="70">
        <f t="shared" si="883"/>
        <v>0</v>
      </c>
      <c r="BE290" s="70">
        <f t="shared" si="883"/>
        <v>0</v>
      </c>
      <c r="BF290" s="70">
        <f t="shared" si="883"/>
        <v>0</v>
      </c>
      <c r="BG290" s="70">
        <f t="shared" si="883"/>
        <v>0</v>
      </c>
      <c r="BH290" s="70">
        <f t="shared" si="792"/>
        <v>8.5636511752666261E-3</v>
      </c>
      <c r="BI290" s="62"/>
      <c r="BJ290" s="69">
        <v>0.15</v>
      </c>
      <c r="BK290" s="69">
        <v>0.57399999999999995</v>
      </c>
      <c r="BL290" s="69">
        <v>0</v>
      </c>
      <c r="BM290" s="69">
        <v>0.23799999999999999</v>
      </c>
      <c r="BN290" s="69">
        <v>3.7999999999999999E-2</v>
      </c>
      <c r="BO290" s="69">
        <v>0</v>
      </c>
      <c r="BP290" s="69">
        <v>0</v>
      </c>
      <c r="BQ290" s="69">
        <v>0</v>
      </c>
      <c r="BR290" s="62"/>
      <c r="BS290" s="72">
        <f t="shared" ref="BS290:BW290" si="884">AP290-BJ290</f>
        <v>-3.5433845297939554E-2</v>
      </c>
      <c r="BT290" s="72">
        <f t="shared" si="884"/>
        <v>-0.19783516461682127</v>
      </c>
      <c r="BU290" s="72">
        <f t="shared" si="884"/>
        <v>0</v>
      </c>
      <c r="BV290" s="72">
        <f t="shared" si="884"/>
        <v>0.19703745355560415</v>
      </c>
      <c r="BW290" s="72">
        <f t="shared" si="884"/>
        <v>1.6590434938107274E-3</v>
      </c>
      <c r="BX290" s="72"/>
      <c r="BY290" s="72"/>
      <c r="BZ290" s="72">
        <f t="shared" si="794"/>
        <v>3.4572512865345906E-2</v>
      </c>
    </row>
    <row r="291" spans="1:78" ht="13.15">
      <c r="A291" s="73" t="s">
        <v>6</v>
      </c>
      <c r="B291" s="74" t="s">
        <v>625</v>
      </c>
      <c r="C291" s="75" t="s">
        <v>626</v>
      </c>
      <c r="D291" s="75" t="s">
        <v>44</v>
      </c>
      <c r="E291" s="76"/>
      <c r="F291" s="59"/>
      <c r="G291" s="60"/>
      <c r="H291" s="77">
        <v>12472</v>
      </c>
      <c r="I291" s="77">
        <v>14146</v>
      </c>
      <c r="J291" s="77">
        <v>9316</v>
      </c>
      <c r="K291" s="77">
        <v>6375</v>
      </c>
      <c r="L291" s="77">
        <v>3727</v>
      </c>
      <c r="M291" s="77"/>
      <c r="N291" s="77"/>
      <c r="O291" s="77">
        <v>197</v>
      </c>
      <c r="P291" s="77"/>
      <c r="Q291" s="77"/>
      <c r="R291" s="77"/>
      <c r="S291" s="77"/>
      <c r="T291" s="77"/>
      <c r="U291" s="77"/>
      <c r="V291" s="77"/>
      <c r="W291" s="77"/>
      <c r="X291" s="77"/>
      <c r="Y291" s="77">
        <v>156</v>
      </c>
      <c r="Z291" s="77"/>
      <c r="AA291" s="77"/>
      <c r="AB291" s="77"/>
      <c r="AC291" s="77"/>
      <c r="AD291" s="77"/>
      <c r="AE291" s="62"/>
      <c r="AF291" s="63" t="b">
        <v>0</v>
      </c>
      <c r="AG291" s="63" t="b">
        <v>0</v>
      </c>
      <c r="AH291" s="62"/>
      <c r="AI291" s="64">
        <f t="shared" si="786"/>
        <v>46389</v>
      </c>
      <c r="AJ291" s="65" t="str">
        <f t="shared" si="340"/>
        <v>CON</v>
      </c>
      <c r="AK291" s="66" t="str">
        <f t="shared" si="787"/>
        <v>HOLD</v>
      </c>
      <c r="AL291" s="67" t="e">
        <f t="shared" ca="1" si="788"/>
        <v>#NAME?</v>
      </c>
      <c r="AM291" s="68">
        <f t="shared" si="637"/>
        <v>1674</v>
      </c>
      <c r="AN291" s="69">
        <f t="shared" si="638"/>
        <v>3.6086141111039249E-2</v>
      </c>
      <c r="AO291" s="62"/>
      <c r="AP291" s="70">
        <f t="shared" ref="AP291:AT291" si="885">H291/$AI291</f>
        <v>0.26885684106145852</v>
      </c>
      <c r="AQ291" s="70">
        <f t="shared" si="885"/>
        <v>0.30494298217249777</v>
      </c>
      <c r="AR291" s="70">
        <f t="shared" si="885"/>
        <v>0.20082347108150639</v>
      </c>
      <c r="AS291" s="70">
        <f t="shared" si="885"/>
        <v>0.13742482053935201</v>
      </c>
      <c r="AT291" s="70">
        <f t="shared" si="885"/>
        <v>8.0342322533359198E-2</v>
      </c>
      <c r="AU291" s="70"/>
      <c r="AV291" s="70"/>
      <c r="AW291" s="81">
        <f t="shared" si="790"/>
        <v>7.6095626118261039E-3</v>
      </c>
      <c r="AX291" s="70">
        <f t="shared" ref="AX291:BG291" si="886">O291/$AI291</f>
        <v>4.2466964150984074E-3</v>
      </c>
      <c r="AY291" s="70">
        <f t="shared" si="886"/>
        <v>0</v>
      </c>
      <c r="AZ291" s="70">
        <f t="shared" si="886"/>
        <v>0</v>
      </c>
      <c r="BA291" s="70">
        <f t="shared" si="886"/>
        <v>0</v>
      </c>
      <c r="BB291" s="70">
        <f t="shared" si="886"/>
        <v>0</v>
      </c>
      <c r="BC291" s="70">
        <f t="shared" si="886"/>
        <v>0</v>
      </c>
      <c r="BD291" s="70">
        <f t="shared" si="886"/>
        <v>0</v>
      </c>
      <c r="BE291" s="70">
        <f t="shared" si="886"/>
        <v>0</v>
      </c>
      <c r="BF291" s="70">
        <f t="shared" si="886"/>
        <v>0</v>
      </c>
      <c r="BG291" s="70">
        <f t="shared" si="886"/>
        <v>0</v>
      </c>
      <c r="BH291" s="70">
        <f t="shared" si="792"/>
        <v>3.3628661967276966E-3</v>
      </c>
      <c r="BI291" s="62"/>
      <c r="BJ291" s="69">
        <v>0.184</v>
      </c>
      <c r="BK291" s="69">
        <v>0.58399999999999996</v>
      </c>
      <c r="BL291" s="69">
        <v>0</v>
      </c>
      <c r="BM291" s="69">
        <v>0.186</v>
      </c>
      <c r="BN291" s="69">
        <v>3.7999999999999999E-2</v>
      </c>
      <c r="BO291" s="69">
        <v>0</v>
      </c>
      <c r="BP291" s="69">
        <v>0</v>
      </c>
      <c r="BQ291" s="69">
        <v>7.0000000000000001E-3</v>
      </c>
      <c r="BR291" s="62"/>
      <c r="BS291" s="72">
        <f t="shared" ref="BS291:BW291" si="887">AP291-BJ291</f>
        <v>8.4856841061458521E-2</v>
      </c>
      <c r="BT291" s="72">
        <f t="shared" si="887"/>
        <v>-0.2790570178275022</v>
      </c>
      <c r="BU291" s="72">
        <f t="shared" si="887"/>
        <v>0.20082347108150639</v>
      </c>
      <c r="BV291" s="72">
        <f t="shared" si="887"/>
        <v>-4.8575179460647988E-2</v>
      </c>
      <c r="BW291" s="72">
        <f t="shared" si="887"/>
        <v>4.2342322533359199E-2</v>
      </c>
      <c r="BX291" s="72"/>
      <c r="BY291" s="72"/>
      <c r="BZ291" s="72">
        <f t="shared" si="794"/>
        <v>6.0956261182610379E-4</v>
      </c>
    </row>
    <row r="292" spans="1:78" ht="13.15">
      <c r="A292" s="78" t="s">
        <v>5</v>
      </c>
      <c r="B292" s="74" t="s">
        <v>627</v>
      </c>
      <c r="C292" s="75" t="s">
        <v>628</v>
      </c>
      <c r="D292" s="75" t="s">
        <v>50</v>
      </c>
      <c r="E292" s="76"/>
      <c r="F292" s="59"/>
      <c r="G292" s="60"/>
      <c r="H292" s="77">
        <v>18202</v>
      </c>
      <c r="I292" s="77">
        <v>4379</v>
      </c>
      <c r="J292" s="77">
        <v>12803</v>
      </c>
      <c r="K292" s="77">
        <v>2735</v>
      </c>
      <c r="L292" s="77">
        <v>1776</v>
      </c>
      <c r="M292" s="77"/>
      <c r="N292" s="77"/>
      <c r="O292" s="77"/>
      <c r="P292" s="77"/>
      <c r="Q292" s="77"/>
      <c r="R292" s="77"/>
      <c r="S292" s="77"/>
      <c r="T292" s="77"/>
      <c r="U292" s="77"/>
      <c r="V292" s="77"/>
      <c r="W292" s="77"/>
      <c r="X292" s="77"/>
      <c r="Y292" s="77">
        <v>368</v>
      </c>
      <c r="Z292" s="77"/>
      <c r="AA292" s="77"/>
      <c r="AB292" s="77"/>
      <c r="AC292" s="77"/>
      <c r="AD292" s="77"/>
      <c r="AE292" s="62"/>
      <c r="AF292" s="63" t="b">
        <v>0</v>
      </c>
      <c r="AG292" s="63" t="b">
        <v>0</v>
      </c>
      <c r="AH292" s="62"/>
      <c r="AI292" s="64">
        <f t="shared" si="786"/>
        <v>40263</v>
      </c>
      <c r="AJ292" s="65" t="str">
        <f t="shared" si="340"/>
        <v>LAB</v>
      </c>
      <c r="AK292" s="66" t="str">
        <f t="shared" si="787"/>
        <v>HOLD</v>
      </c>
      <c r="AL292" s="67" t="e">
        <f t="shared" ca="1" si="788"/>
        <v>#NAME?</v>
      </c>
      <c r="AM292" s="68">
        <f t="shared" si="637"/>
        <v>5399</v>
      </c>
      <c r="AN292" s="69">
        <f t="shared" si="638"/>
        <v>0.13409333631373715</v>
      </c>
      <c r="AO292" s="62"/>
      <c r="AP292" s="70">
        <f t="shared" ref="AP292:AT292" si="888">H292/$AI292</f>
        <v>0.45207758984675755</v>
      </c>
      <c r="AQ292" s="70">
        <f t="shared" si="888"/>
        <v>0.10875990363360902</v>
      </c>
      <c r="AR292" s="70">
        <f t="shared" si="888"/>
        <v>0.3179842535330204</v>
      </c>
      <c r="AS292" s="70">
        <f t="shared" si="888"/>
        <v>6.7928370960931878E-2</v>
      </c>
      <c r="AT292" s="70">
        <f t="shared" si="888"/>
        <v>4.4109976901870206E-2</v>
      </c>
      <c r="AU292" s="70"/>
      <c r="AV292" s="70"/>
      <c r="AW292" s="81">
        <f t="shared" si="790"/>
        <v>9.1399051238109097E-3</v>
      </c>
      <c r="AX292" s="70">
        <f t="shared" ref="AX292:BG292" si="889">O292/$AI292</f>
        <v>0</v>
      </c>
      <c r="AY292" s="70">
        <f t="shared" si="889"/>
        <v>0</v>
      </c>
      <c r="AZ292" s="70">
        <f t="shared" si="889"/>
        <v>0</v>
      </c>
      <c r="BA292" s="70">
        <f t="shared" si="889"/>
        <v>0</v>
      </c>
      <c r="BB292" s="70">
        <f t="shared" si="889"/>
        <v>0</v>
      </c>
      <c r="BC292" s="70">
        <f t="shared" si="889"/>
        <v>0</v>
      </c>
      <c r="BD292" s="70">
        <f t="shared" si="889"/>
        <v>0</v>
      </c>
      <c r="BE292" s="70">
        <f t="shared" si="889"/>
        <v>0</v>
      </c>
      <c r="BF292" s="70">
        <f t="shared" si="889"/>
        <v>0</v>
      </c>
      <c r="BG292" s="70">
        <f t="shared" si="889"/>
        <v>0</v>
      </c>
      <c r="BH292" s="70">
        <f t="shared" si="792"/>
        <v>9.1399051238109097E-3</v>
      </c>
      <c r="BI292" s="62"/>
      <c r="BJ292" s="69">
        <v>0.45300000000000001</v>
      </c>
      <c r="BK292" s="69">
        <v>0.34300000000000003</v>
      </c>
      <c r="BL292" s="69">
        <v>0.13100000000000001</v>
      </c>
      <c r="BM292" s="69">
        <v>4.8000000000000001E-2</v>
      </c>
      <c r="BN292" s="69">
        <v>2.5999999999999999E-2</v>
      </c>
      <c r="BO292" s="69">
        <v>0</v>
      </c>
      <c r="BP292" s="69">
        <v>0</v>
      </c>
      <c r="BQ292" s="69">
        <v>0</v>
      </c>
      <c r="BR292" s="62"/>
      <c r="BS292" s="72">
        <f t="shared" ref="BS292:BW292" si="890">AP292-BJ292</f>
        <v>-9.224101532424589E-4</v>
      </c>
      <c r="BT292" s="72">
        <f t="shared" si="890"/>
        <v>-0.23424009636639101</v>
      </c>
      <c r="BU292" s="72">
        <f t="shared" si="890"/>
        <v>0.18698425353302039</v>
      </c>
      <c r="BV292" s="72">
        <f t="shared" si="890"/>
        <v>1.9928370960931877E-2</v>
      </c>
      <c r="BW292" s="72">
        <f t="shared" si="890"/>
        <v>1.8109976901870207E-2</v>
      </c>
      <c r="BX292" s="72"/>
      <c r="BY292" s="72"/>
      <c r="BZ292" s="72">
        <f t="shared" si="794"/>
        <v>9.1399051238109097E-3</v>
      </c>
    </row>
    <row r="293" spans="1:78" ht="13.15">
      <c r="A293" s="73" t="s">
        <v>6</v>
      </c>
      <c r="B293" s="74" t="s">
        <v>629</v>
      </c>
      <c r="C293" s="75" t="s">
        <v>630</v>
      </c>
      <c r="D293" s="75" t="s">
        <v>78</v>
      </c>
      <c r="E293" s="76"/>
      <c r="F293" s="59"/>
      <c r="G293" s="60"/>
      <c r="H293" s="77">
        <v>9817</v>
      </c>
      <c r="I293" s="77">
        <v>19374</v>
      </c>
      <c r="J293" s="77">
        <v>12468</v>
      </c>
      <c r="K293" s="77">
        <v>5882</v>
      </c>
      <c r="L293" s="77">
        <v>2300</v>
      </c>
      <c r="M293" s="77"/>
      <c r="N293" s="77"/>
      <c r="O293" s="77"/>
      <c r="P293" s="77"/>
      <c r="Q293" s="77"/>
      <c r="R293" s="77"/>
      <c r="S293" s="77"/>
      <c r="T293" s="77"/>
      <c r="U293" s="77"/>
      <c r="V293" s="77"/>
      <c r="W293" s="77"/>
      <c r="X293" s="77"/>
      <c r="Y293" s="77"/>
      <c r="Z293" s="77"/>
      <c r="AA293" s="77"/>
      <c r="AB293" s="77"/>
      <c r="AC293" s="77"/>
      <c r="AD293" s="77"/>
      <c r="AE293" s="62"/>
      <c r="AF293" s="63" t="b">
        <v>0</v>
      </c>
      <c r="AG293" s="63" t="b">
        <v>0</v>
      </c>
      <c r="AH293" s="62"/>
      <c r="AI293" s="64">
        <f t="shared" si="786"/>
        <v>49841</v>
      </c>
      <c r="AJ293" s="65" t="str">
        <f t="shared" si="340"/>
        <v>CON</v>
      </c>
      <c r="AK293" s="66" t="str">
        <f t="shared" si="787"/>
        <v>HOLD</v>
      </c>
      <c r="AL293" s="67" t="e">
        <f t="shared" ca="1" si="788"/>
        <v>#NAME?</v>
      </c>
      <c r="AM293" s="68">
        <f t="shared" si="637"/>
        <v>6906</v>
      </c>
      <c r="AN293" s="69">
        <f t="shared" si="638"/>
        <v>0.13856062278044179</v>
      </c>
      <c r="AO293" s="62"/>
      <c r="AP293" s="70">
        <f t="shared" ref="AP293:AT293" si="891">H293/$AI293</f>
        <v>0.19696635300254811</v>
      </c>
      <c r="AQ293" s="70">
        <f t="shared" si="891"/>
        <v>0.38871611725286409</v>
      </c>
      <c r="AR293" s="70">
        <f t="shared" si="891"/>
        <v>0.2501554944724223</v>
      </c>
      <c r="AS293" s="70">
        <f t="shared" si="891"/>
        <v>0.11801528861780462</v>
      </c>
      <c r="AT293" s="70">
        <f t="shared" si="891"/>
        <v>4.6146746654360866E-2</v>
      </c>
      <c r="AU293" s="70"/>
      <c r="AV293" s="70"/>
      <c r="AW293" s="81">
        <f t="shared" si="790"/>
        <v>0</v>
      </c>
      <c r="AX293" s="70">
        <f t="shared" ref="AX293:BG293" si="892">O293/$AI293</f>
        <v>0</v>
      </c>
      <c r="AY293" s="70">
        <f t="shared" si="892"/>
        <v>0</v>
      </c>
      <c r="AZ293" s="70">
        <f t="shared" si="892"/>
        <v>0</v>
      </c>
      <c r="BA293" s="70">
        <f t="shared" si="892"/>
        <v>0</v>
      </c>
      <c r="BB293" s="70">
        <f t="shared" si="892"/>
        <v>0</v>
      </c>
      <c r="BC293" s="70">
        <f t="shared" si="892"/>
        <v>0</v>
      </c>
      <c r="BD293" s="70">
        <f t="shared" si="892"/>
        <v>0</v>
      </c>
      <c r="BE293" s="70">
        <f t="shared" si="892"/>
        <v>0</v>
      </c>
      <c r="BF293" s="70">
        <f t="shared" si="892"/>
        <v>0</v>
      </c>
      <c r="BG293" s="70">
        <f t="shared" si="892"/>
        <v>0</v>
      </c>
      <c r="BH293" s="70">
        <f t="shared" si="792"/>
        <v>0</v>
      </c>
      <c r="BI293" s="62"/>
      <c r="BJ293" s="69">
        <v>0.126</v>
      </c>
      <c r="BK293" s="69">
        <v>0.72199999999999998</v>
      </c>
      <c r="BL293" s="69">
        <v>0</v>
      </c>
      <c r="BM293" s="69">
        <v>0.11700000000000001</v>
      </c>
      <c r="BN293" s="69">
        <v>3.5000000000000003E-2</v>
      </c>
      <c r="BO293" s="69">
        <v>0</v>
      </c>
      <c r="BP293" s="69">
        <v>0</v>
      </c>
      <c r="BQ293" s="69">
        <v>0</v>
      </c>
      <c r="BR293" s="62"/>
      <c r="BS293" s="72">
        <f t="shared" ref="BS293:BW293" si="893">AP293-BJ293</f>
        <v>7.096635300254811E-2</v>
      </c>
      <c r="BT293" s="72">
        <f t="shared" si="893"/>
        <v>-0.33328388274713588</v>
      </c>
      <c r="BU293" s="72">
        <f t="shared" si="893"/>
        <v>0.2501554944724223</v>
      </c>
      <c r="BV293" s="72">
        <f t="shared" si="893"/>
        <v>1.0152886178046161E-3</v>
      </c>
      <c r="BW293" s="72">
        <f t="shared" si="893"/>
        <v>1.1146746654360863E-2</v>
      </c>
      <c r="BX293" s="72"/>
      <c r="BY293" s="72"/>
      <c r="BZ293" s="72">
        <f t="shared" si="794"/>
        <v>0</v>
      </c>
    </row>
    <row r="294" spans="1:78" ht="13.15">
      <c r="A294" s="78" t="s">
        <v>5</v>
      </c>
      <c r="B294" s="74" t="s">
        <v>631</v>
      </c>
      <c r="C294" s="75" t="s">
        <v>632</v>
      </c>
      <c r="D294" s="75" t="s">
        <v>50</v>
      </c>
      <c r="E294" s="76"/>
      <c r="F294" s="59"/>
      <c r="G294" s="60"/>
      <c r="H294" s="77">
        <v>20184</v>
      </c>
      <c r="I294" s="77">
        <v>2823</v>
      </c>
      <c r="J294" s="77">
        <v>4760</v>
      </c>
      <c r="K294" s="77">
        <v>3051</v>
      </c>
      <c r="L294" s="77">
        <v>6387</v>
      </c>
      <c r="M294" s="77"/>
      <c r="N294" s="77"/>
      <c r="O294" s="77">
        <v>202</v>
      </c>
      <c r="P294" s="77">
        <v>1888</v>
      </c>
      <c r="Q294" s="77">
        <v>240</v>
      </c>
      <c r="R294" s="77"/>
      <c r="S294" s="77"/>
      <c r="T294" s="77"/>
      <c r="U294" s="77"/>
      <c r="V294" s="77"/>
      <c r="W294" s="77"/>
      <c r="X294" s="77"/>
      <c r="Y294" s="77">
        <v>131</v>
      </c>
      <c r="Z294" s="77">
        <v>59</v>
      </c>
      <c r="AA294" s="77"/>
      <c r="AB294" s="77"/>
      <c r="AC294" s="77"/>
      <c r="AD294" s="77"/>
      <c r="AE294" s="62"/>
      <c r="AF294" s="63" t="b">
        <v>0</v>
      </c>
      <c r="AG294" s="63" t="b">
        <v>0</v>
      </c>
      <c r="AH294" s="62"/>
      <c r="AI294" s="64">
        <f t="shared" si="786"/>
        <v>39725</v>
      </c>
      <c r="AJ294" s="65" t="str">
        <f t="shared" si="340"/>
        <v>LAB</v>
      </c>
      <c r="AK294" s="66" t="str">
        <f t="shared" si="787"/>
        <v>HOLD</v>
      </c>
      <c r="AL294" s="67" t="e">
        <f t="shared" ca="1" si="788"/>
        <v>#NAME?</v>
      </c>
      <c r="AM294" s="68">
        <f t="shared" si="637"/>
        <v>13797</v>
      </c>
      <c r="AN294" s="69">
        <f t="shared" si="638"/>
        <v>0.34731277533039639</v>
      </c>
      <c r="AO294" s="62"/>
      <c r="AP294" s="70">
        <f t="shared" ref="AP294:AT294" si="894">H294/$AI294</f>
        <v>0.50809314033983632</v>
      </c>
      <c r="AQ294" s="70">
        <f t="shared" si="894"/>
        <v>7.1063561988672128E-2</v>
      </c>
      <c r="AR294" s="70">
        <f t="shared" si="894"/>
        <v>0.1198237885462555</v>
      </c>
      <c r="AS294" s="70">
        <f t="shared" si="894"/>
        <v>7.6803020767778479E-2</v>
      </c>
      <c r="AT294" s="70">
        <f t="shared" si="894"/>
        <v>0.1607803650094399</v>
      </c>
      <c r="AU294" s="70"/>
      <c r="AV294" s="70"/>
      <c r="AW294" s="81">
        <f t="shared" si="790"/>
        <v>6.3436123348017626E-2</v>
      </c>
      <c r="AX294" s="70">
        <f t="shared" ref="AX294:BG294" si="895">O294/$AI294</f>
        <v>5.0849590937696665E-3</v>
      </c>
      <c r="AY294" s="70">
        <f t="shared" si="895"/>
        <v>4.7526746381371929E-2</v>
      </c>
      <c r="AZ294" s="70">
        <f t="shared" si="895"/>
        <v>6.041535556954059E-3</v>
      </c>
      <c r="BA294" s="70">
        <f t="shared" si="895"/>
        <v>0</v>
      </c>
      <c r="BB294" s="70">
        <f t="shared" si="895"/>
        <v>0</v>
      </c>
      <c r="BC294" s="70">
        <f t="shared" si="895"/>
        <v>0</v>
      </c>
      <c r="BD294" s="70">
        <f t="shared" si="895"/>
        <v>0</v>
      </c>
      <c r="BE294" s="70">
        <f t="shared" si="895"/>
        <v>0</v>
      </c>
      <c r="BF294" s="70">
        <f t="shared" si="895"/>
        <v>0</v>
      </c>
      <c r="BG294" s="70">
        <f t="shared" si="895"/>
        <v>0</v>
      </c>
      <c r="BH294" s="70">
        <f t="shared" si="792"/>
        <v>4.7828823159219713E-3</v>
      </c>
      <c r="BI294" s="62"/>
      <c r="BJ294" s="69">
        <v>0.65400000000000003</v>
      </c>
      <c r="BK294" s="69">
        <v>0.21</v>
      </c>
      <c r="BL294" s="69">
        <v>4.3999999999999997E-2</v>
      </c>
      <c r="BM294" s="69">
        <v>6.0999999999999999E-2</v>
      </c>
      <c r="BN294" s="69">
        <v>2.9000000000000001E-2</v>
      </c>
      <c r="BO294" s="69">
        <v>0</v>
      </c>
      <c r="BP294" s="69">
        <v>0</v>
      </c>
      <c r="BQ294" s="69">
        <v>3.0000000000000001E-3</v>
      </c>
      <c r="BR294" s="62"/>
      <c r="BS294" s="72">
        <f t="shared" ref="BS294:BW294" si="896">AP294-BJ294</f>
        <v>-0.1459068596601637</v>
      </c>
      <c r="BT294" s="72">
        <f t="shared" si="896"/>
        <v>-0.13893643801132788</v>
      </c>
      <c r="BU294" s="72">
        <f t="shared" si="896"/>
        <v>7.5823788546255502E-2</v>
      </c>
      <c r="BV294" s="72">
        <f t="shared" si="896"/>
        <v>1.5803020767778481E-2</v>
      </c>
      <c r="BW294" s="72">
        <f t="shared" si="896"/>
        <v>0.1317803650094399</v>
      </c>
      <c r="BX294" s="72"/>
      <c r="BY294" s="72"/>
      <c r="BZ294" s="72">
        <f t="shared" si="794"/>
        <v>6.0436123348017623E-2</v>
      </c>
    </row>
    <row r="295" spans="1:78" ht="13.15">
      <c r="A295" s="78" t="s">
        <v>5</v>
      </c>
      <c r="B295" s="74" t="s">
        <v>633</v>
      </c>
      <c r="C295" s="75" t="s">
        <v>634</v>
      </c>
      <c r="D295" s="75" t="s">
        <v>50</v>
      </c>
      <c r="E295" s="76"/>
      <c r="F295" s="59"/>
      <c r="G295" s="60"/>
      <c r="H295" s="77">
        <v>15054</v>
      </c>
      <c r="I295" s="77">
        <v>1678</v>
      </c>
      <c r="J295" s="77">
        <v>1313</v>
      </c>
      <c r="K295" s="77"/>
      <c r="L295" s="77">
        <v>6819</v>
      </c>
      <c r="M295" s="77"/>
      <c r="N295" s="77"/>
      <c r="O295" s="77">
        <v>342</v>
      </c>
      <c r="P295" s="77">
        <v>3660</v>
      </c>
      <c r="Q295" s="77"/>
      <c r="R295" s="77"/>
      <c r="S295" s="77"/>
      <c r="T295" s="77"/>
      <c r="U295" s="77"/>
      <c r="V295" s="77"/>
      <c r="W295" s="77"/>
      <c r="X295" s="77"/>
      <c r="Y295" s="77">
        <v>167</v>
      </c>
      <c r="Z295" s="77"/>
      <c r="AA295" s="77"/>
      <c r="AB295" s="77"/>
      <c r="AC295" s="77"/>
      <c r="AD295" s="77"/>
      <c r="AE295" s="62"/>
      <c r="AF295" s="63" t="b">
        <v>0</v>
      </c>
      <c r="AG295" s="63" t="b">
        <v>0</v>
      </c>
      <c r="AH295" s="62"/>
      <c r="AI295" s="64">
        <f t="shared" si="786"/>
        <v>29033</v>
      </c>
      <c r="AJ295" s="65" t="str">
        <f t="shared" si="340"/>
        <v>LAB</v>
      </c>
      <c r="AK295" s="66" t="str">
        <f t="shared" si="787"/>
        <v>HOLD</v>
      </c>
      <c r="AL295" s="67" t="e">
        <f t="shared" ca="1" si="788"/>
        <v>#NAME?</v>
      </c>
      <c r="AM295" s="68">
        <f t="shared" si="637"/>
        <v>8235</v>
      </c>
      <c r="AN295" s="69">
        <f t="shared" si="638"/>
        <v>0.28364275135190992</v>
      </c>
      <c r="AO295" s="62"/>
      <c r="AP295" s="70">
        <f t="shared" ref="AP295:AT295" si="897">H295/$AI295</f>
        <v>0.51851341576826371</v>
      </c>
      <c r="AQ295" s="70">
        <f t="shared" si="897"/>
        <v>5.7796300761202769E-2</v>
      </c>
      <c r="AR295" s="70">
        <f t="shared" si="897"/>
        <v>4.5224399820893463E-2</v>
      </c>
      <c r="AS295" s="70">
        <f t="shared" si="897"/>
        <v>0</v>
      </c>
      <c r="AT295" s="70">
        <f t="shared" si="897"/>
        <v>0.23487066441635379</v>
      </c>
      <c r="AU295" s="70"/>
      <c r="AV295" s="70"/>
      <c r="AW295" s="81">
        <f t="shared" si="790"/>
        <v>0.14359521923328633</v>
      </c>
      <c r="AX295" s="70">
        <f t="shared" ref="AX295:BG295" si="898">O295/$AI295</f>
        <v>1.1779698963248717E-2</v>
      </c>
      <c r="AY295" s="70">
        <f t="shared" si="898"/>
        <v>0.12606344504529329</v>
      </c>
      <c r="AZ295" s="70">
        <f t="shared" si="898"/>
        <v>0</v>
      </c>
      <c r="BA295" s="70">
        <f t="shared" si="898"/>
        <v>0</v>
      </c>
      <c r="BB295" s="70">
        <f t="shared" si="898"/>
        <v>0</v>
      </c>
      <c r="BC295" s="70">
        <f t="shared" si="898"/>
        <v>0</v>
      </c>
      <c r="BD295" s="70">
        <f t="shared" si="898"/>
        <v>0</v>
      </c>
      <c r="BE295" s="70">
        <f t="shared" si="898"/>
        <v>0</v>
      </c>
      <c r="BF295" s="70">
        <f t="shared" si="898"/>
        <v>0</v>
      </c>
      <c r="BG295" s="70">
        <f t="shared" si="898"/>
        <v>0</v>
      </c>
      <c r="BH295" s="70">
        <f t="shared" si="792"/>
        <v>5.7520752247443296E-3</v>
      </c>
      <c r="BI295" s="62"/>
      <c r="BJ295" s="69">
        <v>0.78600000000000003</v>
      </c>
      <c r="BK295" s="69">
        <v>9.0999999999999998E-2</v>
      </c>
      <c r="BL295" s="69">
        <v>0.04</v>
      </c>
      <c r="BM295" s="69">
        <v>0.04</v>
      </c>
      <c r="BN295" s="69">
        <v>4.2999999999999997E-2</v>
      </c>
      <c r="BO295" s="69">
        <v>0</v>
      </c>
      <c r="BP295" s="69">
        <v>0</v>
      </c>
      <c r="BQ295" s="69">
        <v>0</v>
      </c>
      <c r="BR295" s="62"/>
      <c r="BS295" s="72">
        <f t="shared" ref="BS295:BW295" si="899">AP295-BJ295</f>
        <v>-0.26748658423173632</v>
      </c>
      <c r="BT295" s="72">
        <f t="shared" si="899"/>
        <v>-3.3203699238797228E-2</v>
      </c>
      <c r="BU295" s="72">
        <f t="shared" si="899"/>
        <v>5.2243998208934619E-3</v>
      </c>
      <c r="BV295" s="72">
        <f t="shared" si="899"/>
        <v>-0.04</v>
      </c>
      <c r="BW295" s="72">
        <f t="shared" si="899"/>
        <v>0.19187066441635381</v>
      </c>
      <c r="BX295" s="72"/>
      <c r="BY295" s="72"/>
      <c r="BZ295" s="72">
        <f t="shared" si="794"/>
        <v>0.14359521923328633</v>
      </c>
    </row>
    <row r="296" spans="1:78" ht="13.15">
      <c r="A296" s="78" t="s">
        <v>5</v>
      </c>
      <c r="B296" s="74" t="s">
        <v>635</v>
      </c>
      <c r="C296" s="75" t="s">
        <v>636</v>
      </c>
      <c r="D296" s="75" t="s">
        <v>50</v>
      </c>
      <c r="E296" s="76"/>
      <c r="F296" s="59"/>
      <c r="G296" s="60"/>
      <c r="H296" s="77">
        <v>22066</v>
      </c>
      <c r="I296" s="77">
        <v>2280</v>
      </c>
      <c r="J296" s="77">
        <v>1961</v>
      </c>
      <c r="K296" s="77">
        <v>5412</v>
      </c>
      <c r="L296" s="77">
        <v>8084</v>
      </c>
      <c r="M296" s="77"/>
      <c r="N296" s="77"/>
      <c r="O296" s="77">
        <v>154</v>
      </c>
      <c r="P296" s="77">
        <v>1774</v>
      </c>
      <c r="Q296" s="77"/>
      <c r="R296" s="77"/>
      <c r="S296" s="77"/>
      <c r="T296" s="77"/>
      <c r="U296" s="77"/>
      <c r="V296" s="77"/>
      <c r="W296" s="77"/>
      <c r="X296" s="77"/>
      <c r="Y296" s="77"/>
      <c r="Z296" s="77"/>
      <c r="AA296" s="77"/>
      <c r="AB296" s="77"/>
      <c r="AC296" s="77"/>
      <c r="AD296" s="77"/>
      <c r="AE296" s="62"/>
      <c r="AF296" s="63" t="b">
        <v>0</v>
      </c>
      <c r="AG296" s="63" t="b">
        <v>0</v>
      </c>
      <c r="AH296" s="62"/>
      <c r="AI296" s="64">
        <f t="shared" si="786"/>
        <v>41731</v>
      </c>
      <c r="AJ296" s="65" t="str">
        <f t="shared" si="340"/>
        <v>LAB</v>
      </c>
      <c r="AK296" s="66" t="str">
        <f t="shared" si="787"/>
        <v>HOLD</v>
      </c>
      <c r="AL296" s="67" t="e">
        <f t="shared" ca="1" si="788"/>
        <v>#NAME?</v>
      </c>
      <c r="AM296" s="68">
        <f t="shared" si="637"/>
        <v>13982</v>
      </c>
      <c r="AN296" s="69">
        <f t="shared" si="638"/>
        <v>0.33505068174738201</v>
      </c>
      <c r="AO296" s="62"/>
      <c r="AP296" s="70">
        <f t="shared" ref="AP296:AT296" si="900">H296/$AI296</f>
        <v>0.52876758285207637</v>
      </c>
      <c r="AQ296" s="70">
        <f t="shared" si="900"/>
        <v>5.4635642567875203E-2</v>
      </c>
      <c r="AR296" s="70">
        <f t="shared" si="900"/>
        <v>4.6991445208597923E-2</v>
      </c>
      <c r="AS296" s="70">
        <f t="shared" si="900"/>
        <v>0.12968776209532482</v>
      </c>
      <c r="AT296" s="70">
        <f t="shared" si="900"/>
        <v>0.19371690110469436</v>
      </c>
      <c r="AU296" s="70"/>
      <c r="AV296" s="70"/>
      <c r="AW296" s="81">
        <f t="shared" si="790"/>
        <v>4.620066617143137E-2</v>
      </c>
      <c r="AX296" s="70">
        <f t="shared" ref="AX296:BG296" si="901">O296/$AI296</f>
        <v>3.690302173444202E-3</v>
      </c>
      <c r="AY296" s="70">
        <f t="shared" si="901"/>
        <v>4.2510363997987105E-2</v>
      </c>
      <c r="AZ296" s="70">
        <f t="shared" si="901"/>
        <v>0</v>
      </c>
      <c r="BA296" s="70">
        <f t="shared" si="901"/>
        <v>0</v>
      </c>
      <c r="BB296" s="70">
        <f t="shared" si="901"/>
        <v>0</v>
      </c>
      <c r="BC296" s="70">
        <f t="shared" si="901"/>
        <v>0</v>
      </c>
      <c r="BD296" s="70">
        <f t="shared" si="901"/>
        <v>0</v>
      </c>
      <c r="BE296" s="70">
        <f t="shared" si="901"/>
        <v>0</v>
      </c>
      <c r="BF296" s="70">
        <f t="shared" si="901"/>
        <v>0</v>
      </c>
      <c r="BG296" s="70">
        <f t="shared" si="901"/>
        <v>0</v>
      </c>
      <c r="BH296" s="70">
        <f t="shared" si="792"/>
        <v>6.2450045135165055E-17</v>
      </c>
      <c r="BI296" s="62"/>
      <c r="BJ296" s="69">
        <v>0.66500000000000004</v>
      </c>
      <c r="BK296" s="69">
        <v>0.113</v>
      </c>
      <c r="BL296" s="69">
        <v>2.5999999999999999E-2</v>
      </c>
      <c r="BM296" s="69">
        <v>0.157</v>
      </c>
      <c r="BN296" s="69">
        <v>4.1000000000000002E-2</v>
      </c>
      <c r="BO296" s="69">
        <v>0</v>
      </c>
      <c r="BP296" s="69">
        <v>0</v>
      </c>
      <c r="BQ296" s="69">
        <v>0</v>
      </c>
      <c r="BR296" s="62"/>
      <c r="BS296" s="72">
        <f t="shared" ref="BS296:BW296" si="902">AP296-BJ296</f>
        <v>-0.13623241714792367</v>
      </c>
      <c r="BT296" s="72">
        <f t="shared" si="902"/>
        <v>-5.83643574321248E-2</v>
      </c>
      <c r="BU296" s="72">
        <f t="shared" si="902"/>
        <v>2.0991445208597925E-2</v>
      </c>
      <c r="BV296" s="72">
        <f t="shared" si="902"/>
        <v>-2.7312237904675185E-2</v>
      </c>
      <c r="BW296" s="72">
        <f t="shared" si="902"/>
        <v>0.15271690110469435</v>
      </c>
      <c r="BX296" s="72"/>
      <c r="BY296" s="72"/>
      <c r="BZ296" s="72">
        <f t="shared" si="794"/>
        <v>4.620066617143137E-2</v>
      </c>
    </row>
    <row r="297" spans="1:78" ht="13.15">
      <c r="A297" s="73" t="s">
        <v>6</v>
      </c>
      <c r="B297" s="74" t="s">
        <v>637</v>
      </c>
      <c r="C297" s="75" t="s">
        <v>638</v>
      </c>
      <c r="D297" s="75" t="s">
        <v>53</v>
      </c>
      <c r="E297" s="76"/>
      <c r="F297" s="59"/>
      <c r="G297" s="60"/>
      <c r="H297" s="77">
        <v>16048</v>
      </c>
      <c r="I297" s="77">
        <v>12563</v>
      </c>
      <c r="J297" s="77">
        <v>9385</v>
      </c>
      <c r="K297" s="77">
        <v>799</v>
      </c>
      <c r="L297" s="77">
        <v>1326</v>
      </c>
      <c r="M297" s="77"/>
      <c r="N297" s="77"/>
      <c r="O297" s="77">
        <v>335</v>
      </c>
      <c r="P297" s="77"/>
      <c r="Q297" s="77"/>
      <c r="R297" s="77"/>
      <c r="S297" s="77"/>
      <c r="T297" s="77"/>
      <c r="U297" s="77"/>
      <c r="V297" s="77"/>
      <c r="W297" s="77"/>
      <c r="X297" s="77"/>
      <c r="Y297" s="77">
        <v>423</v>
      </c>
      <c r="Z297" s="77">
        <v>123</v>
      </c>
      <c r="AA297" s="77">
        <v>85</v>
      </c>
      <c r="AB297" s="77"/>
      <c r="AC297" s="77"/>
      <c r="AD297" s="77"/>
      <c r="AE297" s="62"/>
      <c r="AF297" s="63" t="b">
        <v>0</v>
      </c>
      <c r="AG297" s="63" t="b">
        <v>0</v>
      </c>
      <c r="AH297" s="62"/>
      <c r="AI297" s="64">
        <f t="shared" si="786"/>
        <v>41087</v>
      </c>
      <c r="AJ297" s="65" t="str">
        <f t="shared" si="340"/>
        <v>LAB</v>
      </c>
      <c r="AK297" s="66" t="str">
        <f t="shared" si="787"/>
        <v>GAIN</v>
      </c>
      <c r="AL297" s="67" t="e">
        <f t="shared" ca="1" si="788"/>
        <v>#NAME?</v>
      </c>
      <c r="AM297" s="68">
        <f t="shared" si="637"/>
        <v>3485</v>
      </c>
      <c r="AN297" s="69">
        <f t="shared" si="638"/>
        <v>8.4820016063475057E-2</v>
      </c>
      <c r="AO297" s="62"/>
      <c r="AP297" s="70">
        <f t="shared" ref="AP297:AT297" si="903">H297/$AI297</f>
        <v>0.3905858300679047</v>
      </c>
      <c r="AQ297" s="70">
        <f t="shared" si="903"/>
        <v>0.30576581400442965</v>
      </c>
      <c r="AR297" s="70">
        <f t="shared" si="903"/>
        <v>0.22841774770608708</v>
      </c>
      <c r="AS297" s="70">
        <f t="shared" si="903"/>
        <v>1.9446540268211358E-2</v>
      </c>
      <c r="AT297" s="70">
        <f t="shared" si="903"/>
        <v>3.2272981721712467E-2</v>
      </c>
      <c r="AU297" s="70"/>
      <c r="AV297" s="70"/>
      <c r="AW297" s="81">
        <f t="shared" si="790"/>
        <v>2.3511086231654765E-2</v>
      </c>
      <c r="AX297" s="70">
        <f t="shared" ref="AX297:BG297" si="904">O297/$AI297</f>
        <v>8.153430525470344E-3</v>
      </c>
      <c r="AY297" s="70">
        <f t="shared" si="904"/>
        <v>0</v>
      </c>
      <c r="AZ297" s="70">
        <f t="shared" si="904"/>
        <v>0</v>
      </c>
      <c r="BA297" s="70">
        <f t="shared" si="904"/>
        <v>0</v>
      </c>
      <c r="BB297" s="70">
        <f t="shared" si="904"/>
        <v>0</v>
      </c>
      <c r="BC297" s="70">
        <f t="shared" si="904"/>
        <v>0</v>
      </c>
      <c r="BD297" s="70">
        <f t="shared" si="904"/>
        <v>0</v>
      </c>
      <c r="BE297" s="70">
        <f t="shared" si="904"/>
        <v>0</v>
      </c>
      <c r="BF297" s="70">
        <f t="shared" si="904"/>
        <v>0</v>
      </c>
      <c r="BG297" s="70">
        <f t="shared" si="904"/>
        <v>0</v>
      </c>
      <c r="BH297" s="70">
        <f t="shared" si="792"/>
        <v>1.5357655706184421E-2</v>
      </c>
      <c r="BI297" s="62"/>
      <c r="BJ297" s="69">
        <v>0.30299999999999999</v>
      </c>
      <c r="BK297" s="69">
        <v>0.64300000000000002</v>
      </c>
      <c r="BL297" s="69">
        <v>0</v>
      </c>
      <c r="BM297" s="69">
        <v>3.3000000000000002E-2</v>
      </c>
      <c r="BN297" s="69">
        <v>0</v>
      </c>
      <c r="BO297" s="69">
        <v>0</v>
      </c>
      <c r="BP297" s="69">
        <v>0</v>
      </c>
      <c r="BQ297" s="69">
        <v>2.1000000000000001E-2</v>
      </c>
      <c r="BR297" s="62"/>
      <c r="BS297" s="72">
        <f t="shared" ref="BS297:BW297" si="905">AP297-BJ297</f>
        <v>8.7585830067904713E-2</v>
      </c>
      <c r="BT297" s="72">
        <f t="shared" si="905"/>
        <v>-0.33723418599557037</v>
      </c>
      <c r="BU297" s="72">
        <f t="shared" si="905"/>
        <v>0.22841774770608708</v>
      </c>
      <c r="BV297" s="72">
        <f t="shared" si="905"/>
        <v>-1.3553459731788644E-2</v>
      </c>
      <c r="BW297" s="72">
        <f t="shared" si="905"/>
        <v>3.2272981721712467E-2</v>
      </c>
      <c r="BX297" s="72"/>
      <c r="BY297" s="72"/>
      <c r="BZ297" s="72">
        <f t="shared" si="794"/>
        <v>2.511086231654764E-3</v>
      </c>
    </row>
    <row r="298" spans="1:78" ht="13.15">
      <c r="A298" s="73" t="s">
        <v>6</v>
      </c>
      <c r="B298" s="74" t="s">
        <v>639</v>
      </c>
      <c r="C298" s="75" t="s">
        <v>640</v>
      </c>
      <c r="D298" s="75" t="s">
        <v>85</v>
      </c>
      <c r="E298" s="76"/>
      <c r="F298" s="59"/>
      <c r="G298" s="60"/>
      <c r="H298" s="77">
        <v>4587</v>
      </c>
      <c r="I298" s="77">
        <v>17630</v>
      </c>
      <c r="J298" s="77">
        <v>6726</v>
      </c>
      <c r="K298" s="77">
        <v>20031</v>
      </c>
      <c r="L298" s="77">
        <v>2229</v>
      </c>
      <c r="M298" s="77"/>
      <c r="N298" s="77"/>
      <c r="O298" s="77"/>
      <c r="P298" s="77"/>
      <c r="Q298" s="77"/>
      <c r="R298" s="77"/>
      <c r="S298" s="77"/>
      <c r="T298" s="77"/>
      <c r="U298" s="77"/>
      <c r="V298" s="77"/>
      <c r="W298" s="77"/>
      <c r="X298" s="77"/>
      <c r="Y298" s="77"/>
      <c r="Z298" s="77"/>
      <c r="AA298" s="77"/>
      <c r="AB298" s="77"/>
      <c r="AC298" s="77"/>
      <c r="AD298" s="77"/>
      <c r="AE298" s="62"/>
      <c r="AF298" s="63" t="b">
        <v>0</v>
      </c>
      <c r="AG298" s="63" t="b">
        <v>0</v>
      </c>
      <c r="AH298" s="62"/>
      <c r="AI298" s="64">
        <f t="shared" si="786"/>
        <v>51203</v>
      </c>
      <c r="AJ298" s="65" t="str">
        <f t="shared" si="340"/>
        <v>LDM</v>
      </c>
      <c r="AK298" s="66" t="str">
        <f t="shared" si="787"/>
        <v>GAIN</v>
      </c>
      <c r="AL298" s="67" t="e">
        <f t="shared" ca="1" si="788"/>
        <v>#NAME?</v>
      </c>
      <c r="AM298" s="68">
        <f t="shared" si="637"/>
        <v>2401</v>
      </c>
      <c r="AN298" s="69">
        <f t="shared" si="638"/>
        <v>4.6891783684549715E-2</v>
      </c>
      <c r="AO298" s="62"/>
      <c r="AP298" s="70">
        <f t="shared" ref="AP298:AT298" si="906">H298/$AI298</f>
        <v>8.9584594652657071E-2</v>
      </c>
      <c r="AQ298" s="70">
        <f t="shared" si="906"/>
        <v>0.34431576274827647</v>
      </c>
      <c r="AR298" s="70">
        <f t="shared" si="906"/>
        <v>0.13135949065484445</v>
      </c>
      <c r="AS298" s="70">
        <f t="shared" si="906"/>
        <v>0.39120754643282618</v>
      </c>
      <c r="AT298" s="70">
        <f t="shared" si="906"/>
        <v>4.3532605511395817E-2</v>
      </c>
      <c r="AU298" s="70"/>
      <c r="AV298" s="70"/>
      <c r="AW298" s="81">
        <f t="shared" si="790"/>
        <v>0</v>
      </c>
      <c r="AX298" s="70">
        <f t="shared" ref="AX298:BG298" si="907">O298/$AI298</f>
        <v>0</v>
      </c>
      <c r="AY298" s="70">
        <f t="shared" si="907"/>
        <v>0</v>
      </c>
      <c r="AZ298" s="70">
        <f t="shared" si="907"/>
        <v>0</v>
      </c>
      <c r="BA298" s="70">
        <f t="shared" si="907"/>
        <v>0</v>
      </c>
      <c r="BB298" s="70">
        <f t="shared" si="907"/>
        <v>0</v>
      </c>
      <c r="BC298" s="70">
        <f t="shared" si="907"/>
        <v>0</v>
      </c>
      <c r="BD298" s="70">
        <f t="shared" si="907"/>
        <v>0</v>
      </c>
      <c r="BE298" s="70">
        <f t="shared" si="907"/>
        <v>0</v>
      </c>
      <c r="BF298" s="70">
        <f t="shared" si="907"/>
        <v>0</v>
      </c>
      <c r="BG298" s="70">
        <f t="shared" si="907"/>
        <v>0</v>
      </c>
      <c r="BH298" s="70">
        <f t="shared" si="792"/>
        <v>0</v>
      </c>
      <c r="BI298" s="62"/>
      <c r="BJ298" s="69">
        <v>0.12</v>
      </c>
      <c r="BK298" s="69">
        <v>0.57799999999999996</v>
      </c>
      <c r="BL298" s="69">
        <v>0</v>
      </c>
      <c r="BM298" s="69">
        <v>0.27300000000000002</v>
      </c>
      <c r="BN298" s="69">
        <v>0.03</v>
      </c>
      <c r="BO298" s="69">
        <v>0</v>
      </c>
      <c r="BP298" s="69">
        <v>0</v>
      </c>
      <c r="BQ298" s="69">
        <v>0</v>
      </c>
      <c r="BR298" s="62"/>
      <c r="BS298" s="72">
        <f t="shared" ref="BS298:BW298" si="908">AP298-BJ298</f>
        <v>-3.0415405347342925E-2</v>
      </c>
      <c r="BT298" s="72">
        <f t="shared" si="908"/>
        <v>-0.23368423725172349</v>
      </c>
      <c r="BU298" s="72">
        <f t="shared" si="908"/>
        <v>0.13135949065484445</v>
      </c>
      <c r="BV298" s="72">
        <f t="shared" si="908"/>
        <v>0.11820754643282616</v>
      </c>
      <c r="BW298" s="72">
        <f t="shared" si="908"/>
        <v>1.3532605511395818E-2</v>
      </c>
      <c r="BX298" s="72"/>
      <c r="BY298" s="72"/>
      <c r="BZ298" s="72">
        <f t="shared" si="794"/>
        <v>0</v>
      </c>
    </row>
    <row r="299" spans="1:78" ht="13.15">
      <c r="A299" s="73" t="s">
        <v>6</v>
      </c>
      <c r="B299" s="74" t="s">
        <v>641</v>
      </c>
      <c r="C299" s="75" t="s">
        <v>642</v>
      </c>
      <c r="D299" s="75" t="s">
        <v>53</v>
      </c>
      <c r="E299" s="76"/>
      <c r="F299" s="59"/>
      <c r="G299" s="60"/>
      <c r="H299" s="77">
        <v>12130</v>
      </c>
      <c r="I299" s="77">
        <v>17526</v>
      </c>
      <c r="J299" s="77">
        <v>8945</v>
      </c>
      <c r="K299" s="77">
        <v>2547</v>
      </c>
      <c r="L299" s="77">
        <v>3685</v>
      </c>
      <c r="M299" s="77"/>
      <c r="N299" s="77"/>
      <c r="O299" s="77">
        <v>517</v>
      </c>
      <c r="P299" s="77"/>
      <c r="Q299" s="77"/>
      <c r="R299" s="77"/>
      <c r="S299" s="77"/>
      <c r="T299" s="77"/>
      <c r="U299" s="77"/>
      <c r="V299" s="77"/>
      <c r="W299" s="77"/>
      <c r="X299" s="77"/>
      <c r="Y299" s="77">
        <v>348</v>
      </c>
      <c r="Z299" s="77">
        <v>288</v>
      </c>
      <c r="AA299" s="77"/>
      <c r="AB299" s="77"/>
      <c r="AC299" s="77"/>
      <c r="AD299" s="77"/>
      <c r="AE299" s="62"/>
      <c r="AF299" s="63" t="b">
        <v>0</v>
      </c>
      <c r="AG299" s="63" t="b">
        <v>0</v>
      </c>
      <c r="AH299" s="62"/>
      <c r="AI299" s="64">
        <f t="shared" si="786"/>
        <v>45986</v>
      </c>
      <c r="AJ299" s="65" t="str">
        <f t="shared" si="340"/>
        <v>CON</v>
      </c>
      <c r="AK299" s="66" t="str">
        <f t="shared" si="787"/>
        <v>HOLD</v>
      </c>
      <c r="AL299" s="67" t="e">
        <f t="shared" ca="1" si="788"/>
        <v>#NAME?</v>
      </c>
      <c r="AM299" s="68">
        <f t="shared" si="637"/>
        <v>5396</v>
      </c>
      <c r="AN299" s="69">
        <f t="shared" si="638"/>
        <v>0.11734006001826647</v>
      </c>
      <c r="AO299" s="62"/>
      <c r="AP299" s="70">
        <f t="shared" ref="AP299:AT299" si="909">H299/$AI299</f>
        <v>0.26377593180533204</v>
      </c>
      <c r="AQ299" s="70">
        <f t="shared" si="909"/>
        <v>0.38111599182359851</v>
      </c>
      <c r="AR299" s="70">
        <f t="shared" si="909"/>
        <v>0.19451572217631452</v>
      </c>
      <c r="AS299" s="70">
        <f t="shared" si="909"/>
        <v>5.5386421954507895E-2</v>
      </c>
      <c r="AT299" s="70">
        <f t="shared" si="909"/>
        <v>8.0133083982081507E-2</v>
      </c>
      <c r="AU299" s="70"/>
      <c r="AV299" s="70"/>
      <c r="AW299" s="81">
        <f t="shared" si="790"/>
        <v>2.507284825816547E-2</v>
      </c>
      <c r="AX299" s="70">
        <f t="shared" ref="AX299:BG299" si="910">O299/$AI299</f>
        <v>1.1242552081068152E-2</v>
      </c>
      <c r="AY299" s="70">
        <f t="shared" si="910"/>
        <v>0</v>
      </c>
      <c r="AZ299" s="70">
        <f t="shared" si="910"/>
        <v>0</v>
      </c>
      <c r="BA299" s="70">
        <f t="shared" si="910"/>
        <v>0</v>
      </c>
      <c r="BB299" s="70">
        <f t="shared" si="910"/>
        <v>0</v>
      </c>
      <c r="BC299" s="70">
        <f t="shared" si="910"/>
        <v>0</v>
      </c>
      <c r="BD299" s="70">
        <f t="shared" si="910"/>
        <v>0</v>
      </c>
      <c r="BE299" s="70">
        <f t="shared" si="910"/>
        <v>0</v>
      </c>
      <c r="BF299" s="70">
        <f t="shared" si="910"/>
        <v>0</v>
      </c>
      <c r="BG299" s="70">
        <f t="shared" si="910"/>
        <v>0</v>
      </c>
      <c r="BH299" s="70">
        <f t="shared" si="792"/>
        <v>1.3830296177097318E-2</v>
      </c>
      <c r="BI299" s="62"/>
      <c r="BJ299" s="69">
        <v>0.23499999999999999</v>
      </c>
      <c r="BK299" s="69">
        <v>0.63300000000000001</v>
      </c>
      <c r="BL299" s="69">
        <v>0</v>
      </c>
      <c r="BM299" s="69">
        <v>7.6999999999999999E-2</v>
      </c>
      <c r="BN299" s="69">
        <v>5.5E-2</v>
      </c>
      <c r="BO299" s="69">
        <v>0</v>
      </c>
      <c r="BP299" s="69">
        <v>0</v>
      </c>
      <c r="BQ299" s="69">
        <v>0</v>
      </c>
      <c r="BR299" s="62"/>
      <c r="BS299" s="72">
        <f t="shared" ref="BS299:BW299" si="911">AP299-BJ299</f>
        <v>2.8775931805332056E-2</v>
      </c>
      <c r="BT299" s="72">
        <f t="shared" si="911"/>
        <v>-0.2518840081764015</v>
      </c>
      <c r="BU299" s="72">
        <f t="shared" si="911"/>
        <v>0.19451572217631452</v>
      </c>
      <c r="BV299" s="72">
        <f t="shared" si="911"/>
        <v>-2.1613578045492104E-2</v>
      </c>
      <c r="BW299" s="72">
        <f t="shared" si="911"/>
        <v>2.5133083982081507E-2</v>
      </c>
      <c r="BX299" s="72"/>
      <c r="BY299" s="72"/>
      <c r="BZ299" s="72">
        <f t="shared" si="794"/>
        <v>2.507284825816547E-2</v>
      </c>
    </row>
    <row r="300" spans="1:78" ht="13.15">
      <c r="A300" s="73" t="s">
        <v>6</v>
      </c>
      <c r="B300" s="74" t="s">
        <v>643</v>
      </c>
      <c r="C300" s="75" t="s">
        <v>644</v>
      </c>
      <c r="D300" s="75" t="s">
        <v>47</v>
      </c>
      <c r="E300" s="76"/>
      <c r="F300" s="59"/>
      <c r="G300" s="60"/>
      <c r="H300" s="77">
        <v>12208</v>
      </c>
      <c r="I300" s="77">
        <v>16792</v>
      </c>
      <c r="J300" s="77">
        <v>8753</v>
      </c>
      <c r="K300" s="77">
        <v>3353</v>
      </c>
      <c r="L300" s="77">
        <v>2929</v>
      </c>
      <c r="M300" s="77"/>
      <c r="N300" s="77"/>
      <c r="O300" s="77"/>
      <c r="P300" s="77"/>
      <c r="Q300" s="77"/>
      <c r="R300" s="77"/>
      <c r="S300" s="77"/>
      <c r="T300" s="77"/>
      <c r="U300" s="77"/>
      <c r="V300" s="77"/>
      <c r="W300" s="77"/>
      <c r="X300" s="77"/>
      <c r="Y300" s="77"/>
      <c r="Z300" s="77"/>
      <c r="AA300" s="77"/>
      <c r="AB300" s="77"/>
      <c r="AC300" s="77"/>
      <c r="AD300" s="77"/>
      <c r="AE300" s="62"/>
      <c r="AF300" s="63" t="b">
        <v>0</v>
      </c>
      <c r="AG300" s="63" t="b">
        <v>0</v>
      </c>
      <c r="AH300" s="62"/>
      <c r="AI300" s="64">
        <f t="shared" si="786"/>
        <v>44035</v>
      </c>
      <c r="AJ300" s="65" t="str">
        <f t="shared" si="340"/>
        <v>CON</v>
      </c>
      <c r="AK300" s="66" t="str">
        <f t="shared" si="787"/>
        <v>HOLD</v>
      </c>
      <c r="AL300" s="67" t="e">
        <f t="shared" ca="1" si="788"/>
        <v>#NAME?</v>
      </c>
      <c r="AM300" s="68">
        <f t="shared" si="637"/>
        <v>4584</v>
      </c>
      <c r="AN300" s="69">
        <f t="shared" si="638"/>
        <v>0.10409901214942663</v>
      </c>
      <c r="AO300" s="62"/>
      <c r="AP300" s="70">
        <f t="shared" ref="AP300:AT300" si="912">H300/$AI300</f>
        <v>0.27723401839445894</v>
      </c>
      <c r="AQ300" s="70">
        <f t="shared" si="912"/>
        <v>0.38133303054388556</v>
      </c>
      <c r="AR300" s="70">
        <f t="shared" si="912"/>
        <v>0.19877370273645964</v>
      </c>
      <c r="AS300" s="70">
        <f t="shared" si="912"/>
        <v>7.6143976382423068E-2</v>
      </c>
      <c r="AT300" s="70">
        <f t="shared" si="912"/>
        <v>6.6515271942772791E-2</v>
      </c>
      <c r="AU300" s="70"/>
      <c r="AV300" s="70"/>
      <c r="AW300" s="81">
        <f t="shared" si="790"/>
        <v>0</v>
      </c>
      <c r="AX300" s="70">
        <f t="shared" ref="AX300:BG300" si="913">O300/$AI300</f>
        <v>0</v>
      </c>
      <c r="AY300" s="70">
        <f t="shared" si="913"/>
        <v>0</v>
      </c>
      <c r="AZ300" s="70">
        <f t="shared" si="913"/>
        <v>0</v>
      </c>
      <c r="BA300" s="70">
        <f t="shared" si="913"/>
        <v>0</v>
      </c>
      <c r="BB300" s="70">
        <f t="shared" si="913"/>
        <v>0</v>
      </c>
      <c r="BC300" s="70">
        <f t="shared" si="913"/>
        <v>0</v>
      </c>
      <c r="BD300" s="70">
        <f t="shared" si="913"/>
        <v>0</v>
      </c>
      <c r="BE300" s="70">
        <f t="shared" si="913"/>
        <v>0</v>
      </c>
      <c r="BF300" s="70">
        <f t="shared" si="913"/>
        <v>0</v>
      </c>
      <c r="BG300" s="70">
        <f t="shared" si="913"/>
        <v>0</v>
      </c>
      <c r="BH300" s="70">
        <f t="shared" si="792"/>
        <v>0</v>
      </c>
      <c r="BI300" s="62"/>
      <c r="BJ300" s="69">
        <v>0.20899999999999999</v>
      </c>
      <c r="BK300" s="69">
        <v>0.624</v>
      </c>
      <c r="BL300" s="69">
        <v>0</v>
      </c>
      <c r="BM300" s="69">
        <v>0.13600000000000001</v>
      </c>
      <c r="BN300" s="69">
        <v>3.2000000000000001E-2</v>
      </c>
      <c r="BO300" s="69">
        <v>0</v>
      </c>
      <c r="BP300" s="69">
        <v>0</v>
      </c>
      <c r="BQ300" s="69">
        <v>0</v>
      </c>
      <c r="BR300" s="62"/>
      <c r="BS300" s="72">
        <f t="shared" ref="BS300:BW300" si="914">AP300-BJ300</f>
        <v>6.8234018394458945E-2</v>
      </c>
      <c r="BT300" s="72">
        <f t="shared" si="914"/>
        <v>-0.24266696945611443</v>
      </c>
      <c r="BU300" s="72">
        <f t="shared" si="914"/>
        <v>0.19877370273645964</v>
      </c>
      <c r="BV300" s="72">
        <f t="shared" si="914"/>
        <v>-5.9856023617576942E-2</v>
      </c>
      <c r="BW300" s="72">
        <f t="shared" si="914"/>
        <v>3.4515271942772791E-2</v>
      </c>
      <c r="BX300" s="72"/>
      <c r="BY300" s="72"/>
      <c r="BZ300" s="72">
        <f t="shared" si="794"/>
        <v>0</v>
      </c>
    </row>
    <row r="301" spans="1:78" ht="13.15">
      <c r="A301" s="73" t="s">
        <v>6</v>
      </c>
      <c r="B301" s="74" t="s">
        <v>645</v>
      </c>
      <c r="C301" s="75" t="s">
        <v>646</v>
      </c>
      <c r="D301" s="75" t="s">
        <v>78</v>
      </c>
      <c r="E301" s="76"/>
      <c r="F301" s="59"/>
      <c r="G301" s="60"/>
      <c r="H301" s="77">
        <v>15591</v>
      </c>
      <c r="I301" s="77">
        <v>16912</v>
      </c>
      <c r="J301" s="77">
        <v>8594</v>
      </c>
      <c r="K301" s="77">
        <v>4068</v>
      </c>
      <c r="L301" s="77">
        <v>2584</v>
      </c>
      <c r="M301" s="77"/>
      <c r="N301" s="77"/>
      <c r="O301" s="77">
        <v>1700</v>
      </c>
      <c r="P301" s="77"/>
      <c r="Q301" s="77"/>
      <c r="R301" s="77"/>
      <c r="S301" s="77"/>
      <c r="T301" s="77"/>
      <c r="U301" s="77"/>
      <c r="V301" s="77"/>
      <c r="W301" s="77"/>
      <c r="X301" s="77"/>
      <c r="Y301" s="77">
        <v>1072</v>
      </c>
      <c r="Z301" s="77"/>
      <c r="AA301" s="77"/>
      <c r="AB301" s="77"/>
      <c r="AC301" s="77"/>
      <c r="AD301" s="77"/>
      <c r="AE301" s="62"/>
      <c r="AF301" s="63" t="b">
        <v>0</v>
      </c>
      <c r="AG301" s="63" t="b">
        <v>0</v>
      </c>
      <c r="AH301" s="62"/>
      <c r="AI301" s="64">
        <f t="shared" si="786"/>
        <v>50521</v>
      </c>
      <c r="AJ301" s="65" t="str">
        <f t="shared" si="340"/>
        <v>CON</v>
      </c>
      <c r="AK301" s="66" t="str">
        <f t="shared" si="787"/>
        <v>HOLD</v>
      </c>
      <c r="AL301" s="67" t="e">
        <f t="shared" ca="1" si="788"/>
        <v>#NAME?</v>
      </c>
      <c r="AM301" s="68">
        <f t="shared" si="637"/>
        <v>1321</v>
      </c>
      <c r="AN301" s="69">
        <f t="shared" si="638"/>
        <v>2.6147542606045016E-2</v>
      </c>
      <c r="AO301" s="62"/>
      <c r="AP301" s="70">
        <f t="shared" ref="AP301:AT301" si="915">H301/$AI301</f>
        <v>0.30860434274856002</v>
      </c>
      <c r="AQ301" s="70">
        <f t="shared" si="915"/>
        <v>0.33475188535460504</v>
      </c>
      <c r="AR301" s="70">
        <f t="shared" si="915"/>
        <v>0.17010748005779774</v>
      </c>
      <c r="AS301" s="70">
        <f t="shared" si="915"/>
        <v>8.0520971477207492E-2</v>
      </c>
      <c r="AT301" s="70">
        <f t="shared" si="915"/>
        <v>5.1147047762316662E-2</v>
      </c>
      <c r="AU301" s="70"/>
      <c r="AV301" s="70"/>
      <c r="AW301" s="81">
        <f t="shared" si="790"/>
        <v>5.4868272599512991E-2</v>
      </c>
      <c r="AX301" s="70">
        <f t="shared" ref="AX301:BG301" si="916">O301/$AI301</f>
        <v>3.3649373527839907E-2</v>
      </c>
      <c r="AY301" s="70">
        <f t="shared" si="916"/>
        <v>0</v>
      </c>
      <c r="AZ301" s="70">
        <f t="shared" si="916"/>
        <v>0</v>
      </c>
      <c r="BA301" s="70">
        <f t="shared" si="916"/>
        <v>0</v>
      </c>
      <c r="BB301" s="70">
        <f t="shared" si="916"/>
        <v>0</v>
      </c>
      <c r="BC301" s="70">
        <f t="shared" si="916"/>
        <v>0</v>
      </c>
      <c r="BD301" s="70">
        <f t="shared" si="916"/>
        <v>0</v>
      </c>
      <c r="BE301" s="70">
        <f t="shared" si="916"/>
        <v>0</v>
      </c>
      <c r="BF301" s="70">
        <f t="shared" si="916"/>
        <v>0</v>
      </c>
      <c r="BG301" s="70">
        <f t="shared" si="916"/>
        <v>0</v>
      </c>
      <c r="BH301" s="70">
        <f t="shared" si="792"/>
        <v>2.1218899071673084E-2</v>
      </c>
      <c r="BI301" s="62"/>
      <c r="BJ301" s="69">
        <v>0.20499999999999999</v>
      </c>
      <c r="BK301" s="69">
        <v>0.60499999999999998</v>
      </c>
      <c r="BL301" s="69">
        <v>0</v>
      </c>
      <c r="BM301" s="69">
        <v>0.125</v>
      </c>
      <c r="BN301" s="69">
        <v>3.9E-2</v>
      </c>
      <c r="BO301" s="69">
        <v>0</v>
      </c>
      <c r="BP301" s="69">
        <v>0</v>
      </c>
      <c r="BQ301" s="69">
        <v>2.5999999999999999E-2</v>
      </c>
      <c r="BR301" s="62"/>
      <c r="BS301" s="72">
        <f t="shared" ref="BS301:BW301" si="917">AP301-BJ301</f>
        <v>0.10360434274856004</v>
      </c>
      <c r="BT301" s="72">
        <f t="shared" si="917"/>
        <v>-0.27024811464539494</v>
      </c>
      <c r="BU301" s="72">
        <f t="shared" si="917"/>
        <v>0.17010748005779774</v>
      </c>
      <c r="BV301" s="72">
        <f t="shared" si="917"/>
        <v>-4.4479028522792508E-2</v>
      </c>
      <c r="BW301" s="72">
        <f t="shared" si="917"/>
        <v>1.2147047762316662E-2</v>
      </c>
      <c r="BX301" s="72"/>
      <c r="BY301" s="72"/>
      <c r="BZ301" s="72">
        <f t="shared" si="794"/>
        <v>2.8868272599512992E-2</v>
      </c>
    </row>
    <row r="302" spans="1:78" ht="13.15">
      <c r="A302" s="73" t="s">
        <v>6</v>
      </c>
      <c r="B302" s="74" t="s">
        <v>647</v>
      </c>
      <c r="C302" s="75" t="s">
        <v>648</v>
      </c>
      <c r="D302" s="75" t="s">
        <v>44</v>
      </c>
      <c r="E302" s="76"/>
      <c r="F302" s="59"/>
      <c r="G302" s="60"/>
      <c r="H302" s="77">
        <v>9171</v>
      </c>
      <c r="I302" s="77">
        <v>20150</v>
      </c>
      <c r="J302" s="77">
        <v>6926</v>
      </c>
      <c r="K302" s="77">
        <v>14278</v>
      </c>
      <c r="L302" s="77">
        <v>2942</v>
      </c>
      <c r="M302" s="77"/>
      <c r="N302" s="77"/>
      <c r="O302" s="77"/>
      <c r="P302" s="77"/>
      <c r="Q302" s="77">
        <v>337</v>
      </c>
      <c r="R302" s="77"/>
      <c r="S302" s="77"/>
      <c r="T302" s="77"/>
      <c r="U302" s="77"/>
      <c r="V302" s="77"/>
      <c r="W302" s="77"/>
      <c r="X302" s="77"/>
      <c r="Y302" s="77">
        <v>147</v>
      </c>
      <c r="Z302" s="77"/>
      <c r="AA302" s="77"/>
      <c r="AB302" s="77"/>
      <c r="AC302" s="77"/>
      <c r="AD302" s="77"/>
      <c r="AE302" s="62"/>
      <c r="AF302" s="63" t="b">
        <v>0</v>
      </c>
      <c r="AG302" s="63" t="b">
        <v>0</v>
      </c>
      <c r="AH302" s="62"/>
      <c r="AI302" s="64">
        <f t="shared" si="786"/>
        <v>53951</v>
      </c>
      <c r="AJ302" s="65" t="str">
        <f t="shared" si="340"/>
        <v>CON</v>
      </c>
      <c r="AK302" s="66" t="str">
        <f t="shared" si="787"/>
        <v>HOLD</v>
      </c>
      <c r="AL302" s="67" t="e">
        <f t="shared" ca="1" si="788"/>
        <v>#NAME?</v>
      </c>
      <c r="AM302" s="68">
        <f t="shared" si="637"/>
        <v>5872</v>
      </c>
      <c r="AN302" s="69">
        <f t="shared" si="638"/>
        <v>0.10883950251153829</v>
      </c>
      <c r="AO302" s="62"/>
      <c r="AP302" s="70">
        <f t="shared" ref="AP302:AT302" si="918">H302/$AI302</f>
        <v>0.16998758132379382</v>
      </c>
      <c r="AQ302" s="70">
        <f t="shared" si="918"/>
        <v>0.37348705306667163</v>
      </c>
      <c r="AR302" s="70">
        <f t="shared" si="918"/>
        <v>0.12837574836425644</v>
      </c>
      <c r="AS302" s="70">
        <f t="shared" si="918"/>
        <v>0.26464755055513334</v>
      </c>
      <c r="AT302" s="70">
        <f t="shared" si="918"/>
        <v>5.4530963281496175E-2</v>
      </c>
      <c r="AU302" s="70"/>
      <c r="AV302" s="70"/>
      <c r="AW302" s="81">
        <f t="shared" si="790"/>
        <v>8.9711034086484842E-3</v>
      </c>
      <c r="AX302" s="70">
        <f t="shared" ref="AX302:BG302" si="919">O302/$AI302</f>
        <v>0</v>
      </c>
      <c r="AY302" s="70">
        <f t="shared" si="919"/>
        <v>0</v>
      </c>
      <c r="AZ302" s="70">
        <f t="shared" si="919"/>
        <v>6.2464087783358976E-3</v>
      </c>
      <c r="BA302" s="70">
        <f t="shared" si="919"/>
        <v>0</v>
      </c>
      <c r="BB302" s="70">
        <f t="shared" si="919"/>
        <v>0</v>
      </c>
      <c r="BC302" s="70">
        <f t="shared" si="919"/>
        <v>0</v>
      </c>
      <c r="BD302" s="70">
        <f t="shared" si="919"/>
        <v>0</v>
      </c>
      <c r="BE302" s="70">
        <f t="shared" si="919"/>
        <v>0</v>
      </c>
      <c r="BF302" s="70">
        <f t="shared" si="919"/>
        <v>0</v>
      </c>
      <c r="BG302" s="70">
        <f t="shared" si="919"/>
        <v>0</v>
      </c>
      <c r="BH302" s="70">
        <f t="shared" si="792"/>
        <v>2.7246946303125866E-3</v>
      </c>
      <c r="BI302" s="62"/>
      <c r="BJ302" s="69">
        <v>0.153</v>
      </c>
      <c r="BK302" s="69">
        <v>0.61499999999999999</v>
      </c>
      <c r="BL302" s="69">
        <v>8.9999999999999993E-3</v>
      </c>
      <c r="BM302" s="69">
        <v>0.19700000000000001</v>
      </c>
      <c r="BN302" s="69">
        <v>2.7E-2</v>
      </c>
      <c r="BO302" s="69">
        <v>0</v>
      </c>
      <c r="BP302" s="69">
        <v>0</v>
      </c>
      <c r="BQ302" s="69">
        <v>0</v>
      </c>
      <c r="BR302" s="62"/>
      <c r="BS302" s="72">
        <f t="shared" ref="BS302:BW302" si="920">AP302-BJ302</f>
        <v>1.6987581323793827E-2</v>
      </c>
      <c r="BT302" s="72">
        <f t="shared" si="920"/>
        <v>-0.24151294693332837</v>
      </c>
      <c r="BU302" s="72">
        <f t="shared" si="920"/>
        <v>0.11937574836425645</v>
      </c>
      <c r="BV302" s="72">
        <f t="shared" si="920"/>
        <v>6.7647550555133329E-2</v>
      </c>
      <c r="BW302" s="72">
        <f t="shared" si="920"/>
        <v>2.7530963281496176E-2</v>
      </c>
      <c r="BX302" s="72"/>
      <c r="BY302" s="72"/>
      <c r="BZ302" s="72">
        <f t="shared" si="794"/>
        <v>8.9711034086484842E-3</v>
      </c>
    </row>
    <row r="303" spans="1:78" ht="13.15">
      <c r="A303" s="73" t="s">
        <v>6</v>
      </c>
      <c r="B303" s="74" t="s">
        <v>649</v>
      </c>
      <c r="C303" s="75" t="s">
        <v>650</v>
      </c>
      <c r="D303" s="75" t="s">
        <v>50</v>
      </c>
      <c r="E303" s="76"/>
      <c r="F303" s="59"/>
      <c r="G303" s="60"/>
      <c r="H303" s="77">
        <v>18457</v>
      </c>
      <c r="I303" s="77">
        <v>9530</v>
      </c>
      <c r="J303" s="77">
        <v>7967</v>
      </c>
      <c r="K303" s="77">
        <v>2465</v>
      </c>
      <c r="L303" s="77">
        <v>1967</v>
      </c>
      <c r="M303" s="77"/>
      <c r="N303" s="77"/>
      <c r="O303" s="77">
        <v>850</v>
      </c>
      <c r="P303" s="77"/>
      <c r="Q303" s="77"/>
      <c r="R303" s="77"/>
      <c r="S303" s="77"/>
      <c r="T303" s="77"/>
      <c r="U303" s="77"/>
      <c r="V303" s="77"/>
      <c r="W303" s="77"/>
      <c r="X303" s="77"/>
      <c r="Y303" s="77">
        <v>273</v>
      </c>
      <c r="Z303" s="77"/>
      <c r="AA303" s="77"/>
      <c r="AB303" s="77"/>
      <c r="AC303" s="77"/>
      <c r="AD303" s="77"/>
      <c r="AE303" s="62"/>
      <c r="AF303" s="63" t="b">
        <v>0</v>
      </c>
      <c r="AG303" s="63" t="b">
        <v>0</v>
      </c>
      <c r="AH303" s="62"/>
      <c r="AI303" s="64">
        <f t="shared" si="786"/>
        <v>41509</v>
      </c>
      <c r="AJ303" s="65" t="str">
        <f t="shared" si="340"/>
        <v>LAB</v>
      </c>
      <c r="AK303" s="66" t="str">
        <f t="shared" si="787"/>
        <v>GAIN</v>
      </c>
      <c r="AL303" s="67" t="e">
        <f t="shared" ca="1" si="788"/>
        <v>#NAME?</v>
      </c>
      <c r="AM303" s="68">
        <f t="shared" si="637"/>
        <v>8927</v>
      </c>
      <c r="AN303" s="69">
        <f t="shared" si="638"/>
        <v>0.21506179382784454</v>
      </c>
      <c r="AO303" s="62"/>
      <c r="AP303" s="70">
        <f t="shared" ref="AP303:AT303" si="921">H303/$AI303</f>
        <v>0.44465055771037604</v>
      </c>
      <c r="AQ303" s="70">
        <f t="shared" si="921"/>
        <v>0.22958876388253149</v>
      </c>
      <c r="AR303" s="70">
        <f t="shared" si="921"/>
        <v>0.19193427931292009</v>
      </c>
      <c r="AS303" s="70">
        <f t="shared" si="921"/>
        <v>5.9384711749259196E-2</v>
      </c>
      <c r="AT303" s="70">
        <f t="shared" si="921"/>
        <v>4.7387313594642128E-2</v>
      </c>
      <c r="AU303" s="70"/>
      <c r="AV303" s="70"/>
      <c r="AW303" s="81">
        <f t="shared" si="790"/>
        <v>2.7054373750271088E-2</v>
      </c>
      <c r="AX303" s="70">
        <f t="shared" ref="AX303:BG303" si="922">O303/$AI303</f>
        <v>2.0477486810089377E-2</v>
      </c>
      <c r="AY303" s="70">
        <f t="shared" si="922"/>
        <v>0</v>
      </c>
      <c r="AZ303" s="70">
        <f t="shared" si="922"/>
        <v>0</v>
      </c>
      <c r="BA303" s="70">
        <f t="shared" si="922"/>
        <v>0</v>
      </c>
      <c r="BB303" s="70">
        <f t="shared" si="922"/>
        <v>0</v>
      </c>
      <c r="BC303" s="70">
        <f t="shared" si="922"/>
        <v>0</v>
      </c>
      <c r="BD303" s="70">
        <f t="shared" si="922"/>
        <v>0</v>
      </c>
      <c r="BE303" s="70">
        <f t="shared" si="922"/>
        <v>0</v>
      </c>
      <c r="BF303" s="70">
        <f t="shared" si="922"/>
        <v>0</v>
      </c>
      <c r="BG303" s="70">
        <f t="shared" si="922"/>
        <v>0</v>
      </c>
      <c r="BH303" s="70">
        <f t="shared" si="792"/>
        <v>6.5768869401817108E-3</v>
      </c>
      <c r="BI303" s="62"/>
      <c r="BJ303" s="69">
        <v>0.41599999999999998</v>
      </c>
      <c r="BK303" s="69">
        <v>0.47</v>
      </c>
      <c r="BL303" s="69">
        <v>1.0999999999999999E-2</v>
      </c>
      <c r="BM303" s="69">
        <v>8.4000000000000005E-2</v>
      </c>
      <c r="BN303" s="69">
        <v>0.02</v>
      </c>
      <c r="BO303" s="69">
        <v>0</v>
      </c>
      <c r="BP303" s="69">
        <v>0</v>
      </c>
      <c r="BQ303" s="69">
        <v>0</v>
      </c>
      <c r="BR303" s="62"/>
      <c r="BS303" s="72">
        <f t="shared" ref="BS303:BW303" si="923">AP303-BJ303</f>
        <v>2.8650557710376057E-2</v>
      </c>
      <c r="BT303" s="72">
        <f t="shared" si="923"/>
        <v>-0.24041123611746848</v>
      </c>
      <c r="BU303" s="72">
        <f t="shared" si="923"/>
        <v>0.18093427931292008</v>
      </c>
      <c r="BV303" s="72">
        <f t="shared" si="923"/>
        <v>-2.4615288250740809E-2</v>
      </c>
      <c r="BW303" s="72">
        <f t="shared" si="923"/>
        <v>2.7387313594642127E-2</v>
      </c>
      <c r="BX303" s="72"/>
      <c r="BY303" s="72"/>
      <c r="BZ303" s="72">
        <f t="shared" si="794"/>
        <v>2.7054373750271088E-2</v>
      </c>
    </row>
    <row r="304" spans="1:78" ht="13.15">
      <c r="A304" s="73" t="s">
        <v>6</v>
      </c>
      <c r="B304" s="74" t="s">
        <v>651</v>
      </c>
      <c r="C304" s="75" t="s">
        <v>652</v>
      </c>
      <c r="D304" s="75" t="s">
        <v>53</v>
      </c>
      <c r="E304" s="76"/>
      <c r="F304" s="59"/>
      <c r="G304" s="60"/>
      <c r="H304" s="77">
        <v>17346</v>
      </c>
      <c r="I304" s="77">
        <v>15468</v>
      </c>
      <c r="J304" s="77">
        <v>8356</v>
      </c>
      <c r="K304" s="77">
        <v>2361</v>
      </c>
      <c r="L304" s="77">
        <v>3547</v>
      </c>
      <c r="M304" s="77"/>
      <c r="N304" s="77"/>
      <c r="O304" s="77">
        <v>315</v>
      </c>
      <c r="P304" s="77">
        <v>150</v>
      </c>
      <c r="Q304" s="77"/>
      <c r="R304" s="77"/>
      <c r="S304" s="77"/>
      <c r="T304" s="77"/>
      <c r="U304" s="77"/>
      <c r="V304" s="77"/>
      <c r="W304" s="77"/>
      <c r="X304" s="77"/>
      <c r="Y304" s="77"/>
      <c r="Z304" s="77"/>
      <c r="AA304" s="77"/>
      <c r="AB304" s="77"/>
      <c r="AC304" s="77"/>
      <c r="AD304" s="77"/>
      <c r="AE304" s="62"/>
      <c r="AF304" s="63" t="b">
        <v>0</v>
      </c>
      <c r="AG304" s="63" t="b">
        <v>0</v>
      </c>
      <c r="AH304" s="62"/>
      <c r="AI304" s="64">
        <f t="shared" si="786"/>
        <v>47543</v>
      </c>
      <c r="AJ304" s="65" t="str">
        <f t="shared" si="340"/>
        <v>LAB</v>
      </c>
      <c r="AK304" s="66" t="str">
        <f t="shared" si="787"/>
        <v>GAIN</v>
      </c>
      <c r="AL304" s="67" t="e">
        <f t="shared" ca="1" si="788"/>
        <v>#NAME?</v>
      </c>
      <c r="AM304" s="68">
        <f t="shared" si="637"/>
        <v>1878</v>
      </c>
      <c r="AN304" s="69">
        <f t="shared" si="638"/>
        <v>3.9501083229918188E-2</v>
      </c>
      <c r="AO304" s="62"/>
      <c r="AP304" s="70">
        <f t="shared" ref="AP304:AT304" si="924">H304/$AI304</f>
        <v>0.36484866331531457</v>
      </c>
      <c r="AQ304" s="70">
        <f t="shared" si="924"/>
        <v>0.32534758008539638</v>
      </c>
      <c r="AR304" s="70">
        <f t="shared" si="924"/>
        <v>0.17575668342342721</v>
      </c>
      <c r="AS304" s="70">
        <f t="shared" si="924"/>
        <v>4.9660307511095222E-2</v>
      </c>
      <c r="AT304" s="70">
        <f t="shared" si="924"/>
        <v>7.4606146015186253E-2</v>
      </c>
      <c r="AU304" s="70"/>
      <c r="AV304" s="70"/>
      <c r="AW304" s="81">
        <f t="shared" si="790"/>
        <v>9.7806196495804354E-3</v>
      </c>
      <c r="AX304" s="70">
        <f t="shared" ref="AX304:BG304" si="925">O304/$AI304</f>
        <v>6.625581052941548E-3</v>
      </c>
      <c r="AY304" s="70">
        <f t="shared" si="925"/>
        <v>3.1550385966388323E-3</v>
      </c>
      <c r="AZ304" s="70">
        <f t="shared" si="925"/>
        <v>0</v>
      </c>
      <c r="BA304" s="70">
        <f t="shared" si="925"/>
        <v>0</v>
      </c>
      <c r="BB304" s="70">
        <f t="shared" si="925"/>
        <v>0</v>
      </c>
      <c r="BC304" s="70">
        <f t="shared" si="925"/>
        <v>0</v>
      </c>
      <c r="BD304" s="70">
        <f t="shared" si="925"/>
        <v>0</v>
      </c>
      <c r="BE304" s="70">
        <f t="shared" si="925"/>
        <v>0</v>
      </c>
      <c r="BF304" s="70">
        <f t="shared" si="925"/>
        <v>0</v>
      </c>
      <c r="BG304" s="70">
        <f t="shared" si="925"/>
        <v>0</v>
      </c>
      <c r="BH304" s="70">
        <f t="shared" si="792"/>
        <v>5.5511151231257827E-17</v>
      </c>
      <c r="BI304" s="62"/>
      <c r="BJ304" s="69">
        <v>0.27</v>
      </c>
      <c r="BK304" s="69">
        <v>0.59599999999999997</v>
      </c>
      <c r="BL304" s="69">
        <v>0</v>
      </c>
      <c r="BM304" s="69">
        <v>9.6000000000000002E-2</v>
      </c>
      <c r="BN304" s="69">
        <v>3.9E-2</v>
      </c>
      <c r="BO304" s="69">
        <v>0</v>
      </c>
      <c r="BP304" s="69">
        <v>0</v>
      </c>
      <c r="BQ304" s="69">
        <v>0</v>
      </c>
      <c r="BR304" s="62"/>
      <c r="BS304" s="72">
        <f t="shared" ref="BS304:BW304" si="926">AP304-BJ304</f>
        <v>9.4848663315314552E-2</v>
      </c>
      <c r="BT304" s="72">
        <f t="shared" si="926"/>
        <v>-0.27065241991460359</v>
      </c>
      <c r="BU304" s="72">
        <f t="shared" si="926"/>
        <v>0.17575668342342721</v>
      </c>
      <c r="BV304" s="72">
        <f t="shared" si="926"/>
        <v>-4.633969248890478E-2</v>
      </c>
      <c r="BW304" s="72">
        <f t="shared" si="926"/>
        <v>3.5606146015186253E-2</v>
      </c>
      <c r="BX304" s="72"/>
      <c r="BY304" s="72"/>
      <c r="BZ304" s="72">
        <f t="shared" si="794"/>
        <v>9.7806196495804354E-3</v>
      </c>
    </row>
    <row r="305" spans="1:78" ht="13.15">
      <c r="A305" s="73" t="s">
        <v>6</v>
      </c>
      <c r="B305" s="74" t="s">
        <v>653</v>
      </c>
      <c r="C305" s="75" t="s">
        <v>654</v>
      </c>
      <c r="D305" s="75" t="s">
        <v>85</v>
      </c>
      <c r="E305" s="76"/>
      <c r="F305" s="59"/>
      <c r="G305" s="60"/>
      <c r="H305" s="77">
        <v>4566</v>
      </c>
      <c r="I305" s="77">
        <v>20090</v>
      </c>
      <c r="J305" s="77"/>
      <c r="K305" s="77">
        <v>21442</v>
      </c>
      <c r="L305" s="77">
        <v>2355</v>
      </c>
      <c r="M305" s="77"/>
      <c r="N305" s="77"/>
      <c r="O305" s="77"/>
      <c r="P305" s="77"/>
      <c r="Q305" s="77">
        <v>1061</v>
      </c>
      <c r="R305" s="77"/>
      <c r="S305" s="77"/>
      <c r="T305" s="77"/>
      <c r="U305" s="77"/>
      <c r="V305" s="77"/>
      <c r="W305" s="77"/>
      <c r="X305" s="77"/>
      <c r="Y305" s="77"/>
      <c r="Z305" s="77"/>
      <c r="AA305" s="77"/>
      <c r="AB305" s="77"/>
      <c r="AC305" s="77"/>
      <c r="AD305" s="77"/>
      <c r="AE305" s="62"/>
      <c r="AF305" s="63" t="b">
        <v>0</v>
      </c>
      <c r="AG305" s="63" t="b">
        <v>0</v>
      </c>
      <c r="AH305" s="62"/>
      <c r="AI305" s="64">
        <f t="shared" si="786"/>
        <v>49514</v>
      </c>
      <c r="AJ305" s="65" t="str">
        <f t="shared" si="340"/>
        <v>LDM</v>
      </c>
      <c r="AK305" s="66" t="str">
        <f t="shared" si="787"/>
        <v>GAIN</v>
      </c>
      <c r="AL305" s="67" t="e">
        <f t="shared" ca="1" si="788"/>
        <v>#NAME?</v>
      </c>
      <c r="AM305" s="68">
        <f t="shared" si="637"/>
        <v>1352</v>
      </c>
      <c r="AN305" s="69">
        <f t="shared" si="638"/>
        <v>2.7305408571313194E-2</v>
      </c>
      <c r="AO305" s="62"/>
      <c r="AP305" s="70">
        <f t="shared" ref="AP305:AT305" si="927">H305/$AI305</f>
        <v>9.2216342852526556E-2</v>
      </c>
      <c r="AQ305" s="70">
        <f t="shared" si="927"/>
        <v>0.4057438300278709</v>
      </c>
      <c r="AR305" s="70">
        <f t="shared" si="927"/>
        <v>0</v>
      </c>
      <c r="AS305" s="70">
        <f t="shared" si="927"/>
        <v>0.43304923859918409</v>
      </c>
      <c r="AT305" s="70">
        <f t="shared" si="927"/>
        <v>4.7562305610534393E-2</v>
      </c>
      <c r="AU305" s="70"/>
      <c r="AV305" s="70"/>
      <c r="AW305" s="81">
        <f t="shared" si="790"/>
        <v>2.1428282909884078E-2</v>
      </c>
      <c r="AX305" s="70">
        <f t="shared" ref="AX305:BG305" si="928">O305/$AI305</f>
        <v>0</v>
      </c>
      <c r="AY305" s="70">
        <f t="shared" si="928"/>
        <v>0</v>
      </c>
      <c r="AZ305" s="70">
        <f t="shared" si="928"/>
        <v>2.1428282909884074E-2</v>
      </c>
      <c r="BA305" s="70">
        <f t="shared" si="928"/>
        <v>0</v>
      </c>
      <c r="BB305" s="70">
        <f t="shared" si="928"/>
        <v>0</v>
      </c>
      <c r="BC305" s="70">
        <f t="shared" si="928"/>
        <v>0</v>
      </c>
      <c r="BD305" s="70">
        <f t="shared" si="928"/>
        <v>0</v>
      </c>
      <c r="BE305" s="70">
        <f t="shared" si="928"/>
        <v>0</v>
      </c>
      <c r="BF305" s="70">
        <f t="shared" si="928"/>
        <v>0</v>
      </c>
      <c r="BG305" s="70">
        <f t="shared" si="928"/>
        <v>0</v>
      </c>
      <c r="BH305" s="70">
        <f t="shared" si="792"/>
        <v>0</v>
      </c>
      <c r="BI305" s="62"/>
      <c r="BJ305" s="69">
        <v>7.2999999999999995E-2</v>
      </c>
      <c r="BK305" s="69">
        <v>0.6</v>
      </c>
      <c r="BL305" s="69">
        <v>0</v>
      </c>
      <c r="BM305" s="69">
        <v>0.29899999999999999</v>
      </c>
      <c r="BN305" s="69">
        <v>2.9000000000000001E-2</v>
      </c>
      <c r="BO305" s="69">
        <v>0</v>
      </c>
      <c r="BP305" s="69">
        <v>0</v>
      </c>
      <c r="BQ305" s="69">
        <v>0</v>
      </c>
      <c r="BR305" s="62"/>
      <c r="BS305" s="72">
        <f t="shared" ref="BS305:BW305" si="929">AP305-BJ305</f>
        <v>1.9216342852526561E-2</v>
      </c>
      <c r="BT305" s="72">
        <f t="shared" si="929"/>
        <v>-0.19425616997212908</v>
      </c>
      <c r="BU305" s="72">
        <f t="shared" si="929"/>
        <v>0</v>
      </c>
      <c r="BV305" s="72">
        <f t="shared" si="929"/>
        <v>0.13404923859918411</v>
      </c>
      <c r="BW305" s="72">
        <f t="shared" si="929"/>
        <v>1.8562305610534392E-2</v>
      </c>
      <c r="BX305" s="72"/>
      <c r="BY305" s="72"/>
      <c r="BZ305" s="72">
        <f t="shared" si="794"/>
        <v>2.1428282909884074E-2</v>
      </c>
    </row>
    <row r="306" spans="1:78" ht="13.15">
      <c r="A306" s="73" t="s">
        <v>6</v>
      </c>
      <c r="B306" s="74" t="s">
        <v>655</v>
      </c>
      <c r="C306" s="75" t="s">
        <v>656</v>
      </c>
      <c r="D306" s="75" t="s">
        <v>53</v>
      </c>
      <c r="E306" s="76"/>
      <c r="F306" s="59"/>
      <c r="G306" s="60"/>
      <c r="H306" s="77">
        <v>15534</v>
      </c>
      <c r="I306" s="77">
        <v>17735</v>
      </c>
      <c r="J306" s="77">
        <v>8923</v>
      </c>
      <c r="K306" s="77">
        <v>2444</v>
      </c>
      <c r="L306" s="77">
        <v>3414</v>
      </c>
      <c r="M306" s="77"/>
      <c r="N306" s="77"/>
      <c r="O306" s="77"/>
      <c r="P306" s="77"/>
      <c r="Q306" s="77"/>
      <c r="R306" s="77"/>
      <c r="S306" s="77"/>
      <c r="T306" s="77"/>
      <c r="U306" s="77"/>
      <c r="V306" s="77"/>
      <c r="W306" s="77"/>
      <c r="X306" s="77"/>
      <c r="Y306" s="77"/>
      <c r="Z306" s="77"/>
      <c r="AA306" s="77"/>
      <c r="AB306" s="77"/>
      <c r="AC306" s="77"/>
      <c r="AD306" s="77"/>
      <c r="AE306" s="62"/>
      <c r="AF306" s="63" t="b">
        <v>0</v>
      </c>
      <c r="AG306" s="63" t="b">
        <v>0</v>
      </c>
      <c r="AH306" s="62"/>
      <c r="AI306" s="64">
        <f t="shared" si="786"/>
        <v>48050</v>
      </c>
      <c r="AJ306" s="65" t="str">
        <f t="shared" si="340"/>
        <v>CON</v>
      </c>
      <c r="AK306" s="66" t="str">
        <f t="shared" si="787"/>
        <v>HOLD</v>
      </c>
      <c r="AL306" s="67" t="e">
        <f t="shared" ca="1" si="788"/>
        <v>#NAME?</v>
      </c>
      <c r="AM306" s="68">
        <f t="shared" si="637"/>
        <v>2201</v>
      </c>
      <c r="AN306" s="69">
        <f t="shared" si="638"/>
        <v>4.5806451612903198E-2</v>
      </c>
      <c r="AO306" s="62"/>
      <c r="AP306" s="70">
        <f t="shared" ref="AP306:AT306" si="930">H306/$AI306</f>
        <v>0.32328824141519252</v>
      </c>
      <c r="AQ306" s="70">
        <f t="shared" si="930"/>
        <v>0.36909469302809572</v>
      </c>
      <c r="AR306" s="70">
        <f t="shared" si="930"/>
        <v>0.18570239334027056</v>
      </c>
      <c r="AS306" s="70">
        <f t="shared" si="930"/>
        <v>5.0863683662851197E-2</v>
      </c>
      <c r="AT306" s="70">
        <f t="shared" si="930"/>
        <v>7.1050988553590017E-2</v>
      </c>
      <c r="AU306" s="70"/>
      <c r="AV306" s="70"/>
      <c r="AW306" s="81">
        <f t="shared" si="790"/>
        <v>0</v>
      </c>
      <c r="AX306" s="70">
        <f t="shared" ref="AX306:BG306" si="931">O306/$AI306</f>
        <v>0</v>
      </c>
      <c r="AY306" s="70">
        <f t="shared" si="931"/>
        <v>0</v>
      </c>
      <c r="AZ306" s="70">
        <f t="shared" si="931"/>
        <v>0</v>
      </c>
      <c r="BA306" s="70">
        <f t="shared" si="931"/>
        <v>0</v>
      </c>
      <c r="BB306" s="70">
        <f t="shared" si="931"/>
        <v>0</v>
      </c>
      <c r="BC306" s="70">
        <f t="shared" si="931"/>
        <v>0</v>
      </c>
      <c r="BD306" s="70">
        <f t="shared" si="931"/>
        <v>0</v>
      </c>
      <c r="BE306" s="70">
        <f t="shared" si="931"/>
        <v>0</v>
      </c>
      <c r="BF306" s="70">
        <f t="shared" si="931"/>
        <v>0</v>
      </c>
      <c r="BG306" s="70">
        <f t="shared" si="931"/>
        <v>0</v>
      </c>
      <c r="BH306" s="70">
        <f t="shared" si="792"/>
        <v>0</v>
      </c>
      <c r="BI306" s="62"/>
      <c r="BJ306" s="69">
        <v>0.25700000000000001</v>
      </c>
      <c r="BK306" s="69">
        <v>0.622</v>
      </c>
      <c r="BL306" s="69">
        <v>0</v>
      </c>
      <c r="BM306" s="69">
        <v>0.08</v>
      </c>
      <c r="BN306" s="69">
        <v>4.1000000000000002E-2</v>
      </c>
      <c r="BO306" s="69">
        <v>0</v>
      </c>
      <c r="BP306" s="69">
        <v>0</v>
      </c>
      <c r="BQ306" s="69">
        <v>0</v>
      </c>
      <c r="BR306" s="62"/>
      <c r="BS306" s="72">
        <f t="shared" ref="BS306:BW306" si="932">AP306-BJ306</f>
        <v>6.6288241415192517E-2</v>
      </c>
      <c r="BT306" s="72">
        <f t="shared" si="932"/>
        <v>-0.25290530697190428</v>
      </c>
      <c r="BU306" s="72">
        <f t="shared" si="932"/>
        <v>0.18570239334027056</v>
      </c>
      <c r="BV306" s="72">
        <f t="shared" si="932"/>
        <v>-2.9136316337148804E-2</v>
      </c>
      <c r="BW306" s="72">
        <f t="shared" si="932"/>
        <v>3.0050988553590015E-2</v>
      </c>
      <c r="BX306" s="72"/>
      <c r="BY306" s="72"/>
      <c r="BZ306" s="72">
        <f t="shared" si="794"/>
        <v>0</v>
      </c>
    </row>
    <row r="307" spans="1:78" ht="13.15">
      <c r="A307" s="73" t="s">
        <v>6</v>
      </c>
      <c r="B307" s="74" t="s">
        <v>657</v>
      </c>
      <c r="C307" s="75" t="s">
        <v>658</v>
      </c>
      <c r="D307" s="75" t="s">
        <v>78</v>
      </c>
      <c r="E307" s="76"/>
      <c r="F307" s="59"/>
      <c r="G307" s="60"/>
      <c r="H307" s="77">
        <v>13716</v>
      </c>
      <c r="I307" s="77">
        <v>16770</v>
      </c>
      <c r="J307" s="77">
        <v>9427</v>
      </c>
      <c r="K307" s="77">
        <v>3126</v>
      </c>
      <c r="L307" s="77">
        <v>2858</v>
      </c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62"/>
      <c r="AF307" s="63" t="b">
        <v>0</v>
      </c>
      <c r="AG307" s="63" t="b">
        <v>0</v>
      </c>
      <c r="AH307" s="62"/>
      <c r="AI307" s="64">
        <f t="shared" si="786"/>
        <v>45897</v>
      </c>
      <c r="AJ307" s="65" t="str">
        <f t="shared" si="340"/>
        <v>CON</v>
      </c>
      <c r="AK307" s="66" t="str">
        <f t="shared" si="787"/>
        <v>HOLD</v>
      </c>
      <c r="AL307" s="67" t="e">
        <f t="shared" ca="1" si="788"/>
        <v>#NAME?</v>
      </c>
      <c r="AM307" s="68">
        <f t="shared" si="637"/>
        <v>3054</v>
      </c>
      <c r="AN307" s="69">
        <f t="shared" si="638"/>
        <v>6.6540296751421646E-2</v>
      </c>
      <c r="AO307" s="62"/>
      <c r="AP307" s="70">
        <f t="shared" ref="AP307:AT307" si="933">H307/$AI307</f>
        <v>0.29884306163801555</v>
      </c>
      <c r="AQ307" s="70">
        <f t="shared" si="933"/>
        <v>0.3653833583894372</v>
      </c>
      <c r="AR307" s="70">
        <f t="shared" si="933"/>
        <v>0.20539468810597641</v>
      </c>
      <c r="AS307" s="70">
        <f t="shared" si="933"/>
        <v>6.8109026733773448E-2</v>
      </c>
      <c r="AT307" s="70">
        <f t="shared" si="933"/>
        <v>6.226986513279735E-2</v>
      </c>
      <c r="AU307" s="70"/>
      <c r="AV307" s="70"/>
      <c r="AW307" s="81">
        <f t="shared" si="790"/>
        <v>0</v>
      </c>
      <c r="AX307" s="70">
        <f t="shared" ref="AX307:BG307" si="934">O307/$AI307</f>
        <v>0</v>
      </c>
      <c r="AY307" s="70">
        <f t="shared" si="934"/>
        <v>0</v>
      </c>
      <c r="AZ307" s="70">
        <f t="shared" si="934"/>
        <v>0</v>
      </c>
      <c r="BA307" s="70">
        <f t="shared" si="934"/>
        <v>0</v>
      </c>
      <c r="BB307" s="70">
        <f t="shared" si="934"/>
        <v>0</v>
      </c>
      <c r="BC307" s="70">
        <f t="shared" si="934"/>
        <v>0</v>
      </c>
      <c r="BD307" s="70">
        <f t="shared" si="934"/>
        <v>0</v>
      </c>
      <c r="BE307" s="70">
        <f t="shared" si="934"/>
        <v>0</v>
      </c>
      <c r="BF307" s="70">
        <f t="shared" si="934"/>
        <v>0</v>
      </c>
      <c r="BG307" s="70">
        <f t="shared" si="934"/>
        <v>0</v>
      </c>
      <c r="BH307" s="70">
        <f t="shared" si="792"/>
        <v>0</v>
      </c>
      <c r="BI307" s="62"/>
      <c r="BJ307" s="69">
        <v>0.22900000000000001</v>
      </c>
      <c r="BK307" s="69">
        <v>0.64400000000000002</v>
      </c>
      <c r="BL307" s="69">
        <v>0</v>
      </c>
      <c r="BM307" s="69">
        <v>0.104</v>
      </c>
      <c r="BN307" s="69">
        <v>3.0000000000000001E-3</v>
      </c>
      <c r="BO307" s="69">
        <v>0</v>
      </c>
      <c r="BP307" s="69">
        <v>0</v>
      </c>
      <c r="BQ307" s="69">
        <v>1.9E-2</v>
      </c>
      <c r="BR307" s="62"/>
      <c r="BS307" s="72">
        <f t="shared" ref="BS307:BW307" si="935">AP307-BJ307</f>
        <v>6.9843061638015541E-2</v>
      </c>
      <c r="BT307" s="72">
        <f t="shared" si="935"/>
        <v>-0.27861664161056282</v>
      </c>
      <c r="BU307" s="72">
        <f t="shared" si="935"/>
        <v>0.20539468810597641</v>
      </c>
      <c r="BV307" s="72">
        <f t="shared" si="935"/>
        <v>-3.5890973266226547E-2</v>
      </c>
      <c r="BW307" s="72">
        <f t="shared" si="935"/>
        <v>5.9269865132797347E-2</v>
      </c>
      <c r="BX307" s="72"/>
      <c r="BY307" s="72"/>
      <c r="BZ307" s="72">
        <f t="shared" si="794"/>
        <v>-1.9E-2</v>
      </c>
    </row>
    <row r="308" spans="1:78" ht="13.15">
      <c r="A308" s="73" t="s">
        <v>6</v>
      </c>
      <c r="B308" s="74" t="s">
        <v>659</v>
      </c>
      <c r="C308" s="75" t="s">
        <v>660</v>
      </c>
      <c r="D308" s="75" t="s">
        <v>44</v>
      </c>
      <c r="E308" s="76"/>
      <c r="F308" s="59"/>
      <c r="G308" s="60"/>
      <c r="H308" s="77">
        <v>9397</v>
      </c>
      <c r="I308" s="77">
        <v>14474</v>
      </c>
      <c r="J308" s="77">
        <v>5921</v>
      </c>
      <c r="K308" s="77">
        <v>21136</v>
      </c>
      <c r="L308" s="77">
        <v>2048</v>
      </c>
      <c r="M308" s="77"/>
      <c r="N308" s="77"/>
      <c r="O308" s="77"/>
      <c r="P308" s="77"/>
      <c r="Q308" s="77"/>
      <c r="R308" s="77"/>
      <c r="S308" s="77"/>
      <c r="T308" s="77"/>
      <c r="U308" s="77"/>
      <c r="V308" s="77"/>
      <c r="W308" s="77"/>
      <c r="X308" s="77"/>
      <c r="Y308" s="77">
        <v>352</v>
      </c>
      <c r="Z308" s="77"/>
      <c r="AA308" s="77"/>
      <c r="AB308" s="77"/>
      <c r="AC308" s="77"/>
      <c r="AD308" s="77"/>
      <c r="AE308" s="62"/>
      <c r="AF308" s="63" t="b">
        <v>0</v>
      </c>
      <c r="AG308" s="63" t="b">
        <v>0</v>
      </c>
      <c r="AH308" s="62"/>
      <c r="AI308" s="64">
        <f t="shared" si="786"/>
        <v>53328</v>
      </c>
      <c r="AJ308" s="65" t="str">
        <f t="shared" si="340"/>
        <v>LDM</v>
      </c>
      <c r="AK308" s="66" t="str">
        <f t="shared" si="787"/>
        <v>GAIN</v>
      </c>
      <c r="AL308" s="67" t="e">
        <f t="shared" ca="1" si="788"/>
        <v>#NAME?</v>
      </c>
      <c r="AM308" s="68">
        <f t="shared" si="637"/>
        <v>6662</v>
      </c>
      <c r="AN308" s="69">
        <f t="shared" si="638"/>
        <v>0.12492499249924993</v>
      </c>
      <c r="AO308" s="62"/>
      <c r="AP308" s="70">
        <f t="shared" ref="AP308:AT308" si="936">H308/$AI308</f>
        <v>0.17621137113711371</v>
      </c>
      <c r="AQ308" s="70">
        <f t="shared" si="936"/>
        <v>0.2714146414641464</v>
      </c>
      <c r="AR308" s="70">
        <f t="shared" si="936"/>
        <v>0.11102985298529854</v>
      </c>
      <c r="AS308" s="70">
        <f t="shared" si="936"/>
        <v>0.39633963396339633</v>
      </c>
      <c r="AT308" s="70">
        <f t="shared" si="936"/>
        <v>3.8403840384038407E-2</v>
      </c>
      <c r="AU308" s="70"/>
      <c r="AV308" s="70"/>
      <c r="AW308" s="81">
        <f t="shared" si="790"/>
        <v>6.6006600660065695E-3</v>
      </c>
      <c r="AX308" s="70">
        <f t="shared" ref="AX308:BG308" si="937">O308/$AI308</f>
        <v>0</v>
      </c>
      <c r="AY308" s="70">
        <f t="shared" si="937"/>
        <v>0</v>
      </c>
      <c r="AZ308" s="70">
        <f t="shared" si="937"/>
        <v>0</v>
      </c>
      <c r="BA308" s="70">
        <f t="shared" si="937"/>
        <v>0</v>
      </c>
      <c r="BB308" s="70">
        <f t="shared" si="937"/>
        <v>0</v>
      </c>
      <c r="BC308" s="70">
        <f t="shared" si="937"/>
        <v>0</v>
      </c>
      <c r="BD308" s="70">
        <f t="shared" si="937"/>
        <v>0</v>
      </c>
      <c r="BE308" s="70">
        <f t="shared" si="937"/>
        <v>0</v>
      </c>
      <c r="BF308" s="70">
        <f t="shared" si="937"/>
        <v>0</v>
      </c>
      <c r="BG308" s="70">
        <f t="shared" si="937"/>
        <v>0</v>
      </c>
      <c r="BH308" s="70">
        <f t="shared" si="792"/>
        <v>6.6006600660065695E-3</v>
      </c>
      <c r="BI308" s="62"/>
      <c r="BJ308" s="69">
        <v>0.18</v>
      </c>
      <c r="BK308" s="69">
        <v>0.51300000000000001</v>
      </c>
      <c r="BL308" s="69">
        <v>0</v>
      </c>
      <c r="BM308" s="69">
        <v>0.255</v>
      </c>
      <c r="BN308" s="69">
        <v>4.1000000000000002E-2</v>
      </c>
      <c r="BO308" s="69">
        <v>0</v>
      </c>
      <c r="BP308" s="69">
        <v>0</v>
      </c>
      <c r="BQ308" s="69">
        <v>1.0999999999999999E-2</v>
      </c>
      <c r="BR308" s="62"/>
      <c r="BS308" s="72">
        <f t="shared" ref="BS308:BW308" si="938">AP308-BJ308</f>
        <v>-3.7886288628862785E-3</v>
      </c>
      <c r="BT308" s="72">
        <f t="shared" si="938"/>
        <v>-0.24158535853585361</v>
      </c>
      <c r="BU308" s="72">
        <f t="shared" si="938"/>
        <v>0.11102985298529854</v>
      </c>
      <c r="BV308" s="72">
        <f t="shared" si="938"/>
        <v>0.14133963396339633</v>
      </c>
      <c r="BW308" s="72">
        <f t="shared" si="938"/>
        <v>-2.5961596159615949E-3</v>
      </c>
      <c r="BX308" s="72"/>
      <c r="BY308" s="72"/>
      <c r="BZ308" s="72">
        <f t="shared" si="794"/>
        <v>-4.3993399339934298E-3</v>
      </c>
    </row>
    <row r="309" spans="1:78" ht="13.15">
      <c r="A309" s="78" t="s">
        <v>5</v>
      </c>
      <c r="B309" s="74" t="s">
        <v>661</v>
      </c>
      <c r="C309" s="75" t="s">
        <v>662</v>
      </c>
      <c r="D309" s="75" t="s">
        <v>129</v>
      </c>
      <c r="E309" s="76">
        <v>71742</v>
      </c>
      <c r="F309" s="59">
        <v>0.48</v>
      </c>
      <c r="G309" s="60"/>
      <c r="H309" s="77">
        <v>16238</v>
      </c>
      <c r="I309" s="77">
        <v>6174</v>
      </c>
      <c r="J309" s="77">
        <v>7046</v>
      </c>
      <c r="K309" s="77">
        <v>1037</v>
      </c>
      <c r="L309" s="77">
        <v>1522</v>
      </c>
      <c r="M309" s="77"/>
      <c r="N309" s="77"/>
      <c r="O309" s="77">
        <v>383</v>
      </c>
      <c r="P309" s="77">
        <v>2007</v>
      </c>
      <c r="Q309" s="77"/>
      <c r="R309" s="77"/>
      <c r="S309" s="77"/>
      <c r="T309" s="77"/>
      <c r="U309" s="77"/>
      <c r="V309" s="77"/>
      <c r="W309" s="77"/>
      <c r="X309" s="77"/>
      <c r="Y309" s="77"/>
      <c r="Z309" s="77"/>
      <c r="AA309" s="77"/>
      <c r="AB309" s="77"/>
      <c r="AC309" s="77"/>
      <c r="AD309" s="77"/>
      <c r="AE309" s="62"/>
      <c r="AF309" s="63" t="b">
        <v>0</v>
      </c>
      <c r="AG309" s="63" t="b">
        <v>0</v>
      </c>
      <c r="AH309" s="62"/>
      <c r="AI309" s="64">
        <f t="shared" si="786"/>
        <v>34407</v>
      </c>
      <c r="AJ309" s="65" t="str">
        <f t="shared" si="340"/>
        <v>LAB</v>
      </c>
      <c r="AK309" s="66" t="str">
        <f t="shared" si="787"/>
        <v>HOLD</v>
      </c>
      <c r="AL309" s="67" t="e">
        <f t="shared" ca="1" si="788"/>
        <v>#NAME?</v>
      </c>
      <c r="AM309" s="68">
        <f t="shared" si="637"/>
        <v>9192</v>
      </c>
      <c r="AN309" s="69">
        <f t="shared" si="638"/>
        <v>0.26715493940186591</v>
      </c>
      <c r="AO309" s="62"/>
      <c r="AP309" s="70">
        <f t="shared" ref="AP309:AT309" si="939">H309/$AI309</f>
        <v>0.47193884965268695</v>
      </c>
      <c r="AQ309" s="70">
        <f t="shared" si="939"/>
        <v>0.17944023018571803</v>
      </c>
      <c r="AR309" s="70">
        <f t="shared" si="939"/>
        <v>0.20478391025082104</v>
      </c>
      <c r="AS309" s="70">
        <f t="shared" si="939"/>
        <v>3.0139215857238354E-2</v>
      </c>
      <c r="AT309" s="70">
        <f t="shared" si="939"/>
        <v>4.4235184700787633E-2</v>
      </c>
      <c r="AU309" s="70"/>
      <c r="AV309" s="70"/>
      <c r="AW309" s="81">
        <f t="shared" si="790"/>
        <v>6.946260935274795E-2</v>
      </c>
      <c r="AX309" s="70">
        <f t="shared" ref="AX309:BG309" si="940">O309/$AI309</f>
        <v>1.113145580841108E-2</v>
      </c>
      <c r="AY309" s="70">
        <f t="shared" si="940"/>
        <v>5.8331153544336906E-2</v>
      </c>
      <c r="AZ309" s="70">
        <f t="shared" si="940"/>
        <v>0</v>
      </c>
      <c r="BA309" s="70">
        <f t="shared" si="940"/>
        <v>0</v>
      </c>
      <c r="BB309" s="70">
        <f t="shared" si="940"/>
        <v>0</v>
      </c>
      <c r="BC309" s="70">
        <f t="shared" si="940"/>
        <v>0</v>
      </c>
      <c r="BD309" s="70">
        <f t="shared" si="940"/>
        <v>0</v>
      </c>
      <c r="BE309" s="70">
        <f t="shared" si="940"/>
        <v>0</v>
      </c>
      <c r="BF309" s="70">
        <f t="shared" si="940"/>
        <v>0</v>
      </c>
      <c r="BG309" s="70">
        <f t="shared" si="940"/>
        <v>0</v>
      </c>
      <c r="BH309" s="70">
        <f t="shared" si="792"/>
        <v>0</v>
      </c>
      <c r="BI309" s="62"/>
      <c r="BJ309" s="69">
        <v>0.54</v>
      </c>
      <c r="BK309" s="69">
        <v>0.24299999999999999</v>
      </c>
      <c r="BL309" s="69">
        <v>6.2E-2</v>
      </c>
      <c r="BM309" s="69">
        <v>2.5999999999999999E-2</v>
      </c>
      <c r="BN309" s="69">
        <v>1.4999999999999999E-2</v>
      </c>
      <c r="BO309" s="69">
        <v>0</v>
      </c>
      <c r="BP309" s="69">
        <v>0</v>
      </c>
      <c r="BQ309" s="69">
        <v>0.114</v>
      </c>
      <c r="BR309" s="62"/>
      <c r="BS309" s="72">
        <f t="shared" ref="BS309:BW309" si="941">AP309-BJ309</f>
        <v>-6.8061150347313082E-2</v>
      </c>
      <c r="BT309" s="72">
        <f t="shared" si="941"/>
        <v>-6.3559769814281963E-2</v>
      </c>
      <c r="BU309" s="72">
        <f t="shared" si="941"/>
        <v>0.14278391025082104</v>
      </c>
      <c r="BV309" s="72">
        <f t="shared" si="941"/>
        <v>4.1392158572383549E-3</v>
      </c>
      <c r="BW309" s="72">
        <f t="shared" si="941"/>
        <v>2.9235184700787634E-2</v>
      </c>
      <c r="BX309" s="72"/>
      <c r="BY309" s="72"/>
      <c r="BZ309" s="72">
        <f t="shared" si="794"/>
        <v>-4.4537390647252026E-2</v>
      </c>
    </row>
    <row r="310" spans="1:78" ht="13.15">
      <c r="A310" s="73" t="s">
        <v>6</v>
      </c>
      <c r="B310" s="74" t="s">
        <v>663</v>
      </c>
      <c r="C310" s="75" t="s">
        <v>664</v>
      </c>
      <c r="D310" s="75" t="s">
        <v>129</v>
      </c>
      <c r="E310" s="76"/>
      <c r="F310" s="59"/>
      <c r="G310" s="60"/>
      <c r="H310" s="77">
        <v>16468</v>
      </c>
      <c r="I310" s="77">
        <v>16254</v>
      </c>
      <c r="J310" s="77"/>
      <c r="K310" s="77">
        <v>2032</v>
      </c>
      <c r="L310" s="77">
        <v>1446</v>
      </c>
      <c r="M310" s="77"/>
      <c r="N310" s="77"/>
      <c r="O310" s="77"/>
      <c r="P310" s="77"/>
      <c r="Q310" s="77">
        <v>1835</v>
      </c>
      <c r="R310" s="77"/>
      <c r="S310" s="77"/>
      <c r="T310" s="77"/>
      <c r="U310" s="77"/>
      <c r="V310" s="77"/>
      <c r="W310" s="77"/>
      <c r="X310" s="77"/>
      <c r="Y310" s="77"/>
      <c r="Z310" s="77"/>
      <c r="AA310" s="77"/>
      <c r="AB310" s="77"/>
      <c r="AC310" s="77"/>
      <c r="AD310" s="77"/>
      <c r="AE310" s="62"/>
      <c r="AF310" s="63" t="b">
        <v>0</v>
      </c>
      <c r="AG310" s="63" t="b">
        <v>0</v>
      </c>
      <c r="AH310" s="62"/>
      <c r="AI310" s="64">
        <f t="shared" si="786"/>
        <v>38035</v>
      </c>
      <c r="AJ310" s="65" t="str">
        <f t="shared" si="340"/>
        <v>LAB</v>
      </c>
      <c r="AK310" s="66" t="str">
        <f t="shared" si="787"/>
        <v>GAIN</v>
      </c>
      <c r="AL310" s="67" t="e">
        <f t="shared" ca="1" si="788"/>
        <v>#NAME?</v>
      </c>
      <c r="AM310" s="68">
        <f t="shared" si="637"/>
        <v>214</v>
      </c>
      <c r="AN310" s="69">
        <f t="shared" si="638"/>
        <v>5.62639673984483E-3</v>
      </c>
      <c r="AO310" s="62"/>
      <c r="AP310" s="70">
        <f t="shared" ref="AP310:AT310" si="942">H310/$AI310</f>
        <v>0.43296963323254894</v>
      </c>
      <c r="AQ310" s="70">
        <f t="shared" si="942"/>
        <v>0.42734323649270411</v>
      </c>
      <c r="AR310" s="70">
        <f t="shared" si="942"/>
        <v>0</v>
      </c>
      <c r="AS310" s="70">
        <f t="shared" si="942"/>
        <v>5.342447745497568E-2</v>
      </c>
      <c r="AT310" s="70">
        <f t="shared" si="942"/>
        <v>3.8017615354278951E-2</v>
      </c>
      <c r="AU310" s="70"/>
      <c r="AV310" s="70"/>
      <c r="AW310" s="81">
        <f t="shared" si="790"/>
        <v>4.8245037465492246E-2</v>
      </c>
      <c r="AX310" s="70">
        <f t="shared" ref="AX310:BG310" si="943">O310/$AI310</f>
        <v>0</v>
      </c>
      <c r="AY310" s="70">
        <f t="shared" si="943"/>
        <v>0</v>
      </c>
      <c r="AZ310" s="70">
        <f t="shared" si="943"/>
        <v>4.8245037465492309E-2</v>
      </c>
      <c r="BA310" s="70">
        <f t="shared" si="943"/>
        <v>0</v>
      </c>
      <c r="BB310" s="70">
        <f t="shared" si="943"/>
        <v>0</v>
      </c>
      <c r="BC310" s="70">
        <f t="shared" si="943"/>
        <v>0</v>
      </c>
      <c r="BD310" s="70">
        <f t="shared" si="943"/>
        <v>0</v>
      </c>
      <c r="BE310" s="70">
        <f t="shared" si="943"/>
        <v>0</v>
      </c>
      <c r="BF310" s="70">
        <f t="shared" si="943"/>
        <v>0</v>
      </c>
      <c r="BG310" s="70">
        <f t="shared" si="943"/>
        <v>0</v>
      </c>
      <c r="BH310" s="70">
        <f t="shared" si="792"/>
        <v>-6.2450045135165055E-17</v>
      </c>
      <c r="BI310" s="62"/>
      <c r="BJ310" s="69">
        <v>0.35</v>
      </c>
      <c r="BK310" s="69">
        <v>0.57899999999999996</v>
      </c>
      <c r="BL310" s="69">
        <v>3.0000000000000001E-3</v>
      </c>
      <c r="BM310" s="69">
        <v>4.1000000000000002E-2</v>
      </c>
      <c r="BN310" s="69">
        <v>2.1999999999999999E-2</v>
      </c>
      <c r="BO310" s="69">
        <v>0</v>
      </c>
      <c r="BP310" s="69">
        <v>0</v>
      </c>
      <c r="BQ310" s="69">
        <v>6.0000000000000001E-3</v>
      </c>
      <c r="BR310" s="62"/>
      <c r="BS310" s="72">
        <f t="shared" ref="BS310:BW310" si="944">AP310-BJ310</f>
        <v>8.2969633232548967E-2</v>
      </c>
      <c r="BT310" s="72">
        <f t="shared" si="944"/>
        <v>-0.15165676350729584</v>
      </c>
      <c r="BU310" s="72">
        <f t="shared" si="944"/>
        <v>-3.0000000000000001E-3</v>
      </c>
      <c r="BV310" s="72">
        <f t="shared" si="944"/>
        <v>1.2424477454975678E-2</v>
      </c>
      <c r="BW310" s="72">
        <f t="shared" si="944"/>
        <v>1.6017615354278952E-2</v>
      </c>
      <c r="BX310" s="72"/>
      <c r="BY310" s="72"/>
      <c r="BZ310" s="72">
        <f t="shared" si="794"/>
        <v>4.2245037465492248E-2</v>
      </c>
    </row>
    <row r="311" spans="1:78" ht="13.15">
      <c r="A311" s="73" t="s">
        <v>6</v>
      </c>
      <c r="B311" s="74" t="s">
        <v>665</v>
      </c>
      <c r="C311" s="75" t="s">
        <v>666</v>
      </c>
      <c r="D311" s="75" t="s">
        <v>44</v>
      </c>
      <c r="E311" s="76"/>
      <c r="F311" s="59"/>
      <c r="G311" s="60"/>
      <c r="H311" s="77">
        <v>20209</v>
      </c>
      <c r="I311" s="77">
        <v>12918</v>
      </c>
      <c r="J311" s="77">
        <v>6245</v>
      </c>
      <c r="K311" s="77">
        <v>4931</v>
      </c>
      <c r="L311" s="77">
        <v>3226</v>
      </c>
      <c r="M311" s="77"/>
      <c r="N311" s="77"/>
      <c r="O311" s="77"/>
      <c r="P311" s="77"/>
      <c r="Q311" s="77"/>
      <c r="R311" s="77"/>
      <c r="S311" s="77"/>
      <c r="T311" s="77"/>
      <c r="U311" s="77"/>
      <c r="V311" s="77"/>
      <c r="W311" s="77"/>
      <c r="X311" s="77"/>
      <c r="Y311" s="77">
        <v>200</v>
      </c>
      <c r="Z311" s="77"/>
      <c r="AA311" s="77"/>
      <c r="AB311" s="77"/>
      <c r="AC311" s="77"/>
      <c r="AD311" s="77"/>
      <c r="AE311" s="62"/>
      <c r="AF311" s="63" t="b">
        <v>0</v>
      </c>
      <c r="AG311" s="63" t="b">
        <v>0</v>
      </c>
      <c r="AH311" s="62"/>
      <c r="AI311" s="64">
        <f t="shared" si="786"/>
        <v>47729</v>
      </c>
      <c r="AJ311" s="65" t="str">
        <f t="shared" si="340"/>
        <v>LAB</v>
      </c>
      <c r="AK311" s="66" t="str">
        <f t="shared" si="787"/>
        <v>GAIN</v>
      </c>
      <c r="AL311" s="67" t="e">
        <f t="shared" ca="1" si="788"/>
        <v>#NAME?</v>
      </c>
      <c r="AM311" s="68">
        <f t="shared" si="637"/>
        <v>7291</v>
      </c>
      <c r="AN311" s="69">
        <f t="shared" si="638"/>
        <v>0.15275828112887346</v>
      </c>
      <c r="AO311" s="62"/>
      <c r="AP311" s="70">
        <f t="shared" ref="AP311:AT311" si="945">H311/$AI311</f>
        <v>0.42341134320853152</v>
      </c>
      <c r="AQ311" s="70">
        <f t="shared" si="945"/>
        <v>0.27065306207965806</v>
      </c>
      <c r="AR311" s="70">
        <f t="shared" si="945"/>
        <v>0.13084288378134887</v>
      </c>
      <c r="AS311" s="70">
        <f t="shared" si="945"/>
        <v>0.10331245154937251</v>
      </c>
      <c r="AT311" s="70">
        <f t="shared" si="945"/>
        <v>6.7589934840453392E-2</v>
      </c>
      <c r="AU311" s="70"/>
      <c r="AV311" s="70"/>
      <c r="AW311" s="81">
        <f t="shared" si="790"/>
        <v>4.1903245406356149E-3</v>
      </c>
      <c r="AX311" s="70">
        <f t="shared" ref="AX311:BG311" si="946">O311/$AI311</f>
        <v>0</v>
      </c>
      <c r="AY311" s="70">
        <f t="shared" si="946"/>
        <v>0</v>
      </c>
      <c r="AZ311" s="70">
        <f t="shared" si="946"/>
        <v>0</v>
      </c>
      <c r="BA311" s="70">
        <f t="shared" si="946"/>
        <v>0</v>
      </c>
      <c r="BB311" s="70">
        <f t="shared" si="946"/>
        <v>0</v>
      </c>
      <c r="BC311" s="70">
        <f t="shared" si="946"/>
        <v>0</v>
      </c>
      <c r="BD311" s="70">
        <f t="shared" si="946"/>
        <v>0</v>
      </c>
      <c r="BE311" s="70">
        <f t="shared" si="946"/>
        <v>0</v>
      </c>
      <c r="BF311" s="70">
        <f t="shared" si="946"/>
        <v>0</v>
      </c>
      <c r="BG311" s="70">
        <f t="shared" si="946"/>
        <v>0</v>
      </c>
      <c r="BH311" s="70">
        <f t="shared" si="792"/>
        <v>4.1903245406356149E-3</v>
      </c>
      <c r="BI311" s="62"/>
      <c r="BJ311" s="69">
        <v>0.38100000000000001</v>
      </c>
      <c r="BK311" s="69">
        <v>0.47599999999999998</v>
      </c>
      <c r="BL311" s="69">
        <v>0</v>
      </c>
      <c r="BM311" s="69">
        <v>0.104</v>
      </c>
      <c r="BN311" s="69">
        <v>2.5000000000000001E-2</v>
      </c>
      <c r="BO311" s="69">
        <v>0</v>
      </c>
      <c r="BP311" s="69">
        <v>0</v>
      </c>
      <c r="BQ311" s="69">
        <v>1.4E-2</v>
      </c>
      <c r="BR311" s="62"/>
      <c r="BS311" s="72">
        <f t="shared" ref="BS311:BW311" si="947">AP311-BJ311</f>
        <v>4.2411343208531516E-2</v>
      </c>
      <c r="BT311" s="72">
        <f t="shared" si="947"/>
        <v>-0.20534693792034192</v>
      </c>
      <c r="BU311" s="72">
        <f t="shared" si="947"/>
        <v>0.13084288378134887</v>
      </c>
      <c r="BV311" s="72">
        <f t="shared" si="947"/>
        <v>-6.8754845062748982E-4</v>
      </c>
      <c r="BW311" s="72">
        <f t="shared" si="947"/>
        <v>4.258993484045339E-2</v>
      </c>
      <c r="BX311" s="72"/>
      <c r="BY311" s="72"/>
      <c r="BZ311" s="72">
        <f t="shared" si="794"/>
        <v>-9.8096754593643854E-3</v>
      </c>
    </row>
    <row r="312" spans="1:78" ht="13.15">
      <c r="A312" s="73" t="s">
        <v>6</v>
      </c>
      <c r="B312" s="74" t="s">
        <v>667</v>
      </c>
      <c r="C312" s="75" t="s">
        <v>668</v>
      </c>
      <c r="D312" s="75" t="s">
        <v>44</v>
      </c>
      <c r="E312" s="76"/>
      <c r="F312" s="59"/>
      <c r="G312" s="60"/>
      <c r="H312" s="77">
        <v>19318</v>
      </c>
      <c r="I312" s="77">
        <v>13888</v>
      </c>
      <c r="J312" s="77">
        <v>6164</v>
      </c>
      <c r="K312" s="77">
        <v>3365</v>
      </c>
      <c r="L312" s="77">
        <v>3242</v>
      </c>
      <c r="M312" s="77"/>
      <c r="N312" s="77"/>
      <c r="O312" s="77"/>
      <c r="P312" s="77"/>
      <c r="Q312" s="77"/>
      <c r="R312" s="77"/>
      <c r="S312" s="77"/>
      <c r="T312" s="77"/>
      <c r="U312" s="77"/>
      <c r="V312" s="77"/>
      <c r="W312" s="77"/>
      <c r="X312" s="77"/>
      <c r="Y312" s="77"/>
      <c r="Z312" s="77"/>
      <c r="AA312" s="77"/>
      <c r="AB312" s="77"/>
      <c r="AC312" s="77"/>
      <c r="AD312" s="77"/>
      <c r="AE312" s="62"/>
      <c r="AF312" s="63" t="b">
        <v>0</v>
      </c>
      <c r="AG312" s="63" t="b">
        <v>0</v>
      </c>
      <c r="AH312" s="62"/>
      <c r="AI312" s="64">
        <f t="shared" si="786"/>
        <v>45977</v>
      </c>
      <c r="AJ312" s="65" t="str">
        <f t="shared" si="340"/>
        <v>LAB</v>
      </c>
      <c r="AK312" s="66" t="str">
        <f t="shared" si="787"/>
        <v>GAIN</v>
      </c>
      <c r="AL312" s="67" t="e">
        <f t="shared" ca="1" si="788"/>
        <v>#NAME?</v>
      </c>
      <c r="AM312" s="68">
        <f t="shared" si="637"/>
        <v>5430</v>
      </c>
      <c r="AN312" s="69">
        <f t="shared" si="638"/>
        <v>0.11810252952563238</v>
      </c>
      <c r="AO312" s="62"/>
      <c r="AP312" s="70">
        <f t="shared" ref="AP312:AT312" si="948">H312/$AI312</f>
        <v>0.42016660504165126</v>
      </c>
      <c r="AQ312" s="70">
        <f t="shared" si="948"/>
        <v>0.30206407551601888</v>
      </c>
      <c r="AR312" s="70">
        <f t="shared" si="948"/>
        <v>0.13406703351675839</v>
      </c>
      <c r="AS312" s="70">
        <f t="shared" si="948"/>
        <v>7.3188768297192078E-2</v>
      </c>
      <c r="AT312" s="70">
        <f t="shared" si="948"/>
        <v>7.0513517628379402E-2</v>
      </c>
      <c r="AU312" s="70"/>
      <c r="AV312" s="70"/>
      <c r="AW312" s="81">
        <f t="shared" si="790"/>
        <v>0</v>
      </c>
      <c r="AX312" s="70">
        <f t="shared" ref="AX312:BG312" si="949">O312/$AI312</f>
        <v>0</v>
      </c>
      <c r="AY312" s="70">
        <f t="shared" si="949"/>
        <v>0</v>
      </c>
      <c r="AZ312" s="70">
        <f t="shared" si="949"/>
        <v>0</v>
      </c>
      <c r="BA312" s="70">
        <f t="shared" si="949"/>
        <v>0</v>
      </c>
      <c r="BB312" s="70">
        <f t="shared" si="949"/>
        <v>0</v>
      </c>
      <c r="BC312" s="70">
        <f t="shared" si="949"/>
        <v>0</v>
      </c>
      <c r="BD312" s="70">
        <f t="shared" si="949"/>
        <v>0</v>
      </c>
      <c r="BE312" s="70">
        <f t="shared" si="949"/>
        <v>0</v>
      </c>
      <c r="BF312" s="70">
        <f t="shared" si="949"/>
        <v>0</v>
      </c>
      <c r="BG312" s="70">
        <f t="shared" si="949"/>
        <v>0</v>
      </c>
      <c r="BH312" s="70">
        <f t="shared" si="792"/>
        <v>0</v>
      </c>
      <c r="BI312" s="62"/>
      <c r="BJ312" s="69">
        <v>0.38500000000000001</v>
      </c>
      <c r="BK312" s="69">
        <v>0.51600000000000001</v>
      </c>
      <c r="BL312" s="69">
        <v>0</v>
      </c>
      <c r="BM312" s="69">
        <v>6.7000000000000004E-2</v>
      </c>
      <c r="BN312" s="69">
        <v>3.1E-2</v>
      </c>
      <c r="BO312" s="69">
        <v>0</v>
      </c>
      <c r="BP312" s="69">
        <v>0</v>
      </c>
      <c r="BQ312" s="69">
        <v>0</v>
      </c>
      <c r="BR312" s="62"/>
      <c r="BS312" s="72">
        <f t="shared" ref="BS312:BW312" si="950">AP312-BJ312</f>
        <v>3.5166605041651255E-2</v>
      </c>
      <c r="BT312" s="72">
        <f t="shared" si="950"/>
        <v>-0.21393592448398113</v>
      </c>
      <c r="BU312" s="72">
        <f t="shared" si="950"/>
        <v>0.13406703351675839</v>
      </c>
      <c r="BV312" s="72">
        <f t="shared" si="950"/>
        <v>6.1887682971920738E-3</v>
      </c>
      <c r="BW312" s="72">
        <f t="shared" si="950"/>
        <v>3.9513517628379402E-2</v>
      </c>
      <c r="BX312" s="72"/>
      <c r="BY312" s="72"/>
      <c r="BZ312" s="72">
        <f t="shared" si="794"/>
        <v>0</v>
      </c>
    </row>
    <row r="313" spans="1:78" ht="13.15">
      <c r="A313" s="78" t="s">
        <v>5</v>
      </c>
      <c r="B313" s="74" t="s">
        <v>669</v>
      </c>
      <c r="C313" s="75" t="s">
        <v>670</v>
      </c>
      <c r="D313" s="75" t="s">
        <v>68</v>
      </c>
      <c r="E313" s="76"/>
      <c r="F313" s="59"/>
      <c r="G313" s="60"/>
      <c r="H313" s="77">
        <v>25085</v>
      </c>
      <c r="I313" s="77">
        <v>6324</v>
      </c>
      <c r="J313" s="77">
        <v>4135</v>
      </c>
      <c r="K313" s="77">
        <v>3622</v>
      </c>
      <c r="L313" s="77">
        <v>4635</v>
      </c>
      <c r="M313" s="77"/>
      <c r="N313" s="77"/>
      <c r="O313" s="77"/>
      <c r="P313" s="77">
        <v>1091</v>
      </c>
      <c r="Q313" s="77"/>
      <c r="R313" s="77"/>
      <c r="S313" s="77"/>
      <c r="T313" s="77"/>
      <c r="U313" s="77"/>
      <c r="V313" s="77"/>
      <c r="W313" s="77"/>
      <c r="X313" s="77"/>
      <c r="Y313" s="77">
        <v>363</v>
      </c>
      <c r="Z313" s="77"/>
      <c r="AA313" s="77"/>
      <c r="AB313" s="77"/>
      <c r="AC313" s="77"/>
      <c r="AD313" s="77"/>
      <c r="AE313" s="62"/>
      <c r="AF313" s="63" t="b">
        <v>0</v>
      </c>
      <c r="AG313" s="63" t="b">
        <v>0</v>
      </c>
      <c r="AH313" s="62"/>
      <c r="AI313" s="64">
        <f t="shared" si="786"/>
        <v>45255</v>
      </c>
      <c r="AJ313" s="65" t="str">
        <f t="shared" si="340"/>
        <v>LAB</v>
      </c>
      <c r="AK313" s="66" t="str">
        <f t="shared" si="787"/>
        <v>HOLD</v>
      </c>
      <c r="AL313" s="67" t="e">
        <f t="shared" ca="1" si="788"/>
        <v>#NAME?</v>
      </c>
      <c r="AM313" s="68">
        <f t="shared" si="637"/>
        <v>18761</v>
      </c>
      <c r="AN313" s="69">
        <f t="shared" si="638"/>
        <v>0.41456192685891069</v>
      </c>
      <c r="AO313" s="62"/>
      <c r="AP313" s="70">
        <f t="shared" ref="AP313:AT313" si="951">H313/$AI313</f>
        <v>0.5543033918903989</v>
      </c>
      <c r="AQ313" s="70">
        <f t="shared" si="951"/>
        <v>0.13974146503148824</v>
      </c>
      <c r="AR313" s="70">
        <f t="shared" si="951"/>
        <v>9.1371119213346591E-2</v>
      </c>
      <c r="AS313" s="70">
        <f t="shared" si="951"/>
        <v>8.0035355209369136E-2</v>
      </c>
      <c r="AT313" s="70">
        <f t="shared" si="951"/>
        <v>0.10241962214119987</v>
      </c>
      <c r="AU313" s="70"/>
      <c r="AV313" s="70"/>
      <c r="AW313" s="81">
        <f t="shared" si="790"/>
        <v>3.2129046514197235E-2</v>
      </c>
      <c r="AX313" s="70">
        <f t="shared" ref="AX313:BG313" si="952">O313/$AI313</f>
        <v>0</v>
      </c>
      <c r="AY313" s="70">
        <f t="shared" si="952"/>
        <v>2.4107833388575847E-2</v>
      </c>
      <c r="AZ313" s="70">
        <f t="shared" si="952"/>
        <v>0</v>
      </c>
      <c r="BA313" s="70">
        <f t="shared" si="952"/>
        <v>0</v>
      </c>
      <c r="BB313" s="70">
        <f t="shared" si="952"/>
        <v>0</v>
      </c>
      <c r="BC313" s="70">
        <f t="shared" si="952"/>
        <v>0</v>
      </c>
      <c r="BD313" s="70">
        <f t="shared" si="952"/>
        <v>0</v>
      </c>
      <c r="BE313" s="70">
        <f t="shared" si="952"/>
        <v>0</v>
      </c>
      <c r="BF313" s="70">
        <f t="shared" si="952"/>
        <v>0</v>
      </c>
      <c r="BG313" s="70">
        <f t="shared" si="952"/>
        <v>0</v>
      </c>
      <c r="BH313" s="70">
        <f t="shared" si="792"/>
        <v>8.0212131256213876E-3</v>
      </c>
      <c r="BI313" s="62"/>
      <c r="BJ313" s="69">
        <v>0.57499999999999996</v>
      </c>
      <c r="BK313" s="69">
        <v>0.26700000000000002</v>
      </c>
      <c r="BL313" s="69">
        <v>2.3E-2</v>
      </c>
      <c r="BM313" s="69">
        <v>0.108</v>
      </c>
      <c r="BN313" s="69">
        <v>2.3E-2</v>
      </c>
      <c r="BO313" s="69">
        <v>0</v>
      </c>
      <c r="BP313" s="69">
        <v>0</v>
      </c>
      <c r="BQ313" s="69">
        <v>4.0000000000000001E-3</v>
      </c>
      <c r="BR313" s="62"/>
      <c r="BS313" s="72">
        <f t="shared" ref="BS313:BW313" si="953">AP313-BJ313</f>
        <v>-2.0696608109601056E-2</v>
      </c>
      <c r="BT313" s="72">
        <f t="shared" si="953"/>
        <v>-0.12725853496851178</v>
      </c>
      <c r="BU313" s="72">
        <f t="shared" si="953"/>
        <v>6.8371119213346598E-2</v>
      </c>
      <c r="BV313" s="72">
        <f t="shared" si="953"/>
        <v>-2.7964644790630863E-2</v>
      </c>
      <c r="BW313" s="72">
        <f t="shared" si="953"/>
        <v>7.941962214119988E-2</v>
      </c>
      <c r="BX313" s="72"/>
      <c r="BY313" s="72"/>
      <c r="BZ313" s="72">
        <f t="shared" si="794"/>
        <v>2.8129046514197235E-2</v>
      </c>
    </row>
    <row r="314" spans="1:78" ht="13.15">
      <c r="A314" s="73" t="s">
        <v>6</v>
      </c>
      <c r="B314" s="74" t="s">
        <v>671</v>
      </c>
      <c r="C314" s="75" t="s">
        <v>672</v>
      </c>
      <c r="D314" s="75" t="s">
        <v>50</v>
      </c>
      <c r="E314" s="76"/>
      <c r="F314" s="59"/>
      <c r="G314" s="60"/>
      <c r="H314" s="77">
        <v>19603</v>
      </c>
      <c r="I314" s="77">
        <v>13788</v>
      </c>
      <c r="J314" s="77">
        <v>7810</v>
      </c>
      <c r="K314" s="77">
        <v>4769</v>
      </c>
      <c r="L314" s="77">
        <v>2089</v>
      </c>
      <c r="M314" s="77"/>
      <c r="N314" s="77"/>
      <c r="O314" s="77"/>
      <c r="P314" s="77"/>
      <c r="Q314" s="77"/>
      <c r="R314" s="77"/>
      <c r="S314" s="77"/>
      <c r="T314" s="77"/>
      <c r="U314" s="77"/>
      <c r="V314" s="77"/>
      <c r="W314" s="77"/>
      <c r="X314" s="77"/>
      <c r="Y314" s="77"/>
      <c r="Z314" s="77"/>
      <c r="AA314" s="77"/>
      <c r="AB314" s="77"/>
      <c r="AC314" s="77"/>
      <c r="AD314" s="77"/>
      <c r="AE314" s="62"/>
      <c r="AF314" s="63" t="b">
        <v>0</v>
      </c>
      <c r="AG314" s="63" t="b">
        <v>0</v>
      </c>
      <c r="AH314" s="62"/>
      <c r="AI314" s="64">
        <f t="shared" si="786"/>
        <v>48059</v>
      </c>
      <c r="AJ314" s="65" t="str">
        <f t="shared" si="340"/>
        <v>LAB</v>
      </c>
      <c r="AK314" s="66" t="str">
        <f t="shared" si="787"/>
        <v>GAIN</v>
      </c>
      <c r="AL314" s="67" t="e">
        <f t="shared" ca="1" si="788"/>
        <v>#NAME?</v>
      </c>
      <c r="AM314" s="68">
        <f t="shared" si="637"/>
        <v>5815</v>
      </c>
      <c r="AN314" s="69">
        <f t="shared" si="638"/>
        <v>0.1209971077217587</v>
      </c>
      <c r="AO314" s="62"/>
      <c r="AP314" s="70">
        <f t="shared" ref="AP314:AT314" si="954">H314/$AI314</f>
        <v>0.40789446305582722</v>
      </c>
      <c r="AQ314" s="70">
        <f t="shared" si="954"/>
        <v>0.28689735533406852</v>
      </c>
      <c r="AR314" s="70">
        <f t="shared" si="954"/>
        <v>0.1625085831998169</v>
      </c>
      <c r="AS314" s="70">
        <f t="shared" si="954"/>
        <v>9.9232193761834411E-2</v>
      </c>
      <c r="AT314" s="70">
        <f t="shared" si="954"/>
        <v>4.3467404648452945E-2</v>
      </c>
      <c r="AU314" s="70"/>
      <c r="AV314" s="70"/>
      <c r="AW314" s="81">
        <f t="shared" si="790"/>
        <v>0</v>
      </c>
      <c r="AX314" s="70">
        <f t="shared" ref="AX314:BG314" si="955">O314/$AI314</f>
        <v>0</v>
      </c>
      <c r="AY314" s="70">
        <f t="shared" si="955"/>
        <v>0</v>
      </c>
      <c r="AZ314" s="70">
        <f t="shared" si="955"/>
        <v>0</v>
      </c>
      <c r="BA314" s="70">
        <f t="shared" si="955"/>
        <v>0</v>
      </c>
      <c r="BB314" s="70">
        <f t="shared" si="955"/>
        <v>0</v>
      </c>
      <c r="BC314" s="70">
        <f t="shared" si="955"/>
        <v>0</v>
      </c>
      <c r="BD314" s="70">
        <f t="shared" si="955"/>
        <v>0</v>
      </c>
      <c r="BE314" s="70">
        <f t="shared" si="955"/>
        <v>0</v>
      </c>
      <c r="BF314" s="70">
        <f t="shared" si="955"/>
        <v>0</v>
      </c>
      <c r="BG314" s="70">
        <f t="shared" si="955"/>
        <v>0</v>
      </c>
      <c r="BH314" s="70">
        <f t="shared" si="792"/>
        <v>0</v>
      </c>
      <c r="BI314" s="62"/>
      <c r="BJ314" s="69">
        <v>0.28100000000000003</v>
      </c>
      <c r="BK314" s="69">
        <v>0.53600000000000003</v>
      </c>
      <c r="BL314" s="69">
        <v>4.0000000000000001E-3</v>
      </c>
      <c r="BM314" s="69">
        <v>0.156</v>
      </c>
      <c r="BN314" s="69">
        <v>1.2999999999999999E-2</v>
      </c>
      <c r="BO314" s="69">
        <v>0</v>
      </c>
      <c r="BP314" s="69">
        <v>0</v>
      </c>
      <c r="BQ314" s="69">
        <v>0.01</v>
      </c>
      <c r="BR314" s="62"/>
      <c r="BS314" s="72">
        <f t="shared" ref="BS314:BW314" si="956">AP314-BJ314</f>
        <v>0.12689446305582719</v>
      </c>
      <c r="BT314" s="72">
        <f t="shared" si="956"/>
        <v>-0.24910264466593152</v>
      </c>
      <c r="BU314" s="72">
        <f t="shared" si="956"/>
        <v>0.15850858319981689</v>
      </c>
      <c r="BV314" s="72">
        <f t="shared" si="956"/>
        <v>-5.6767806238165588E-2</v>
      </c>
      <c r="BW314" s="72">
        <f t="shared" si="956"/>
        <v>3.0467404648452948E-2</v>
      </c>
      <c r="BX314" s="72"/>
      <c r="BY314" s="72"/>
      <c r="BZ314" s="72">
        <f t="shared" si="794"/>
        <v>-0.01</v>
      </c>
    </row>
    <row r="315" spans="1:78" ht="13.15">
      <c r="A315" s="73" t="s">
        <v>6</v>
      </c>
      <c r="B315" s="74" t="s">
        <v>673</v>
      </c>
      <c r="C315" s="75" t="s">
        <v>674</v>
      </c>
      <c r="D315" s="75" t="s">
        <v>44</v>
      </c>
      <c r="E315" s="76"/>
      <c r="F315" s="59"/>
      <c r="G315" s="60"/>
      <c r="H315" s="77">
        <v>8917</v>
      </c>
      <c r="I315" s="77">
        <v>17412</v>
      </c>
      <c r="J315" s="77">
        <v>7646</v>
      </c>
      <c r="K315" s="77">
        <v>7198</v>
      </c>
      <c r="L315" s="77">
        <v>3118</v>
      </c>
      <c r="M315" s="77"/>
      <c r="N315" s="77"/>
      <c r="O315" s="77"/>
      <c r="P315" s="77"/>
      <c r="Q315" s="77"/>
      <c r="R315" s="77"/>
      <c r="S315" s="77"/>
      <c r="T315" s="77"/>
      <c r="U315" s="77"/>
      <c r="V315" s="77"/>
      <c r="W315" s="77"/>
      <c r="X315" s="77"/>
      <c r="Y315" s="77">
        <v>529</v>
      </c>
      <c r="Z315" s="77">
        <v>410</v>
      </c>
      <c r="AA315" s="77"/>
      <c r="AB315" s="77"/>
      <c r="AC315" s="77"/>
      <c r="AD315" s="77"/>
      <c r="AE315" s="62"/>
      <c r="AF315" s="63" t="b">
        <v>0</v>
      </c>
      <c r="AG315" s="63" t="b">
        <v>0</v>
      </c>
      <c r="AH315" s="62"/>
      <c r="AI315" s="64">
        <f t="shared" si="786"/>
        <v>45230</v>
      </c>
      <c r="AJ315" s="65" t="str">
        <f t="shared" si="340"/>
        <v>CON</v>
      </c>
      <c r="AK315" s="66" t="str">
        <f t="shared" si="787"/>
        <v>HOLD</v>
      </c>
      <c r="AL315" s="67" t="e">
        <f t="shared" ca="1" si="788"/>
        <v>#NAME?</v>
      </c>
      <c r="AM315" s="68">
        <f t="shared" si="637"/>
        <v>8495</v>
      </c>
      <c r="AN315" s="69">
        <f t="shared" si="638"/>
        <v>0.18781782003095293</v>
      </c>
      <c r="AO315" s="62"/>
      <c r="AP315" s="70">
        <f t="shared" ref="AP315:AT315" si="957">H315/$AI315</f>
        <v>0.19714791067875304</v>
      </c>
      <c r="AQ315" s="70">
        <f t="shared" si="957"/>
        <v>0.38496573070970597</v>
      </c>
      <c r="AR315" s="70">
        <f t="shared" si="957"/>
        <v>0.1690470926376299</v>
      </c>
      <c r="AS315" s="70">
        <f t="shared" si="957"/>
        <v>0.15914216228167147</v>
      </c>
      <c r="AT315" s="70">
        <f t="shared" si="957"/>
        <v>6.8936546539907148E-2</v>
      </c>
      <c r="AU315" s="70"/>
      <c r="AV315" s="70"/>
      <c r="AW315" s="81">
        <f t="shared" si="790"/>
        <v>2.0760557152332604E-2</v>
      </c>
      <c r="AX315" s="70">
        <f t="shared" ref="AX315:BG315" si="958">O315/$AI315</f>
        <v>0</v>
      </c>
      <c r="AY315" s="70">
        <f t="shared" si="958"/>
        <v>0</v>
      </c>
      <c r="AZ315" s="70">
        <f t="shared" si="958"/>
        <v>0</v>
      </c>
      <c r="BA315" s="70">
        <f t="shared" si="958"/>
        <v>0</v>
      </c>
      <c r="BB315" s="70">
        <f t="shared" si="958"/>
        <v>0</v>
      </c>
      <c r="BC315" s="70">
        <f t="shared" si="958"/>
        <v>0</v>
      </c>
      <c r="BD315" s="70">
        <f t="shared" si="958"/>
        <v>0</v>
      </c>
      <c r="BE315" s="70">
        <f t="shared" si="958"/>
        <v>0</v>
      </c>
      <c r="BF315" s="70">
        <f t="shared" si="958"/>
        <v>0</v>
      </c>
      <c r="BG315" s="70">
        <f t="shared" si="958"/>
        <v>0</v>
      </c>
      <c r="BH315" s="70">
        <f t="shared" si="792"/>
        <v>2.0760557152332604E-2</v>
      </c>
      <c r="BI315" s="62"/>
      <c r="BJ315" s="69">
        <v>0.14799999999999999</v>
      </c>
      <c r="BK315" s="69">
        <v>0.64500000000000002</v>
      </c>
      <c r="BL315" s="69">
        <v>0</v>
      </c>
      <c r="BM315" s="69">
        <v>0.14599999999999999</v>
      </c>
      <c r="BN315" s="69">
        <v>4.8000000000000001E-2</v>
      </c>
      <c r="BO315" s="69">
        <v>0</v>
      </c>
      <c r="BP315" s="69">
        <v>0</v>
      </c>
      <c r="BQ315" s="69">
        <v>1.2999999999999999E-2</v>
      </c>
      <c r="BR315" s="62"/>
      <c r="BS315" s="72">
        <f t="shared" ref="BS315:BW315" si="959">AP315-BJ315</f>
        <v>4.9147910678753043E-2</v>
      </c>
      <c r="BT315" s="72">
        <f t="shared" si="959"/>
        <v>-0.26003426929029405</v>
      </c>
      <c r="BU315" s="72">
        <f t="shared" si="959"/>
        <v>0.1690470926376299</v>
      </c>
      <c r="BV315" s="72">
        <f t="shared" si="959"/>
        <v>1.3142162281671477E-2</v>
      </c>
      <c r="BW315" s="72">
        <f t="shared" si="959"/>
        <v>2.0936546539907147E-2</v>
      </c>
      <c r="BX315" s="72"/>
      <c r="BY315" s="72"/>
      <c r="BZ315" s="72">
        <f t="shared" si="794"/>
        <v>7.7605571523326044E-3</v>
      </c>
    </row>
    <row r="316" spans="1:78" ht="13.15">
      <c r="A316" s="73" t="s">
        <v>6</v>
      </c>
      <c r="B316" s="74" t="s">
        <v>675</v>
      </c>
      <c r="C316" s="75" t="s">
        <v>676</v>
      </c>
      <c r="D316" s="75" t="s">
        <v>44</v>
      </c>
      <c r="E316" s="76"/>
      <c r="F316" s="59"/>
      <c r="G316" s="60"/>
      <c r="H316" s="77">
        <v>10812</v>
      </c>
      <c r="I316" s="77">
        <v>16412</v>
      </c>
      <c r="J316" s="77">
        <v>7577</v>
      </c>
      <c r="K316" s="77">
        <v>8186</v>
      </c>
      <c r="L316" s="77">
        <v>2800</v>
      </c>
      <c r="M316" s="77"/>
      <c r="N316" s="77"/>
      <c r="O316" s="77"/>
      <c r="P316" s="77"/>
      <c r="Q316" s="77">
        <v>157</v>
      </c>
      <c r="R316" s="77"/>
      <c r="S316" s="77"/>
      <c r="T316" s="77"/>
      <c r="U316" s="77"/>
      <c r="V316" s="77"/>
      <c r="W316" s="77"/>
      <c r="X316" s="77"/>
      <c r="Y316" s="77">
        <v>393</v>
      </c>
      <c r="Z316" s="77"/>
      <c r="AA316" s="77"/>
      <c r="AB316" s="77"/>
      <c r="AC316" s="77"/>
      <c r="AD316" s="77"/>
      <c r="AE316" s="62"/>
      <c r="AF316" s="63" t="b">
        <v>0</v>
      </c>
      <c r="AG316" s="63" t="b">
        <v>0</v>
      </c>
      <c r="AH316" s="62"/>
      <c r="AI316" s="64">
        <f t="shared" si="786"/>
        <v>46337</v>
      </c>
      <c r="AJ316" s="65" t="str">
        <f t="shared" si="340"/>
        <v>CON</v>
      </c>
      <c r="AK316" s="66" t="str">
        <f t="shared" si="787"/>
        <v>HOLD</v>
      </c>
      <c r="AL316" s="67" t="e">
        <f t="shared" ca="1" si="788"/>
        <v>#NAME?</v>
      </c>
      <c r="AM316" s="68">
        <f t="shared" si="637"/>
        <v>5600</v>
      </c>
      <c r="AN316" s="69">
        <f t="shared" si="638"/>
        <v>0.12085374538705571</v>
      </c>
      <c r="AO316" s="62"/>
      <c r="AP316" s="70">
        <f t="shared" ref="AP316:AT316" si="960">H316/$AI316</f>
        <v>0.23333405270086541</v>
      </c>
      <c r="AQ316" s="70">
        <f t="shared" si="960"/>
        <v>0.35418779808792111</v>
      </c>
      <c r="AR316" s="70">
        <f t="shared" si="960"/>
        <v>0.16351943371387875</v>
      </c>
      <c r="AS316" s="70">
        <f t="shared" si="960"/>
        <v>0.17666227852472108</v>
      </c>
      <c r="AT316" s="70">
        <f t="shared" si="960"/>
        <v>6.0426872693527853E-2</v>
      </c>
      <c r="AU316" s="70"/>
      <c r="AV316" s="70"/>
      <c r="AW316" s="81">
        <f t="shared" si="790"/>
        <v>1.1869564279085809E-2</v>
      </c>
      <c r="AX316" s="70">
        <f t="shared" ref="AX316:BG316" si="961">O316/$AI316</f>
        <v>0</v>
      </c>
      <c r="AY316" s="70">
        <f t="shared" si="961"/>
        <v>0</v>
      </c>
      <c r="AZ316" s="70">
        <f t="shared" si="961"/>
        <v>3.3882210760299543E-3</v>
      </c>
      <c r="BA316" s="70">
        <f t="shared" si="961"/>
        <v>0</v>
      </c>
      <c r="BB316" s="70">
        <f t="shared" si="961"/>
        <v>0</v>
      </c>
      <c r="BC316" s="70">
        <f t="shared" si="961"/>
        <v>0</v>
      </c>
      <c r="BD316" s="70">
        <f t="shared" si="961"/>
        <v>0</v>
      </c>
      <c r="BE316" s="70">
        <f t="shared" si="961"/>
        <v>0</v>
      </c>
      <c r="BF316" s="70">
        <f t="shared" si="961"/>
        <v>0</v>
      </c>
      <c r="BG316" s="70">
        <f t="shared" si="961"/>
        <v>0</v>
      </c>
      <c r="BH316" s="70">
        <f t="shared" si="792"/>
        <v>8.4813432030558557E-3</v>
      </c>
      <c r="BI316" s="62"/>
      <c r="BJ316" s="69">
        <v>0.13100000000000001</v>
      </c>
      <c r="BK316" s="69">
        <v>0.63800000000000001</v>
      </c>
      <c r="BL316" s="69">
        <v>0</v>
      </c>
      <c r="BM316" s="69">
        <v>0.153</v>
      </c>
      <c r="BN316" s="69">
        <v>7.6999999999999999E-2</v>
      </c>
      <c r="BO316" s="69">
        <v>0</v>
      </c>
      <c r="BP316" s="69">
        <v>0</v>
      </c>
      <c r="BQ316" s="69">
        <v>0</v>
      </c>
      <c r="BR316" s="62"/>
      <c r="BS316" s="72">
        <f t="shared" ref="BS316:BW316" si="962">AP316-BJ316</f>
        <v>0.1023340527008654</v>
      </c>
      <c r="BT316" s="72">
        <f t="shared" si="962"/>
        <v>-0.2838122019120789</v>
      </c>
      <c r="BU316" s="72">
        <f t="shared" si="962"/>
        <v>0.16351943371387875</v>
      </c>
      <c r="BV316" s="72">
        <f t="shared" si="962"/>
        <v>2.3662278524721081E-2</v>
      </c>
      <c r="BW316" s="72">
        <f t="shared" si="962"/>
        <v>-1.6573127306472146E-2</v>
      </c>
      <c r="BX316" s="72"/>
      <c r="BY316" s="72"/>
      <c r="BZ316" s="72">
        <f t="shared" si="794"/>
        <v>1.1869564279085809E-2</v>
      </c>
    </row>
    <row r="317" spans="1:78" ht="13.15">
      <c r="A317" s="73" t="s">
        <v>6</v>
      </c>
      <c r="B317" s="74" t="s">
        <v>677</v>
      </c>
      <c r="C317" s="75" t="s">
        <v>678</v>
      </c>
      <c r="D317" s="75" t="s">
        <v>53</v>
      </c>
      <c r="E317" s="76"/>
      <c r="F317" s="59"/>
      <c r="G317" s="60"/>
      <c r="H317" s="77">
        <v>17396</v>
      </c>
      <c r="I317" s="77">
        <v>20968</v>
      </c>
      <c r="J317" s="77">
        <v>8280</v>
      </c>
      <c r="K317" s="77">
        <v>3026</v>
      </c>
      <c r="L317" s="77">
        <v>2345</v>
      </c>
      <c r="M317" s="77"/>
      <c r="N317" s="77"/>
      <c r="O317" s="77">
        <v>329</v>
      </c>
      <c r="P317" s="77">
        <v>150</v>
      </c>
      <c r="Q317" s="77"/>
      <c r="R317" s="77"/>
      <c r="S317" s="77"/>
      <c r="T317" s="77"/>
      <c r="U317" s="77"/>
      <c r="V317" s="77"/>
      <c r="W317" s="77"/>
      <c r="X317" s="77"/>
      <c r="Y317" s="77">
        <v>809</v>
      </c>
      <c r="Z317" s="77">
        <v>156</v>
      </c>
      <c r="AA317" s="77"/>
      <c r="AB317" s="77"/>
      <c r="AC317" s="77"/>
      <c r="AD317" s="77"/>
      <c r="AE317" s="62"/>
      <c r="AF317" s="63" t="b">
        <v>0</v>
      </c>
      <c r="AG317" s="63" t="b">
        <v>0</v>
      </c>
      <c r="AH317" s="62"/>
      <c r="AI317" s="64">
        <f t="shared" si="786"/>
        <v>53459</v>
      </c>
      <c r="AJ317" s="65" t="str">
        <f t="shared" si="340"/>
        <v>CON</v>
      </c>
      <c r="AK317" s="66" t="str">
        <f t="shared" si="787"/>
        <v>HOLD</v>
      </c>
      <c r="AL317" s="67" t="e">
        <f t="shared" ca="1" si="788"/>
        <v>#NAME?</v>
      </c>
      <c r="AM317" s="68">
        <f t="shared" si="637"/>
        <v>3572</v>
      </c>
      <c r="AN317" s="69">
        <f t="shared" si="638"/>
        <v>6.6817561121607194E-2</v>
      </c>
      <c r="AO317" s="62"/>
      <c r="AP317" s="70">
        <f t="shared" ref="AP317:AT317" si="963">H317/$AI317</f>
        <v>0.32540825679492696</v>
      </c>
      <c r="AQ317" s="70">
        <f t="shared" si="963"/>
        <v>0.39222581791653416</v>
      </c>
      <c r="AR317" s="70">
        <f t="shared" si="963"/>
        <v>0.15488505209599882</v>
      </c>
      <c r="AS317" s="70">
        <f t="shared" si="963"/>
        <v>5.6604126526871058E-2</v>
      </c>
      <c r="AT317" s="70">
        <f t="shared" si="963"/>
        <v>4.3865392169700146E-2</v>
      </c>
      <c r="AU317" s="70"/>
      <c r="AV317" s="70"/>
      <c r="AW317" s="81">
        <f t="shared" si="790"/>
        <v>2.701135449596892E-2</v>
      </c>
      <c r="AX317" s="70">
        <f t="shared" ref="AX317:BG317" si="964">O317/$AI317</f>
        <v>6.1542490506743489E-3</v>
      </c>
      <c r="AY317" s="70">
        <f t="shared" si="964"/>
        <v>2.8058886249275146E-3</v>
      </c>
      <c r="AZ317" s="70">
        <f t="shared" si="964"/>
        <v>0</v>
      </c>
      <c r="BA317" s="70">
        <f t="shared" si="964"/>
        <v>0</v>
      </c>
      <c r="BB317" s="70">
        <f t="shared" si="964"/>
        <v>0</v>
      </c>
      <c r="BC317" s="70">
        <f t="shared" si="964"/>
        <v>0</v>
      </c>
      <c r="BD317" s="70">
        <f t="shared" si="964"/>
        <v>0</v>
      </c>
      <c r="BE317" s="70">
        <f t="shared" si="964"/>
        <v>0</v>
      </c>
      <c r="BF317" s="70">
        <f t="shared" si="964"/>
        <v>0</v>
      </c>
      <c r="BG317" s="70">
        <f t="shared" si="964"/>
        <v>0</v>
      </c>
      <c r="BH317" s="70">
        <f t="shared" si="792"/>
        <v>1.8051216820367057E-2</v>
      </c>
      <c r="BI317" s="62"/>
      <c r="BJ317" s="69">
        <v>0.23899999999999999</v>
      </c>
      <c r="BK317" s="69">
        <v>0.63100000000000001</v>
      </c>
      <c r="BL317" s="69">
        <v>4.0000000000000001E-3</v>
      </c>
      <c r="BM317" s="69">
        <v>9.6000000000000002E-2</v>
      </c>
      <c r="BN317" s="69">
        <v>3.1E-2</v>
      </c>
      <c r="BO317" s="69">
        <v>0</v>
      </c>
      <c r="BP317" s="69">
        <v>0</v>
      </c>
      <c r="BQ317" s="69">
        <v>0</v>
      </c>
      <c r="BR317" s="62"/>
      <c r="BS317" s="72">
        <f t="shared" ref="BS317:BW317" si="965">AP317-BJ317</f>
        <v>8.6408256794926974E-2</v>
      </c>
      <c r="BT317" s="72">
        <f t="shared" si="965"/>
        <v>-0.23877418208346585</v>
      </c>
      <c r="BU317" s="72">
        <f t="shared" si="965"/>
        <v>0.15088505209599881</v>
      </c>
      <c r="BV317" s="72">
        <f t="shared" si="965"/>
        <v>-3.9395873473128944E-2</v>
      </c>
      <c r="BW317" s="72">
        <f t="shared" si="965"/>
        <v>1.2865392169700146E-2</v>
      </c>
      <c r="BX317" s="72"/>
      <c r="BY317" s="72"/>
      <c r="BZ317" s="72">
        <f t="shared" si="794"/>
        <v>2.701135449596892E-2</v>
      </c>
    </row>
    <row r="318" spans="1:78" ht="13.15">
      <c r="A318" s="73" t="s">
        <v>6</v>
      </c>
      <c r="B318" s="74" t="s">
        <v>679</v>
      </c>
      <c r="C318" s="75" t="s">
        <v>680</v>
      </c>
      <c r="D318" s="75" t="s">
        <v>44</v>
      </c>
      <c r="E318" s="76"/>
      <c r="F318" s="59"/>
      <c r="G318" s="60"/>
      <c r="H318" s="77">
        <v>3662</v>
      </c>
      <c r="I318" s="77">
        <v>17268</v>
      </c>
      <c r="J318" s="77">
        <v>5357</v>
      </c>
      <c r="K318" s="77">
        <v>19645</v>
      </c>
      <c r="L318" s="77">
        <v>2714</v>
      </c>
      <c r="M318" s="77"/>
      <c r="N318" s="77"/>
      <c r="O318" s="77"/>
      <c r="P318" s="77"/>
      <c r="Q318" s="77"/>
      <c r="R318" s="77"/>
      <c r="S318" s="77"/>
      <c r="T318" s="77"/>
      <c r="U318" s="77"/>
      <c r="V318" s="77"/>
      <c r="W318" s="77"/>
      <c r="X318" s="77"/>
      <c r="Y318" s="77">
        <v>153</v>
      </c>
      <c r="Z318" s="77">
        <v>131</v>
      </c>
      <c r="AA318" s="77"/>
      <c r="AB318" s="77"/>
      <c r="AC318" s="77"/>
      <c r="AD318" s="77"/>
      <c r="AE318" s="62"/>
      <c r="AF318" s="63" t="b">
        <v>0</v>
      </c>
      <c r="AG318" s="63" t="b">
        <v>0</v>
      </c>
      <c r="AH318" s="62"/>
      <c r="AI318" s="64">
        <f t="shared" si="786"/>
        <v>48930</v>
      </c>
      <c r="AJ318" s="65" t="str">
        <f t="shared" si="340"/>
        <v>LDM</v>
      </c>
      <c r="AK318" s="66" t="str">
        <f t="shared" si="787"/>
        <v>GAIN</v>
      </c>
      <c r="AL318" s="67" t="e">
        <f t="shared" ca="1" si="788"/>
        <v>#NAME?</v>
      </c>
      <c r="AM318" s="68">
        <f t="shared" si="637"/>
        <v>2377</v>
      </c>
      <c r="AN318" s="69">
        <f t="shared" si="638"/>
        <v>4.8579603515225833E-2</v>
      </c>
      <c r="AO318" s="62"/>
      <c r="AP318" s="70">
        <f t="shared" ref="AP318:AT318" si="966">H318/$AI318</f>
        <v>7.4841610463928065E-2</v>
      </c>
      <c r="AQ318" s="70">
        <f t="shared" si="966"/>
        <v>0.35291232372777437</v>
      </c>
      <c r="AR318" s="70">
        <f t="shared" si="966"/>
        <v>0.10948293480482321</v>
      </c>
      <c r="AS318" s="70">
        <f t="shared" si="966"/>
        <v>0.4014919272430002</v>
      </c>
      <c r="AT318" s="70">
        <f t="shared" si="966"/>
        <v>5.5466993664418554E-2</v>
      </c>
      <c r="AU318" s="70"/>
      <c r="AV318" s="70"/>
      <c r="AW318" s="81">
        <f t="shared" si="790"/>
        <v>5.8042100960555842E-3</v>
      </c>
      <c r="AX318" s="70">
        <f t="shared" ref="AX318:BG318" si="967">O318/$AI318</f>
        <v>0</v>
      </c>
      <c r="AY318" s="70">
        <f t="shared" si="967"/>
        <v>0</v>
      </c>
      <c r="AZ318" s="70">
        <f t="shared" si="967"/>
        <v>0</v>
      </c>
      <c r="BA318" s="70">
        <f t="shared" si="967"/>
        <v>0</v>
      </c>
      <c r="BB318" s="70">
        <f t="shared" si="967"/>
        <v>0</v>
      </c>
      <c r="BC318" s="70">
        <f t="shared" si="967"/>
        <v>0</v>
      </c>
      <c r="BD318" s="70">
        <f t="shared" si="967"/>
        <v>0</v>
      </c>
      <c r="BE318" s="70">
        <f t="shared" si="967"/>
        <v>0</v>
      </c>
      <c r="BF318" s="70">
        <f t="shared" si="967"/>
        <v>0</v>
      </c>
      <c r="BG318" s="70">
        <f t="shared" si="967"/>
        <v>0</v>
      </c>
      <c r="BH318" s="70">
        <f t="shared" si="792"/>
        <v>5.8042100960555842E-3</v>
      </c>
      <c r="BI318" s="62"/>
      <c r="BJ318" s="69">
        <v>7.6999999999999999E-2</v>
      </c>
      <c r="BK318" s="69">
        <v>0.55100000000000005</v>
      </c>
      <c r="BL318" s="69">
        <v>0</v>
      </c>
      <c r="BM318" s="69">
        <v>0.32600000000000001</v>
      </c>
      <c r="BN318" s="69">
        <v>0.04</v>
      </c>
      <c r="BO318" s="69">
        <v>0</v>
      </c>
      <c r="BP318" s="69">
        <v>0</v>
      </c>
      <c r="BQ318" s="69">
        <v>6.0000000000000001E-3</v>
      </c>
      <c r="BR318" s="62"/>
      <c r="BS318" s="72">
        <f t="shared" ref="BS318:BW318" si="968">AP318-BJ318</f>
        <v>-2.1583895360719335E-3</v>
      </c>
      <c r="BT318" s="72">
        <f t="shared" si="968"/>
        <v>-0.19808767627222568</v>
      </c>
      <c r="BU318" s="72">
        <f t="shared" si="968"/>
        <v>0.10948293480482321</v>
      </c>
      <c r="BV318" s="72">
        <f t="shared" si="968"/>
        <v>7.549192724300019E-2</v>
      </c>
      <c r="BW318" s="72">
        <f t="shared" si="968"/>
        <v>1.5466993664418553E-2</v>
      </c>
      <c r="BX318" s="72"/>
      <c r="BY318" s="72"/>
      <c r="BZ318" s="72">
        <f t="shared" si="794"/>
        <v>-1.9578990394441588E-4</v>
      </c>
    </row>
    <row r="319" spans="1:78" ht="13.15">
      <c r="A319" s="78" t="s">
        <v>5</v>
      </c>
      <c r="B319" s="74" t="s">
        <v>681</v>
      </c>
      <c r="C319" s="75" t="s">
        <v>682</v>
      </c>
      <c r="D319" s="75" t="s">
        <v>129</v>
      </c>
      <c r="E319" s="76"/>
      <c r="F319" s="59">
        <v>0.54</v>
      </c>
      <c r="G319" s="60"/>
      <c r="H319" s="77">
        <v>18875</v>
      </c>
      <c r="I319" s="77">
        <v>4228</v>
      </c>
      <c r="J319" s="77">
        <v>7815</v>
      </c>
      <c r="K319" s="77">
        <v>1946</v>
      </c>
      <c r="L319" s="77">
        <v>3228</v>
      </c>
      <c r="M319" s="77"/>
      <c r="N319" s="77"/>
      <c r="O319" s="77">
        <v>3627</v>
      </c>
      <c r="P319" s="77"/>
      <c r="Q319" s="77"/>
      <c r="R319" s="77"/>
      <c r="S319" s="77"/>
      <c r="T319" s="77"/>
      <c r="U319" s="77"/>
      <c r="V319" s="77"/>
      <c r="W319" s="77"/>
      <c r="X319" s="77"/>
      <c r="Y319" s="77">
        <v>1636</v>
      </c>
      <c r="Z319" s="77"/>
      <c r="AA319" s="77"/>
      <c r="AB319" s="77"/>
      <c r="AC319" s="77"/>
      <c r="AD319" s="77"/>
      <c r="AE319" s="62"/>
      <c r="AF319" s="63" t="b">
        <v>0</v>
      </c>
      <c r="AG319" s="63" t="b">
        <v>0</v>
      </c>
      <c r="AH319" s="62"/>
      <c r="AI319" s="64">
        <f t="shared" si="786"/>
        <v>41355</v>
      </c>
      <c r="AJ319" s="65" t="str">
        <f t="shared" si="340"/>
        <v>LAB</v>
      </c>
      <c r="AK319" s="66" t="str">
        <f t="shared" si="787"/>
        <v>HOLD</v>
      </c>
      <c r="AL319" s="67" t="e">
        <f t="shared" ca="1" si="788"/>
        <v>#NAME?</v>
      </c>
      <c r="AM319" s="68">
        <f t="shared" si="637"/>
        <v>11060</v>
      </c>
      <c r="AN319" s="69">
        <f t="shared" si="638"/>
        <v>0.26744045460041105</v>
      </c>
      <c r="AO319" s="62"/>
      <c r="AP319" s="70">
        <f t="shared" ref="AP319:AT319" si="969">H319/$AI319</f>
        <v>0.45641397654455323</v>
      </c>
      <c r="AQ319" s="70">
        <f t="shared" si="969"/>
        <v>0.10223673074597993</v>
      </c>
      <c r="AR319" s="70">
        <f t="shared" si="969"/>
        <v>0.18897352194414219</v>
      </c>
      <c r="AS319" s="70">
        <f t="shared" si="969"/>
        <v>4.7055978720831823E-2</v>
      </c>
      <c r="AT319" s="70">
        <f t="shared" si="969"/>
        <v>7.8055857816467178E-2</v>
      </c>
      <c r="AU319" s="70"/>
      <c r="AV319" s="70"/>
      <c r="AW319" s="81">
        <f t="shared" si="790"/>
        <v>0.12726393422802573</v>
      </c>
      <c r="AX319" s="70">
        <f t="shared" ref="AX319:BG319" si="970">O319/$AI319</f>
        <v>8.7704026115342767E-2</v>
      </c>
      <c r="AY319" s="70">
        <f t="shared" si="970"/>
        <v>0</v>
      </c>
      <c r="AZ319" s="70">
        <f t="shared" si="970"/>
        <v>0</v>
      </c>
      <c r="BA319" s="70">
        <f t="shared" si="970"/>
        <v>0</v>
      </c>
      <c r="BB319" s="70">
        <f t="shared" si="970"/>
        <v>0</v>
      </c>
      <c r="BC319" s="70">
        <f t="shared" si="970"/>
        <v>0</v>
      </c>
      <c r="BD319" s="70">
        <f t="shared" si="970"/>
        <v>0</v>
      </c>
      <c r="BE319" s="70">
        <f t="shared" si="970"/>
        <v>0</v>
      </c>
      <c r="BF319" s="70">
        <f t="shared" si="970"/>
        <v>0</v>
      </c>
      <c r="BG319" s="70">
        <f t="shared" si="970"/>
        <v>0</v>
      </c>
      <c r="BH319" s="70">
        <f t="shared" si="792"/>
        <v>3.9559908112682965E-2</v>
      </c>
      <c r="BI319" s="62"/>
      <c r="BJ319" s="69">
        <v>0.59299999999999997</v>
      </c>
      <c r="BK319" s="69">
        <v>0.26600000000000001</v>
      </c>
      <c r="BL319" s="69">
        <v>8.2000000000000003E-2</v>
      </c>
      <c r="BM319" s="69">
        <v>0.03</v>
      </c>
      <c r="BN319" s="69">
        <v>0.03</v>
      </c>
      <c r="BO319" s="69">
        <v>0</v>
      </c>
      <c r="BP319" s="69">
        <v>0</v>
      </c>
      <c r="BQ319" s="69">
        <v>0</v>
      </c>
      <c r="BR319" s="62"/>
      <c r="BS319" s="72">
        <f t="shared" ref="BS319:BW319" si="971">AP319-BJ319</f>
        <v>-0.13658602345544674</v>
      </c>
      <c r="BT319" s="72">
        <f t="shared" si="971"/>
        <v>-0.16376326925402007</v>
      </c>
      <c r="BU319" s="72">
        <f t="shared" si="971"/>
        <v>0.10697352194414218</v>
      </c>
      <c r="BV319" s="72">
        <f t="shared" si="971"/>
        <v>1.7055978720831824E-2</v>
      </c>
      <c r="BW319" s="72">
        <f t="shared" si="971"/>
        <v>4.8055857816467179E-2</v>
      </c>
      <c r="BX319" s="72"/>
      <c r="BY319" s="72"/>
      <c r="BZ319" s="72">
        <f t="shared" si="794"/>
        <v>0.12726393422802573</v>
      </c>
    </row>
    <row r="320" spans="1:78" ht="13.15">
      <c r="A320" s="78" t="s">
        <v>5</v>
      </c>
      <c r="B320" s="74" t="s">
        <v>683</v>
      </c>
      <c r="C320" s="75" t="s">
        <v>684</v>
      </c>
      <c r="D320" s="75" t="s">
        <v>129</v>
      </c>
      <c r="E320" s="76"/>
      <c r="F320" s="59"/>
      <c r="G320" s="60"/>
      <c r="H320" s="77">
        <v>21200</v>
      </c>
      <c r="I320" s="77">
        <v>3522</v>
      </c>
      <c r="J320" s="77">
        <v>8383</v>
      </c>
      <c r="K320" s="77">
        <v>2965</v>
      </c>
      <c r="L320" s="77">
        <v>5257</v>
      </c>
      <c r="M320" s="77"/>
      <c r="N320" s="77"/>
      <c r="O320" s="77"/>
      <c r="P320" s="77">
        <v>430</v>
      </c>
      <c r="Q320" s="77">
        <v>95</v>
      </c>
      <c r="R320" s="77"/>
      <c r="S320" s="77"/>
      <c r="T320" s="77"/>
      <c r="U320" s="77"/>
      <c r="V320" s="77"/>
      <c r="W320" s="77"/>
      <c r="X320" s="77"/>
      <c r="Y320" s="77">
        <v>283</v>
      </c>
      <c r="Z320" s="77">
        <v>186</v>
      </c>
      <c r="AA320" s="77"/>
      <c r="AB320" s="77"/>
      <c r="AC320" s="77"/>
      <c r="AD320" s="77"/>
      <c r="AE320" s="62"/>
      <c r="AF320" s="63" t="b">
        <v>0</v>
      </c>
      <c r="AG320" s="63" t="b">
        <v>0</v>
      </c>
      <c r="AH320" s="62"/>
      <c r="AI320" s="64">
        <f t="shared" si="786"/>
        <v>42321</v>
      </c>
      <c r="AJ320" s="65" t="str">
        <f t="shared" si="340"/>
        <v>LAB</v>
      </c>
      <c r="AK320" s="66" t="str">
        <f t="shared" si="787"/>
        <v>HOLD</v>
      </c>
      <c r="AL320" s="67" t="e">
        <f t="shared" ca="1" si="788"/>
        <v>#NAME?</v>
      </c>
      <c r="AM320" s="68">
        <f t="shared" si="637"/>
        <v>12817</v>
      </c>
      <c r="AN320" s="69">
        <f t="shared" si="638"/>
        <v>0.3028520120034971</v>
      </c>
      <c r="AO320" s="62"/>
      <c r="AP320" s="70">
        <f t="shared" ref="AP320:AT320" si="972">H320/$AI320</f>
        <v>0.50093334278490587</v>
      </c>
      <c r="AQ320" s="70">
        <f t="shared" si="972"/>
        <v>8.3221095909831996E-2</v>
      </c>
      <c r="AR320" s="70">
        <f t="shared" si="972"/>
        <v>0.19808133078140874</v>
      </c>
      <c r="AS320" s="70">
        <f t="shared" si="972"/>
        <v>7.0059781196096502E-2</v>
      </c>
      <c r="AT320" s="70">
        <f t="shared" si="972"/>
        <v>0.12421729165189858</v>
      </c>
      <c r="AU320" s="70"/>
      <c r="AV320" s="70"/>
      <c r="AW320" s="81">
        <f t="shared" si="790"/>
        <v>2.3487157675858406E-2</v>
      </c>
      <c r="AX320" s="70">
        <f t="shared" ref="AX320:BG320" si="973">O320/$AI320</f>
        <v>0</v>
      </c>
      <c r="AY320" s="70">
        <f t="shared" si="973"/>
        <v>1.016044044327875E-2</v>
      </c>
      <c r="AZ320" s="70">
        <f t="shared" si="973"/>
        <v>2.2447484700267007E-3</v>
      </c>
      <c r="BA320" s="70">
        <f t="shared" si="973"/>
        <v>0</v>
      </c>
      <c r="BB320" s="70">
        <f t="shared" si="973"/>
        <v>0</v>
      </c>
      <c r="BC320" s="70">
        <f t="shared" si="973"/>
        <v>0</v>
      </c>
      <c r="BD320" s="70">
        <f t="shared" si="973"/>
        <v>0</v>
      </c>
      <c r="BE320" s="70">
        <f t="shared" si="973"/>
        <v>0</v>
      </c>
      <c r="BF320" s="70">
        <f t="shared" si="973"/>
        <v>0</v>
      </c>
      <c r="BG320" s="70">
        <f t="shared" si="973"/>
        <v>0</v>
      </c>
      <c r="BH320" s="70">
        <f t="shared" si="792"/>
        <v>1.1081968762552954E-2</v>
      </c>
      <c r="BI320" s="62"/>
      <c r="BJ320" s="69">
        <v>0.59299999999999997</v>
      </c>
      <c r="BK320" s="69">
        <v>0.23699999999999999</v>
      </c>
      <c r="BL320" s="69">
        <v>4.9000000000000002E-2</v>
      </c>
      <c r="BM320" s="69">
        <v>8.3000000000000004E-2</v>
      </c>
      <c r="BN320" s="69">
        <v>3.9E-2</v>
      </c>
      <c r="BO320" s="69">
        <v>0</v>
      </c>
      <c r="BP320" s="69">
        <v>0</v>
      </c>
      <c r="BQ320" s="69">
        <v>0</v>
      </c>
      <c r="BR320" s="62"/>
      <c r="BS320" s="72">
        <f t="shared" ref="BS320:BW320" si="974">AP320-BJ320</f>
        <v>-9.2066657215094105E-2</v>
      </c>
      <c r="BT320" s="72">
        <f t="shared" si="974"/>
        <v>-0.15377890409016798</v>
      </c>
      <c r="BU320" s="72">
        <f t="shared" si="974"/>
        <v>0.14908133078140873</v>
      </c>
      <c r="BV320" s="72">
        <f t="shared" si="974"/>
        <v>-1.2940218803903503E-2</v>
      </c>
      <c r="BW320" s="72">
        <f t="shared" si="974"/>
        <v>8.5217291651898591E-2</v>
      </c>
      <c r="BX320" s="72"/>
      <c r="BY320" s="72"/>
      <c r="BZ320" s="72">
        <f t="shared" si="794"/>
        <v>2.3487157675858406E-2</v>
      </c>
    </row>
    <row r="321" spans="1:78" ht="13.15">
      <c r="A321" s="78" t="s">
        <v>5</v>
      </c>
      <c r="B321" s="74" t="s">
        <v>685</v>
      </c>
      <c r="C321" s="75" t="s">
        <v>686</v>
      </c>
      <c r="D321" s="75" t="s">
        <v>129</v>
      </c>
      <c r="E321" s="76"/>
      <c r="F321" s="59"/>
      <c r="G321" s="60"/>
      <c r="H321" s="77">
        <v>24440</v>
      </c>
      <c r="I321" s="77">
        <v>6678</v>
      </c>
      <c r="J321" s="77">
        <v>5933</v>
      </c>
      <c r="K321" s="77">
        <v>5936</v>
      </c>
      <c r="L321" s="77">
        <v>5035</v>
      </c>
      <c r="M321" s="77"/>
      <c r="N321" s="77"/>
      <c r="O321" s="77">
        <v>310</v>
      </c>
      <c r="P321" s="77"/>
      <c r="Q321" s="77"/>
      <c r="R321" s="77"/>
      <c r="S321" s="77"/>
      <c r="T321" s="77"/>
      <c r="U321" s="77"/>
      <c r="V321" s="77"/>
      <c r="W321" s="77"/>
      <c r="X321" s="77"/>
      <c r="Y321" s="77">
        <v>285</v>
      </c>
      <c r="Z321" s="77"/>
      <c r="AA321" s="77"/>
      <c r="AB321" s="77"/>
      <c r="AC321" s="77"/>
      <c r="AD321" s="77"/>
      <c r="AE321" s="62"/>
      <c r="AF321" s="63" t="b">
        <v>0</v>
      </c>
      <c r="AG321" s="63" t="b">
        <v>0</v>
      </c>
      <c r="AH321" s="62"/>
      <c r="AI321" s="64">
        <f t="shared" si="786"/>
        <v>48617</v>
      </c>
      <c r="AJ321" s="65" t="str">
        <f t="shared" si="340"/>
        <v>LAB</v>
      </c>
      <c r="AK321" s="66" t="str">
        <f t="shared" si="787"/>
        <v>HOLD</v>
      </c>
      <c r="AL321" s="67" t="e">
        <f t="shared" ca="1" si="788"/>
        <v>#NAME?</v>
      </c>
      <c r="AM321" s="68">
        <f t="shared" si="637"/>
        <v>17762</v>
      </c>
      <c r="AN321" s="69">
        <f t="shared" si="638"/>
        <v>0.36534545529341589</v>
      </c>
      <c r="AO321" s="62"/>
      <c r="AP321" s="70">
        <f t="shared" ref="AP321:AT321" si="975">H321/$AI321</f>
        <v>0.50270481518810295</v>
      </c>
      <c r="AQ321" s="70">
        <f t="shared" si="975"/>
        <v>0.13735935989468703</v>
      </c>
      <c r="AR321" s="70">
        <f t="shared" si="975"/>
        <v>0.1220355019849024</v>
      </c>
      <c r="AS321" s="70">
        <f t="shared" si="975"/>
        <v>0.12209720879527737</v>
      </c>
      <c r="AT321" s="70">
        <f t="shared" si="975"/>
        <v>0.10356459674599421</v>
      </c>
      <c r="AU321" s="70"/>
      <c r="AV321" s="70"/>
      <c r="AW321" s="81">
        <f t="shared" si="790"/>
        <v>1.2238517391035986E-2</v>
      </c>
      <c r="AX321" s="70">
        <f t="shared" ref="AX321:BG321" si="976">O321/$AI321</f>
        <v>6.3763704054137444E-3</v>
      </c>
      <c r="AY321" s="70">
        <f t="shared" si="976"/>
        <v>0</v>
      </c>
      <c r="AZ321" s="70">
        <f t="shared" si="976"/>
        <v>0</v>
      </c>
      <c r="BA321" s="70">
        <f t="shared" si="976"/>
        <v>0</v>
      </c>
      <c r="BB321" s="70">
        <f t="shared" si="976"/>
        <v>0</v>
      </c>
      <c r="BC321" s="70">
        <f t="shared" si="976"/>
        <v>0</v>
      </c>
      <c r="BD321" s="70">
        <f t="shared" si="976"/>
        <v>0</v>
      </c>
      <c r="BE321" s="70">
        <f t="shared" si="976"/>
        <v>0</v>
      </c>
      <c r="BF321" s="70">
        <f t="shared" si="976"/>
        <v>0</v>
      </c>
      <c r="BG321" s="70">
        <f t="shared" si="976"/>
        <v>0</v>
      </c>
      <c r="BH321" s="70">
        <f t="shared" si="792"/>
        <v>5.8621469856222413E-3</v>
      </c>
      <c r="BI321" s="62"/>
      <c r="BJ321" s="69">
        <v>0.44400000000000001</v>
      </c>
      <c r="BK321" s="69">
        <v>0.318</v>
      </c>
      <c r="BL321" s="69">
        <v>5.8000000000000003E-2</v>
      </c>
      <c r="BM321" s="69">
        <v>0.14000000000000001</v>
      </c>
      <c r="BN321" s="69">
        <v>4.1000000000000002E-2</v>
      </c>
      <c r="BO321" s="69">
        <v>0</v>
      </c>
      <c r="BP321" s="69">
        <v>0</v>
      </c>
      <c r="BQ321" s="69">
        <v>0</v>
      </c>
      <c r="BR321" s="62"/>
      <c r="BS321" s="72">
        <f t="shared" ref="BS321:BW321" si="977">AP321-BJ321</f>
        <v>5.8704815188102943E-2</v>
      </c>
      <c r="BT321" s="72">
        <f t="shared" si="977"/>
        <v>-0.18064064010531297</v>
      </c>
      <c r="BU321" s="72">
        <f t="shared" si="977"/>
        <v>6.4035501984902404E-2</v>
      </c>
      <c r="BV321" s="72">
        <f t="shared" si="977"/>
        <v>-1.7902791204722643E-2</v>
      </c>
      <c r="BW321" s="72">
        <f t="shared" si="977"/>
        <v>6.2564596745994211E-2</v>
      </c>
      <c r="BX321" s="72"/>
      <c r="BY321" s="72"/>
      <c r="BZ321" s="72">
        <f t="shared" si="794"/>
        <v>1.2238517391035986E-2</v>
      </c>
    </row>
    <row r="322" spans="1:78" ht="13.15">
      <c r="A322" s="73" t="s">
        <v>6</v>
      </c>
      <c r="B322" s="74" t="s">
        <v>687</v>
      </c>
      <c r="C322" s="75" t="s">
        <v>688</v>
      </c>
      <c r="D322" s="75" t="s">
        <v>47</v>
      </c>
      <c r="E322" s="76"/>
      <c r="F322" s="59"/>
      <c r="G322" s="60"/>
      <c r="H322" s="77">
        <v>15992</v>
      </c>
      <c r="I322" s="77">
        <v>10923</v>
      </c>
      <c r="J322" s="77">
        <v>8865</v>
      </c>
      <c r="K322" s="77">
        <v>1987</v>
      </c>
      <c r="L322" s="77">
        <v>1851</v>
      </c>
      <c r="M322" s="77"/>
      <c r="N322" s="77"/>
      <c r="O322" s="77"/>
      <c r="P322" s="77"/>
      <c r="Q322" s="77"/>
      <c r="R322" s="77"/>
      <c r="S322" s="77"/>
      <c r="T322" s="77"/>
      <c r="U322" s="77"/>
      <c r="V322" s="77"/>
      <c r="W322" s="77"/>
      <c r="X322" s="77"/>
      <c r="Y322" s="77"/>
      <c r="Z322" s="77"/>
      <c r="AA322" s="77"/>
      <c r="AB322" s="77"/>
      <c r="AC322" s="77"/>
      <c r="AD322" s="77"/>
      <c r="AE322" s="62"/>
      <c r="AF322" s="63" t="b">
        <v>0</v>
      </c>
      <c r="AG322" s="63" t="b">
        <v>0</v>
      </c>
      <c r="AH322" s="62"/>
      <c r="AI322" s="64">
        <f t="shared" si="786"/>
        <v>39618</v>
      </c>
      <c r="AJ322" s="65" t="str">
        <f t="shared" si="340"/>
        <v>LAB</v>
      </c>
      <c r="AK322" s="66" t="str">
        <f t="shared" si="787"/>
        <v>GAIN</v>
      </c>
      <c r="AL322" s="67" t="e">
        <f t="shared" ca="1" si="788"/>
        <v>#NAME?</v>
      </c>
      <c r="AM322" s="68">
        <f t="shared" si="637"/>
        <v>5069</v>
      </c>
      <c r="AN322" s="69">
        <f t="shared" si="638"/>
        <v>0.12794689282649302</v>
      </c>
      <c r="AO322" s="62"/>
      <c r="AP322" s="70">
        <f t="shared" ref="AP322:AT322" si="978">H322/$AI322</f>
        <v>0.40365490433641277</v>
      </c>
      <c r="AQ322" s="70">
        <f t="shared" si="978"/>
        <v>0.27570801150991975</v>
      </c>
      <c r="AR322" s="70">
        <f t="shared" si="978"/>
        <v>0.22376192639709222</v>
      </c>
      <c r="AS322" s="70">
        <f t="shared" si="978"/>
        <v>5.0153970417487002E-2</v>
      </c>
      <c r="AT322" s="70">
        <f t="shared" si="978"/>
        <v>4.6721187339088296E-2</v>
      </c>
      <c r="AU322" s="70"/>
      <c r="AV322" s="70"/>
      <c r="AW322" s="81">
        <f t="shared" si="790"/>
        <v>0</v>
      </c>
      <c r="AX322" s="70">
        <f t="shared" ref="AX322:BG322" si="979">O322/$AI322</f>
        <v>0</v>
      </c>
      <c r="AY322" s="70">
        <f t="shared" si="979"/>
        <v>0</v>
      </c>
      <c r="AZ322" s="70">
        <f t="shared" si="979"/>
        <v>0</v>
      </c>
      <c r="BA322" s="70">
        <f t="shared" si="979"/>
        <v>0</v>
      </c>
      <c r="BB322" s="70">
        <f t="shared" si="979"/>
        <v>0</v>
      </c>
      <c r="BC322" s="70">
        <f t="shared" si="979"/>
        <v>0</v>
      </c>
      <c r="BD322" s="70">
        <f t="shared" si="979"/>
        <v>0</v>
      </c>
      <c r="BE322" s="70">
        <f t="shared" si="979"/>
        <v>0</v>
      </c>
      <c r="BF322" s="70">
        <f t="shared" si="979"/>
        <v>0</v>
      </c>
      <c r="BG322" s="70">
        <f t="shared" si="979"/>
        <v>0</v>
      </c>
      <c r="BH322" s="70">
        <f t="shared" si="792"/>
        <v>-2.2204460492503131E-16</v>
      </c>
      <c r="BI322" s="62"/>
      <c r="BJ322" s="69">
        <v>0.35399999999999998</v>
      </c>
      <c r="BK322" s="69">
        <v>0.52800000000000002</v>
      </c>
      <c r="BL322" s="69">
        <v>4.1000000000000002E-2</v>
      </c>
      <c r="BM322" s="69">
        <v>5.6000000000000001E-2</v>
      </c>
      <c r="BN322" s="69">
        <v>2.1999999999999999E-2</v>
      </c>
      <c r="BO322" s="69">
        <v>0</v>
      </c>
      <c r="BP322" s="69">
        <v>0</v>
      </c>
      <c r="BQ322" s="69">
        <v>0</v>
      </c>
      <c r="BR322" s="62"/>
      <c r="BS322" s="72">
        <f t="shared" ref="BS322:BW322" si="980">AP322-BJ322</f>
        <v>4.9654904336412786E-2</v>
      </c>
      <c r="BT322" s="72">
        <f t="shared" si="980"/>
        <v>-0.25229198849008028</v>
      </c>
      <c r="BU322" s="72">
        <f t="shared" si="980"/>
        <v>0.18276192639709221</v>
      </c>
      <c r="BV322" s="72">
        <f t="shared" si="980"/>
        <v>-5.8460295825129988E-3</v>
      </c>
      <c r="BW322" s="72">
        <f t="shared" si="980"/>
        <v>2.4721187339088298E-2</v>
      </c>
      <c r="BX322" s="72"/>
      <c r="BY322" s="72"/>
      <c r="BZ322" s="72">
        <f t="shared" si="794"/>
        <v>-2.2204460492503131E-16</v>
      </c>
    </row>
    <row r="323" spans="1:78" ht="13.15">
      <c r="A323" s="73" t="s">
        <v>6</v>
      </c>
      <c r="B323" s="74" t="s">
        <v>689</v>
      </c>
      <c r="C323" s="75" t="s">
        <v>690</v>
      </c>
      <c r="D323" s="75" t="s">
        <v>85</v>
      </c>
      <c r="E323" s="76"/>
      <c r="F323" s="59"/>
      <c r="G323" s="60"/>
      <c r="H323" s="77">
        <v>7115</v>
      </c>
      <c r="I323" s="77">
        <v>12955</v>
      </c>
      <c r="J323" s="77">
        <v>8494</v>
      </c>
      <c r="K323" s="77">
        <v>15201</v>
      </c>
      <c r="L323" s="77">
        <v>2083</v>
      </c>
      <c r="M323" s="77"/>
      <c r="N323" s="77"/>
      <c r="O323" s="77"/>
      <c r="P323" s="77"/>
      <c r="Q323" s="77"/>
      <c r="R323" s="77"/>
      <c r="S323" s="77"/>
      <c r="T323" s="77"/>
      <c r="U323" s="77"/>
      <c r="V323" s="77"/>
      <c r="W323" s="77"/>
      <c r="X323" s="77"/>
      <c r="Y323" s="77">
        <v>1924</v>
      </c>
      <c r="Z323" s="77">
        <v>116</v>
      </c>
      <c r="AA323" s="77">
        <v>104</v>
      </c>
      <c r="AB323" s="77"/>
      <c r="AC323" s="77"/>
      <c r="AD323" s="77"/>
      <c r="AE323" s="62"/>
      <c r="AF323" s="63" t="b">
        <v>0</v>
      </c>
      <c r="AG323" s="63" t="b">
        <v>0</v>
      </c>
      <c r="AH323" s="62"/>
      <c r="AI323" s="64">
        <f t="shared" si="786"/>
        <v>47992</v>
      </c>
      <c r="AJ323" s="65" t="str">
        <f t="shared" si="340"/>
        <v>LDM</v>
      </c>
      <c r="AK323" s="66" t="str">
        <f t="shared" si="787"/>
        <v>GAIN</v>
      </c>
      <c r="AL323" s="67" t="e">
        <f t="shared" ca="1" si="788"/>
        <v>#NAME?</v>
      </c>
      <c r="AM323" s="68">
        <f t="shared" si="637"/>
        <v>2246</v>
      </c>
      <c r="AN323" s="69">
        <f t="shared" si="638"/>
        <v>4.679946657776296E-2</v>
      </c>
      <c r="AO323" s="62"/>
      <c r="AP323" s="70">
        <f t="shared" ref="AP323:AT323" si="981">H323/$AI323</f>
        <v>0.148253875645941</v>
      </c>
      <c r="AQ323" s="70">
        <f t="shared" si="981"/>
        <v>0.26994082347057841</v>
      </c>
      <c r="AR323" s="70">
        <f t="shared" si="981"/>
        <v>0.17698783130521753</v>
      </c>
      <c r="AS323" s="70">
        <f t="shared" si="981"/>
        <v>0.31674029004834137</v>
      </c>
      <c r="AT323" s="70">
        <f t="shared" si="981"/>
        <v>4.3403067177862978E-2</v>
      </c>
      <c r="AU323" s="70"/>
      <c r="AV323" s="70"/>
      <c r="AW323" s="81">
        <f t="shared" si="790"/>
        <v>4.4674112352058648E-2</v>
      </c>
      <c r="AX323" s="70">
        <f t="shared" ref="AX323:BG323" si="982">O323/$AI323</f>
        <v>0</v>
      </c>
      <c r="AY323" s="70">
        <f t="shared" si="982"/>
        <v>0</v>
      </c>
      <c r="AZ323" s="70">
        <f t="shared" si="982"/>
        <v>0</v>
      </c>
      <c r="BA323" s="70">
        <f t="shared" si="982"/>
        <v>0</v>
      </c>
      <c r="BB323" s="70">
        <f t="shared" si="982"/>
        <v>0</v>
      </c>
      <c r="BC323" s="70">
        <f t="shared" si="982"/>
        <v>0</v>
      </c>
      <c r="BD323" s="70">
        <f t="shared" si="982"/>
        <v>0</v>
      </c>
      <c r="BE323" s="70">
        <f t="shared" si="982"/>
        <v>0</v>
      </c>
      <c r="BF323" s="70">
        <f t="shared" si="982"/>
        <v>0</v>
      </c>
      <c r="BG323" s="70">
        <f t="shared" si="982"/>
        <v>0</v>
      </c>
      <c r="BH323" s="70">
        <f t="shared" si="792"/>
        <v>4.4674112352058648E-2</v>
      </c>
      <c r="BI323" s="62"/>
      <c r="BJ323" s="69">
        <v>0.17699999999999999</v>
      </c>
      <c r="BK323" s="69">
        <v>0.55600000000000005</v>
      </c>
      <c r="BL323" s="69">
        <v>0</v>
      </c>
      <c r="BM323" s="69">
        <v>0.223</v>
      </c>
      <c r="BN323" s="69">
        <v>2.9000000000000001E-2</v>
      </c>
      <c r="BO323" s="69">
        <v>0</v>
      </c>
      <c r="BP323" s="69">
        <v>0</v>
      </c>
      <c r="BQ323" s="69">
        <v>1.6E-2</v>
      </c>
      <c r="BR323" s="62"/>
      <c r="BS323" s="72">
        <f t="shared" ref="BS323:BW323" si="983">AP323-BJ323</f>
        <v>-2.8746124354058988E-2</v>
      </c>
      <c r="BT323" s="72">
        <f t="shared" si="983"/>
        <v>-0.28605917652942164</v>
      </c>
      <c r="BU323" s="72">
        <f t="shared" si="983"/>
        <v>0.17698783130521753</v>
      </c>
      <c r="BV323" s="72">
        <f t="shared" si="983"/>
        <v>9.3740290048341363E-2</v>
      </c>
      <c r="BW323" s="72">
        <f t="shared" si="983"/>
        <v>1.4403067177862976E-2</v>
      </c>
      <c r="BX323" s="72"/>
      <c r="BY323" s="72"/>
      <c r="BZ323" s="72">
        <f t="shared" si="794"/>
        <v>2.8674112352058648E-2</v>
      </c>
    </row>
    <row r="324" spans="1:78" ht="13.15">
      <c r="A324" s="73" t="s">
        <v>6</v>
      </c>
      <c r="B324" s="74" t="s">
        <v>691</v>
      </c>
      <c r="C324" s="75" t="s">
        <v>692</v>
      </c>
      <c r="D324" s="75" t="s">
        <v>129</v>
      </c>
      <c r="E324" s="76"/>
      <c r="F324" s="59"/>
      <c r="G324" s="60"/>
      <c r="H324" s="77">
        <v>18394</v>
      </c>
      <c r="I324" s="77">
        <v>8195</v>
      </c>
      <c r="J324" s="77">
        <v>9555</v>
      </c>
      <c r="K324" s="77">
        <v>1491</v>
      </c>
      <c r="L324" s="77">
        <v>1701</v>
      </c>
      <c r="M324" s="77"/>
      <c r="N324" s="77"/>
      <c r="O324" s="77"/>
      <c r="P324" s="77">
        <v>246</v>
      </c>
      <c r="Q324" s="77"/>
      <c r="R324" s="77"/>
      <c r="S324" s="77"/>
      <c r="T324" s="77"/>
      <c r="U324" s="77"/>
      <c r="V324" s="77"/>
      <c r="W324" s="77"/>
      <c r="X324" s="77"/>
      <c r="Y324" s="77">
        <v>264</v>
      </c>
      <c r="Z324" s="77"/>
      <c r="AA324" s="77"/>
      <c r="AB324" s="77"/>
      <c r="AC324" s="77"/>
      <c r="AD324" s="77"/>
      <c r="AE324" s="62"/>
      <c r="AF324" s="63" t="b">
        <v>0</v>
      </c>
      <c r="AG324" s="63" t="b">
        <v>0</v>
      </c>
      <c r="AH324" s="62"/>
      <c r="AI324" s="64">
        <f t="shared" si="786"/>
        <v>39846</v>
      </c>
      <c r="AJ324" s="65" t="str">
        <f t="shared" si="340"/>
        <v>LAB</v>
      </c>
      <c r="AK324" s="66" t="str">
        <f t="shared" si="787"/>
        <v>GAIN</v>
      </c>
      <c r="AL324" s="67" t="e">
        <f t="shared" ca="1" si="788"/>
        <v>#NAME?</v>
      </c>
      <c r="AM324" s="68">
        <f t="shared" si="637"/>
        <v>8839</v>
      </c>
      <c r="AN324" s="69">
        <f t="shared" si="638"/>
        <v>0.22182904181097224</v>
      </c>
      <c r="AO324" s="62"/>
      <c r="AP324" s="70">
        <f t="shared" ref="AP324:AT324" si="984">H324/$AI324</f>
        <v>0.46162726497013501</v>
      </c>
      <c r="AQ324" s="70">
        <f t="shared" si="984"/>
        <v>0.20566681724639863</v>
      </c>
      <c r="AR324" s="70">
        <f t="shared" si="984"/>
        <v>0.23979822315916277</v>
      </c>
      <c r="AS324" s="70">
        <f t="shared" si="984"/>
        <v>3.7419063394067156E-2</v>
      </c>
      <c r="AT324" s="70">
        <f t="shared" si="984"/>
        <v>4.2689354012949855E-2</v>
      </c>
      <c r="AU324" s="70"/>
      <c r="AV324" s="70"/>
      <c r="AW324" s="81">
        <f t="shared" si="790"/>
        <v>1.2799277217286575E-2</v>
      </c>
      <c r="AX324" s="70">
        <f t="shared" ref="AX324:BG324" si="985">O324/$AI324</f>
        <v>0</v>
      </c>
      <c r="AY324" s="70">
        <f t="shared" si="985"/>
        <v>6.1737690106911606E-3</v>
      </c>
      <c r="AZ324" s="70">
        <f t="shared" si="985"/>
        <v>0</v>
      </c>
      <c r="BA324" s="70">
        <f t="shared" si="985"/>
        <v>0</v>
      </c>
      <c r="BB324" s="70">
        <f t="shared" si="985"/>
        <v>0</v>
      </c>
      <c r="BC324" s="70">
        <f t="shared" si="985"/>
        <v>0</v>
      </c>
      <c r="BD324" s="70">
        <f t="shared" si="985"/>
        <v>0</v>
      </c>
      <c r="BE324" s="70">
        <f t="shared" si="985"/>
        <v>0</v>
      </c>
      <c r="BF324" s="70">
        <f t="shared" si="985"/>
        <v>0</v>
      </c>
      <c r="BG324" s="70">
        <f t="shared" si="985"/>
        <v>0</v>
      </c>
      <c r="BH324" s="70">
        <f t="shared" si="792"/>
        <v>6.6255082065954148E-3</v>
      </c>
      <c r="BI324" s="62"/>
      <c r="BJ324" s="69">
        <v>0.38300000000000001</v>
      </c>
      <c r="BK324" s="69">
        <v>0.46100000000000002</v>
      </c>
      <c r="BL324" s="69">
        <v>7.8E-2</v>
      </c>
      <c r="BM324" s="69">
        <v>5.3999999999999999E-2</v>
      </c>
      <c r="BN324" s="69">
        <v>1.4999999999999999E-2</v>
      </c>
      <c r="BO324" s="69">
        <v>0</v>
      </c>
      <c r="BP324" s="69">
        <v>0</v>
      </c>
      <c r="BQ324" s="69">
        <v>8.9999999999999993E-3</v>
      </c>
      <c r="BR324" s="62"/>
      <c r="BS324" s="72">
        <f t="shared" ref="BS324:BW324" si="986">AP324-BJ324</f>
        <v>7.8627264970135002E-2</v>
      </c>
      <c r="BT324" s="72">
        <f t="shared" si="986"/>
        <v>-0.2553331827536014</v>
      </c>
      <c r="BU324" s="72">
        <f t="shared" si="986"/>
        <v>0.16179822315916276</v>
      </c>
      <c r="BV324" s="72">
        <f t="shared" si="986"/>
        <v>-1.6580936605932843E-2</v>
      </c>
      <c r="BW324" s="72">
        <f t="shared" si="986"/>
        <v>2.7689354012949856E-2</v>
      </c>
      <c r="BX324" s="72"/>
      <c r="BY324" s="72"/>
      <c r="BZ324" s="72">
        <f t="shared" si="794"/>
        <v>3.7992772172865761E-3</v>
      </c>
    </row>
    <row r="325" spans="1:78" ht="13.15">
      <c r="A325" s="78" t="s">
        <v>5</v>
      </c>
      <c r="B325" s="74" t="s">
        <v>693</v>
      </c>
      <c r="C325" s="75" t="s">
        <v>694</v>
      </c>
      <c r="D325" s="75" t="s">
        <v>71</v>
      </c>
      <c r="E325" s="76"/>
      <c r="F325" s="59"/>
      <c r="G325" s="60"/>
      <c r="H325" s="77">
        <v>17275</v>
      </c>
      <c r="I325" s="77">
        <v>4995</v>
      </c>
      <c r="J325" s="77">
        <v>10613</v>
      </c>
      <c r="K325" s="77">
        <v>1319</v>
      </c>
      <c r="L325" s="77">
        <v>2147</v>
      </c>
      <c r="M325" s="77"/>
      <c r="N325" s="77"/>
      <c r="O325" s="77"/>
      <c r="P325" s="77"/>
      <c r="Q325" s="77"/>
      <c r="R325" s="77"/>
      <c r="S325" s="77"/>
      <c r="T325" s="77"/>
      <c r="U325" s="77"/>
      <c r="V325" s="77"/>
      <c r="W325" s="77"/>
      <c r="X325" s="77"/>
      <c r="Y325" s="77"/>
      <c r="Z325" s="77"/>
      <c r="AA325" s="77"/>
      <c r="AB325" s="77"/>
      <c r="AC325" s="77"/>
      <c r="AD325" s="77"/>
      <c r="AE325" s="62"/>
      <c r="AF325" s="63" t="b">
        <v>0</v>
      </c>
      <c r="AG325" s="63" t="b">
        <v>0</v>
      </c>
      <c r="AH325" s="62"/>
      <c r="AI325" s="64">
        <f t="shared" si="786"/>
        <v>36349</v>
      </c>
      <c r="AJ325" s="65" t="str">
        <f t="shared" si="340"/>
        <v>LAB</v>
      </c>
      <c r="AK325" s="66" t="str">
        <f t="shared" si="787"/>
        <v>HOLD</v>
      </c>
      <c r="AL325" s="67" t="e">
        <f t="shared" ca="1" si="788"/>
        <v>#NAME?</v>
      </c>
      <c r="AM325" s="68">
        <f t="shared" si="637"/>
        <v>6662</v>
      </c>
      <c r="AN325" s="69">
        <f t="shared" si="638"/>
        <v>0.18327876970480617</v>
      </c>
      <c r="AO325" s="62"/>
      <c r="AP325" s="70">
        <f t="shared" ref="AP325:AT325" si="987">H325/$AI325</f>
        <v>0.47525378965033427</v>
      </c>
      <c r="AQ325" s="70">
        <f t="shared" si="987"/>
        <v>0.13741781066879419</v>
      </c>
      <c r="AR325" s="70">
        <f t="shared" si="987"/>
        <v>0.2919750199455281</v>
      </c>
      <c r="AS325" s="70">
        <f t="shared" si="987"/>
        <v>3.6287105559987896E-2</v>
      </c>
      <c r="AT325" s="70">
        <f t="shared" si="987"/>
        <v>5.9066274175355579E-2</v>
      </c>
      <c r="AU325" s="70"/>
      <c r="AV325" s="70"/>
      <c r="AW325" s="81">
        <f t="shared" si="790"/>
        <v>0</v>
      </c>
      <c r="AX325" s="70">
        <f t="shared" ref="AX325:BG325" si="988">O325/$AI325</f>
        <v>0</v>
      </c>
      <c r="AY325" s="70">
        <f t="shared" si="988"/>
        <v>0</v>
      </c>
      <c r="AZ325" s="70">
        <f t="shared" si="988"/>
        <v>0</v>
      </c>
      <c r="BA325" s="70">
        <f t="shared" si="988"/>
        <v>0</v>
      </c>
      <c r="BB325" s="70">
        <f t="shared" si="988"/>
        <v>0</v>
      </c>
      <c r="BC325" s="70">
        <f t="shared" si="988"/>
        <v>0</v>
      </c>
      <c r="BD325" s="70">
        <f t="shared" si="988"/>
        <v>0</v>
      </c>
      <c r="BE325" s="70">
        <f t="shared" si="988"/>
        <v>0</v>
      </c>
      <c r="BF325" s="70">
        <f t="shared" si="988"/>
        <v>0</v>
      </c>
      <c r="BG325" s="70">
        <f t="shared" si="988"/>
        <v>0</v>
      </c>
      <c r="BH325" s="70">
        <f t="shared" si="792"/>
        <v>0</v>
      </c>
      <c r="BI325" s="62"/>
      <c r="BJ325" s="69">
        <v>0.39600000000000002</v>
      </c>
      <c r="BK325" s="69">
        <v>0.314</v>
      </c>
      <c r="BL325" s="69">
        <v>0.152</v>
      </c>
      <c r="BM325" s="69">
        <v>4.2000000000000003E-2</v>
      </c>
      <c r="BN325" s="69">
        <v>1.7999999999999999E-2</v>
      </c>
      <c r="BO325" s="69">
        <v>0</v>
      </c>
      <c r="BP325" s="69">
        <v>0</v>
      </c>
      <c r="BQ325" s="69">
        <v>7.8E-2</v>
      </c>
      <c r="BR325" s="62"/>
      <c r="BS325" s="72">
        <f t="shared" ref="BS325:BW325" si="989">AP325-BJ325</f>
        <v>7.925378965033425E-2</v>
      </c>
      <c r="BT325" s="72">
        <f t="shared" si="989"/>
        <v>-0.17658218933120581</v>
      </c>
      <c r="BU325" s="72">
        <f t="shared" si="989"/>
        <v>0.13997501994552811</v>
      </c>
      <c r="BV325" s="72">
        <f t="shared" si="989"/>
        <v>-5.7128944400121062E-3</v>
      </c>
      <c r="BW325" s="72">
        <f t="shared" si="989"/>
        <v>4.1066274175355577E-2</v>
      </c>
      <c r="BX325" s="72"/>
      <c r="BY325" s="72"/>
      <c r="BZ325" s="72">
        <f t="shared" si="794"/>
        <v>-7.8E-2</v>
      </c>
    </row>
    <row r="326" spans="1:78" ht="13.15">
      <c r="A326" s="73" t="s">
        <v>6</v>
      </c>
      <c r="B326" s="74" t="s">
        <v>695</v>
      </c>
      <c r="C326" s="75" t="s">
        <v>696</v>
      </c>
      <c r="D326" s="75" t="s">
        <v>78</v>
      </c>
      <c r="E326" s="76"/>
      <c r="F326" s="59"/>
      <c r="G326" s="60"/>
      <c r="H326" s="77">
        <v>14567</v>
      </c>
      <c r="I326" s="77">
        <v>19981</v>
      </c>
      <c r="J326" s="77">
        <v>8433</v>
      </c>
      <c r="K326" s="77">
        <v>5553</v>
      </c>
      <c r="L326" s="77">
        <v>3027</v>
      </c>
      <c r="M326" s="77"/>
      <c r="N326" s="77"/>
      <c r="O326" s="77"/>
      <c r="P326" s="77"/>
      <c r="Q326" s="77"/>
      <c r="R326" s="77"/>
      <c r="S326" s="77"/>
      <c r="T326" s="77"/>
      <c r="U326" s="77"/>
      <c r="V326" s="77"/>
      <c r="W326" s="77"/>
      <c r="X326" s="77"/>
      <c r="Y326" s="77"/>
      <c r="Z326" s="77"/>
      <c r="AA326" s="77"/>
      <c r="AB326" s="77"/>
      <c r="AC326" s="77"/>
      <c r="AD326" s="77"/>
      <c r="AE326" s="62"/>
      <c r="AF326" s="63" t="b">
        <v>0</v>
      </c>
      <c r="AG326" s="63" t="b">
        <v>0</v>
      </c>
      <c r="AH326" s="62"/>
      <c r="AI326" s="64">
        <f t="shared" si="786"/>
        <v>51561</v>
      </c>
      <c r="AJ326" s="65" t="str">
        <f t="shared" si="340"/>
        <v>CON</v>
      </c>
      <c r="AK326" s="66" t="str">
        <f t="shared" si="787"/>
        <v>HOLD</v>
      </c>
      <c r="AL326" s="67" t="e">
        <f t="shared" ca="1" si="788"/>
        <v>#NAME?</v>
      </c>
      <c r="AM326" s="68">
        <f t="shared" si="637"/>
        <v>5414</v>
      </c>
      <c r="AN326" s="69">
        <f t="shared" si="638"/>
        <v>0.10500184247784178</v>
      </c>
      <c r="AO326" s="62"/>
      <c r="AP326" s="70">
        <f t="shared" ref="AP326:AT326" si="990">H326/$AI326</f>
        <v>0.28251973390741064</v>
      </c>
      <c r="AQ326" s="70">
        <f t="shared" si="990"/>
        <v>0.38752157638525242</v>
      </c>
      <c r="AR326" s="70">
        <f t="shared" si="990"/>
        <v>0.16355384883923896</v>
      </c>
      <c r="AS326" s="70">
        <f t="shared" si="990"/>
        <v>0.10769767847791936</v>
      </c>
      <c r="AT326" s="70">
        <f t="shared" si="990"/>
        <v>5.8707162390178626E-2</v>
      </c>
      <c r="AU326" s="70"/>
      <c r="AV326" s="70"/>
      <c r="AW326" s="81">
        <f t="shared" si="790"/>
        <v>0</v>
      </c>
      <c r="AX326" s="70">
        <f t="shared" ref="AX326:BG326" si="991">O326/$AI326</f>
        <v>0</v>
      </c>
      <c r="AY326" s="70">
        <f t="shared" si="991"/>
        <v>0</v>
      </c>
      <c r="AZ326" s="70">
        <f t="shared" si="991"/>
        <v>0</v>
      </c>
      <c r="BA326" s="70">
        <f t="shared" si="991"/>
        <v>0</v>
      </c>
      <c r="BB326" s="70">
        <f t="shared" si="991"/>
        <v>0</v>
      </c>
      <c r="BC326" s="70">
        <f t="shared" si="991"/>
        <v>0</v>
      </c>
      <c r="BD326" s="70">
        <f t="shared" si="991"/>
        <v>0</v>
      </c>
      <c r="BE326" s="70">
        <f t="shared" si="991"/>
        <v>0</v>
      </c>
      <c r="BF326" s="70">
        <f t="shared" si="991"/>
        <v>0</v>
      </c>
      <c r="BG326" s="70">
        <f t="shared" si="991"/>
        <v>0</v>
      </c>
      <c r="BH326" s="70">
        <f t="shared" si="792"/>
        <v>1.1102230246251565E-16</v>
      </c>
      <c r="BI326" s="62"/>
      <c r="BJ326" s="69">
        <v>0.191</v>
      </c>
      <c r="BK326" s="69">
        <v>0.61099999999999999</v>
      </c>
      <c r="BL326" s="69">
        <v>2E-3</v>
      </c>
      <c r="BM326" s="69">
        <v>0.13200000000000001</v>
      </c>
      <c r="BN326" s="69">
        <v>2.8000000000000001E-2</v>
      </c>
      <c r="BO326" s="69">
        <v>0</v>
      </c>
      <c r="BP326" s="69">
        <v>0</v>
      </c>
      <c r="BQ326" s="69">
        <v>3.5999999999999997E-2</v>
      </c>
      <c r="BR326" s="62"/>
      <c r="BS326" s="72">
        <f t="shared" ref="BS326:BW326" si="992">AP326-BJ326</f>
        <v>9.1519733907410639E-2</v>
      </c>
      <c r="BT326" s="72">
        <f t="shared" si="992"/>
        <v>-0.22347842361474757</v>
      </c>
      <c r="BU326" s="72">
        <f t="shared" si="992"/>
        <v>0.16155384883923896</v>
      </c>
      <c r="BV326" s="72">
        <f t="shared" si="992"/>
        <v>-2.4302321522080644E-2</v>
      </c>
      <c r="BW326" s="72">
        <f t="shared" si="992"/>
        <v>3.0707162390178625E-2</v>
      </c>
      <c r="BX326" s="72"/>
      <c r="BY326" s="72"/>
      <c r="BZ326" s="72">
        <f t="shared" si="794"/>
        <v>-3.5999999999999886E-2</v>
      </c>
    </row>
    <row r="327" spans="1:78" ht="13.15">
      <c r="A327" s="73" t="s">
        <v>6</v>
      </c>
      <c r="B327" s="74" t="s">
        <v>697</v>
      </c>
      <c r="C327" s="75" t="s">
        <v>698</v>
      </c>
      <c r="D327" s="75" t="s">
        <v>85</v>
      </c>
      <c r="E327" s="76"/>
      <c r="F327" s="59"/>
      <c r="G327" s="60"/>
      <c r="H327" s="77">
        <v>2958</v>
      </c>
      <c r="I327" s="77">
        <v>14137</v>
      </c>
      <c r="J327" s="77">
        <v>8444</v>
      </c>
      <c r="K327" s="77">
        <v>24904</v>
      </c>
      <c r="L327" s="77">
        <v>1335</v>
      </c>
      <c r="M327" s="77"/>
      <c r="N327" s="77"/>
      <c r="O327" s="77"/>
      <c r="P327" s="77"/>
      <c r="Q327" s="77"/>
      <c r="R327" s="77"/>
      <c r="S327" s="77"/>
      <c r="T327" s="77"/>
      <c r="U327" s="77"/>
      <c r="V327" s="77"/>
      <c r="W327" s="77"/>
      <c r="X327" s="77"/>
      <c r="Y327" s="77">
        <v>277</v>
      </c>
      <c r="Z327" s="77"/>
      <c r="AA327" s="77"/>
      <c r="AB327" s="77"/>
      <c r="AC327" s="77"/>
      <c r="AD327" s="77"/>
      <c r="AE327" s="62"/>
      <c r="AF327" s="63" t="b">
        <v>0</v>
      </c>
      <c r="AG327" s="63" t="b">
        <v>0</v>
      </c>
      <c r="AH327" s="62"/>
      <c r="AI327" s="64">
        <f t="shared" si="786"/>
        <v>52055</v>
      </c>
      <c r="AJ327" s="65" t="str">
        <f t="shared" si="340"/>
        <v>LDM</v>
      </c>
      <c r="AK327" s="66" t="str">
        <f t="shared" si="787"/>
        <v>GAIN</v>
      </c>
      <c r="AL327" s="67" t="e">
        <f t="shared" ca="1" si="788"/>
        <v>#NAME?</v>
      </c>
      <c r="AM327" s="68">
        <f t="shared" si="637"/>
        <v>10767</v>
      </c>
      <c r="AN327" s="69">
        <f t="shared" si="638"/>
        <v>0.2068389203726827</v>
      </c>
      <c r="AO327" s="62"/>
      <c r="AP327" s="70">
        <f t="shared" ref="AP327:AT327" si="993">H327/$AI327</f>
        <v>5.682451253481894E-2</v>
      </c>
      <c r="AQ327" s="70">
        <f t="shared" si="993"/>
        <v>0.27157813850734802</v>
      </c>
      <c r="AR327" s="70">
        <f t="shared" si="993"/>
        <v>0.16221304389587937</v>
      </c>
      <c r="AS327" s="70">
        <f t="shared" si="993"/>
        <v>0.47841705888003072</v>
      </c>
      <c r="AT327" s="70">
        <f t="shared" si="993"/>
        <v>2.5645951397560273E-2</v>
      </c>
      <c r="AU327" s="70"/>
      <c r="AV327" s="70"/>
      <c r="AW327" s="81">
        <f t="shared" si="790"/>
        <v>5.3212947843626068E-3</v>
      </c>
      <c r="AX327" s="70">
        <f t="shared" ref="AX327:BG327" si="994">O327/$AI327</f>
        <v>0</v>
      </c>
      <c r="AY327" s="70">
        <f t="shared" si="994"/>
        <v>0</v>
      </c>
      <c r="AZ327" s="70">
        <f t="shared" si="994"/>
        <v>0</v>
      </c>
      <c r="BA327" s="70">
        <f t="shared" si="994"/>
        <v>0</v>
      </c>
      <c r="BB327" s="70">
        <f t="shared" si="994"/>
        <v>0</v>
      </c>
      <c r="BC327" s="70">
        <f t="shared" si="994"/>
        <v>0</v>
      </c>
      <c r="BD327" s="70">
        <f t="shared" si="994"/>
        <v>0</v>
      </c>
      <c r="BE327" s="70">
        <f t="shared" si="994"/>
        <v>0</v>
      </c>
      <c r="BF327" s="70">
        <f t="shared" si="994"/>
        <v>0</v>
      </c>
      <c r="BG327" s="70">
        <f t="shared" si="994"/>
        <v>0</v>
      </c>
      <c r="BH327" s="70">
        <f t="shared" si="792"/>
        <v>5.3212947843626068E-3</v>
      </c>
      <c r="BI327" s="62"/>
      <c r="BJ327" s="69">
        <v>9.6000000000000002E-2</v>
      </c>
      <c r="BK327" s="69">
        <v>0.59099999999999997</v>
      </c>
      <c r="BL327" s="69">
        <v>0</v>
      </c>
      <c r="BM327" s="69">
        <v>0.29899999999999999</v>
      </c>
      <c r="BN327" s="69">
        <v>2E-3</v>
      </c>
      <c r="BO327" s="69">
        <v>0</v>
      </c>
      <c r="BP327" s="69">
        <v>0</v>
      </c>
      <c r="BQ327" s="69">
        <v>1.2999999999999999E-2</v>
      </c>
      <c r="BR327" s="62"/>
      <c r="BS327" s="72">
        <f t="shared" ref="BS327:BW327" si="995">AP327-BJ327</f>
        <v>-3.9175487465181062E-2</v>
      </c>
      <c r="BT327" s="72">
        <f t="shared" si="995"/>
        <v>-0.31942186149265195</v>
      </c>
      <c r="BU327" s="72">
        <f t="shared" si="995"/>
        <v>0.16221304389587937</v>
      </c>
      <c r="BV327" s="72">
        <f t="shared" si="995"/>
        <v>0.17941705888003073</v>
      </c>
      <c r="BW327" s="72">
        <f t="shared" si="995"/>
        <v>2.3645951397560275E-2</v>
      </c>
      <c r="BX327" s="72"/>
      <c r="BY327" s="72"/>
      <c r="BZ327" s="72">
        <f t="shared" si="794"/>
        <v>-7.6787052156373926E-3</v>
      </c>
    </row>
    <row r="328" spans="1:78" ht="13.15">
      <c r="A328" s="73" t="s">
        <v>6</v>
      </c>
      <c r="B328" s="74" t="s">
        <v>699</v>
      </c>
      <c r="C328" s="75" t="s">
        <v>700</v>
      </c>
      <c r="D328" s="75" t="s">
        <v>85</v>
      </c>
      <c r="E328" s="76"/>
      <c r="F328" s="59"/>
      <c r="G328" s="60"/>
      <c r="H328" s="77">
        <v>8593</v>
      </c>
      <c r="I328" s="77">
        <v>17426</v>
      </c>
      <c r="J328" s="77">
        <v>6502</v>
      </c>
      <c r="K328" s="77">
        <v>14069</v>
      </c>
      <c r="L328" s="77">
        <v>3191</v>
      </c>
      <c r="M328" s="77"/>
      <c r="N328" s="77"/>
      <c r="O328" s="77">
        <v>448</v>
      </c>
      <c r="P328" s="77"/>
      <c r="Q328" s="77"/>
      <c r="R328" s="77"/>
      <c r="S328" s="77"/>
      <c r="T328" s="77"/>
      <c r="U328" s="77"/>
      <c r="V328" s="77"/>
      <c r="W328" s="77"/>
      <c r="X328" s="77"/>
      <c r="Y328" s="77"/>
      <c r="Z328" s="77"/>
      <c r="AA328" s="77"/>
      <c r="AB328" s="77"/>
      <c r="AC328" s="77"/>
      <c r="AD328" s="77"/>
      <c r="AE328" s="62"/>
      <c r="AF328" s="63" t="b">
        <v>0</v>
      </c>
      <c r="AG328" s="63" t="b">
        <v>0</v>
      </c>
      <c r="AH328" s="62"/>
      <c r="AI328" s="64">
        <f t="shared" si="786"/>
        <v>50229</v>
      </c>
      <c r="AJ328" s="65" t="str">
        <f t="shared" si="340"/>
        <v>CON</v>
      </c>
      <c r="AK328" s="66" t="str">
        <f t="shared" si="787"/>
        <v>HOLD</v>
      </c>
      <c r="AL328" s="67" t="e">
        <f t="shared" ca="1" si="788"/>
        <v>#NAME?</v>
      </c>
      <c r="AM328" s="68">
        <f t="shared" si="637"/>
        <v>3357</v>
      </c>
      <c r="AN328" s="69">
        <f t="shared" si="638"/>
        <v>6.6833900734635354E-2</v>
      </c>
      <c r="AO328" s="62"/>
      <c r="AP328" s="70">
        <f t="shared" ref="AP328:AT328" si="996">H328/$AI328</f>
        <v>0.17107646976846044</v>
      </c>
      <c r="AQ328" s="70">
        <f t="shared" si="996"/>
        <v>0.34693105576459815</v>
      </c>
      <c r="AR328" s="70">
        <f t="shared" si="996"/>
        <v>0.12944713213482251</v>
      </c>
      <c r="AS328" s="70">
        <f t="shared" si="996"/>
        <v>0.2800971550299628</v>
      </c>
      <c r="AT328" s="70">
        <f t="shared" si="996"/>
        <v>6.3529037010491951E-2</v>
      </c>
      <c r="AU328" s="70"/>
      <c r="AV328" s="70"/>
      <c r="AW328" s="81">
        <f t="shared" si="790"/>
        <v>8.9191502916641241E-3</v>
      </c>
      <c r="AX328" s="70">
        <f t="shared" ref="AX328:BG328" si="997">O328/$AI328</f>
        <v>8.9191502916641779E-3</v>
      </c>
      <c r="AY328" s="70">
        <f t="shared" si="997"/>
        <v>0</v>
      </c>
      <c r="AZ328" s="70">
        <f t="shared" si="997"/>
        <v>0</v>
      </c>
      <c r="BA328" s="70">
        <f t="shared" si="997"/>
        <v>0</v>
      </c>
      <c r="BB328" s="70">
        <f t="shared" si="997"/>
        <v>0</v>
      </c>
      <c r="BC328" s="70">
        <f t="shared" si="997"/>
        <v>0</v>
      </c>
      <c r="BD328" s="70">
        <f t="shared" si="997"/>
        <v>0</v>
      </c>
      <c r="BE328" s="70">
        <f t="shared" si="997"/>
        <v>0</v>
      </c>
      <c r="BF328" s="70">
        <f t="shared" si="997"/>
        <v>0</v>
      </c>
      <c r="BG328" s="70">
        <f t="shared" si="997"/>
        <v>0</v>
      </c>
      <c r="BH328" s="70">
        <f t="shared" si="792"/>
        <v>-5.377642775528102E-17</v>
      </c>
      <c r="BI328" s="62"/>
      <c r="BJ328" s="69">
        <v>0.16500000000000001</v>
      </c>
      <c r="BK328" s="69">
        <v>0.59299999999999997</v>
      </c>
      <c r="BL328" s="69">
        <v>3.0000000000000001E-3</v>
      </c>
      <c r="BM328" s="69">
        <v>0.18</v>
      </c>
      <c r="BN328" s="69">
        <v>5.8000000000000003E-2</v>
      </c>
      <c r="BO328" s="69">
        <v>0</v>
      </c>
      <c r="BP328" s="69">
        <v>0</v>
      </c>
      <c r="BQ328" s="69">
        <v>0</v>
      </c>
      <c r="BR328" s="62"/>
      <c r="BS328" s="72">
        <f t="shared" ref="BS328:BW328" si="998">AP328-BJ328</f>
        <v>6.0764697684604352E-3</v>
      </c>
      <c r="BT328" s="72">
        <f t="shared" si="998"/>
        <v>-0.24606894423540182</v>
      </c>
      <c r="BU328" s="72">
        <f t="shared" si="998"/>
        <v>0.1264471321348225</v>
      </c>
      <c r="BV328" s="72">
        <f t="shared" si="998"/>
        <v>0.1000971550299628</v>
      </c>
      <c r="BW328" s="72">
        <f t="shared" si="998"/>
        <v>5.5290370104919481E-3</v>
      </c>
      <c r="BX328" s="72"/>
      <c r="BY328" s="72"/>
      <c r="BZ328" s="72">
        <f t="shared" si="794"/>
        <v>8.9191502916641241E-3</v>
      </c>
    </row>
    <row r="329" spans="1:78" ht="13.15">
      <c r="A329" s="73" t="s">
        <v>6</v>
      </c>
      <c r="B329" s="74" t="s">
        <v>701</v>
      </c>
      <c r="C329" s="75" t="s">
        <v>702</v>
      </c>
      <c r="D329" s="75" t="s">
        <v>85</v>
      </c>
      <c r="E329" s="76"/>
      <c r="F329" s="59"/>
      <c r="G329" s="60"/>
      <c r="H329" s="77">
        <v>3216</v>
      </c>
      <c r="I329" s="77">
        <v>15076</v>
      </c>
      <c r="J329" s="77">
        <v>8137</v>
      </c>
      <c r="K329" s="77">
        <v>21820</v>
      </c>
      <c r="L329" s="77">
        <v>2348</v>
      </c>
      <c r="M329" s="77"/>
      <c r="N329" s="77"/>
      <c r="O329" s="77">
        <v>820</v>
      </c>
      <c r="P329" s="77"/>
      <c r="Q329" s="77"/>
      <c r="R329" s="77"/>
      <c r="S329" s="77"/>
      <c r="T329" s="77"/>
      <c r="U329" s="77"/>
      <c r="V329" s="77"/>
      <c r="W329" s="77"/>
      <c r="X329" s="77"/>
      <c r="Y329" s="77"/>
      <c r="Z329" s="77"/>
      <c r="AA329" s="77"/>
      <c r="AB329" s="77"/>
      <c r="AC329" s="77"/>
      <c r="AD329" s="77"/>
      <c r="AE329" s="62"/>
      <c r="AF329" s="63" t="b">
        <v>0</v>
      </c>
      <c r="AG329" s="63" t="b">
        <v>0</v>
      </c>
      <c r="AH329" s="62"/>
      <c r="AI329" s="64">
        <f t="shared" si="786"/>
        <v>51417</v>
      </c>
      <c r="AJ329" s="65" t="str">
        <f t="shared" si="340"/>
        <v>LDM</v>
      </c>
      <c r="AK329" s="66" t="str">
        <f t="shared" si="787"/>
        <v>GAIN</v>
      </c>
      <c r="AL329" s="67" t="e">
        <f t="shared" ca="1" si="788"/>
        <v>#NAME?</v>
      </c>
      <c r="AM329" s="68">
        <f t="shared" si="637"/>
        <v>6744</v>
      </c>
      <c r="AN329" s="69">
        <f t="shared" si="638"/>
        <v>0.13116284497345237</v>
      </c>
      <c r="AO329" s="62"/>
      <c r="AP329" s="70">
        <f t="shared" ref="AP329:AT329" si="999">H329/$AI329</f>
        <v>6.2547406499795788E-2</v>
      </c>
      <c r="AQ329" s="70">
        <f t="shared" si="999"/>
        <v>0.29321041678822179</v>
      </c>
      <c r="AR329" s="70">
        <f t="shared" si="999"/>
        <v>0.15825505183110644</v>
      </c>
      <c r="AS329" s="70">
        <f t="shared" si="999"/>
        <v>0.42437326176167417</v>
      </c>
      <c r="AT329" s="70">
        <f t="shared" si="999"/>
        <v>4.5665830367388215E-2</v>
      </c>
      <c r="AU329" s="70"/>
      <c r="AV329" s="70"/>
      <c r="AW329" s="81">
        <f t="shared" si="790"/>
        <v>1.5948032751813557E-2</v>
      </c>
      <c r="AX329" s="70">
        <f t="shared" ref="AX329:BG329" si="1000">O329/$AI329</f>
        <v>1.5948032751813602E-2</v>
      </c>
      <c r="AY329" s="70">
        <f t="shared" si="1000"/>
        <v>0</v>
      </c>
      <c r="AZ329" s="70">
        <f t="shared" si="1000"/>
        <v>0</v>
      </c>
      <c r="BA329" s="70">
        <f t="shared" si="1000"/>
        <v>0</v>
      </c>
      <c r="BB329" s="70">
        <f t="shared" si="1000"/>
        <v>0</v>
      </c>
      <c r="BC329" s="70">
        <f t="shared" si="1000"/>
        <v>0</v>
      </c>
      <c r="BD329" s="70">
        <f t="shared" si="1000"/>
        <v>0</v>
      </c>
      <c r="BE329" s="70">
        <f t="shared" si="1000"/>
        <v>0</v>
      </c>
      <c r="BF329" s="70">
        <f t="shared" si="1000"/>
        <v>0</v>
      </c>
      <c r="BG329" s="70">
        <f t="shared" si="1000"/>
        <v>0</v>
      </c>
      <c r="BH329" s="70">
        <f t="shared" si="792"/>
        <v>-4.5102810375396984E-17</v>
      </c>
      <c r="BI329" s="62"/>
      <c r="BJ329" s="69">
        <v>9.1999999999999998E-2</v>
      </c>
      <c r="BK329" s="69">
        <v>0.56599999999999995</v>
      </c>
      <c r="BL329" s="69">
        <v>0</v>
      </c>
      <c r="BM329" s="69">
        <v>0.3</v>
      </c>
      <c r="BN329" s="69">
        <v>3.2000000000000001E-2</v>
      </c>
      <c r="BO329" s="69">
        <v>0</v>
      </c>
      <c r="BP329" s="69">
        <v>0</v>
      </c>
      <c r="BQ329" s="69">
        <v>0.01</v>
      </c>
      <c r="BR329" s="62"/>
      <c r="BS329" s="72">
        <f t="shared" ref="BS329:BW329" si="1001">AP329-BJ329</f>
        <v>-2.9452593500204211E-2</v>
      </c>
      <c r="BT329" s="72">
        <f t="shared" si="1001"/>
        <v>-0.27278958321177815</v>
      </c>
      <c r="BU329" s="72">
        <f t="shared" si="1001"/>
        <v>0.15825505183110644</v>
      </c>
      <c r="BV329" s="72">
        <f t="shared" si="1001"/>
        <v>0.12437326176167418</v>
      </c>
      <c r="BW329" s="72">
        <f t="shared" si="1001"/>
        <v>1.3665830367388214E-2</v>
      </c>
      <c r="BX329" s="72"/>
      <c r="BY329" s="72"/>
      <c r="BZ329" s="72">
        <f t="shared" si="794"/>
        <v>5.9480327518135565E-3</v>
      </c>
    </row>
    <row r="330" spans="1:78" ht="13.15">
      <c r="A330" s="73" t="s">
        <v>6</v>
      </c>
      <c r="B330" s="74" t="s">
        <v>703</v>
      </c>
      <c r="C330" s="75" t="s">
        <v>704</v>
      </c>
      <c r="D330" s="75" t="s">
        <v>85</v>
      </c>
      <c r="E330" s="76"/>
      <c r="F330" s="59"/>
      <c r="G330" s="60"/>
      <c r="H330" s="77">
        <v>4370</v>
      </c>
      <c r="I330" s="77">
        <v>18208</v>
      </c>
      <c r="J330" s="77">
        <v>7894</v>
      </c>
      <c r="K330" s="77">
        <v>16619</v>
      </c>
      <c r="L330" s="77">
        <v>2082</v>
      </c>
      <c r="M330" s="77"/>
      <c r="N330" s="77"/>
      <c r="O330" s="77">
        <v>317</v>
      </c>
      <c r="P330" s="77"/>
      <c r="Q330" s="77">
        <v>74</v>
      </c>
      <c r="R330" s="77"/>
      <c r="S330" s="77"/>
      <c r="T330" s="77"/>
      <c r="U330" s="77"/>
      <c r="V330" s="77"/>
      <c r="W330" s="77"/>
      <c r="X330" s="77"/>
      <c r="Y330" s="77">
        <v>119</v>
      </c>
      <c r="Z330" s="77"/>
      <c r="AA330" s="77"/>
      <c r="AB330" s="77"/>
      <c r="AC330" s="77"/>
      <c r="AD330" s="77"/>
      <c r="AE330" s="62"/>
      <c r="AF330" s="63" t="b">
        <v>0</v>
      </c>
      <c r="AG330" s="63" t="b">
        <v>0</v>
      </c>
      <c r="AH330" s="62"/>
      <c r="AI330" s="64">
        <f t="shared" si="786"/>
        <v>49683</v>
      </c>
      <c r="AJ330" s="65" t="str">
        <f t="shared" si="340"/>
        <v>CON</v>
      </c>
      <c r="AK330" s="66" t="str">
        <f t="shared" si="787"/>
        <v>HOLD</v>
      </c>
      <c r="AL330" s="67" t="e">
        <f t="shared" ca="1" si="788"/>
        <v>#NAME?</v>
      </c>
      <c r="AM330" s="68">
        <f t="shared" si="637"/>
        <v>1589</v>
      </c>
      <c r="AN330" s="69">
        <f t="shared" si="638"/>
        <v>3.1982770766660618E-2</v>
      </c>
      <c r="AO330" s="62"/>
      <c r="AP330" s="70">
        <f t="shared" ref="AP330:AT330" si="1002">H330/$AI330</f>
        <v>8.7957651510577065E-2</v>
      </c>
      <c r="AQ330" s="70">
        <f t="shared" si="1002"/>
        <v>0.36648350542439062</v>
      </c>
      <c r="AR330" s="70">
        <f t="shared" si="1002"/>
        <v>0.15888734577219571</v>
      </c>
      <c r="AS330" s="70">
        <f t="shared" si="1002"/>
        <v>0.33450073465773</v>
      </c>
      <c r="AT330" s="70">
        <f t="shared" si="1002"/>
        <v>4.1905682024032366E-2</v>
      </c>
      <c r="AU330" s="70"/>
      <c r="AV330" s="70"/>
      <c r="AW330" s="81">
        <f t="shared" si="790"/>
        <v>1.026508061107434E-2</v>
      </c>
      <c r="AX330" s="70">
        <f t="shared" ref="AX330:BG330" si="1003">O330/$AI330</f>
        <v>6.3804520660990681E-3</v>
      </c>
      <c r="AY330" s="70">
        <f t="shared" si="1003"/>
        <v>0</v>
      </c>
      <c r="AZ330" s="70">
        <f t="shared" si="1003"/>
        <v>1.4894430690578265E-3</v>
      </c>
      <c r="BA330" s="70">
        <f t="shared" si="1003"/>
        <v>0</v>
      </c>
      <c r="BB330" s="70">
        <f t="shared" si="1003"/>
        <v>0</v>
      </c>
      <c r="BC330" s="70">
        <f t="shared" si="1003"/>
        <v>0</v>
      </c>
      <c r="BD330" s="70">
        <f t="shared" si="1003"/>
        <v>0</v>
      </c>
      <c r="BE330" s="70">
        <f t="shared" si="1003"/>
        <v>0</v>
      </c>
      <c r="BF330" s="70">
        <f t="shared" si="1003"/>
        <v>0</v>
      </c>
      <c r="BG330" s="70">
        <f t="shared" si="1003"/>
        <v>0</v>
      </c>
      <c r="BH330" s="70">
        <f t="shared" si="792"/>
        <v>2.3951854759174454E-3</v>
      </c>
      <c r="BI330" s="62"/>
      <c r="BJ330" s="69">
        <v>0.11899999999999999</v>
      </c>
      <c r="BK330" s="69">
        <v>0.63800000000000001</v>
      </c>
      <c r="BL330" s="69">
        <v>0</v>
      </c>
      <c r="BM330" s="69">
        <v>0.20399999999999999</v>
      </c>
      <c r="BN330" s="69">
        <v>0.04</v>
      </c>
      <c r="BO330" s="69">
        <v>0</v>
      </c>
      <c r="BP330" s="69">
        <v>0</v>
      </c>
      <c r="BQ330" s="69">
        <v>0</v>
      </c>
      <c r="BR330" s="62"/>
      <c r="BS330" s="72">
        <f t="shared" ref="BS330:BW330" si="1004">AP330-BJ330</f>
        <v>-3.104234848942293E-2</v>
      </c>
      <c r="BT330" s="72">
        <f t="shared" si="1004"/>
        <v>-0.27151649457560939</v>
      </c>
      <c r="BU330" s="72">
        <f t="shared" si="1004"/>
        <v>0.15888734577219571</v>
      </c>
      <c r="BV330" s="72">
        <f t="shared" si="1004"/>
        <v>0.13050073465773002</v>
      </c>
      <c r="BW330" s="72">
        <f t="shared" si="1004"/>
        <v>1.9056820240323652E-3</v>
      </c>
      <c r="BX330" s="72"/>
      <c r="BY330" s="72"/>
      <c r="BZ330" s="72">
        <f t="shared" si="794"/>
        <v>1.026508061107434E-2</v>
      </c>
    </row>
    <row r="331" spans="1:78" ht="13.15">
      <c r="A331" s="78" t="s">
        <v>5</v>
      </c>
      <c r="B331" s="74" t="s">
        <v>705</v>
      </c>
      <c r="C331" s="75" t="s">
        <v>706</v>
      </c>
      <c r="D331" s="75" t="s">
        <v>129</v>
      </c>
      <c r="E331" s="76"/>
      <c r="F331" s="59"/>
      <c r="G331" s="60"/>
      <c r="H331" s="77">
        <v>16562</v>
      </c>
      <c r="I331" s="77">
        <v>6492</v>
      </c>
      <c r="J331" s="77">
        <v>10689</v>
      </c>
      <c r="K331" s="77">
        <v>4208</v>
      </c>
      <c r="L331" s="77">
        <v>2366</v>
      </c>
      <c r="M331" s="77"/>
      <c r="N331" s="77"/>
      <c r="O331" s="77"/>
      <c r="P331" s="77">
        <v>928</v>
      </c>
      <c r="Q331" s="77">
        <v>320</v>
      </c>
      <c r="R331" s="77"/>
      <c r="S331" s="77"/>
      <c r="T331" s="77"/>
      <c r="U331" s="77"/>
      <c r="V331" s="77"/>
      <c r="W331" s="77"/>
      <c r="X331" s="77"/>
      <c r="Y331" s="77"/>
      <c r="Z331" s="77"/>
      <c r="AA331" s="77"/>
      <c r="AB331" s="77"/>
      <c r="AC331" s="77"/>
      <c r="AD331" s="77"/>
      <c r="AE331" s="62"/>
      <c r="AF331" s="63" t="b">
        <v>0</v>
      </c>
      <c r="AG331" s="63" t="b">
        <v>0</v>
      </c>
      <c r="AH331" s="62"/>
      <c r="AI331" s="64">
        <f t="shared" si="786"/>
        <v>41565</v>
      </c>
      <c r="AJ331" s="65" t="str">
        <f t="shared" si="340"/>
        <v>LAB</v>
      </c>
      <c r="AK331" s="66" t="str">
        <f t="shared" si="787"/>
        <v>HOLD</v>
      </c>
      <c r="AL331" s="67" t="e">
        <f t="shared" ca="1" si="788"/>
        <v>#NAME?</v>
      </c>
      <c r="AM331" s="68">
        <f t="shared" si="637"/>
        <v>5873</v>
      </c>
      <c r="AN331" s="69">
        <f t="shared" si="638"/>
        <v>0.14129676410441477</v>
      </c>
      <c r="AO331" s="62"/>
      <c r="AP331" s="70">
        <f t="shared" ref="AP331:AT331" si="1005">H331/$AI331</f>
        <v>0.39846024299290267</v>
      </c>
      <c r="AQ331" s="70">
        <f t="shared" si="1005"/>
        <v>0.15618910140743414</v>
      </c>
      <c r="AR331" s="70">
        <f t="shared" si="1005"/>
        <v>0.2571634788884879</v>
      </c>
      <c r="AS331" s="70">
        <f t="shared" si="1005"/>
        <v>0.10123902321664863</v>
      </c>
      <c r="AT331" s="70">
        <f t="shared" si="1005"/>
        <v>5.6922891856128956E-2</v>
      </c>
      <c r="AU331" s="70"/>
      <c r="AV331" s="70"/>
      <c r="AW331" s="81">
        <f t="shared" si="790"/>
        <v>3.0025261638397693E-2</v>
      </c>
      <c r="AX331" s="70">
        <f t="shared" ref="AX331:BG331" si="1006">O331/$AI331</f>
        <v>0</v>
      </c>
      <c r="AY331" s="70">
        <f t="shared" si="1006"/>
        <v>2.2326476602911104E-2</v>
      </c>
      <c r="AZ331" s="70">
        <f t="shared" si="1006"/>
        <v>7.6987850354865873E-3</v>
      </c>
      <c r="BA331" s="70">
        <f t="shared" si="1006"/>
        <v>0</v>
      </c>
      <c r="BB331" s="70">
        <f t="shared" si="1006"/>
        <v>0</v>
      </c>
      <c r="BC331" s="70">
        <f t="shared" si="1006"/>
        <v>0</v>
      </c>
      <c r="BD331" s="70">
        <f t="shared" si="1006"/>
        <v>0</v>
      </c>
      <c r="BE331" s="70">
        <f t="shared" si="1006"/>
        <v>0</v>
      </c>
      <c r="BF331" s="70">
        <f t="shared" si="1006"/>
        <v>0</v>
      </c>
      <c r="BG331" s="70">
        <f t="shared" si="1006"/>
        <v>0</v>
      </c>
      <c r="BH331" s="70">
        <f t="shared" si="792"/>
        <v>0</v>
      </c>
      <c r="BI331" s="62"/>
      <c r="BJ331" s="69">
        <v>0.437</v>
      </c>
      <c r="BK331" s="69">
        <v>0.34399999999999997</v>
      </c>
      <c r="BL331" s="69">
        <v>0.107</v>
      </c>
      <c r="BM331" s="69">
        <v>6.4000000000000001E-2</v>
      </c>
      <c r="BN331" s="69">
        <v>2.5999999999999999E-2</v>
      </c>
      <c r="BO331" s="69">
        <v>0</v>
      </c>
      <c r="BP331" s="69">
        <v>0</v>
      </c>
      <c r="BQ331" s="69">
        <v>2.1999999999999999E-2</v>
      </c>
      <c r="BR331" s="62"/>
      <c r="BS331" s="72">
        <f t="shared" ref="BS331:BW331" si="1007">AP331-BJ331</f>
        <v>-3.8539757007097331E-2</v>
      </c>
      <c r="BT331" s="72">
        <f t="shared" si="1007"/>
        <v>-0.18781089859256583</v>
      </c>
      <c r="BU331" s="72">
        <f t="shared" si="1007"/>
        <v>0.15016347888848791</v>
      </c>
      <c r="BV331" s="72">
        <f t="shared" si="1007"/>
        <v>3.7239023216648626E-2</v>
      </c>
      <c r="BW331" s="72">
        <f t="shared" si="1007"/>
        <v>3.0922891856128957E-2</v>
      </c>
      <c r="BX331" s="72"/>
      <c r="BY331" s="72"/>
      <c r="BZ331" s="72">
        <f t="shared" si="794"/>
        <v>8.0252616383976946E-3</v>
      </c>
    </row>
    <row r="332" spans="1:78" ht="13.15">
      <c r="A332" s="73" t="s">
        <v>6</v>
      </c>
      <c r="B332" s="74" t="s">
        <v>707</v>
      </c>
      <c r="C332" s="75" t="s">
        <v>708</v>
      </c>
      <c r="D332" s="75" t="s">
        <v>78</v>
      </c>
      <c r="E332" s="76">
        <v>70806</v>
      </c>
      <c r="F332" s="59">
        <v>0.55300000000000005</v>
      </c>
      <c r="G332" s="60"/>
      <c r="H332" s="77">
        <v>8008</v>
      </c>
      <c r="I332" s="77">
        <v>16246</v>
      </c>
      <c r="J332" s="77">
        <v>9057</v>
      </c>
      <c r="K332" s="77">
        <v>2716</v>
      </c>
      <c r="L332" s="77">
        <v>2001</v>
      </c>
      <c r="M332" s="77"/>
      <c r="N332" s="77"/>
      <c r="O332" s="77">
        <v>958</v>
      </c>
      <c r="P332" s="77">
        <v>190</v>
      </c>
      <c r="Q332" s="77"/>
      <c r="R332" s="77"/>
      <c r="S332" s="77"/>
      <c r="T332" s="77"/>
      <c r="U332" s="77"/>
      <c r="V332" s="77"/>
      <c r="W332" s="77"/>
      <c r="X332" s="77"/>
      <c r="Y332" s="77"/>
      <c r="Z332" s="77"/>
      <c r="AA332" s="77"/>
      <c r="AB332" s="77"/>
      <c r="AC332" s="77"/>
      <c r="AD332" s="77"/>
      <c r="AE332" s="62"/>
      <c r="AF332" s="63" t="b">
        <v>0</v>
      </c>
      <c r="AG332" s="63" t="b">
        <v>0</v>
      </c>
      <c r="AH332" s="62"/>
      <c r="AI332" s="64">
        <f t="shared" si="786"/>
        <v>39176</v>
      </c>
      <c r="AJ332" s="65" t="str">
        <f t="shared" si="340"/>
        <v>CON</v>
      </c>
      <c r="AK332" s="66" t="str">
        <f t="shared" si="787"/>
        <v>HOLD</v>
      </c>
      <c r="AL332" s="67" t="e">
        <f t="shared" ca="1" si="788"/>
        <v>#NAME?</v>
      </c>
      <c r="AM332" s="68">
        <f t="shared" si="637"/>
        <v>7189</v>
      </c>
      <c r="AN332" s="69">
        <f t="shared" si="638"/>
        <v>0.18350520726975697</v>
      </c>
      <c r="AO332" s="62"/>
      <c r="AP332" s="70">
        <f t="shared" ref="AP332:AT332" si="1008">H332/$AI332</f>
        <v>0.20441086379415968</v>
      </c>
      <c r="AQ332" s="70">
        <f t="shared" si="1008"/>
        <v>0.41469266898100876</v>
      </c>
      <c r="AR332" s="70">
        <f t="shared" si="1008"/>
        <v>0.23118746171125179</v>
      </c>
      <c r="AS332" s="70">
        <f t="shared" si="1008"/>
        <v>6.932816009801919E-2</v>
      </c>
      <c r="AT332" s="70">
        <f t="shared" si="1008"/>
        <v>5.1077190116397796E-2</v>
      </c>
      <c r="AU332" s="70"/>
      <c r="AV332" s="70"/>
      <c r="AW332" s="81">
        <f t="shared" si="790"/>
        <v>2.930365529916279E-2</v>
      </c>
      <c r="AX332" s="70">
        <f t="shared" ref="AX332:BG332" si="1009">O332/$AI332</f>
        <v>2.4453747192158464E-2</v>
      </c>
      <c r="AY332" s="70">
        <f t="shared" si="1009"/>
        <v>4.8499081070042882E-3</v>
      </c>
      <c r="AZ332" s="70">
        <f t="shared" si="1009"/>
        <v>0</v>
      </c>
      <c r="BA332" s="70">
        <f t="shared" si="1009"/>
        <v>0</v>
      </c>
      <c r="BB332" s="70">
        <f t="shared" si="1009"/>
        <v>0</v>
      </c>
      <c r="BC332" s="70">
        <f t="shared" si="1009"/>
        <v>0</v>
      </c>
      <c r="BD332" s="70">
        <f t="shared" si="1009"/>
        <v>0</v>
      </c>
      <c r="BE332" s="70">
        <f t="shared" si="1009"/>
        <v>0</v>
      </c>
      <c r="BF332" s="70">
        <f t="shared" si="1009"/>
        <v>0</v>
      </c>
      <c r="BG332" s="70">
        <f t="shared" si="1009"/>
        <v>0</v>
      </c>
      <c r="BH332" s="70">
        <f t="shared" si="792"/>
        <v>3.8163916471489756E-17</v>
      </c>
      <c r="BI332" s="62"/>
      <c r="BJ332" s="69">
        <v>0.161</v>
      </c>
      <c r="BK332" s="69">
        <v>0.73899999999999999</v>
      </c>
      <c r="BL332" s="69">
        <v>0</v>
      </c>
      <c r="BM332" s="69">
        <v>6.7000000000000004E-2</v>
      </c>
      <c r="BN332" s="69">
        <v>3.4000000000000002E-2</v>
      </c>
      <c r="BO332" s="69">
        <v>0</v>
      </c>
      <c r="BP332" s="69">
        <v>0</v>
      </c>
      <c r="BQ332" s="69">
        <v>0</v>
      </c>
      <c r="BR332" s="62"/>
      <c r="BS332" s="72">
        <f t="shared" ref="BS332:BW332" si="1010">AP332-BJ332</f>
        <v>4.3410863794159676E-2</v>
      </c>
      <c r="BT332" s="72">
        <f t="shared" si="1010"/>
        <v>-0.32430733101899123</v>
      </c>
      <c r="BU332" s="72">
        <f t="shared" si="1010"/>
        <v>0.23118746171125179</v>
      </c>
      <c r="BV332" s="72">
        <f t="shared" si="1010"/>
        <v>2.3281600980191858E-3</v>
      </c>
      <c r="BW332" s="72">
        <f t="shared" si="1010"/>
        <v>1.7077190116397793E-2</v>
      </c>
      <c r="BX332" s="72"/>
      <c r="BY332" s="72"/>
      <c r="BZ332" s="72">
        <f t="shared" si="794"/>
        <v>2.930365529916279E-2</v>
      </c>
    </row>
    <row r="333" spans="1:78" ht="13.15">
      <c r="A333" s="73" t="s">
        <v>6</v>
      </c>
      <c r="B333" s="74" t="s">
        <v>709</v>
      </c>
      <c r="C333" s="75" t="s">
        <v>710</v>
      </c>
      <c r="D333" s="75" t="s">
        <v>53</v>
      </c>
      <c r="E333" s="76"/>
      <c r="F333" s="59"/>
      <c r="G333" s="60"/>
      <c r="H333" s="77">
        <v>17591</v>
      </c>
      <c r="I333" s="77">
        <v>15838</v>
      </c>
      <c r="J333" s="77">
        <v>7899</v>
      </c>
      <c r="K333" s="77">
        <v>2159</v>
      </c>
      <c r="L333" s="77">
        <v>2271</v>
      </c>
      <c r="M333" s="77"/>
      <c r="N333" s="77"/>
      <c r="O333" s="77"/>
      <c r="P333" s="77"/>
      <c r="Q333" s="77"/>
      <c r="R333" s="77"/>
      <c r="S333" s="77"/>
      <c r="T333" s="77"/>
      <c r="U333" s="77"/>
      <c r="V333" s="77"/>
      <c r="W333" s="77"/>
      <c r="X333" s="77"/>
      <c r="Y333" s="77">
        <v>108</v>
      </c>
      <c r="Z333" s="77"/>
      <c r="AA333" s="77"/>
      <c r="AB333" s="77"/>
      <c r="AC333" s="77"/>
      <c r="AD333" s="77"/>
      <c r="AE333" s="62"/>
      <c r="AF333" s="63" t="b">
        <v>0</v>
      </c>
      <c r="AG333" s="63" t="b">
        <v>0</v>
      </c>
      <c r="AH333" s="62"/>
      <c r="AI333" s="64">
        <f t="shared" si="786"/>
        <v>45866</v>
      </c>
      <c r="AJ333" s="65" t="str">
        <f t="shared" si="340"/>
        <v>LAB</v>
      </c>
      <c r="AK333" s="66" t="str">
        <f t="shared" si="787"/>
        <v>GAIN</v>
      </c>
      <c r="AL333" s="67" t="e">
        <f t="shared" ca="1" si="788"/>
        <v>#NAME?</v>
      </c>
      <c r="AM333" s="68">
        <f t="shared" si="637"/>
        <v>1753</v>
      </c>
      <c r="AN333" s="69">
        <f t="shared" si="638"/>
        <v>3.8220032267910875E-2</v>
      </c>
      <c r="AO333" s="62"/>
      <c r="AP333" s="70">
        <f t="shared" ref="AP333:AT333" si="1011">H333/$AI333</f>
        <v>0.38353028387040511</v>
      </c>
      <c r="AQ333" s="70">
        <f t="shared" si="1011"/>
        <v>0.34531025160249423</v>
      </c>
      <c r="AR333" s="70">
        <f t="shared" si="1011"/>
        <v>0.17221907295164174</v>
      </c>
      <c r="AS333" s="70">
        <f t="shared" si="1011"/>
        <v>4.7071905114899927E-2</v>
      </c>
      <c r="AT333" s="70">
        <f t="shared" si="1011"/>
        <v>4.951380107269001E-2</v>
      </c>
      <c r="AU333" s="70"/>
      <c r="AV333" s="70"/>
      <c r="AW333" s="81">
        <f t="shared" si="790"/>
        <v>2.3546853878690932E-3</v>
      </c>
      <c r="AX333" s="70">
        <f t="shared" ref="AX333:BG333" si="1012">O333/$AI333</f>
        <v>0</v>
      </c>
      <c r="AY333" s="70">
        <f t="shared" si="1012"/>
        <v>0</v>
      </c>
      <c r="AZ333" s="70">
        <f t="shared" si="1012"/>
        <v>0</v>
      </c>
      <c r="BA333" s="70">
        <f t="shared" si="1012"/>
        <v>0</v>
      </c>
      <c r="BB333" s="70">
        <f t="shared" si="1012"/>
        <v>0</v>
      </c>
      <c r="BC333" s="70">
        <f t="shared" si="1012"/>
        <v>0</v>
      </c>
      <c r="BD333" s="70">
        <f t="shared" si="1012"/>
        <v>0</v>
      </c>
      <c r="BE333" s="70">
        <f t="shared" si="1012"/>
        <v>0</v>
      </c>
      <c r="BF333" s="70">
        <f t="shared" si="1012"/>
        <v>0</v>
      </c>
      <c r="BG333" s="70">
        <f t="shared" si="1012"/>
        <v>0</v>
      </c>
      <c r="BH333" s="70">
        <f t="shared" si="792"/>
        <v>2.3546853878690932E-3</v>
      </c>
      <c r="BI333" s="62"/>
      <c r="BJ333" s="69">
        <v>0.32300000000000001</v>
      </c>
      <c r="BK333" s="69">
        <v>0.58399999999999996</v>
      </c>
      <c r="BL333" s="69">
        <v>5.0000000000000001E-3</v>
      </c>
      <c r="BM333" s="69">
        <v>6.0999999999999999E-2</v>
      </c>
      <c r="BN333" s="69">
        <v>2.7E-2</v>
      </c>
      <c r="BO333" s="69">
        <v>0</v>
      </c>
      <c r="BP333" s="69">
        <v>0</v>
      </c>
      <c r="BQ333" s="69">
        <v>0</v>
      </c>
      <c r="BR333" s="62"/>
      <c r="BS333" s="72">
        <f t="shared" ref="BS333:BW333" si="1013">AP333-BJ333</f>
        <v>6.0530283870405099E-2</v>
      </c>
      <c r="BT333" s="72">
        <f t="shared" si="1013"/>
        <v>-0.23868974839750573</v>
      </c>
      <c r="BU333" s="72">
        <f t="shared" si="1013"/>
        <v>0.16721907295164173</v>
      </c>
      <c r="BV333" s="72">
        <f t="shared" si="1013"/>
        <v>-1.3928094885100072E-2</v>
      </c>
      <c r="BW333" s="72">
        <f t="shared" si="1013"/>
        <v>2.251380107269001E-2</v>
      </c>
      <c r="BX333" s="72"/>
      <c r="BY333" s="72"/>
      <c r="BZ333" s="72">
        <f t="shared" si="794"/>
        <v>2.3546853878690932E-3</v>
      </c>
    </row>
    <row r="334" spans="1:78" ht="13.15">
      <c r="A334" s="73" t="s">
        <v>6</v>
      </c>
      <c r="B334" s="74" t="s">
        <v>711</v>
      </c>
      <c r="C334" s="75" t="s">
        <v>712</v>
      </c>
      <c r="D334" s="75" t="s">
        <v>44</v>
      </c>
      <c r="E334" s="76"/>
      <c r="F334" s="59"/>
      <c r="G334" s="60"/>
      <c r="H334" s="77">
        <v>5057</v>
      </c>
      <c r="I334" s="77">
        <v>20544</v>
      </c>
      <c r="J334" s="77">
        <v>6673</v>
      </c>
      <c r="K334" s="77">
        <v>21178</v>
      </c>
      <c r="L334" s="77">
        <v>1425</v>
      </c>
      <c r="M334" s="77"/>
      <c r="N334" s="77"/>
      <c r="O334" s="77"/>
      <c r="P334" s="77"/>
      <c r="Q334" s="77"/>
      <c r="R334" s="77"/>
      <c r="S334" s="77"/>
      <c r="T334" s="77"/>
      <c r="U334" s="77"/>
      <c r="V334" s="77"/>
      <c r="W334" s="77"/>
      <c r="X334" s="77"/>
      <c r="Y334" s="77">
        <v>340</v>
      </c>
      <c r="Z334" s="77">
        <v>274</v>
      </c>
      <c r="AA334" s="77">
        <v>69</v>
      </c>
      <c r="AB334" s="77"/>
      <c r="AC334" s="77"/>
      <c r="AD334" s="77"/>
      <c r="AE334" s="62"/>
      <c r="AF334" s="63" t="b">
        <v>0</v>
      </c>
      <c r="AG334" s="63" t="b">
        <v>0</v>
      </c>
      <c r="AH334" s="62"/>
      <c r="AI334" s="64">
        <f t="shared" si="786"/>
        <v>55560</v>
      </c>
      <c r="AJ334" s="65" t="str">
        <f t="shared" si="340"/>
        <v>LDM</v>
      </c>
      <c r="AK334" s="66" t="str">
        <f t="shared" si="787"/>
        <v>GAIN</v>
      </c>
      <c r="AL334" s="67" t="e">
        <f t="shared" ca="1" si="788"/>
        <v>#NAME?</v>
      </c>
      <c r="AM334" s="68">
        <f t="shared" si="637"/>
        <v>634</v>
      </c>
      <c r="AN334" s="69">
        <f t="shared" si="638"/>
        <v>1.141108711303096E-2</v>
      </c>
      <c r="AO334" s="62"/>
      <c r="AP334" s="70">
        <f t="shared" ref="AP334:AT334" si="1014">H334/$AI334</f>
        <v>9.1018718502519802E-2</v>
      </c>
      <c r="AQ334" s="70">
        <f t="shared" si="1014"/>
        <v>0.36976241900647949</v>
      </c>
      <c r="AR334" s="70">
        <f t="shared" si="1014"/>
        <v>0.12010439164866811</v>
      </c>
      <c r="AS334" s="70">
        <f t="shared" si="1014"/>
        <v>0.38117350611951045</v>
      </c>
      <c r="AT334" s="70">
        <f t="shared" si="1014"/>
        <v>2.564794816414687E-2</v>
      </c>
      <c r="AU334" s="70"/>
      <c r="AV334" s="70"/>
      <c r="AW334" s="81">
        <f t="shared" si="790"/>
        <v>1.2293016558675318E-2</v>
      </c>
      <c r="AX334" s="70">
        <f t="shared" ref="AX334:BG334" si="1015">O334/$AI334</f>
        <v>0</v>
      </c>
      <c r="AY334" s="70">
        <f t="shared" si="1015"/>
        <v>0</v>
      </c>
      <c r="AZ334" s="70">
        <f t="shared" si="1015"/>
        <v>0</v>
      </c>
      <c r="BA334" s="70">
        <f t="shared" si="1015"/>
        <v>0</v>
      </c>
      <c r="BB334" s="70">
        <f t="shared" si="1015"/>
        <v>0</v>
      </c>
      <c r="BC334" s="70">
        <f t="shared" si="1015"/>
        <v>0</v>
      </c>
      <c r="BD334" s="70">
        <f t="shared" si="1015"/>
        <v>0</v>
      </c>
      <c r="BE334" s="70">
        <f t="shared" si="1015"/>
        <v>0</v>
      </c>
      <c r="BF334" s="70">
        <f t="shared" si="1015"/>
        <v>0</v>
      </c>
      <c r="BG334" s="70">
        <f t="shared" si="1015"/>
        <v>0</v>
      </c>
      <c r="BH334" s="70">
        <f t="shared" si="792"/>
        <v>1.2293016558675318E-2</v>
      </c>
      <c r="BI334" s="62"/>
      <c r="BJ334" s="69">
        <v>0.10199999999999999</v>
      </c>
      <c r="BK334" s="69">
        <v>0.61899999999999999</v>
      </c>
      <c r="BL334" s="69">
        <v>0</v>
      </c>
      <c r="BM334" s="69">
        <v>0.224</v>
      </c>
      <c r="BN334" s="69">
        <v>0.03</v>
      </c>
      <c r="BO334" s="69">
        <v>0</v>
      </c>
      <c r="BP334" s="69">
        <v>0</v>
      </c>
      <c r="BQ334" s="69">
        <v>2.5000000000000001E-2</v>
      </c>
      <c r="BR334" s="62"/>
      <c r="BS334" s="72">
        <f t="shared" ref="BS334:BW334" si="1016">AP334-BJ334</f>
        <v>-1.0981281497480191E-2</v>
      </c>
      <c r="BT334" s="72">
        <f t="shared" si="1016"/>
        <v>-0.2492375809935205</v>
      </c>
      <c r="BU334" s="72">
        <f t="shared" si="1016"/>
        <v>0.12010439164866811</v>
      </c>
      <c r="BV334" s="72">
        <f t="shared" si="1016"/>
        <v>0.15717350611951045</v>
      </c>
      <c r="BW334" s="72">
        <f t="shared" si="1016"/>
        <v>-4.3520518358531289E-3</v>
      </c>
      <c r="BX334" s="72"/>
      <c r="BY334" s="72"/>
      <c r="BZ334" s="72">
        <f t="shared" si="794"/>
        <v>-1.2706983441324683E-2</v>
      </c>
    </row>
    <row r="335" spans="1:78" ht="13.15">
      <c r="A335" s="73" t="s">
        <v>6</v>
      </c>
      <c r="B335" s="74" t="s">
        <v>713</v>
      </c>
      <c r="C335" s="75" t="s">
        <v>714</v>
      </c>
      <c r="D335" s="75" t="s">
        <v>78</v>
      </c>
      <c r="E335" s="76"/>
      <c r="F335" s="59"/>
      <c r="G335" s="60"/>
      <c r="H335" s="77">
        <v>18358</v>
      </c>
      <c r="I335" s="77">
        <v>16435</v>
      </c>
      <c r="J335" s="77">
        <v>8463</v>
      </c>
      <c r="K335" s="77">
        <v>5462</v>
      </c>
      <c r="L335" s="77">
        <v>3802</v>
      </c>
      <c r="M335" s="77"/>
      <c r="N335" s="77"/>
      <c r="O335" s="77"/>
      <c r="P335" s="77"/>
      <c r="Q335" s="77"/>
      <c r="R335" s="77"/>
      <c r="S335" s="77"/>
      <c r="T335" s="77"/>
      <c r="U335" s="77"/>
      <c r="V335" s="77"/>
      <c r="W335" s="77"/>
      <c r="X335" s="77"/>
      <c r="Y335" s="77"/>
      <c r="Z335" s="77"/>
      <c r="AA335" s="77"/>
      <c r="AB335" s="77"/>
      <c r="AC335" s="77"/>
      <c r="AD335" s="77"/>
      <c r="AE335" s="62"/>
      <c r="AF335" s="63" t="b">
        <v>0</v>
      </c>
      <c r="AG335" s="63" t="b">
        <v>0</v>
      </c>
      <c r="AH335" s="62"/>
      <c r="AI335" s="64">
        <f t="shared" si="786"/>
        <v>52520</v>
      </c>
      <c r="AJ335" s="65" t="str">
        <f t="shared" si="340"/>
        <v>LAB</v>
      </c>
      <c r="AK335" s="66" t="str">
        <f t="shared" si="787"/>
        <v>GAIN</v>
      </c>
      <c r="AL335" s="67" t="e">
        <f t="shared" ca="1" si="788"/>
        <v>#NAME?</v>
      </c>
      <c r="AM335" s="68">
        <f t="shared" si="637"/>
        <v>1923</v>
      </c>
      <c r="AN335" s="69">
        <f t="shared" si="638"/>
        <v>3.6614623000761626E-2</v>
      </c>
      <c r="AO335" s="62"/>
      <c r="AP335" s="70">
        <f t="shared" ref="AP335:AT335" si="1017">H335/$AI335</f>
        <v>0.34954303122619956</v>
      </c>
      <c r="AQ335" s="70">
        <f t="shared" si="1017"/>
        <v>0.31292840822543794</v>
      </c>
      <c r="AR335" s="70">
        <f t="shared" si="1017"/>
        <v>0.16113861386138614</v>
      </c>
      <c r="AS335" s="70">
        <f t="shared" si="1017"/>
        <v>0.10399847677075399</v>
      </c>
      <c r="AT335" s="70">
        <f t="shared" si="1017"/>
        <v>7.239146991622239E-2</v>
      </c>
      <c r="AU335" s="70"/>
      <c r="AV335" s="70"/>
      <c r="AW335" s="81">
        <f t="shared" si="790"/>
        <v>0</v>
      </c>
      <c r="AX335" s="70">
        <f t="shared" ref="AX335:BG335" si="1018">O335/$AI335</f>
        <v>0</v>
      </c>
      <c r="AY335" s="70">
        <f t="shared" si="1018"/>
        <v>0</v>
      </c>
      <c r="AZ335" s="70">
        <f t="shared" si="1018"/>
        <v>0</v>
      </c>
      <c r="BA335" s="70">
        <f t="shared" si="1018"/>
        <v>0</v>
      </c>
      <c r="BB335" s="70">
        <f t="shared" si="1018"/>
        <v>0</v>
      </c>
      <c r="BC335" s="70">
        <f t="shared" si="1018"/>
        <v>0</v>
      </c>
      <c r="BD335" s="70">
        <f t="shared" si="1018"/>
        <v>0</v>
      </c>
      <c r="BE335" s="70">
        <f t="shared" si="1018"/>
        <v>0</v>
      </c>
      <c r="BF335" s="70">
        <f t="shared" si="1018"/>
        <v>0</v>
      </c>
      <c r="BG335" s="70">
        <f t="shared" si="1018"/>
        <v>0</v>
      </c>
      <c r="BH335" s="70">
        <f t="shared" si="792"/>
        <v>-2.2204460492503131E-16</v>
      </c>
      <c r="BI335" s="62"/>
      <c r="BJ335" s="69">
        <v>0.23699999999999999</v>
      </c>
      <c r="BK335" s="69">
        <v>0.56599999999999995</v>
      </c>
      <c r="BL335" s="69">
        <v>0</v>
      </c>
      <c r="BM335" s="69">
        <v>0.155</v>
      </c>
      <c r="BN335" s="69">
        <v>4.2999999999999997E-2</v>
      </c>
      <c r="BO335" s="69">
        <v>0</v>
      </c>
      <c r="BP335" s="69">
        <v>0</v>
      </c>
      <c r="BQ335" s="69">
        <v>0</v>
      </c>
      <c r="BR335" s="62"/>
      <c r="BS335" s="72">
        <f t="shared" ref="BS335:BW335" si="1019">AP335-BJ335</f>
        <v>0.11254303122619957</v>
      </c>
      <c r="BT335" s="72">
        <f t="shared" si="1019"/>
        <v>-0.25307159177456201</v>
      </c>
      <c r="BU335" s="72">
        <f t="shared" si="1019"/>
        <v>0.16113861386138614</v>
      </c>
      <c r="BV335" s="72">
        <f t="shared" si="1019"/>
        <v>-5.1001523229246004E-2</v>
      </c>
      <c r="BW335" s="72">
        <f t="shared" si="1019"/>
        <v>2.9391469916222393E-2</v>
      </c>
      <c r="BX335" s="72"/>
      <c r="BY335" s="72"/>
      <c r="BZ335" s="72">
        <f t="shared" si="794"/>
        <v>-2.2204460492503131E-16</v>
      </c>
    </row>
    <row r="336" spans="1:78" ht="13.15">
      <c r="A336" s="73" t="s">
        <v>6</v>
      </c>
      <c r="B336" s="74" t="s">
        <v>715</v>
      </c>
      <c r="C336" s="75" t="s">
        <v>716</v>
      </c>
      <c r="D336" s="75" t="s">
        <v>85</v>
      </c>
      <c r="E336" s="76"/>
      <c r="F336" s="59"/>
      <c r="G336" s="60"/>
      <c r="H336" s="77">
        <v>20739</v>
      </c>
      <c r="I336" s="77">
        <v>15420</v>
      </c>
      <c r="J336" s="77">
        <v>7424</v>
      </c>
      <c r="K336" s="77">
        <v>3878</v>
      </c>
      <c r="L336" s="77">
        <v>3222</v>
      </c>
      <c r="M336" s="77"/>
      <c r="N336" s="77"/>
      <c r="O336" s="77">
        <v>231</v>
      </c>
      <c r="P336" s="77"/>
      <c r="Q336" s="77"/>
      <c r="R336" s="77"/>
      <c r="S336" s="77"/>
      <c r="T336" s="77"/>
      <c r="U336" s="77"/>
      <c r="V336" s="77"/>
      <c r="W336" s="77"/>
      <c r="X336" s="77"/>
      <c r="Y336" s="77">
        <v>211</v>
      </c>
      <c r="Z336" s="77"/>
      <c r="AA336" s="77"/>
      <c r="AB336" s="77"/>
      <c r="AC336" s="77"/>
      <c r="AD336" s="77"/>
      <c r="AE336" s="62"/>
      <c r="AF336" s="63" t="b">
        <v>0</v>
      </c>
      <c r="AG336" s="63" t="b">
        <v>0</v>
      </c>
      <c r="AH336" s="62"/>
      <c r="AI336" s="64">
        <f t="shared" si="786"/>
        <v>51125</v>
      </c>
      <c r="AJ336" s="65" t="str">
        <f t="shared" si="340"/>
        <v>LAB</v>
      </c>
      <c r="AK336" s="66" t="str">
        <f t="shared" si="787"/>
        <v>GAIN</v>
      </c>
      <c r="AL336" s="67" t="e">
        <f t="shared" ca="1" si="788"/>
        <v>#NAME?</v>
      </c>
      <c r="AM336" s="68">
        <f t="shared" si="637"/>
        <v>5319</v>
      </c>
      <c r="AN336" s="69">
        <f t="shared" si="638"/>
        <v>0.10403911980440095</v>
      </c>
      <c r="AO336" s="62"/>
      <c r="AP336" s="70">
        <f t="shared" ref="AP336:AT336" si="1020">H336/$AI336</f>
        <v>0.40565281173594131</v>
      </c>
      <c r="AQ336" s="70">
        <f t="shared" si="1020"/>
        <v>0.30161369193154036</v>
      </c>
      <c r="AR336" s="70">
        <f t="shared" si="1020"/>
        <v>0.14521271393643032</v>
      </c>
      <c r="AS336" s="70">
        <f t="shared" si="1020"/>
        <v>7.5853300733496332E-2</v>
      </c>
      <c r="AT336" s="70">
        <f t="shared" si="1020"/>
        <v>6.3022004889975544E-2</v>
      </c>
      <c r="AU336" s="70"/>
      <c r="AV336" s="70"/>
      <c r="AW336" s="81">
        <f t="shared" si="790"/>
        <v>8.6454767726161785E-3</v>
      </c>
      <c r="AX336" s="70">
        <f t="shared" ref="AX336:BG336" si="1021">O336/$AI336</f>
        <v>4.5183374083129588E-3</v>
      </c>
      <c r="AY336" s="70">
        <f t="shared" si="1021"/>
        <v>0</v>
      </c>
      <c r="AZ336" s="70">
        <f t="shared" si="1021"/>
        <v>0</v>
      </c>
      <c r="BA336" s="70">
        <f t="shared" si="1021"/>
        <v>0</v>
      </c>
      <c r="BB336" s="70">
        <f t="shared" si="1021"/>
        <v>0</v>
      </c>
      <c r="BC336" s="70">
        <f t="shared" si="1021"/>
        <v>0</v>
      </c>
      <c r="BD336" s="70">
        <f t="shared" si="1021"/>
        <v>0</v>
      </c>
      <c r="BE336" s="70">
        <f t="shared" si="1021"/>
        <v>0</v>
      </c>
      <c r="BF336" s="70">
        <f t="shared" si="1021"/>
        <v>0</v>
      </c>
      <c r="BG336" s="70">
        <f t="shared" si="1021"/>
        <v>0</v>
      </c>
      <c r="BH336" s="70">
        <f t="shared" si="792"/>
        <v>4.1271393643032197E-3</v>
      </c>
      <c r="BI336" s="62"/>
      <c r="BJ336" s="69">
        <v>0.26200000000000001</v>
      </c>
      <c r="BK336" s="69">
        <v>0.54700000000000004</v>
      </c>
      <c r="BL336" s="69">
        <v>0</v>
      </c>
      <c r="BM336" s="69">
        <v>0.15</v>
      </c>
      <c r="BN336" s="69">
        <v>2.4E-2</v>
      </c>
      <c r="BO336" s="69">
        <v>0</v>
      </c>
      <c r="BP336" s="69">
        <v>0</v>
      </c>
      <c r="BQ336" s="69">
        <v>1.7000000000000001E-2</v>
      </c>
      <c r="BR336" s="62"/>
      <c r="BS336" s="72">
        <f t="shared" ref="BS336:BW336" si="1022">AP336-BJ336</f>
        <v>0.1436528117359413</v>
      </c>
      <c r="BT336" s="72">
        <f t="shared" si="1022"/>
        <v>-0.24538630806845968</v>
      </c>
      <c r="BU336" s="72">
        <f t="shared" si="1022"/>
        <v>0.14521271393643032</v>
      </c>
      <c r="BV336" s="72">
        <f t="shared" si="1022"/>
        <v>-7.4146699266503663E-2</v>
      </c>
      <c r="BW336" s="72">
        <f t="shared" si="1022"/>
        <v>3.9022004889975544E-2</v>
      </c>
      <c r="BX336" s="72"/>
      <c r="BY336" s="72"/>
      <c r="BZ336" s="72">
        <f t="shared" si="794"/>
        <v>-8.3545232273838227E-3</v>
      </c>
    </row>
    <row r="337" spans="1:78" ht="13.15">
      <c r="A337" s="73" t="s">
        <v>6</v>
      </c>
      <c r="B337" s="74" t="s">
        <v>717</v>
      </c>
      <c r="C337" s="75" t="s">
        <v>718</v>
      </c>
      <c r="D337" s="75" t="s">
        <v>47</v>
      </c>
      <c r="E337" s="76"/>
      <c r="F337" s="59"/>
      <c r="G337" s="60"/>
      <c r="H337" s="77">
        <v>3205</v>
      </c>
      <c r="I337" s="77">
        <v>15842</v>
      </c>
      <c r="J337" s="77">
        <v>8048</v>
      </c>
      <c r="K337" s="77">
        <v>1436</v>
      </c>
      <c r="L337" s="77">
        <v>21736</v>
      </c>
      <c r="M337" s="77"/>
      <c r="N337" s="77"/>
      <c r="O337" s="77"/>
      <c r="P337" s="77"/>
      <c r="Q337" s="77">
        <v>95</v>
      </c>
      <c r="R337" s="77"/>
      <c r="S337" s="77"/>
      <c r="T337" s="77"/>
      <c r="U337" s="77"/>
      <c r="V337" s="77"/>
      <c r="W337" s="77"/>
      <c r="X337" s="77"/>
      <c r="Y337" s="77"/>
      <c r="Z337" s="77"/>
      <c r="AA337" s="77"/>
      <c r="AB337" s="77"/>
      <c r="AC337" s="77"/>
      <c r="AD337" s="77"/>
      <c r="AE337" s="62"/>
      <c r="AF337" s="63" t="b">
        <v>0</v>
      </c>
      <c r="AG337" s="63" t="b">
        <v>0</v>
      </c>
      <c r="AH337" s="62"/>
      <c r="AI337" s="64">
        <f t="shared" si="786"/>
        <v>50362</v>
      </c>
      <c r="AJ337" s="65" t="str">
        <f t="shared" si="340"/>
        <v>GRN</v>
      </c>
      <c r="AK337" s="66" t="str">
        <f t="shared" si="787"/>
        <v>GAIN</v>
      </c>
      <c r="AL337" s="67" t="e">
        <f t="shared" ca="1" si="788"/>
        <v>#NAME?</v>
      </c>
      <c r="AM337" s="68">
        <f t="shared" si="637"/>
        <v>5894</v>
      </c>
      <c r="AN337" s="69">
        <f t="shared" si="638"/>
        <v>0.11703268337238393</v>
      </c>
      <c r="AO337" s="62"/>
      <c r="AP337" s="70">
        <f t="shared" ref="AP337:AT337" si="1023">H337/$AI337</f>
        <v>6.3639251816846029E-2</v>
      </c>
      <c r="AQ337" s="70">
        <f t="shared" si="1023"/>
        <v>0.31456256701481278</v>
      </c>
      <c r="AR337" s="70">
        <f t="shared" si="1023"/>
        <v>0.15980302609110042</v>
      </c>
      <c r="AS337" s="70">
        <f t="shared" si="1023"/>
        <v>2.8513561812477661E-2</v>
      </c>
      <c r="AT337" s="70">
        <f t="shared" si="1023"/>
        <v>0.4315952503871967</v>
      </c>
      <c r="AU337" s="70"/>
      <c r="AV337" s="70"/>
      <c r="AW337" s="81">
        <f t="shared" si="790"/>
        <v>1.8863428775663937E-3</v>
      </c>
      <c r="AX337" s="70">
        <f t="shared" ref="AX337:BG337" si="1024">O337/$AI337</f>
        <v>0</v>
      </c>
      <c r="AY337" s="70">
        <f t="shared" si="1024"/>
        <v>0</v>
      </c>
      <c r="AZ337" s="70">
        <f t="shared" si="1024"/>
        <v>1.8863428775664191E-3</v>
      </c>
      <c r="BA337" s="70">
        <f t="shared" si="1024"/>
        <v>0</v>
      </c>
      <c r="BB337" s="70">
        <f t="shared" si="1024"/>
        <v>0</v>
      </c>
      <c r="BC337" s="70">
        <f t="shared" si="1024"/>
        <v>0</v>
      </c>
      <c r="BD337" s="70">
        <f t="shared" si="1024"/>
        <v>0</v>
      </c>
      <c r="BE337" s="70">
        <f t="shared" si="1024"/>
        <v>0</v>
      </c>
      <c r="BF337" s="70">
        <f t="shared" si="1024"/>
        <v>0</v>
      </c>
      <c r="BG337" s="70">
        <f t="shared" si="1024"/>
        <v>0</v>
      </c>
      <c r="BH337" s="70">
        <f t="shared" si="792"/>
        <v>-2.5370330836160804E-17</v>
      </c>
      <c r="BI337" s="62"/>
      <c r="BJ337" s="69">
        <v>0.152</v>
      </c>
      <c r="BK337" s="69">
        <v>0.625</v>
      </c>
      <c r="BL337" s="69">
        <v>0</v>
      </c>
      <c r="BM337" s="69">
        <v>0.13500000000000001</v>
      </c>
      <c r="BN337" s="69">
        <v>8.7999999999999995E-2</v>
      </c>
      <c r="BO337" s="69">
        <v>0</v>
      </c>
      <c r="BP337" s="69">
        <v>0</v>
      </c>
      <c r="BQ337" s="69">
        <v>0</v>
      </c>
      <c r="BR337" s="62"/>
      <c r="BS337" s="72">
        <f t="shared" ref="BS337:BW337" si="1025">AP337-BJ337</f>
        <v>-8.8360748183153967E-2</v>
      </c>
      <c r="BT337" s="72">
        <f t="shared" si="1025"/>
        <v>-0.31043743298518722</v>
      </c>
      <c r="BU337" s="72">
        <f t="shared" si="1025"/>
        <v>0.15980302609110042</v>
      </c>
      <c r="BV337" s="72">
        <f t="shared" si="1025"/>
        <v>-0.10648643818752235</v>
      </c>
      <c r="BW337" s="72">
        <f t="shared" si="1025"/>
        <v>0.34359525038719674</v>
      </c>
      <c r="BX337" s="72"/>
      <c r="BY337" s="72"/>
      <c r="BZ337" s="72">
        <f t="shared" si="794"/>
        <v>1.8863428775663937E-3</v>
      </c>
    </row>
    <row r="338" spans="1:78" ht="13.15">
      <c r="A338" s="73" t="s">
        <v>6</v>
      </c>
      <c r="B338" s="74" t="s">
        <v>719</v>
      </c>
      <c r="C338" s="75" t="s">
        <v>720</v>
      </c>
      <c r="D338" s="75" t="s">
        <v>78</v>
      </c>
      <c r="E338" s="76"/>
      <c r="F338" s="59"/>
      <c r="G338" s="60"/>
      <c r="H338" s="77">
        <v>2878</v>
      </c>
      <c r="I338" s="77">
        <v>16903</v>
      </c>
      <c r="J338" s="77">
        <v>6368</v>
      </c>
      <c r="K338" s="77">
        <v>19488</v>
      </c>
      <c r="L338" s="77">
        <v>1406</v>
      </c>
      <c r="M338" s="77"/>
      <c r="N338" s="77"/>
      <c r="O338" s="77"/>
      <c r="P338" s="77"/>
      <c r="Q338" s="77"/>
      <c r="R338" s="77"/>
      <c r="S338" s="77"/>
      <c r="T338" s="77"/>
      <c r="U338" s="77"/>
      <c r="V338" s="77"/>
      <c r="W338" s="77"/>
      <c r="X338" s="77"/>
      <c r="Y338" s="77"/>
      <c r="Z338" s="77"/>
      <c r="AA338" s="77"/>
      <c r="AB338" s="77"/>
      <c r="AC338" s="77"/>
      <c r="AD338" s="77"/>
      <c r="AE338" s="62"/>
      <c r="AF338" s="63" t="b">
        <v>0</v>
      </c>
      <c r="AG338" s="63" t="b">
        <v>0</v>
      </c>
      <c r="AH338" s="62"/>
      <c r="AI338" s="64">
        <f t="shared" si="786"/>
        <v>47043</v>
      </c>
      <c r="AJ338" s="65" t="str">
        <f t="shared" si="340"/>
        <v>LDM</v>
      </c>
      <c r="AK338" s="66" t="str">
        <f t="shared" si="787"/>
        <v>GAIN</v>
      </c>
      <c r="AL338" s="67" t="e">
        <f t="shared" ca="1" si="788"/>
        <v>#NAME?</v>
      </c>
      <c r="AM338" s="68">
        <f t="shared" si="637"/>
        <v>2585</v>
      </c>
      <c r="AN338" s="69">
        <f t="shared" si="638"/>
        <v>5.4949726845651858E-2</v>
      </c>
      <c r="AO338" s="62"/>
      <c r="AP338" s="70">
        <f t="shared" ref="AP338:AT338" si="1026">H338/$AI338</f>
        <v>6.117807112641626E-2</v>
      </c>
      <c r="AQ338" s="70">
        <f t="shared" si="1026"/>
        <v>0.35930956784218693</v>
      </c>
      <c r="AR338" s="70">
        <f t="shared" si="1026"/>
        <v>0.13536551665497523</v>
      </c>
      <c r="AS338" s="70">
        <f t="shared" si="1026"/>
        <v>0.41425929468783879</v>
      </c>
      <c r="AT338" s="70">
        <f t="shared" si="1026"/>
        <v>2.9887549688582787E-2</v>
      </c>
      <c r="AU338" s="70"/>
      <c r="AV338" s="70"/>
      <c r="AW338" s="81">
        <f t="shared" si="790"/>
        <v>0</v>
      </c>
      <c r="AX338" s="70">
        <f t="shared" ref="AX338:BG338" si="1027">O338/$AI338</f>
        <v>0</v>
      </c>
      <c r="AY338" s="70">
        <f t="shared" si="1027"/>
        <v>0</v>
      </c>
      <c r="AZ338" s="70">
        <f t="shared" si="1027"/>
        <v>0</v>
      </c>
      <c r="BA338" s="70">
        <f t="shared" si="1027"/>
        <v>0</v>
      </c>
      <c r="BB338" s="70">
        <f t="shared" si="1027"/>
        <v>0</v>
      </c>
      <c r="BC338" s="70">
        <f t="shared" si="1027"/>
        <v>0</v>
      </c>
      <c r="BD338" s="70">
        <f t="shared" si="1027"/>
        <v>0</v>
      </c>
      <c r="BE338" s="70">
        <f t="shared" si="1027"/>
        <v>0</v>
      </c>
      <c r="BF338" s="70">
        <f t="shared" si="1027"/>
        <v>0</v>
      </c>
      <c r="BG338" s="70">
        <f t="shared" si="1027"/>
        <v>0</v>
      </c>
      <c r="BH338" s="70">
        <f t="shared" si="792"/>
        <v>1.1102230246251565E-16</v>
      </c>
      <c r="BI338" s="62"/>
      <c r="BJ338" s="69">
        <v>7.6999999999999999E-2</v>
      </c>
      <c r="BK338" s="69">
        <v>0.58499999999999996</v>
      </c>
      <c r="BL338" s="69">
        <v>3.4000000000000002E-2</v>
      </c>
      <c r="BM338" s="69">
        <v>0.30399999999999999</v>
      </c>
      <c r="BN338" s="69">
        <v>1E-3</v>
      </c>
      <c r="BO338" s="69">
        <v>0</v>
      </c>
      <c r="BP338" s="69">
        <v>0</v>
      </c>
      <c r="BQ338" s="69">
        <v>0</v>
      </c>
      <c r="BR338" s="62"/>
      <c r="BS338" s="72">
        <f t="shared" ref="BS338:BW338" si="1028">AP338-BJ338</f>
        <v>-1.5821928873583739E-2</v>
      </c>
      <c r="BT338" s="72">
        <f t="shared" si="1028"/>
        <v>-0.22569043215781304</v>
      </c>
      <c r="BU338" s="72">
        <f t="shared" si="1028"/>
        <v>0.10136551665497523</v>
      </c>
      <c r="BV338" s="72">
        <f t="shared" si="1028"/>
        <v>0.11025929468783879</v>
      </c>
      <c r="BW338" s="72">
        <f t="shared" si="1028"/>
        <v>2.8887549688582786E-2</v>
      </c>
      <c r="BX338" s="72"/>
      <c r="BY338" s="72"/>
      <c r="BZ338" s="72">
        <f t="shared" si="794"/>
        <v>1.1102230246251565E-16</v>
      </c>
    </row>
    <row r="339" spans="1:78" ht="13.15">
      <c r="A339" s="73" t="s">
        <v>6</v>
      </c>
      <c r="B339" s="74" t="s">
        <v>721</v>
      </c>
      <c r="C339" s="75" t="s">
        <v>722</v>
      </c>
      <c r="D339" s="75" t="s">
        <v>129</v>
      </c>
      <c r="E339" s="76"/>
      <c r="F339" s="59"/>
      <c r="G339" s="60"/>
      <c r="H339" s="77">
        <v>17855</v>
      </c>
      <c r="I339" s="77">
        <v>12788</v>
      </c>
      <c r="J339" s="77">
        <v>7688</v>
      </c>
      <c r="K339" s="77">
        <v>5169</v>
      </c>
      <c r="L339" s="77">
        <v>1743</v>
      </c>
      <c r="M339" s="77"/>
      <c r="N339" s="77"/>
      <c r="O339" s="77">
        <v>3220</v>
      </c>
      <c r="P339" s="77"/>
      <c r="Q339" s="77">
        <v>92</v>
      </c>
      <c r="R339" s="77"/>
      <c r="S339" s="77"/>
      <c r="T339" s="77"/>
      <c r="U339" s="77"/>
      <c r="V339" s="77"/>
      <c r="W339" s="77"/>
      <c r="X339" s="77"/>
      <c r="Y339" s="77">
        <v>288</v>
      </c>
      <c r="Z339" s="77"/>
      <c r="AA339" s="77"/>
      <c r="AB339" s="77"/>
      <c r="AC339" s="77"/>
      <c r="AD339" s="77"/>
      <c r="AE339" s="62"/>
      <c r="AF339" s="63" t="b">
        <v>0</v>
      </c>
      <c r="AG339" s="63" t="b">
        <v>0</v>
      </c>
      <c r="AH339" s="62"/>
      <c r="AI339" s="64">
        <f t="shared" si="786"/>
        <v>48843</v>
      </c>
      <c r="AJ339" s="65" t="str">
        <f t="shared" si="340"/>
        <v>LAB</v>
      </c>
      <c r="AK339" s="66" t="str">
        <f t="shared" si="787"/>
        <v>GAIN</v>
      </c>
      <c r="AL339" s="67" t="e">
        <f t="shared" ca="1" si="788"/>
        <v>#NAME?</v>
      </c>
      <c r="AM339" s="68">
        <f t="shared" si="637"/>
        <v>5067</v>
      </c>
      <c r="AN339" s="69">
        <f t="shared" si="638"/>
        <v>0.10374055647687486</v>
      </c>
      <c r="AO339" s="62"/>
      <c r="AP339" s="70">
        <f t="shared" ref="AP339:AT339" si="1029">H339/$AI339</f>
        <v>0.36555903609524393</v>
      </c>
      <c r="AQ339" s="70">
        <f t="shared" si="1029"/>
        <v>0.26181847961836907</v>
      </c>
      <c r="AR339" s="70">
        <f t="shared" si="1029"/>
        <v>0.15740228896668917</v>
      </c>
      <c r="AS339" s="70">
        <f t="shared" si="1029"/>
        <v>0.10582888028990849</v>
      </c>
      <c r="AT339" s="70">
        <f t="shared" si="1029"/>
        <v>3.5685768687427059E-2</v>
      </c>
      <c r="AU339" s="70"/>
      <c r="AV339" s="70"/>
      <c r="AW339" s="81">
        <f t="shared" si="790"/>
        <v>7.3705546342362371E-2</v>
      </c>
      <c r="AX339" s="70">
        <f t="shared" ref="AX339:BG339" si="1030">O339/$AI339</f>
        <v>6.5925516450668464E-2</v>
      </c>
      <c r="AY339" s="70">
        <f t="shared" si="1030"/>
        <v>0</v>
      </c>
      <c r="AZ339" s="70">
        <f t="shared" si="1030"/>
        <v>1.8835861843048134E-3</v>
      </c>
      <c r="BA339" s="70">
        <f t="shared" si="1030"/>
        <v>0</v>
      </c>
      <c r="BB339" s="70">
        <f t="shared" si="1030"/>
        <v>0</v>
      </c>
      <c r="BC339" s="70">
        <f t="shared" si="1030"/>
        <v>0</v>
      </c>
      <c r="BD339" s="70">
        <f t="shared" si="1030"/>
        <v>0</v>
      </c>
      <c r="BE339" s="70">
        <f t="shared" si="1030"/>
        <v>0</v>
      </c>
      <c r="BF339" s="70">
        <f t="shared" si="1030"/>
        <v>0</v>
      </c>
      <c r="BG339" s="70">
        <f t="shared" si="1030"/>
        <v>0</v>
      </c>
      <c r="BH339" s="70">
        <f t="shared" si="792"/>
        <v>5.896443707389093E-3</v>
      </c>
      <c r="BI339" s="62"/>
      <c r="BJ339" s="69">
        <v>0.23100000000000001</v>
      </c>
      <c r="BK339" s="69">
        <v>0.55900000000000005</v>
      </c>
      <c r="BL339" s="69">
        <v>1.4999999999999999E-2</v>
      </c>
      <c r="BM339" s="69">
        <v>0.161</v>
      </c>
      <c r="BN339" s="69">
        <v>3.4000000000000002E-2</v>
      </c>
      <c r="BO339" s="69">
        <v>0</v>
      </c>
      <c r="BP339" s="69">
        <v>0</v>
      </c>
      <c r="BQ339" s="69">
        <v>0</v>
      </c>
      <c r="BR339" s="62"/>
      <c r="BS339" s="72">
        <f t="shared" ref="BS339:BW339" si="1031">AP339-BJ339</f>
        <v>0.13455903609524392</v>
      </c>
      <c r="BT339" s="72">
        <f t="shared" si="1031"/>
        <v>-0.29718152038163098</v>
      </c>
      <c r="BU339" s="72">
        <f t="shared" si="1031"/>
        <v>0.14240228896668916</v>
      </c>
      <c r="BV339" s="72">
        <f t="shared" si="1031"/>
        <v>-5.5171119710091518E-2</v>
      </c>
      <c r="BW339" s="72">
        <f t="shared" si="1031"/>
        <v>1.6857686874270569E-3</v>
      </c>
      <c r="BX339" s="72"/>
      <c r="BY339" s="72"/>
      <c r="BZ339" s="72">
        <f t="shared" si="794"/>
        <v>7.3705546342362371E-2</v>
      </c>
    </row>
    <row r="340" spans="1:78" ht="13.15">
      <c r="A340" s="73" t="s">
        <v>6</v>
      </c>
      <c r="B340" s="74" t="s">
        <v>723</v>
      </c>
      <c r="C340" s="75" t="s">
        <v>724</v>
      </c>
      <c r="D340" s="75" t="s">
        <v>47</v>
      </c>
      <c r="E340" s="76"/>
      <c r="F340" s="59"/>
      <c r="G340" s="60"/>
      <c r="H340" s="77">
        <v>3423</v>
      </c>
      <c r="I340" s="77">
        <v>10903</v>
      </c>
      <c r="J340" s="77">
        <v>7687</v>
      </c>
      <c r="K340" s="77">
        <v>26214</v>
      </c>
      <c r="L340" s="77">
        <v>1234</v>
      </c>
      <c r="M340" s="77"/>
      <c r="N340" s="77"/>
      <c r="O340" s="77">
        <v>133</v>
      </c>
      <c r="P340" s="77"/>
      <c r="Q340" s="77"/>
      <c r="R340" s="77"/>
      <c r="S340" s="77"/>
      <c r="T340" s="77"/>
      <c r="U340" s="77"/>
      <c r="V340" s="77"/>
      <c r="W340" s="77"/>
      <c r="X340" s="77"/>
      <c r="Y340" s="77"/>
      <c r="Z340" s="77"/>
      <c r="AA340" s="77"/>
      <c r="AB340" s="77"/>
      <c r="AC340" s="77"/>
      <c r="AD340" s="77"/>
      <c r="AE340" s="62"/>
      <c r="AF340" s="63" t="b">
        <v>0</v>
      </c>
      <c r="AG340" s="63" t="b">
        <v>0</v>
      </c>
      <c r="AH340" s="62"/>
      <c r="AI340" s="64">
        <f t="shared" si="786"/>
        <v>49594</v>
      </c>
      <c r="AJ340" s="65" t="str">
        <f t="shared" si="340"/>
        <v>LDM</v>
      </c>
      <c r="AK340" s="66" t="str">
        <f t="shared" si="787"/>
        <v>GAIN</v>
      </c>
      <c r="AL340" s="67" t="e">
        <f t="shared" ca="1" si="788"/>
        <v>#NAME?</v>
      </c>
      <c r="AM340" s="68">
        <f t="shared" si="637"/>
        <v>15311</v>
      </c>
      <c r="AN340" s="69">
        <f t="shared" si="638"/>
        <v>0.30872686212041778</v>
      </c>
      <c r="AO340" s="62"/>
      <c r="AP340" s="70">
        <f t="shared" ref="AP340:AT340" si="1032">H340/$AI340</f>
        <v>6.9020446021696172E-2</v>
      </c>
      <c r="AQ340" s="70">
        <f t="shared" si="1032"/>
        <v>0.21984514255756746</v>
      </c>
      <c r="AR340" s="70">
        <f t="shared" si="1032"/>
        <v>0.15499858853893617</v>
      </c>
      <c r="AS340" s="70">
        <f t="shared" si="1032"/>
        <v>0.52857200467798526</v>
      </c>
      <c r="AT340" s="70">
        <f t="shared" si="1032"/>
        <v>2.4882042182522081E-2</v>
      </c>
      <c r="AU340" s="70"/>
      <c r="AV340" s="70"/>
      <c r="AW340" s="81">
        <f t="shared" si="790"/>
        <v>2.6817760212928254E-3</v>
      </c>
      <c r="AX340" s="70">
        <f t="shared" ref="AX340:BG340" si="1033">O340/$AI340</f>
        <v>2.6817760212928983E-3</v>
      </c>
      <c r="AY340" s="70">
        <f t="shared" si="1033"/>
        <v>0</v>
      </c>
      <c r="AZ340" s="70">
        <f t="shared" si="1033"/>
        <v>0</v>
      </c>
      <c r="BA340" s="70">
        <f t="shared" si="1033"/>
        <v>0</v>
      </c>
      <c r="BB340" s="70">
        <f t="shared" si="1033"/>
        <v>0</v>
      </c>
      <c r="BC340" s="70">
        <f t="shared" si="1033"/>
        <v>0</v>
      </c>
      <c r="BD340" s="70">
        <f t="shared" si="1033"/>
        <v>0</v>
      </c>
      <c r="BE340" s="70">
        <f t="shared" si="1033"/>
        <v>0</v>
      </c>
      <c r="BF340" s="70">
        <f t="shared" si="1033"/>
        <v>0</v>
      </c>
      <c r="BG340" s="70">
        <f t="shared" si="1033"/>
        <v>0</v>
      </c>
      <c r="BH340" s="70">
        <f t="shared" si="792"/>
        <v>-7.2858385991025898E-17</v>
      </c>
      <c r="BI340" s="62"/>
      <c r="BJ340" s="69">
        <v>0.224</v>
      </c>
      <c r="BK340" s="69">
        <v>0.61699999999999999</v>
      </c>
      <c r="BL340" s="69">
        <v>0</v>
      </c>
      <c r="BM340" s="69">
        <v>0.104</v>
      </c>
      <c r="BN340" s="69">
        <v>3.3000000000000002E-2</v>
      </c>
      <c r="BO340" s="69">
        <v>0</v>
      </c>
      <c r="BP340" s="69">
        <v>0</v>
      </c>
      <c r="BQ340" s="69">
        <v>2.1999999999999999E-2</v>
      </c>
      <c r="BR340" s="62"/>
      <c r="BS340" s="72">
        <f t="shared" ref="BS340:BW340" si="1034">AP340-BJ340</f>
        <v>-0.15497955397830382</v>
      </c>
      <c r="BT340" s="72">
        <f t="shared" si="1034"/>
        <v>-0.39715485744243251</v>
      </c>
      <c r="BU340" s="72">
        <f t="shared" si="1034"/>
        <v>0.15499858853893617</v>
      </c>
      <c r="BV340" s="72">
        <f t="shared" si="1034"/>
        <v>0.42457200467798528</v>
      </c>
      <c r="BW340" s="72">
        <f t="shared" si="1034"/>
        <v>-8.1179578174779207E-3</v>
      </c>
      <c r="BX340" s="72"/>
      <c r="BY340" s="72"/>
      <c r="BZ340" s="72">
        <f t="shared" si="794"/>
        <v>-1.9318223978707173E-2</v>
      </c>
    </row>
    <row r="341" spans="1:78" ht="13.15">
      <c r="A341" s="73" t="s">
        <v>6</v>
      </c>
      <c r="B341" s="74" t="s">
        <v>725</v>
      </c>
      <c r="C341" s="75" t="s">
        <v>726</v>
      </c>
      <c r="D341" s="75" t="s">
        <v>85</v>
      </c>
      <c r="E341" s="76"/>
      <c r="F341" s="59"/>
      <c r="G341" s="60"/>
      <c r="H341" s="77">
        <v>19138</v>
      </c>
      <c r="I341" s="77">
        <v>18499</v>
      </c>
      <c r="J341" s="77">
        <v>5602</v>
      </c>
      <c r="K341" s="77">
        <v>7121</v>
      </c>
      <c r="L341" s="77">
        <v>3273</v>
      </c>
      <c r="M341" s="77"/>
      <c r="N341" s="77"/>
      <c r="O341" s="77"/>
      <c r="P341" s="77">
        <v>133</v>
      </c>
      <c r="Q341" s="77"/>
      <c r="R341" s="77"/>
      <c r="S341" s="77"/>
      <c r="T341" s="77"/>
      <c r="U341" s="77"/>
      <c r="V341" s="77"/>
      <c r="W341" s="77"/>
      <c r="X341" s="77"/>
      <c r="Y341" s="77"/>
      <c r="Z341" s="77"/>
      <c r="AA341" s="77"/>
      <c r="AB341" s="77"/>
      <c r="AC341" s="77"/>
      <c r="AD341" s="77"/>
      <c r="AE341" s="62"/>
      <c r="AF341" s="63" t="b">
        <v>0</v>
      </c>
      <c r="AG341" s="63" t="b">
        <v>0</v>
      </c>
      <c r="AH341" s="62"/>
      <c r="AI341" s="64">
        <f t="shared" si="786"/>
        <v>53766</v>
      </c>
      <c r="AJ341" s="65" t="str">
        <f t="shared" si="340"/>
        <v>LAB</v>
      </c>
      <c r="AK341" s="66" t="str">
        <f t="shared" si="787"/>
        <v>GAIN</v>
      </c>
      <c r="AL341" s="67" t="e">
        <f t="shared" ca="1" si="788"/>
        <v>#NAME?</v>
      </c>
      <c r="AM341" s="68">
        <f t="shared" si="637"/>
        <v>639</v>
      </c>
      <c r="AN341" s="69">
        <f t="shared" si="638"/>
        <v>1.188483428188819E-2</v>
      </c>
      <c r="AO341" s="62"/>
      <c r="AP341" s="70">
        <f t="shared" ref="AP341:AT341" si="1035">H341/$AI341</f>
        <v>0.35594985678681695</v>
      </c>
      <c r="AQ341" s="70">
        <f t="shared" si="1035"/>
        <v>0.34406502250492876</v>
      </c>
      <c r="AR341" s="70">
        <f t="shared" si="1035"/>
        <v>0.10419224044935461</v>
      </c>
      <c r="AS341" s="70">
        <f t="shared" si="1035"/>
        <v>0.13244429565152699</v>
      </c>
      <c r="AT341" s="70">
        <f t="shared" si="1035"/>
        <v>6.0874902354647917E-2</v>
      </c>
      <c r="AU341" s="70"/>
      <c r="AV341" s="70"/>
      <c r="AW341" s="81">
        <f t="shared" si="790"/>
        <v>2.4736822527248181E-3</v>
      </c>
      <c r="AX341" s="70">
        <f t="shared" ref="AX341:BG341" si="1036">O341/$AI341</f>
        <v>0</v>
      </c>
      <c r="AY341" s="70">
        <f t="shared" si="1036"/>
        <v>2.4736822527247704E-3</v>
      </c>
      <c r="AZ341" s="70">
        <f t="shared" si="1036"/>
        <v>0</v>
      </c>
      <c r="BA341" s="70">
        <f t="shared" si="1036"/>
        <v>0</v>
      </c>
      <c r="BB341" s="70">
        <f t="shared" si="1036"/>
        <v>0</v>
      </c>
      <c r="BC341" s="70">
        <f t="shared" si="1036"/>
        <v>0</v>
      </c>
      <c r="BD341" s="70">
        <f t="shared" si="1036"/>
        <v>0</v>
      </c>
      <c r="BE341" s="70">
        <f t="shared" si="1036"/>
        <v>0</v>
      </c>
      <c r="BF341" s="70">
        <f t="shared" si="1036"/>
        <v>0</v>
      </c>
      <c r="BG341" s="70">
        <f t="shared" si="1036"/>
        <v>0</v>
      </c>
      <c r="BH341" s="70">
        <f t="shared" si="792"/>
        <v>4.7704895589362195E-17</v>
      </c>
      <c r="BI341" s="62"/>
      <c r="BJ341" s="69">
        <v>0.25</v>
      </c>
      <c r="BK341" s="69">
        <v>0.53500000000000003</v>
      </c>
      <c r="BL341" s="69">
        <v>0</v>
      </c>
      <c r="BM341" s="69">
        <v>0.16600000000000001</v>
      </c>
      <c r="BN341" s="69">
        <v>4.9000000000000002E-2</v>
      </c>
      <c r="BO341" s="69">
        <v>0</v>
      </c>
      <c r="BP341" s="69">
        <v>0</v>
      </c>
      <c r="BQ341" s="69">
        <v>0</v>
      </c>
      <c r="BR341" s="62"/>
      <c r="BS341" s="72">
        <f t="shared" ref="BS341:BW341" si="1037">AP341-BJ341</f>
        <v>0.10594985678681695</v>
      </c>
      <c r="BT341" s="72">
        <f t="shared" si="1037"/>
        <v>-0.19093497749507127</v>
      </c>
      <c r="BU341" s="72">
        <f t="shared" si="1037"/>
        <v>0.10419224044935461</v>
      </c>
      <c r="BV341" s="72">
        <f t="shared" si="1037"/>
        <v>-3.355570434847302E-2</v>
      </c>
      <c r="BW341" s="72">
        <f t="shared" si="1037"/>
        <v>1.1874902354647915E-2</v>
      </c>
      <c r="BX341" s="72"/>
      <c r="BY341" s="72"/>
      <c r="BZ341" s="72">
        <f t="shared" si="794"/>
        <v>2.4736822527248181E-3</v>
      </c>
    </row>
    <row r="342" spans="1:78" ht="13.15">
      <c r="A342" s="73" t="s">
        <v>6</v>
      </c>
      <c r="B342" s="74" t="s">
        <v>727</v>
      </c>
      <c r="C342" s="75" t="s">
        <v>728</v>
      </c>
      <c r="D342" s="75" t="s">
        <v>47</v>
      </c>
      <c r="E342" s="76"/>
      <c r="F342" s="59"/>
      <c r="G342" s="60"/>
      <c r="H342" s="77">
        <v>14727</v>
      </c>
      <c r="I342" s="77">
        <v>12529</v>
      </c>
      <c r="J342" s="77">
        <v>10701</v>
      </c>
      <c r="K342" s="77">
        <v>1228</v>
      </c>
      <c r="L342" s="77">
        <v>1755</v>
      </c>
      <c r="M342" s="77"/>
      <c r="N342" s="77"/>
      <c r="O342" s="77"/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7"/>
      <c r="AB342" s="77"/>
      <c r="AC342" s="77"/>
      <c r="AD342" s="77"/>
      <c r="AE342" s="62"/>
      <c r="AF342" s="63" t="b">
        <v>0</v>
      </c>
      <c r="AG342" s="63" t="b">
        <v>0</v>
      </c>
      <c r="AH342" s="62"/>
      <c r="AI342" s="64">
        <f t="shared" si="786"/>
        <v>40940</v>
      </c>
      <c r="AJ342" s="65" t="str">
        <f t="shared" si="340"/>
        <v>LAB</v>
      </c>
      <c r="AK342" s="66" t="str">
        <f t="shared" si="787"/>
        <v>GAIN</v>
      </c>
      <c r="AL342" s="67" t="e">
        <f t="shared" ca="1" si="788"/>
        <v>#NAME?</v>
      </c>
      <c r="AM342" s="68">
        <f t="shared" si="637"/>
        <v>2198</v>
      </c>
      <c r="AN342" s="69">
        <f t="shared" si="638"/>
        <v>5.3688324377137275E-2</v>
      </c>
      <c r="AO342" s="62"/>
      <c r="AP342" s="70">
        <f t="shared" ref="AP342:AT342" si="1038">H342/$AI342</f>
        <v>0.35972154372252074</v>
      </c>
      <c r="AQ342" s="70">
        <f t="shared" si="1038"/>
        <v>0.30603321934538347</v>
      </c>
      <c r="AR342" s="70">
        <f t="shared" si="1038"/>
        <v>0.26138251099169518</v>
      </c>
      <c r="AS342" s="70">
        <f t="shared" si="1038"/>
        <v>2.9995114802149486E-2</v>
      </c>
      <c r="AT342" s="70">
        <f t="shared" si="1038"/>
        <v>4.2867611138251098E-2</v>
      </c>
      <c r="AU342" s="70"/>
      <c r="AV342" s="70"/>
      <c r="AW342" s="81">
        <f t="shared" si="790"/>
        <v>0</v>
      </c>
      <c r="AX342" s="70">
        <f t="shared" ref="AX342:BG342" si="1039">O342/$AI342</f>
        <v>0</v>
      </c>
      <c r="AY342" s="70">
        <f t="shared" si="1039"/>
        <v>0</v>
      </c>
      <c r="AZ342" s="70">
        <f t="shared" si="1039"/>
        <v>0</v>
      </c>
      <c r="BA342" s="70">
        <f t="shared" si="1039"/>
        <v>0</v>
      </c>
      <c r="BB342" s="70">
        <f t="shared" si="1039"/>
        <v>0</v>
      </c>
      <c r="BC342" s="70">
        <f t="shared" si="1039"/>
        <v>0</v>
      </c>
      <c r="BD342" s="70">
        <f t="shared" si="1039"/>
        <v>0</v>
      </c>
      <c r="BE342" s="70">
        <f t="shared" si="1039"/>
        <v>0</v>
      </c>
      <c r="BF342" s="70">
        <f t="shared" si="1039"/>
        <v>0</v>
      </c>
      <c r="BG342" s="70">
        <f t="shared" si="1039"/>
        <v>0</v>
      </c>
      <c r="BH342" s="70">
        <f t="shared" si="792"/>
        <v>1.1102230246251565E-16</v>
      </c>
      <c r="BI342" s="62"/>
      <c r="BJ342" s="69">
        <v>0.26800000000000002</v>
      </c>
      <c r="BK342" s="69">
        <v>0.65900000000000003</v>
      </c>
      <c r="BL342" s="69">
        <v>0</v>
      </c>
      <c r="BM342" s="69">
        <v>4.4999999999999998E-2</v>
      </c>
      <c r="BN342" s="69">
        <v>2.8000000000000001E-2</v>
      </c>
      <c r="BO342" s="69">
        <v>0</v>
      </c>
      <c r="BP342" s="69">
        <v>0</v>
      </c>
      <c r="BQ342" s="69">
        <v>0</v>
      </c>
      <c r="BR342" s="62"/>
      <c r="BS342" s="72">
        <f t="shared" ref="BS342:BW342" si="1040">AP342-BJ342</f>
        <v>9.1721543722520726E-2</v>
      </c>
      <c r="BT342" s="72">
        <f t="shared" si="1040"/>
        <v>-0.35296678065461656</v>
      </c>
      <c r="BU342" s="72">
        <f t="shared" si="1040"/>
        <v>0.26138251099169518</v>
      </c>
      <c r="BV342" s="72">
        <f t="shared" si="1040"/>
        <v>-1.5004885197850513E-2</v>
      </c>
      <c r="BW342" s="72">
        <f t="shared" si="1040"/>
        <v>1.4867611138251097E-2</v>
      </c>
      <c r="BX342" s="72"/>
      <c r="BY342" s="72"/>
      <c r="BZ342" s="72">
        <f t="shared" si="794"/>
        <v>1.1102230246251565E-16</v>
      </c>
    </row>
    <row r="343" spans="1:78" ht="13.15">
      <c r="A343" s="73" t="s">
        <v>6</v>
      </c>
      <c r="B343" s="74" t="s">
        <v>729</v>
      </c>
      <c r="C343" s="75" t="s">
        <v>730</v>
      </c>
      <c r="D343" s="75" t="s">
        <v>78</v>
      </c>
      <c r="E343" s="76"/>
      <c r="F343" s="59"/>
      <c r="G343" s="60"/>
      <c r="H343" s="77">
        <v>14785</v>
      </c>
      <c r="I343" s="77">
        <v>14746</v>
      </c>
      <c r="J343" s="77">
        <v>8741</v>
      </c>
      <c r="K343" s="77">
        <v>3192</v>
      </c>
      <c r="L343" s="77">
        <v>2960</v>
      </c>
      <c r="M343" s="77"/>
      <c r="N343" s="77"/>
      <c r="O343" s="77"/>
      <c r="P343" s="77"/>
      <c r="Q343" s="77"/>
      <c r="R343" s="77"/>
      <c r="S343" s="77"/>
      <c r="T343" s="77"/>
      <c r="U343" s="77"/>
      <c r="V343" s="77"/>
      <c r="W343" s="77"/>
      <c r="X343" s="77"/>
      <c r="Y343" s="77"/>
      <c r="Z343" s="77"/>
      <c r="AA343" s="77"/>
      <c r="AB343" s="77"/>
      <c r="AC343" s="77"/>
      <c r="AD343" s="77"/>
      <c r="AE343" s="62"/>
      <c r="AF343" s="63" t="b">
        <v>0</v>
      </c>
      <c r="AG343" s="63" t="b">
        <v>0</v>
      </c>
      <c r="AH343" s="62"/>
      <c r="AI343" s="64">
        <f t="shared" si="786"/>
        <v>44424</v>
      </c>
      <c r="AJ343" s="65" t="str">
        <f t="shared" si="340"/>
        <v>LAB</v>
      </c>
      <c r="AK343" s="66" t="str">
        <f t="shared" si="787"/>
        <v>GAIN</v>
      </c>
      <c r="AL343" s="67" t="e">
        <f t="shared" ca="1" si="788"/>
        <v>#NAME?</v>
      </c>
      <c r="AM343" s="68">
        <f t="shared" si="637"/>
        <v>39</v>
      </c>
      <c r="AN343" s="69">
        <f t="shared" si="638"/>
        <v>8.7790383576447084E-4</v>
      </c>
      <c r="AO343" s="62"/>
      <c r="AP343" s="70">
        <f t="shared" ref="AP343:AT343" si="1041">H343/$AI343</f>
        <v>0.33281559517377995</v>
      </c>
      <c r="AQ343" s="70">
        <f t="shared" si="1041"/>
        <v>0.33193769133801548</v>
      </c>
      <c r="AR343" s="70">
        <f t="shared" si="1041"/>
        <v>0.19676301098505311</v>
      </c>
      <c r="AS343" s="70">
        <f t="shared" si="1041"/>
        <v>7.1853052404105888E-2</v>
      </c>
      <c r="AT343" s="70">
        <f t="shared" si="1041"/>
        <v>6.6630650099045563E-2</v>
      </c>
      <c r="AU343" s="70"/>
      <c r="AV343" s="70"/>
      <c r="AW343" s="81">
        <f t="shared" si="790"/>
        <v>0</v>
      </c>
      <c r="AX343" s="70">
        <f t="shared" ref="AX343:BG343" si="1042">O343/$AI343</f>
        <v>0</v>
      </c>
      <c r="AY343" s="70">
        <f t="shared" si="1042"/>
        <v>0</v>
      </c>
      <c r="AZ343" s="70">
        <f t="shared" si="1042"/>
        <v>0</v>
      </c>
      <c r="BA343" s="70">
        <f t="shared" si="1042"/>
        <v>0</v>
      </c>
      <c r="BB343" s="70">
        <f t="shared" si="1042"/>
        <v>0</v>
      </c>
      <c r="BC343" s="70">
        <f t="shared" si="1042"/>
        <v>0</v>
      </c>
      <c r="BD343" s="70">
        <f t="shared" si="1042"/>
        <v>0</v>
      </c>
      <c r="BE343" s="70">
        <f t="shared" si="1042"/>
        <v>0</v>
      </c>
      <c r="BF343" s="70">
        <f t="shared" si="1042"/>
        <v>0</v>
      </c>
      <c r="BG343" s="70">
        <f t="shared" si="1042"/>
        <v>0</v>
      </c>
      <c r="BH343" s="70">
        <f t="shared" si="792"/>
        <v>0</v>
      </c>
      <c r="BI343" s="62"/>
      <c r="BJ343" s="69">
        <v>0.23799999999999999</v>
      </c>
      <c r="BK343" s="69">
        <v>0.6</v>
      </c>
      <c r="BL343" s="69">
        <v>1E-3</v>
      </c>
      <c r="BM343" s="69">
        <v>0.11</v>
      </c>
      <c r="BN343" s="69">
        <v>5.1999999999999998E-2</v>
      </c>
      <c r="BO343" s="69">
        <v>0</v>
      </c>
      <c r="BP343" s="69">
        <v>0</v>
      </c>
      <c r="BQ343" s="69">
        <v>0</v>
      </c>
      <c r="BR343" s="62"/>
      <c r="BS343" s="72">
        <f t="shared" ref="BS343:BW343" si="1043">AP343-BJ343</f>
        <v>9.4815595173779965E-2</v>
      </c>
      <c r="BT343" s="72">
        <f t="shared" si="1043"/>
        <v>-0.26806230866198449</v>
      </c>
      <c r="BU343" s="72">
        <f t="shared" si="1043"/>
        <v>0.19576301098505311</v>
      </c>
      <c r="BV343" s="72">
        <f t="shared" si="1043"/>
        <v>-3.8146947595894112E-2</v>
      </c>
      <c r="BW343" s="72">
        <f t="shared" si="1043"/>
        <v>1.4630650099045565E-2</v>
      </c>
      <c r="BX343" s="72"/>
      <c r="BY343" s="72"/>
      <c r="BZ343" s="72">
        <f t="shared" si="794"/>
        <v>0</v>
      </c>
    </row>
    <row r="344" spans="1:78" ht="13.15">
      <c r="A344" s="73" t="s">
        <v>6</v>
      </c>
      <c r="B344" s="74" t="s">
        <v>731</v>
      </c>
      <c r="C344" s="75" t="s">
        <v>732</v>
      </c>
      <c r="D344" s="75" t="s">
        <v>78</v>
      </c>
      <c r="E344" s="76"/>
      <c r="F344" s="59"/>
      <c r="G344" s="60"/>
      <c r="H344" s="77">
        <v>16750</v>
      </c>
      <c r="I344" s="77">
        <v>19360</v>
      </c>
      <c r="J344" s="77">
        <v>7668</v>
      </c>
      <c r="K344" s="77">
        <v>6055</v>
      </c>
      <c r="L344" s="77">
        <v>2846</v>
      </c>
      <c r="M344" s="77"/>
      <c r="N344" s="77"/>
      <c r="O344" s="77">
        <v>852</v>
      </c>
      <c r="P344" s="77"/>
      <c r="Q344" s="77"/>
      <c r="R344" s="77"/>
      <c r="S344" s="77"/>
      <c r="T344" s="77"/>
      <c r="U344" s="77"/>
      <c r="V344" s="77"/>
      <c r="W344" s="77"/>
      <c r="X344" s="77"/>
      <c r="Y344" s="77">
        <v>699</v>
      </c>
      <c r="Z344" s="77">
        <v>156</v>
      </c>
      <c r="AA344" s="77"/>
      <c r="AB344" s="77"/>
      <c r="AC344" s="77"/>
      <c r="AD344" s="77"/>
      <c r="AE344" s="62"/>
      <c r="AF344" s="63" t="b">
        <v>0</v>
      </c>
      <c r="AG344" s="63" t="b">
        <v>0</v>
      </c>
      <c r="AH344" s="62"/>
      <c r="AI344" s="64">
        <f t="shared" si="786"/>
        <v>54386</v>
      </c>
      <c r="AJ344" s="65" t="str">
        <f t="shared" si="340"/>
        <v>CON</v>
      </c>
      <c r="AK344" s="66" t="str">
        <f t="shared" si="787"/>
        <v>HOLD</v>
      </c>
      <c r="AL344" s="67" t="e">
        <f t="shared" ca="1" si="788"/>
        <v>#NAME?</v>
      </c>
      <c r="AM344" s="68">
        <f t="shared" si="637"/>
        <v>2610</v>
      </c>
      <c r="AN344" s="69">
        <f t="shared" si="638"/>
        <v>4.7990291619166736E-2</v>
      </c>
      <c r="AO344" s="62"/>
      <c r="AP344" s="70">
        <f t="shared" ref="AP344:AT344" si="1044">H344/$AI344</f>
        <v>0.30798367226859852</v>
      </c>
      <c r="AQ344" s="70">
        <f t="shared" si="1044"/>
        <v>0.35597396388776525</v>
      </c>
      <c r="AR344" s="70">
        <f t="shared" si="1044"/>
        <v>0.14099216710182769</v>
      </c>
      <c r="AS344" s="70">
        <f t="shared" si="1044"/>
        <v>0.11133379913948442</v>
      </c>
      <c r="AT344" s="70">
        <f t="shared" si="1044"/>
        <v>5.2329643658294414E-2</v>
      </c>
      <c r="AU344" s="70"/>
      <c r="AV344" s="70"/>
      <c r="AW344" s="81">
        <f t="shared" si="790"/>
        <v>3.1386753944029788E-2</v>
      </c>
      <c r="AX344" s="70">
        <f t="shared" ref="AX344:BG344" si="1045">O344/$AI344</f>
        <v>1.5665796344647518E-2</v>
      </c>
      <c r="AY344" s="70">
        <f t="shared" si="1045"/>
        <v>0</v>
      </c>
      <c r="AZ344" s="70">
        <f t="shared" si="1045"/>
        <v>0</v>
      </c>
      <c r="BA344" s="70">
        <f t="shared" si="1045"/>
        <v>0</v>
      </c>
      <c r="BB344" s="70">
        <f t="shared" si="1045"/>
        <v>0</v>
      </c>
      <c r="BC344" s="70">
        <f t="shared" si="1045"/>
        <v>0</v>
      </c>
      <c r="BD344" s="70">
        <f t="shared" si="1045"/>
        <v>0</v>
      </c>
      <c r="BE344" s="70">
        <f t="shared" si="1045"/>
        <v>0</v>
      </c>
      <c r="BF344" s="70">
        <f t="shared" si="1045"/>
        <v>0</v>
      </c>
      <c r="BG344" s="70">
        <f t="shared" si="1045"/>
        <v>0</v>
      </c>
      <c r="BH344" s="70">
        <f t="shared" si="792"/>
        <v>1.572095759938227E-2</v>
      </c>
      <c r="BI344" s="62"/>
      <c r="BJ344" s="69">
        <v>0.13800000000000001</v>
      </c>
      <c r="BK344" s="69">
        <v>0.61699999999999999</v>
      </c>
      <c r="BL344" s="69">
        <v>0</v>
      </c>
      <c r="BM344" s="69">
        <v>0.19700000000000001</v>
      </c>
      <c r="BN344" s="69">
        <v>4.8000000000000001E-2</v>
      </c>
      <c r="BO344" s="69">
        <v>0</v>
      </c>
      <c r="BP344" s="69">
        <v>0</v>
      </c>
      <c r="BQ344" s="69">
        <v>0</v>
      </c>
      <c r="BR344" s="62"/>
      <c r="BS344" s="72">
        <f t="shared" ref="BS344:BW344" si="1046">AP344-BJ344</f>
        <v>0.16998367226859851</v>
      </c>
      <c r="BT344" s="72">
        <f t="shared" si="1046"/>
        <v>-0.26102603611223474</v>
      </c>
      <c r="BU344" s="72">
        <f t="shared" si="1046"/>
        <v>0.14099216710182769</v>
      </c>
      <c r="BV344" s="72">
        <f t="shared" si="1046"/>
        <v>-8.5666200860515587E-2</v>
      </c>
      <c r="BW344" s="72">
        <f t="shared" si="1046"/>
        <v>4.3296436582944131E-3</v>
      </c>
      <c r="BX344" s="72"/>
      <c r="BY344" s="72"/>
      <c r="BZ344" s="72">
        <f t="shared" si="794"/>
        <v>3.1386753944029788E-2</v>
      </c>
    </row>
    <row r="345" spans="1:78" ht="13.15">
      <c r="A345" s="73" t="s">
        <v>6</v>
      </c>
      <c r="B345" s="74" t="s">
        <v>733</v>
      </c>
      <c r="C345" s="75" t="s">
        <v>734</v>
      </c>
      <c r="D345" s="75" t="s">
        <v>44</v>
      </c>
      <c r="E345" s="76"/>
      <c r="F345" s="59"/>
      <c r="G345" s="60"/>
      <c r="H345" s="77">
        <v>14482</v>
      </c>
      <c r="I345" s="77">
        <v>17770</v>
      </c>
      <c r="J345" s="77">
        <v>7734</v>
      </c>
      <c r="K345" s="77">
        <v>7626</v>
      </c>
      <c r="L345" s="77">
        <v>2745</v>
      </c>
      <c r="M345" s="77"/>
      <c r="N345" s="77"/>
      <c r="O345" s="77"/>
      <c r="P345" s="77"/>
      <c r="Q345" s="77"/>
      <c r="R345" s="77">
        <v>466</v>
      </c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62"/>
      <c r="AF345" s="63" t="b">
        <v>0</v>
      </c>
      <c r="AG345" s="63" t="b">
        <v>0</v>
      </c>
      <c r="AH345" s="62"/>
      <c r="AI345" s="64">
        <f t="shared" si="786"/>
        <v>50823</v>
      </c>
      <c r="AJ345" s="65" t="str">
        <f t="shared" si="340"/>
        <v>CON</v>
      </c>
      <c r="AK345" s="66" t="str">
        <f t="shared" si="787"/>
        <v>HOLD</v>
      </c>
      <c r="AL345" s="67" t="e">
        <f t="shared" ca="1" si="788"/>
        <v>#NAME?</v>
      </c>
      <c r="AM345" s="68">
        <f t="shared" si="637"/>
        <v>3288</v>
      </c>
      <c r="AN345" s="69">
        <f t="shared" si="638"/>
        <v>6.4695118351927261E-2</v>
      </c>
      <c r="AO345" s="62"/>
      <c r="AP345" s="70">
        <f t="shared" ref="AP345:AT345" si="1047">H345/$AI345</f>
        <v>0.28494972748558722</v>
      </c>
      <c r="AQ345" s="70">
        <f t="shared" si="1047"/>
        <v>0.34964484583751448</v>
      </c>
      <c r="AR345" s="70">
        <f t="shared" si="1047"/>
        <v>0.15217519626940559</v>
      </c>
      <c r="AS345" s="70">
        <f t="shared" si="1047"/>
        <v>0.15005017413375835</v>
      </c>
      <c r="AT345" s="70">
        <f t="shared" si="1047"/>
        <v>5.4010979281034176E-2</v>
      </c>
      <c r="AU345" s="70"/>
      <c r="AV345" s="70"/>
      <c r="AW345" s="81">
        <f t="shared" si="790"/>
        <v>9.169076992700198E-3</v>
      </c>
      <c r="AX345" s="70">
        <f t="shared" ref="AX345:BG345" si="1048">O345/$AI345</f>
        <v>0</v>
      </c>
      <c r="AY345" s="70">
        <f t="shared" si="1048"/>
        <v>0</v>
      </c>
      <c r="AZ345" s="70">
        <f t="shared" si="1048"/>
        <v>0</v>
      </c>
      <c r="BA345" s="70">
        <f t="shared" si="1048"/>
        <v>9.1690769927001547E-3</v>
      </c>
      <c r="BB345" s="70">
        <f t="shared" si="1048"/>
        <v>0</v>
      </c>
      <c r="BC345" s="70">
        <f t="shared" si="1048"/>
        <v>0</v>
      </c>
      <c r="BD345" s="70">
        <f t="shared" si="1048"/>
        <v>0</v>
      </c>
      <c r="BE345" s="70">
        <f t="shared" si="1048"/>
        <v>0</v>
      </c>
      <c r="BF345" s="70">
        <f t="shared" si="1048"/>
        <v>0</v>
      </c>
      <c r="BG345" s="70">
        <f t="shared" si="1048"/>
        <v>0</v>
      </c>
      <c r="BH345" s="70">
        <f t="shared" si="792"/>
        <v>4.3368086899420177E-17</v>
      </c>
      <c r="BI345" s="62"/>
      <c r="BJ345" s="69">
        <v>0.16900000000000001</v>
      </c>
      <c r="BK345" s="69">
        <v>0.60099999999999998</v>
      </c>
      <c r="BL345" s="69">
        <v>0</v>
      </c>
      <c r="BM345" s="69">
        <v>0.185</v>
      </c>
      <c r="BN345" s="69">
        <v>4.5999999999999999E-2</v>
      </c>
      <c r="BO345" s="69">
        <v>0</v>
      </c>
      <c r="BP345" s="69">
        <v>0</v>
      </c>
      <c r="BQ345" s="69">
        <v>0</v>
      </c>
      <c r="BR345" s="62"/>
      <c r="BS345" s="72">
        <f t="shared" ref="BS345:BW345" si="1049">AP345-BJ345</f>
        <v>0.11594972748558721</v>
      </c>
      <c r="BT345" s="72">
        <f t="shared" si="1049"/>
        <v>-0.25135515416248549</v>
      </c>
      <c r="BU345" s="72">
        <f t="shared" si="1049"/>
        <v>0.15217519626940559</v>
      </c>
      <c r="BV345" s="72">
        <f t="shared" si="1049"/>
        <v>-3.4949825866241652E-2</v>
      </c>
      <c r="BW345" s="72">
        <f t="shared" si="1049"/>
        <v>8.0109792810341765E-3</v>
      </c>
      <c r="BX345" s="72"/>
      <c r="BY345" s="72"/>
      <c r="BZ345" s="72">
        <f t="shared" si="794"/>
        <v>9.169076992700198E-3</v>
      </c>
    </row>
    <row r="346" spans="1:78" ht="13.15">
      <c r="A346" s="73" t="s">
        <v>6</v>
      </c>
      <c r="B346" s="74" t="s">
        <v>735</v>
      </c>
      <c r="C346" s="75" t="s">
        <v>736</v>
      </c>
      <c r="D346" s="75" t="s">
        <v>53</v>
      </c>
      <c r="E346" s="76"/>
      <c r="F346" s="59"/>
      <c r="G346" s="60"/>
      <c r="H346" s="77">
        <v>16871</v>
      </c>
      <c r="I346" s="77">
        <v>15859</v>
      </c>
      <c r="J346" s="77">
        <v>9678</v>
      </c>
      <c r="K346" s="77">
        <v>1629</v>
      </c>
      <c r="L346" s="77">
        <v>2831</v>
      </c>
      <c r="M346" s="77"/>
      <c r="N346" s="77"/>
      <c r="O346" s="77">
        <v>1568</v>
      </c>
      <c r="P346" s="77"/>
      <c r="Q346" s="77"/>
      <c r="R346" s="77"/>
      <c r="S346" s="77"/>
      <c r="T346" s="77"/>
      <c r="U346" s="77"/>
      <c r="V346" s="77"/>
      <c r="W346" s="77"/>
      <c r="X346" s="77"/>
      <c r="Y346" s="77">
        <v>136</v>
      </c>
      <c r="Z346" s="77"/>
      <c r="AA346" s="77"/>
      <c r="AB346" s="77"/>
      <c r="AC346" s="77"/>
      <c r="AD346" s="77"/>
      <c r="AE346" s="62"/>
      <c r="AF346" s="63" t="b">
        <v>0</v>
      </c>
      <c r="AG346" s="63" t="b">
        <v>0</v>
      </c>
      <c r="AH346" s="62"/>
      <c r="AI346" s="64">
        <f t="shared" si="786"/>
        <v>48572</v>
      </c>
      <c r="AJ346" s="65" t="str">
        <f t="shared" si="340"/>
        <v>LAB</v>
      </c>
      <c r="AK346" s="66" t="str">
        <f t="shared" si="787"/>
        <v>GAIN</v>
      </c>
      <c r="AL346" s="67" t="e">
        <f t="shared" ca="1" si="788"/>
        <v>#NAME?</v>
      </c>
      <c r="AM346" s="68">
        <f t="shared" si="637"/>
        <v>1012</v>
      </c>
      <c r="AN346" s="69">
        <f t="shared" si="638"/>
        <v>2.0835048999423511E-2</v>
      </c>
      <c r="AO346" s="62"/>
      <c r="AP346" s="70">
        <f t="shared" ref="AP346:AT346" si="1050">H346/$AI346</f>
        <v>0.34734003129374946</v>
      </c>
      <c r="AQ346" s="70">
        <f t="shared" si="1050"/>
        <v>0.32650498229432595</v>
      </c>
      <c r="AR346" s="70">
        <f t="shared" si="1050"/>
        <v>0.1992505970517994</v>
      </c>
      <c r="AS346" s="70">
        <f t="shared" si="1050"/>
        <v>3.3537840731285518E-2</v>
      </c>
      <c r="AT346" s="70">
        <f t="shared" si="1050"/>
        <v>5.8284608416371571E-2</v>
      </c>
      <c r="AU346" s="70"/>
      <c r="AV346" s="70"/>
      <c r="AW346" s="81">
        <f t="shared" si="790"/>
        <v>3.5081940212468132E-2</v>
      </c>
      <c r="AX346" s="70">
        <f t="shared" ref="AX346:BG346" si="1051">O346/$AI346</f>
        <v>3.2281973153257024E-2</v>
      </c>
      <c r="AY346" s="70">
        <f t="shared" si="1051"/>
        <v>0</v>
      </c>
      <c r="AZ346" s="70">
        <f t="shared" si="1051"/>
        <v>0</v>
      </c>
      <c r="BA346" s="70">
        <f t="shared" si="1051"/>
        <v>0</v>
      </c>
      <c r="BB346" s="70">
        <f t="shared" si="1051"/>
        <v>0</v>
      </c>
      <c r="BC346" s="70">
        <f t="shared" si="1051"/>
        <v>0</v>
      </c>
      <c r="BD346" s="70">
        <f t="shared" si="1051"/>
        <v>0</v>
      </c>
      <c r="BE346" s="70">
        <f t="shared" si="1051"/>
        <v>0</v>
      </c>
      <c r="BF346" s="70">
        <f t="shared" si="1051"/>
        <v>0</v>
      </c>
      <c r="BG346" s="70">
        <f t="shared" si="1051"/>
        <v>0</v>
      </c>
      <c r="BH346" s="70">
        <f t="shared" si="792"/>
        <v>2.7999670592111087E-3</v>
      </c>
      <c r="BI346" s="62"/>
      <c r="BJ346" s="69">
        <v>0.254</v>
      </c>
      <c r="BK346" s="69">
        <v>0.621</v>
      </c>
      <c r="BL346" s="69">
        <v>0</v>
      </c>
      <c r="BM346" s="69">
        <v>6.9000000000000006E-2</v>
      </c>
      <c r="BN346" s="69">
        <v>4.7E-2</v>
      </c>
      <c r="BO346" s="69">
        <v>0</v>
      </c>
      <c r="BP346" s="69">
        <v>0</v>
      </c>
      <c r="BQ346" s="69">
        <v>0.01</v>
      </c>
      <c r="BR346" s="62"/>
      <c r="BS346" s="72">
        <f t="shared" ref="BS346:BW346" si="1052">AP346-BJ346</f>
        <v>9.3340031293749459E-2</v>
      </c>
      <c r="BT346" s="72">
        <f t="shared" si="1052"/>
        <v>-0.29449501770567404</v>
      </c>
      <c r="BU346" s="72">
        <f t="shared" si="1052"/>
        <v>0.1992505970517994</v>
      </c>
      <c r="BV346" s="72">
        <f t="shared" si="1052"/>
        <v>-3.5462159268714488E-2</v>
      </c>
      <c r="BW346" s="72">
        <f t="shared" si="1052"/>
        <v>1.1284608416371571E-2</v>
      </c>
      <c r="BX346" s="72"/>
      <c r="BY346" s="72"/>
      <c r="BZ346" s="72">
        <f t="shared" si="794"/>
        <v>2.508194021246813E-2</v>
      </c>
    </row>
    <row r="347" spans="1:78" ht="13.15">
      <c r="A347" s="73" t="s">
        <v>6</v>
      </c>
      <c r="B347" s="74" t="s">
        <v>737</v>
      </c>
      <c r="C347" s="75" t="s">
        <v>738</v>
      </c>
      <c r="D347" s="75" t="s">
        <v>78</v>
      </c>
      <c r="E347" s="76"/>
      <c r="F347" s="59"/>
      <c r="G347" s="60"/>
      <c r="H347" s="77">
        <v>11143</v>
      </c>
      <c r="I347" s="77">
        <v>16097</v>
      </c>
      <c r="J347" s="77">
        <v>8697</v>
      </c>
      <c r="K347" s="77">
        <v>6492</v>
      </c>
      <c r="L347" s="77">
        <v>2137</v>
      </c>
      <c r="M347" s="77"/>
      <c r="N347" s="77"/>
      <c r="O347" s="77"/>
      <c r="P347" s="77"/>
      <c r="Q347" s="77"/>
      <c r="R347" s="77"/>
      <c r="S347" s="77"/>
      <c r="T347" s="77"/>
      <c r="U347" s="77"/>
      <c r="V347" s="77"/>
      <c r="W347" s="77"/>
      <c r="X347" s="77"/>
      <c r="Y347" s="77"/>
      <c r="Z347" s="77"/>
      <c r="AA347" s="77"/>
      <c r="AB347" s="77"/>
      <c r="AC347" s="77"/>
      <c r="AD347" s="77"/>
      <c r="AE347" s="62"/>
      <c r="AF347" s="63" t="b">
        <v>0</v>
      </c>
      <c r="AG347" s="63" t="b">
        <v>0</v>
      </c>
      <c r="AH347" s="62"/>
      <c r="AI347" s="64">
        <f t="shared" si="786"/>
        <v>44566</v>
      </c>
      <c r="AJ347" s="65" t="str">
        <f t="shared" si="340"/>
        <v>CON</v>
      </c>
      <c r="AK347" s="66" t="str">
        <f t="shared" si="787"/>
        <v>HOLD</v>
      </c>
      <c r="AL347" s="67" t="e">
        <f t="shared" ca="1" si="788"/>
        <v>#NAME?</v>
      </c>
      <c r="AM347" s="68">
        <f t="shared" si="637"/>
        <v>4954</v>
      </c>
      <c r="AN347" s="69">
        <f t="shared" si="638"/>
        <v>0.11116097473410225</v>
      </c>
      <c r="AO347" s="62"/>
      <c r="AP347" s="70">
        <f t="shared" ref="AP347:AT347" si="1053">H347/$AI347</f>
        <v>0.25003365794551902</v>
      </c>
      <c r="AQ347" s="70">
        <f t="shared" si="1053"/>
        <v>0.36119463267962126</v>
      </c>
      <c r="AR347" s="70">
        <f t="shared" si="1053"/>
        <v>0.19514876811919402</v>
      </c>
      <c r="AS347" s="70">
        <f t="shared" si="1053"/>
        <v>0.14567158820625589</v>
      </c>
      <c r="AT347" s="70">
        <f t="shared" si="1053"/>
        <v>4.7951353049409867E-2</v>
      </c>
      <c r="AU347" s="70"/>
      <c r="AV347" s="70"/>
      <c r="AW347" s="81">
        <f t="shared" si="790"/>
        <v>0</v>
      </c>
      <c r="AX347" s="70">
        <f t="shared" ref="AX347:BG347" si="1054">O347/$AI347</f>
        <v>0</v>
      </c>
      <c r="AY347" s="70">
        <f t="shared" si="1054"/>
        <v>0</v>
      </c>
      <c r="AZ347" s="70">
        <f t="shared" si="1054"/>
        <v>0</v>
      </c>
      <c r="BA347" s="70">
        <f t="shared" si="1054"/>
        <v>0</v>
      </c>
      <c r="BB347" s="70">
        <f t="shared" si="1054"/>
        <v>0</v>
      </c>
      <c r="BC347" s="70">
        <f t="shared" si="1054"/>
        <v>0</v>
      </c>
      <c r="BD347" s="70">
        <f t="shared" si="1054"/>
        <v>0</v>
      </c>
      <c r="BE347" s="70">
        <f t="shared" si="1054"/>
        <v>0</v>
      </c>
      <c r="BF347" s="70">
        <f t="shared" si="1054"/>
        <v>0</v>
      </c>
      <c r="BG347" s="70">
        <f t="shared" si="1054"/>
        <v>0</v>
      </c>
      <c r="BH347" s="70">
        <f t="shared" si="792"/>
        <v>0</v>
      </c>
      <c r="BI347" s="62"/>
      <c r="BJ347" s="69">
        <v>0.22600000000000001</v>
      </c>
      <c r="BK347" s="69">
        <v>0.66</v>
      </c>
      <c r="BL347" s="69">
        <v>0</v>
      </c>
      <c r="BM347" s="69">
        <v>7.8E-2</v>
      </c>
      <c r="BN347" s="69">
        <v>3.5000000000000003E-2</v>
      </c>
      <c r="BO347" s="69">
        <v>0</v>
      </c>
      <c r="BP347" s="69">
        <v>0</v>
      </c>
      <c r="BQ347" s="69">
        <v>0</v>
      </c>
      <c r="BR347" s="62"/>
      <c r="BS347" s="72">
        <f t="shared" ref="BS347:BW347" si="1055">AP347-BJ347</f>
        <v>2.403365794551901E-2</v>
      </c>
      <c r="BT347" s="72">
        <f t="shared" si="1055"/>
        <v>-0.29880536732037877</v>
      </c>
      <c r="BU347" s="72">
        <f t="shared" si="1055"/>
        <v>0.19514876811919402</v>
      </c>
      <c r="BV347" s="72">
        <f t="shared" si="1055"/>
        <v>6.7671588206255892E-2</v>
      </c>
      <c r="BW347" s="72">
        <f t="shared" si="1055"/>
        <v>1.2951353049409864E-2</v>
      </c>
      <c r="BX347" s="72"/>
      <c r="BY347" s="72"/>
      <c r="BZ347" s="72">
        <f t="shared" si="794"/>
        <v>0</v>
      </c>
    </row>
    <row r="348" spans="1:78" ht="13.15">
      <c r="A348" s="73" t="s">
        <v>6</v>
      </c>
      <c r="B348" s="74" t="s">
        <v>739</v>
      </c>
      <c r="C348" s="75" t="s">
        <v>740</v>
      </c>
      <c r="D348" s="75" t="s">
        <v>53</v>
      </c>
      <c r="E348" s="76"/>
      <c r="F348" s="59"/>
      <c r="G348" s="60"/>
      <c r="H348" s="77">
        <v>18209</v>
      </c>
      <c r="I348" s="77">
        <v>9195</v>
      </c>
      <c r="J348" s="77">
        <v>7010</v>
      </c>
      <c r="K348" s="77">
        <v>2251</v>
      </c>
      <c r="L348" s="77">
        <v>2558</v>
      </c>
      <c r="M348" s="77"/>
      <c r="N348" s="77"/>
      <c r="O348" s="77">
        <v>1059</v>
      </c>
      <c r="P348" s="77">
        <v>1531</v>
      </c>
      <c r="Q348" s="77"/>
      <c r="R348" s="77"/>
      <c r="S348" s="77"/>
      <c r="T348" s="77"/>
      <c r="U348" s="77"/>
      <c r="V348" s="77"/>
      <c r="W348" s="77"/>
      <c r="X348" s="77"/>
      <c r="Y348" s="77"/>
      <c r="Z348" s="77"/>
      <c r="AA348" s="77"/>
      <c r="AB348" s="77"/>
      <c r="AC348" s="77"/>
      <c r="AD348" s="77"/>
      <c r="AE348" s="62"/>
      <c r="AF348" s="63" t="b">
        <v>0</v>
      </c>
      <c r="AG348" s="63" t="b">
        <v>0</v>
      </c>
      <c r="AH348" s="62"/>
      <c r="AI348" s="64">
        <f t="shared" si="786"/>
        <v>41813</v>
      </c>
      <c r="AJ348" s="65" t="str">
        <f t="shared" si="340"/>
        <v>LAB</v>
      </c>
      <c r="AK348" s="66" t="str">
        <f t="shared" si="787"/>
        <v>GAIN</v>
      </c>
      <c r="AL348" s="67" t="e">
        <f t="shared" ca="1" si="788"/>
        <v>#NAME?</v>
      </c>
      <c r="AM348" s="68">
        <f t="shared" si="637"/>
        <v>9014</v>
      </c>
      <c r="AN348" s="69">
        <f t="shared" si="638"/>
        <v>0.21557888694903499</v>
      </c>
      <c r="AO348" s="62"/>
      <c r="AP348" s="70">
        <f t="shared" ref="AP348:AT348" si="1056">H348/$AI348</f>
        <v>0.43548657116207878</v>
      </c>
      <c r="AQ348" s="70">
        <f t="shared" si="1056"/>
        <v>0.2199076842130438</v>
      </c>
      <c r="AR348" s="70">
        <f t="shared" si="1056"/>
        <v>0.167651208954153</v>
      </c>
      <c r="AS348" s="70">
        <f t="shared" si="1056"/>
        <v>5.3834931719800062E-2</v>
      </c>
      <c r="AT348" s="70">
        <f t="shared" si="1056"/>
        <v>6.1177145863726592E-2</v>
      </c>
      <c r="AU348" s="70"/>
      <c r="AV348" s="70"/>
      <c r="AW348" s="81">
        <f t="shared" si="790"/>
        <v>6.1942458087197783E-2</v>
      </c>
      <c r="AX348" s="70">
        <f t="shared" ref="AX348:BG348" si="1057">O348/$AI348</f>
        <v>2.5327051395499008E-2</v>
      </c>
      <c r="AY348" s="70">
        <f t="shared" si="1057"/>
        <v>3.6615406691698757E-2</v>
      </c>
      <c r="AZ348" s="70">
        <f t="shared" si="1057"/>
        <v>0</v>
      </c>
      <c r="BA348" s="70">
        <f t="shared" si="1057"/>
        <v>0</v>
      </c>
      <c r="BB348" s="70">
        <f t="shared" si="1057"/>
        <v>0</v>
      </c>
      <c r="BC348" s="70">
        <f t="shared" si="1057"/>
        <v>0</v>
      </c>
      <c r="BD348" s="70">
        <f t="shared" si="1057"/>
        <v>0</v>
      </c>
      <c r="BE348" s="70">
        <f t="shared" si="1057"/>
        <v>0</v>
      </c>
      <c r="BF348" s="70">
        <f t="shared" si="1057"/>
        <v>0</v>
      </c>
      <c r="BG348" s="70">
        <f t="shared" si="1057"/>
        <v>0</v>
      </c>
      <c r="BH348" s="70">
        <f t="shared" si="792"/>
        <v>0</v>
      </c>
      <c r="BI348" s="62"/>
      <c r="BJ348" s="69">
        <v>0.42099999999999999</v>
      </c>
      <c r="BK348" s="69">
        <v>0.498</v>
      </c>
      <c r="BL348" s="69">
        <v>0</v>
      </c>
      <c r="BM348" s="69">
        <v>5.7000000000000002E-2</v>
      </c>
      <c r="BN348" s="69">
        <v>2.5000000000000001E-2</v>
      </c>
      <c r="BO348" s="69">
        <v>0</v>
      </c>
      <c r="BP348" s="69">
        <v>0</v>
      </c>
      <c r="BQ348" s="69">
        <v>0</v>
      </c>
      <c r="BR348" s="62"/>
      <c r="BS348" s="72">
        <f t="shared" ref="BS348:BW348" si="1058">AP348-BJ348</f>
        <v>1.4486571162078798E-2</v>
      </c>
      <c r="BT348" s="72">
        <f t="shared" si="1058"/>
        <v>-0.2780923157869562</v>
      </c>
      <c r="BU348" s="72">
        <f t="shared" si="1058"/>
        <v>0.167651208954153</v>
      </c>
      <c r="BV348" s="72">
        <f t="shared" si="1058"/>
        <v>-3.1650682801999397E-3</v>
      </c>
      <c r="BW348" s="72">
        <f t="shared" si="1058"/>
        <v>3.6177145863726591E-2</v>
      </c>
      <c r="BX348" s="72"/>
      <c r="BY348" s="72"/>
      <c r="BZ348" s="72">
        <f t="shared" si="794"/>
        <v>6.1942458087197769E-2</v>
      </c>
    </row>
    <row r="349" spans="1:78" ht="13.15">
      <c r="A349" s="73" t="s">
        <v>6</v>
      </c>
      <c r="B349" s="74" t="s">
        <v>741</v>
      </c>
      <c r="C349" s="75" t="s">
        <v>742</v>
      </c>
      <c r="D349" s="75" t="s">
        <v>53</v>
      </c>
      <c r="E349" s="76"/>
      <c r="F349" s="59"/>
      <c r="G349" s="60"/>
      <c r="H349" s="77">
        <v>16890</v>
      </c>
      <c r="I349" s="77">
        <v>12819</v>
      </c>
      <c r="J349" s="77">
        <v>8210</v>
      </c>
      <c r="K349" s="77">
        <v>3193</v>
      </c>
      <c r="L349" s="77">
        <v>2398</v>
      </c>
      <c r="M349" s="77"/>
      <c r="N349" s="77"/>
      <c r="O349" s="77"/>
      <c r="P349" s="77"/>
      <c r="Q349" s="77"/>
      <c r="R349" s="77"/>
      <c r="S349" s="77"/>
      <c r="T349" s="77"/>
      <c r="U349" s="77"/>
      <c r="V349" s="77"/>
      <c r="W349" s="77"/>
      <c r="X349" s="77"/>
      <c r="Y349" s="77">
        <v>296</v>
      </c>
      <c r="Z349" s="77">
        <v>98</v>
      </c>
      <c r="AA349" s="77"/>
      <c r="AB349" s="77"/>
      <c r="AC349" s="77"/>
      <c r="AD349" s="77"/>
      <c r="AE349" s="62"/>
      <c r="AF349" s="63" t="b">
        <v>0</v>
      </c>
      <c r="AG349" s="63" t="b">
        <v>0</v>
      </c>
      <c r="AH349" s="62"/>
      <c r="AI349" s="64">
        <f t="shared" si="786"/>
        <v>43904</v>
      </c>
      <c r="AJ349" s="65" t="str">
        <f t="shared" si="340"/>
        <v>LAB</v>
      </c>
      <c r="AK349" s="66" t="str">
        <f t="shared" si="787"/>
        <v>GAIN</v>
      </c>
      <c r="AL349" s="67" t="e">
        <f t="shared" ca="1" si="788"/>
        <v>#NAME?</v>
      </c>
      <c r="AM349" s="68">
        <f t="shared" si="637"/>
        <v>4071</v>
      </c>
      <c r="AN349" s="69">
        <f t="shared" si="638"/>
        <v>9.2725036443148723E-2</v>
      </c>
      <c r="AO349" s="62"/>
      <c r="AP349" s="70">
        <f t="shared" ref="AP349:AT349" si="1059">H349/$AI349</f>
        <v>0.38470298833819244</v>
      </c>
      <c r="AQ349" s="70">
        <f t="shared" si="1059"/>
        <v>0.29197795189504372</v>
      </c>
      <c r="AR349" s="70">
        <f t="shared" si="1059"/>
        <v>0.18699890670553937</v>
      </c>
      <c r="AS349" s="70">
        <f t="shared" si="1059"/>
        <v>7.2726858600583089E-2</v>
      </c>
      <c r="AT349" s="70">
        <f t="shared" si="1059"/>
        <v>5.461916909620991E-2</v>
      </c>
      <c r="AU349" s="70"/>
      <c r="AV349" s="70"/>
      <c r="AW349" s="81">
        <f t="shared" si="790"/>
        <v>8.97412536443154E-3</v>
      </c>
      <c r="AX349" s="70">
        <f t="shared" ref="AX349:BG349" si="1060">O349/$AI349</f>
        <v>0</v>
      </c>
      <c r="AY349" s="70">
        <f t="shared" si="1060"/>
        <v>0</v>
      </c>
      <c r="AZ349" s="70">
        <f t="shared" si="1060"/>
        <v>0</v>
      </c>
      <c r="BA349" s="70">
        <f t="shared" si="1060"/>
        <v>0</v>
      </c>
      <c r="BB349" s="70">
        <f t="shared" si="1060"/>
        <v>0</v>
      </c>
      <c r="BC349" s="70">
        <f t="shared" si="1060"/>
        <v>0</v>
      </c>
      <c r="BD349" s="70">
        <f t="shared" si="1060"/>
        <v>0</v>
      </c>
      <c r="BE349" s="70">
        <f t="shared" si="1060"/>
        <v>0</v>
      </c>
      <c r="BF349" s="70">
        <f t="shared" si="1060"/>
        <v>0</v>
      </c>
      <c r="BG349" s="70">
        <f t="shared" si="1060"/>
        <v>0</v>
      </c>
      <c r="BH349" s="70">
        <f t="shared" si="792"/>
        <v>8.97412536443154E-3</v>
      </c>
      <c r="BI349" s="62"/>
      <c r="BJ349" s="69">
        <v>0.309</v>
      </c>
      <c r="BK349" s="69">
        <v>0.57799999999999996</v>
      </c>
      <c r="BL349" s="69">
        <v>0</v>
      </c>
      <c r="BM349" s="69">
        <v>7.9000000000000001E-2</v>
      </c>
      <c r="BN349" s="69">
        <v>3.4000000000000002E-2</v>
      </c>
      <c r="BO349" s="69">
        <v>0</v>
      </c>
      <c r="BP349" s="69">
        <v>0</v>
      </c>
      <c r="BQ349" s="69">
        <v>0</v>
      </c>
      <c r="BR349" s="62"/>
      <c r="BS349" s="72">
        <f t="shared" ref="BS349:BW349" si="1061">AP349-BJ349</f>
        <v>7.5702988338192445E-2</v>
      </c>
      <c r="BT349" s="72">
        <f t="shared" si="1061"/>
        <v>-0.28602204810495624</v>
      </c>
      <c r="BU349" s="72">
        <f t="shared" si="1061"/>
        <v>0.18699890670553937</v>
      </c>
      <c r="BV349" s="72">
        <f t="shared" si="1061"/>
        <v>-6.2731413994169122E-3</v>
      </c>
      <c r="BW349" s="72">
        <f t="shared" si="1061"/>
        <v>2.0619169096209908E-2</v>
      </c>
      <c r="BX349" s="72"/>
      <c r="BY349" s="72"/>
      <c r="BZ349" s="72">
        <f t="shared" si="794"/>
        <v>8.97412536443154E-3</v>
      </c>
    </row>
    <row r="350" spans="1:78" ht="13.15">
      <c r="A350" s="73" t="s">
        <v>6</v>
      </c>
      <c r="B350" s="74" t="s">
        <v>743</v>
      </c>
      <c r="C350" s="75" t="s">
        <v>744</v>
      </c>
      <c r="D350" s="75" t="s">
        <v>78</v>
      </c>
      <c r="E350" s="76"/>
      <c r="F350" s="59"/>
      <c r="G350" s="60"/>
      <c r="H350" s="77">
        <v>20794</v>
      </c>
      <c r="I350" s="77">
        <v>9944</v>
      </c>
      <c r="J350" s="77">
        <v>8229</v>
      </c>
      <c r="K350" s="77">
        <v>2073</v>
      </c>
      <c r="L350" s="77">
        <v>4372</v>
      </c>
      <c r="M350" s="77"/>
      <c r="N350" s="77"/>
      <c r="O350" s="77">
        <v>353</v>
      </c>
      <c r="P350" s="77"/>
      <c r="Q350" s="77"/>
      <c r="R350" s="77"/>
      <c r="S350" s="77"/>
      <c r="T350" s="77"/>
      <c r="U350" s="77"/>
      <c r="V350" s="77"/>
      <c r="W350" s="77"/>
      <c r="X350" s="77"/>
      <c r="Y350" s="77"/>
      <c r="Z350" s="77"/>
      <c r="AA350" s="77"/>
      <c r="AB350" s="77"/>
      <c r="AC350" s="77"/>
      <c r="AD350" s="77"/>
      <c r="AE350" s="62"/>
      <c r="AF350" s="63" t="b">
        <v>0</v>
      </c>
      <c r="AG350" s="63" t="b">
        <v>0</v>
      </c>
      <c r="AH350" s="62"/>
      <c r="AI350" s="64">
        <f t="shared" si="786"/>
        <v>45765</v>
      </c>
      <c r="AJ350" s="65" t="str">
        <f t="shared" si="340"/>
        <v>LAB</v>
      </c>
      <c r="AK350" s="66" t="str">
        <f t="shared" si="787"/>
        <v>GAIN</v>
      </c>
      <c r="AL350" s="67" t="e">
        <f t="shared" ca="1" si="788"/>
        <v>#NAME?</v>
      </c>
      <c r="AM350" s="68">
        <f t="shared" si="637"/>
        <v>10850</v>
      </c>
      <c r="AN350" s="69">
        <f t="shared" si="638"/>
        <v>0.23708073855566481</v>
      </c>
      <c r="AO350" s="62"/>
      <c r="AP350" s="70">
        <f t="shared" ref="AP350:AT350" si="1062">H350/$AI350</f>
        <v>0.45436468917294875</v>
      </c>
      <c r="AQ350" s="70">
        <f t="shared" si="1062"/>
        <v>0.21728395061728395</v>
      </c>
      <c r="AR350" s="70">
        <f t="shared" si="1062"/>
        <v>0.17980989839396919</v>
      </c>
      <c r="AS350" s="70">
        <f t="shared" si="1062"/>
        <v>4.5296624057686002E-2</v>
      </c>
      <c r="AT350" s="70">
        <f t="shared" si="1062"/>
        <v>9.5531519720310279E-2</v>
      </c>
      <c r="AU350" s="70"/>
      <c r="AV350" s="70"/>
      <c r="AW350" s="81">
        <f t="shared" si="790"/>
        <v>7.7133180378018418E-3</v>
      </c>
      <c r="AX350" s="70">
        <f t="shared" ref="AX350:BG350" si="1063">O350/$AI350</f>
        <v>7.713318037801814E-3</v>
      </c>
      <c r="AY350" s="70">
        <f t="shared" si="1063"/>
        <v>0</v>
      </c>
      <c r="AZ350" s="70">
        <f t="shared" si="1063"/>
        <v>0</v>
      </c>
      <c r="BA350" s="70">
        <f t="shared" si="1063"/>
        <v>0</v>
      </c>
      <c r="BB350" s="70">
        <f t="shared" si="1063"/>
        <v>0</v>
      </c>
      <c r="BC350" s="70">
        <f t="shared" si="1063"/>
        <v>0</v>
      </c>
      <c r="BD350" s="70">
        <f t="shared" si="1063"/>
        <v>0</v>
      </c>
      <c r="BE350" s="70">
        <f t="shared" si="1063"/>
        <v>0</v>
      </c>
      <c r="BF350" s="70">
        <f t="shared" si="1063"/>
        <v>0</v>
      </c>
      <c r="BG350" s="70">
        <f t="shared" si="1063"/>
        <v>0</v>
      </c>
      <c r="BH350" s="70">
        <f t="shared" si="792"/>
        <v>2.7755575615628914E-17</v>
      </c>
      <c r="BI350" s="62"/>
      <c r="BJ350" s="69">
        <v>0.38900000000000001</v>
      </c>
      <c r="BK350" s="69">
        <v>0.51600000000000001</v>
      </c>
      <c r="BL350" s="69">
        <v>0</v>
      </c>
      <c r="BM350" s="69">
        <v>6.2E-2</v>
      </c>
      <c r="BN350" s="69">
        <v>2.3E-2</v>
      </c>
      <c r="BO350" s="69">
        <v>0</v>
      </c>
      <c r="BP350" s="69">
        <v>0</v>
      </c>
      <c r="BQ350" s="69">
        <v>0.01</v>
      </c>
      <c r="BR350" s="62"/>
      <c r="BS350" s="72">
        <f t="shared" ref="BS350:BW350" si="1064">AP350-BJ350</f>
        <v>6.5364689172948742E-2</v>
      </c>
      <c r="BT350" s="72">
        <f t="shared" si="1064"/>
        <v>-0.29871604938271606</v>
      </c>
      <c r="BU350" s="72">
        <f t="shared" si="1064"/>
        <v>0.17980989839396919</v>
      </c>
      <c r="BV350" s="72">
        <f t="shared" si="1064"/>
        <v>-1.6703375942313997E-2</v>
      </c>
      <c r="BW350" s="72">
        <f t="shared" si="1064"/>
        <v>7.2531519720310272E-2</v>
      </c>
      <c r="BX350" s="72"/>
      <c r="BY350" s="72"/>
      <c r="BZ350" s="72">
        <f t="shared" si="794"/>
        <v>-2.2866819621981584E-3</v>
      </c>
    </row>
    <row r="351" spans="1:78" ht="13.15">
      <c r="A351" s="78" t="s">
        <v>5</v>
      </c>
      <c r="B351" s="74" t="s">
        <v>745</v>
      </c>
      <c r="C351" s="75" t="s">
        <v>746</v>
      </c>
      <c r="D351" s="75" t="s">
        <v>78</v>
      </c>
      <c r="E351" s="76">
        <v>76381</v>
      </c>
      <c r="F351" s="59">
        <v>0.59</v>
      </c>
      <c r="G351" s="60"/>
      <c r="H351" s="77">
        <v>21484</v>
      </c>
      <c r="I351" s="77">
        <v>5806</v>
      </c>
      <c r="J351" s="77">
        <v>5227</v>
      </c>
      <c r="K351" s="77">
        <v>3577</v>
      </c>
      <c r="L351" s="77">
        <v>8245</v>
      </c>
      <c r="M351" s="77"/>
      <c r="N351" s="77"/>
      <c r="O351" s="77">
        <v>301</v>
      </c>
      <c r="P351" s="77"/>
      <c r="Q351" s="77"/>
      <c r="R351" s="77"/>
      <c r="S351" s="77"/>
      <c r="T351" s="77"/>
      <c r="U351" s="77"/>
      <c r="V351" s="77"/>
      <c r="W351" s="77"/>
      <c r="X351" s="77"/>
      <c r="Y351" s="77">
        <v>455</v>
      </c>
      <c r="Z351" s="77"/>
      <c r="AA351" s="77"/>
      <c r="AB351" s="77"/>
      <c r="AC351" s="77"/>
      <c r="AD351" s="77"/>
      <c r="AE351" s="62"/>
      <c r="AF351" s="63" t="b">
        <v>0</v>
      </c>
      <c r="AG351" s="63" t="b">
        <v>0</v>
      </c>
      <c r="AH351" s="62"/>
      <c r="AI351" s="64">
        <f t="shared" si="786"/>
        <v>45095</v>
      </c>
      <c r="AJ351" s="65" t="str">
        <f t="shared" si="340"/>
        <v>LAB</v>
      </c>
      <c r="AK351" s="66" t="str">
        <f t="shared" si="787"/>
        <v>HOLD</v>
      </c>
      <c r="AL351" s="67" t="e">
        <f t="shared" ca="1" si="788"/>
        <v>#NAME?</v>
      </c>
      <c r="AM351" s="68">
        <f t="shared" si="637"/>
        <v>13239</v>
      </c>
      <c r="AN351" s="69">
        <f t="shared" si="638"/>
        <v>0.29358021953653402</v>
      </c>
      <c r="AO351" s="62"/>
      <c r="AP351" s="70">
        <f t="shared" ref="AP351:AT351" si="1065">H351/$AI351</f>
        <v>0.47641645415234507</v>
      </c>
      <c r="AQ351" s="70">
        <f t="shared" si="1065"/>
        <v>0.12875041578889013</v>
      </c>
      <c r="AR351" s="70">
        <f t="shared" si="1065"/>
        <v>0.11591085486195808</v>
      </c>
      <c r="AS351" s="70">
        <f t="shared" si="1065"/>
        <v>7.9321432531322761E-2</v>
      </c>
      <c r="AT351" s="70">
        <f t="shared" si="1065"/>
        <v>0.18283623461581106</v>
      </c>
      <c r="AU351" s="70"/>
      <c r="AV351" s="70"/>
      <c r="AW351" s="81">
        <f t="shared" si="790"/>
        <v>1.6764608049673058E-2</v>
      </c>
      <c r="AX351" s="70">
        <f t="shared" ref="AX351:BG351" si="1066">O351/$AI351</f>
        <v>6.6747976494068075E-3</v>
      </c>
      <c r="AY351" s="70">
        <f t="shared" si="1066"/>
        <v>0</v>
      </c>
      <c r="AZ351" s="70">
        <f t="shared" si="1066"/>
        <v>0</v>
      </c>
      <c r="BA351" s="70">
        <f t="shared" si="1066"/>
        <v>0</v>
      </c>
      <c r="BB351" s="70">
        <f t="shared" si="1066"/>
        <v>0</v>
      </c>
      <c r="BC351" s="70">
        <f t="shared" si="1066"/>
        <v>0</v>
      </c>
      <c r="BD351" s="70">
        <f t="shared" si="1066"/>
        <v>0</v>
      </c>
      <c r="BE351" s="70">
        <f t="shared" si="1066"/>
        <v>0</v>
      </c>
      <c r="BF351" s="70">
        <f t="shared" si="1066"/>
        <v>0</v>
      </c>
      <c r="BG351" s="70">
        <f t="shared" si="1066"/>
        <v>0</v>
      </c>
      <c r="BH351" s="70">
        <f t="shared" si="792"/>
        <v>1.008981040026625E-2</v>
      </c>
      <c r="BI351" s="62"/>
      <c r="BJ351" s="69">
        <v>0.53500000000000003</v>
      </c>
      <c r="BK351" s="69">
        <v>0.28999999999999998</v>
      </c>
      <c r="BL351" s="69">
        <v>3.2000000000000001E-2</v>
      </c>
      <c r="BM351" s="69">
        <v>9.5000000000000001E-2</v>
      </c>
      <c r="BN351" s="69">
        <v>4.8000000000000001E-2</v>
      </c>
      <c r="BO351" s="69">
        <v>0</v>
      </c>
      <c r="BP351" s="69">
        <v>0</v>
      </c>
      <c r="BQ351" s="69">
        <v>0</v>
      </c>
      <c r="BR351" s="62"/>
      <c r="BS351" s="72">
        <f t="shared" ref="BS351:BW351" si="1067">AP351-BJ351</f>
        <v>-5.8583545847654961E-2</v>
      </c>
      <c r="BT351" s="72">
        <f t="shared" si="1067"/>
        <v>-0.16124958421110985</v>
      </c>
      <c r="BU351" s="72">
        <f t="shared" si="1067"/>
        <v>8.3910854861958081E-2</v>
      </c>
      <c r="BV351" s="72">
        <f t="shared" si="1067"/>
        <v>-1.567856746867724E-2</v>
      </c>
      <c r="BW351" s="72">
        <f t="shared" si="1067"/>
        <v>0.13483623461581107</v>
      </c>
      <c r="BX351" s="72"/>
      <c r="BY351" s="72"/>
      <c r="BZ351" s="72">
        <f t="shared" si="794"/>
        <v>1.6764608049673058E-2</v>
      </c>
    </row>
    <row r="352" spans="1:78" ht="13.15">
      <c r="A352" s="78" t="s">
        <v>5</v>
      </c>
      <c r="B352" s="74" t="s">
        <v>747</v>
      </c>
      <c r="C352" s="75" t="s">
        <v>748</v>
      </c>
      <c r="D352" s="75" t="s">
        <v>53</v>
      </c>
      <c r="E352" s="76"/>
      <c r="F352" s="59"/>
      <c r="G352" s="60"/>
      <c r="H352" s="77">
        <v>19494</v>
      </c>
      <c r="I352" s="77">
        <v>3925</v>
      </c>
      <c r="J352" s="77">
        <v>3578</v>
      </c>
      <c r="K352" s="77">
        <v>1741</v>
      </c>
      <c r="L352" s="77">
        <v>4332</v>
      </c>
      <c r="M352" s="77"/>
      <c r="N352" s="77"/>
      <c r="O352" s="77">
        <v>494</v>
      </c>
      <c r="P352" s="77">
        <v>2465</v>
      </c>
      <c r="Q352" s="77"/>
      <c r="R352" s="77"/>
      <c r="S352" s="77"/>
      <c r="T352" s="77"/>
      <c r="U352" s="77"/>
      <c r="V352" s="77"/>
      <c r="W352" s="77"/>
      <c r="X352" s="77"/>
      <c r="Y352" s="77">
        <v>372</v>
      </c>
      <c r="Z352" s="77"/>
      <c r="AA352" s="77"/>
      <c r="AB352" s="77"/>
      <c r="AC352" s="77"/>
      <c r="AD352" s="77"/>
      <c r="AE352" s="62"/>
      <c r="AF352" s="63" t="b">
        <v>0</v>
      </c>
      <c r="AG352" s="63" t="b">
        <v>0</v>
      </c>
      <c r="AH352" s="62"/>
      <c r="AI352" s="64">
        <f t="shared" si="786"/>
        <v>36401</v>
      </c>
      <c r="AJ352" s="65" t="str">
        <f t="shared" si="340"/>
        <v>LAB</v>
      </c>
      <c r="AK352" s="66" t="str">
        <f t="shared" si="787"/>
        <v>HOLD</v>
      </c>
      <c r="AL352" s="67" t="e">
        <f t="shared" ca="1" si="788"/>
        <v>#NAME?</v>
      </c>
      <c r="AM352" s="68">
        <f t="shared" si="637"/>
        <v>15162</v>
      </c>
      <c r="AN352" s="69">
        <f t="shared" si="638"/>
        <v>0.41652701848850304</v>
      </c>
      <c r="AO352" s="62"/>
      <c r="AP352" s="70">
        <f t="shared" ref="AP352:AT352" si="1068">H352/$AI352</f>
        <v>0.53553473805664675</v>
      </c>
      <c r="AQ352" s="70">
        <f t="shared" si="1068"/>
        <v>0.10782670805747095</v>
      </c>
      <c r="AR352" s="70">
        <f t="shared" si="1068"/>
        <v>9.8294002912007905E-2</v>
      </c>
      <c r="AS352" s="70">
        <f t="shared" si="1068"/>
        <v>4.7828356363836158E-2</v>
      </c>
      <c r="AT352" s="70">
        <f t="shared" si="1068"/>
        <v>0.11900771956814374</v>
      </c>
      <c r="AU352" s="70"/>
      <c r="AV352" s="70"/>
      <c r="AW352" s="81">
        <f t="shared" si="790"/>
        <v>9.1508475041894521E-2</v>
      </c>
      <c r="AX352" s="70">
        <f t="shared" ref="AX352:BG352" si="1069">O352/$AI352</f>
        <v>1.3571055740226916E-2</v>
      </c>
      <c r="AY352" s="70">
        <f t="shared" si="1069"/>
        <v>6.7717919837367108E-2</v>
      </c>
      <c r="AZ352" s="70">
        <f t="shared" si="1069"/>
        <v>0</v>
      </c>
      <c r="BA352" s="70">
        <f t="shared" si="1069"/>
        <v>0</v>
      </c>
      <c r="BB352" s="70">
        <f t="shared" si="1069"/>
        <v>0</v>
      </c>
      <c r="BC352" s="70">
        <f t="shared" si="1069"/>
        <v>0</v>
      </c>
      <c r="BD352" s="70">
        <f t="shared" si="1069"/>
        <v>0</v>
      </c>
      <c r="BE352" s="70">
        <f t="shared" si="1069"/>
        <v>0</v>
      </c>
      <c r="BF352" s="70">
        <f t="shared" si="1069"/>
        <v>0</v>
      </c>
      <c r="BG352" s="70">
        <f t="shared" si="1069"/>
        <v>0</v>
      </c>
      <c r="BH352" s="70">
        <f t="shared" si="792"/>
        <v>1.0219499464300494E-2</v>
      </c>
      <c r="BI352" s="62"/>
      <c r="BJ352" s="69">
        <v>0.63100000000000001</v>
      </c>
      <c r="BK352" s="69">
        <v>0.20799999999999999</v>
      </c>
      <c r="BL352" s="69">
        <v>3.4000000000000002E-2</v>
      </c>
      <c r="BM352" s="69">
        <v>6.3E-2</v>
      </c>
      <c r="BN352" s="69">
        <v>3.1E-2</v>
      </c>
      <c r="BO352" s="69">
        <v>0</v>
      </c>
      <c r="BP352" s="69">
        <v>0</v>
      </c>
      <c r="BQ352" s="69">
        <v>3.2000000000000001E-2</v>
      </c>
      <c r="BR352" s="62"/>
      <c r="BS352" s="72">
        <f t="shared" ref="BS352:BW352" si="1070">AP352-BJ352</f>
        <v>-9.5465261943353252E-2</v>
      </c>
      <c r="BT352" s="72">
        <f t="shared" si="1070"/>
        <v>-0.10017329194252904</v>
      </c>
      <c r="BU352" s="72">
        <f t="shared" si="1070"/>
        <v>6.4294002912007903E-2</v>
      </c>
      <c r="BV352" s="72">
        <f t="shared" si="1070"/>
        <v>-1.5171643636163842E-2</v>
      </c>
      <c r="BW352" s="72">
        <f t="shared" si="1070"/>
        <v>8.8007719568143739E-2</v>
      </c>
      <c r="BX352" s="72"/>
      <c r="BY352" s="72"/>
      <c r="BZ352" s="72">
        <f t="shared" si="794"/>
        <v>5.9508475041894521E-2</v>
      </c>
    </row>
    <row r="353" spans="1:78" ht="13.15">
      <c r="A353" s="78" t="s">
        <v>5</v>
      </c>
      <c r="B353" s="74" t="s">
        <v>749</v>
      </c>
      <c r="C353" s="75" t="s">
        <v>750</v>
      </c>
      <c r="D353" s="75" t="s">
        <v>53</v>
      </c>
      <c r="E353" s="76"/>
      <c r="F353" s="59"/>
      <c r="G353" s="60"/>
      <c r="H353" s="77">
        <v>16480</v>
      </c>
      <c r="I353" s="77">
        <v>6787</v>
      </c>
      <c r="J353" s="77">
        <v>7053</v>
      </c>
      <c r="K353" s="77">
        <v>1336</v>
      </c>
      <c r="L353" s="77">
        <v>3351</v>
      </c>
      <c r="M353" s="77"/>
      <c r="N353" s="77"/>
      <c r="O353" s="77"/>
      <c r="P353" s="77"/>
      <c r="Q353" s="77"/>
      <c r="R353" s="77"/>
      <c r="S353" s="77"/>
      <c r="T353" s="77"/>
      <c r="U353" s="77"/>
      <c r="V353" s="77"/>
      <c r="W353" s="77"/>
      <c r="X353" s="77"/>
      <c r="Y353" s="77"/>
      <c r="Z353" s="77"/>
      <c r="AA353" s="77"/>
      <c r="AB353" s="77"/>
      <c r="AC353" s="77"/>
      <c r="AD353" s="77"/>
      <c r="AE353" s="62"/>
      <c r="AF353" s="63" t="b">
        <v>0</v>
      </c>
      <c r="AG353" s="63" t="b">
        <v>0</v>
      </c>
      <c r="AH353" s="62"/>
      <c r="AI353" s="64">
        <f t="shared" si="786"/>
        <v>35007</v>
      </c>
      <c r="AJ353" s="65" t="str">
        <f t="shared" si="340"/>
        <v>LAB</v>
      </c>
      <c r="AK353" s="66" t="str">
        <f t="shared" si="787"/>
        <v>HOLD</v>
      </c>
      <c r="AL353" s="67" t="e">
        <f t="shared" ca="1" si="788"/>
        <v>#NAME?</v>
      </c>
      <c r="AM353" s="68">
        <f t="shared" si="637"/>
        <v>9427</v>
      </c>
      <c r="AN353" s="69">
        <f t="shared" si="638"/>
        <v>0.26928899934298856</v>
      </c>
      <c r="AO353" s="62"/>
      <c r="AP353" s="70">
        <f t="shared" ref="AP353:AT353" si="1071">H353/$AI353</f>
        <v>0.47076299025909102</v>
      </c>
      <c r="AQ353" s="70">
        <f t="shared" si="1071"/>
        <v>0.19387551061216329</v>
      </c>
      <c r="AR353" s="70">
        <f t="shared" si="1071"/>
        <v>0.20147399091610249</v>
      </c>
      <c r="AS353" s="70">
        <f t="shared" si="1071"/>
        <v>3.8163795812266116E-2</v>
      </c>
      <c r="AT353" s="70">
        <f t="shared" si="1071"/>
        <v>9.5723712400377067E-2</v>
      </c>
      <c r="AU353" s="70"/>
      <c r="AV353" s="70"/>
      <c r="AW353" s="81">
        <f t="shared" si="790"/>
        <v>0</v>
      </c>
      <c r="AX353" s="70">
        <f t="shared" ref="AX353:BG353" si="1072">O353/$AI353</f>
        <v>0</v>
      </c>
      <c r="AY353" s="70">
        <f t="shared" si="1072"/>
        <v>0</v>
      </c>
      <c r="AZ353" s="70">
        <f t="shared" si="1072"/>
        <v>0</v>
      </c>
      <c r="BA353" s="70">
        <f t="shared" si="1072"/>
        <v>0</v>
      </c>
      <c r="BB353" s="70">
        <f t="shared" si="1072"/>
        <v>0</v>
      </c>
      <c r="BC353" s="70">
        <f t="shared" si="1072"/>
        <v>0</v>
      </c>
      <c r="BD353" s="70">
        <f t="shared" si="1072"/>
        <v>0</v>
      </c>
      <c r="BE353" s="70">
        <f t="shared" si="1072"/>
        <v>0</v>
      </c>
      <c r="BF353" s="70">
        <f t="shared" si="1072"/>
        <v>0</v>
      </c>
      <c r="BG353" s="70">
        <f t="shared" si="1072"/>
        <v>0</v>
      </c>
      <c r="BH353" s="70">
        <f t="shared" si="792"/>
        <v>0</v>
      </c>
      <c r="BI353" s="62"/>
      <c r="BJ353" s="69">
        <v>0.46</v>
      </c>
      <c r="BK353" s="69">
        <v>0.40200000000000002</v>
      </c>
      <c r="BL353" s="69">
        <v>5.6000000000000001E-2</v>
      </c>
      <c r="BM353" s="69">
        <v>3.7999999999999999E-2</v>
      </c>
      <c r="BN353" s="69">
        <v>2.5000000000000001E-2</v>
      </c>
      <c r="BO353" s="69">
        <v>0</v>
      </c>
      <c r="BP353" s="69">
        <v>0</v>
      </c>
      <c r="BQ353" s="69">
        <v>1.9E-2</v>
      </c>
      <c r="BR353" s="62"/>
      <c r="BS353" s="72">
        <f t="shared" ref="BS353:BW353" si="1073">AP353-BJ353</f>
        <v>1.0762990259090999E-2</v>
      </c>
      <c r="BT353" s="72">
        <f t="shared" si="1073"/>
        <v>-0.20812448938783673</v>
      </c>
      <c r="BU353" s="72">
        <f t="shared" si="1073"/>
        <v>0.1454739909161025</v>
      </c>
      <c r="BV353" s="72">
        <f t="shared" si="1073"/>
        <v>1.6379581226611678E-4</v>
      </c>
      <c r="BW353" s="72">
        <f t="shared" si="1073"/>
        <v>7.0723712400377059E-2</v>
      </c>
      <c r="BX353" s="72"/>
      <c r="BY353" s="72"/>
      <c r="BZ353" s="72">
        <f t="shared" si="794"/>
        <v>-1.9E-2</v>
      </c>
    </row>
    <row r="354" spans="1:78" ht="13.15">
      <c r="A354" s="78" t="s">
        <v>5</v>
      </c>
      <c r="B354" s="74" t="s">
        <v>751</v>
      </c>
      <c r="C354" s="75" t="s">
        <v>752</v>
      </c>
      <c r="D354" s="75" t="s">
        <v>53</v>
      </c>
      <c r="E354" s="76"/>
      <c r="F354" s="59"/>
      <c r="G354" s="60"/>
      <c r="H354" s="77">
        <v>15579</v>
      </c>
      <c r="I354" s="77">
        <v>5285</v>
      </c>
      <c r="J354" s="77">
        <v>4936</v>
      </c>
      <c r="K354" s="77">
        <v>2059</v>
      </c>
      <c r="L354" s="77">
        <v>2923</v>
      </c>
      <c r="M354" s="77"/>
      <c r="N354" s="77"/>
      <c r="O354" s="77"/>
      <c r="P354" s="77">
        <v>1496</v>
      </c>
      <c r="Q354" s="77"/>
      <c r="R354" s="77"/>
      <c r="S354" s="77"/>
      <c r="T354" s="77"/>
      <c r="U354" s="77"/>
      <c r="V354" s="77"/>
      <c r="W354" s="77"/>
      <c r="X354" s="77"/>
      <c r="Y354" s="77">
        <v>449</v>
      </c>
      <c r="Z354" s="77">
        <v>152</v>
      </c>
      <c r="AA354" s="77"/>
      <c r="AB354" s="77"/>
      <c r="AC354" s="77"/>
      <c r="AD354" s="77"/>
      <c r="AE354" s="62"/>
      <c r="AF354" s="63" t="b">
        <v>0</v>
      </c>
      <c r="AG354" s="63" t="b">
        <v>0</v>
      </c>
      <c r="AH354" s="62"/>
      <c r="AI354" s="64">
        <f t="shared" si="786"/>
        <v>32879</v>
      </c>
      <c r="AJ354" s="65" t="str">
        <f t="shared" si="340"/>
        <v>LAB</v>
      </c>
      <c r="AK354" s="66" t="str">
        <f t="shared" si="787"/>
        <v>HOLD</v>
      </c>
      <c r="AL354" s="67" t="e">
        <f t="shared" ca="1" si="788"/>
        <v>#NAME?</v>
      </c>
      <c r="AM354" s="68">
        <f t="shared" si="637"/>
        <v>10294</v>
      </c>
      <c r="AN354" s="69">
        <f t="shared" si="638"/>
        <v>0.31308738100307187</v>
      </c>
      <c r="AO354" s="62"/>
      <c r="AP354" s="70">
        <f t="shared" ref="AP354:AT354" si="1074">H354/$AI354</f>
        <v>0.47382827944888833</v>
      </c>
      <c r="AQ354" s="70">
        <f t="shared" si="1074"/>
        <v>0.16074089844581649</v>
      </c>
      <c r="AR354" s="70">
        <f t="shared" si="1074"/>
        <v>0.15012622038383164</v>
      </c>
      <c r="AS354" s="70">
        <f t="shared" si="1074"/>
        <v>6.2623559110678545E-2</v>
      </c>
      <c r="AT354" s="70">
        <f t="shared" si="1074"/>
        <v>8.8901730587913258E-2</v>
      </c>
      <c r="AU354" s="70"/>
      <c r="AV354" s="70"/>
      <c r="AW354" s="81">
        <f t="shared" si="790"/>
        <v>6.3779312022871792E-2</v>
      </c>
      <c r="AX354" s="70">
        <f t="shared" ref="AX354:BG354" si="1075">O354/$AI354</f>
        <v>0</v>
      </c>
      <c r="AY354" s="70">
        <f t="shared" si="1075"/>
        <v>4.5500167280026767E-2</v>
      </c>
      <c r="AZ354" s="70">
        <f t="shared" si="1075"/>
        <v>0</v>
      </c>
      <c r="BA354" s="70">
        <f t="shared" si="1075"/>
        <v>0</v>
      </c>
      <c r="BB354" s="70">
        <f t="shared" si="1075"/>
        <v>0</v>
      </c>
      <c r="BC354" s="70">
        <f t="shared" si="1075"/>
        <v>0</v>
      </c>
      <c r="BD354" s="70">
        <f t="shared" si="1075"/>
        <v>0</v>
      </c>
      <c r="BE354" s="70">
        <f t="shared" si="1075"/>
        <v>0</v>
      </c>
      <c r="BF354" s="70">
        <f t="shared" si="1075"/>
        <v>0</v>
      </c>
      <c r="BG354" s="70">
        <f t="shared" si="1075"/>
        <v>0</v>
      </c>
      <c r="BH354" s="70">
        <f t="shared" si="792"/>
        <v>1.8279144742845026E-2</v>
      </c>
      <c r="BI354" s="62"/>
      <c r="BJ354" s="69">
        <v>0.53800000000000003</v>
      </c>
      <c r="BK354" s="69">
        <v>0.316</v>
      </c>
      <c r="BL354" s="69">
        <v>4.5999999999999999E-2</v>
      </c>
      <c r="BM354" s="69">
        <v>6.7000000000000004E-2</v>
      </c>
      <c r="BN354" s="69">
        <v>3.3000000000000002E-2</v>
      </c>
      <c r="BO354" s="69">
        <v>0</v>
      </c>
      <c r="BP354" s="69">
        <v>0</v>
      </c>
      <c r="BQ354" s="69">
        <v>0</v>
      </c>
      <c r="BR354" s="62"/>
      <c r="BS354" s="72">
        <f t="shared" ref="BS354:BW354" si="1076">AP354-BJ354</f>
        <v>-6.4171720551111699E-2</v>
      </c>
      <c r="BT354" s="72">
        <f t="shared" si="1076"/>
        <v>-0.15525910155418352</v>
      </c>
      <c r="BU354" s="72">
        <f t="shared" si="1076"/>
        <v>0.10412622038383164</v>
      </c>
      <c r="BV354" s="72">
        <f t="shared" si="1076"/>
        <v>-4.376440889321459E-3</v>
      </c>
      <c r="BW354" s="72">
        <f t="shared" si="1076"/>
        <v>5.5901730587913256E-2</v>
      </c>
      <c r="BX354" s="72"/>
      <c r="BY354" s="72"/>
      <c r="BZ354" s="72">
        <f t="shared" si="794"/>
        <v>6.3779312022871792E-2</v>
      </c>
    </row>
    <row r="355" spans="1:78" ht="13.15">
      <c r="A355" s="73" t="s">
        <v>6</v>
      </c>
      <c r="B355" s="74" t="s">
        <v>753</v>
      </c>
      <c r="C355" s="75" t="s">
        <v>754</v>
      </c>
      <c r="D355" s="75" t="s">
        <v>47</v>
      </c>
      <c r="E355" s="76">
        <v>70226</v>
      </c>
      <c r="F355" s="59">
        <v>0.58699999999999997</v>
      </c>
      <c r="G355" s="60"/>
      <c r="H355" s="77">
        <v>15216</v>
      </c>
      <c r="I355" s="77">
        <v>11737</v>
      </c>
      <c r="J355" s="77">
        <v>9059</v>
      </c>
      <c r="K355" s="77">
        <v>1340</v>
      </c>
      <c r="L355" s="77">
        <v>2894</v>
      </c>
      <c r="M355" s="77"/>
      <c r="N355" s="77"/>
      <c r="O355" s="77"/>
      <c r="P355" s="77">
        <v>967</v>
      </c>
      <c r="Q355" s="77"/>
      <c r="R355" s="77"/>
      <c r="S355" s="77"/>
      <c r="T355" s="77"/>
      <c r="U355" s="77"/>
      <c r="V355" s="77"/>
      <c r="W355" s="77"/>
      <c r="X355" s="77"/>
      <c r="Y355" s="77"/>
      <c r="Z355" s="77"/>
      <c r="AA355" s="77"/>
      <c r="AB355" s="77"/>
      <c r="AC355" s="77"/>
      <c r="AD355" s="77"/>
      <c r="AE355" s="62"/>
      <c r="AF355" s="63" t="b">
        <v>0</v>
      </c>
      <c r="AG355" s="63" t="b">
        <v>0</v>
      </c>
      <c r="AH355" s="62"/>
      <c r="AI355" s="64">
        <f t="shared" si="786"/>
        <v>41213</v>
      </c>
      <c r="AJ355" s="65" t="str">
        <f t="shared" si="340"/>
        <v>LAB</v>
      </c>
      <c r="AK355" s="66" t="str">
        <f t="shared" si="787"/>
        <v>GAIN</v>
      </c>
      <c r="AL355" s="67" t="e">
        <f t="shared" ca="1" si="788"/>
        <v>#NAME?</v>
      </c>
      <c r="AM355" s="68">
        <f t="shared" si="637"/>
        <v>3479</v>
      </c>
      <c r="AN355" s="69">
        <f t="shared" si="638"/>
        <v>8.4415111736587944E-2</v>
      </c>
      <c r="AO355" s="62"/>
      <c r="AP355" s="70">
        <f t="shared" ref="AP355:AR355" si="1077">H355/$AI355</f>
        <v>0.36920389197583287</v>
      </c>
      <c r="AQ355" s="70">
        <f t="shared" si="1077"/>
        <v>0.28478878023924492</v>
      </c>
      <c r="AR355" s="70">
        <f t="shared" si="1077"/>
        <v>0.21980928347851406</v>
      </c>
      <c r="AS355" s="70">
        <f>L355/$AI355</f>
        <v>7.0220561473321522E-2</v>
      </c>
      <c r="AT355" s="70">
        <f>L355/$AI355</f>
        <v>7.0220561473321522E-2</v>
      </c>
      <c r="AU355" s="70"/>
      <c r="AV355" s="70"/>
      <c r="AW355" s="81">
        <f t="shared" si="790"/>
        <v>-1.4243078640234774E-2</v>
      </c>
      <c r="AX355" s="70">
        <f t="shared" ref="AX355:BG355" si="1078">O355/$AI355</f>
        <v>0</v>
      </c>
      <c r="AY355" s="70">
        <f t="shared" si="1078"/>
        <v>2.3463470264237011E-2</v>
      </c>
      <c r="AZ355" s="70">
        <f t="shared" si="1078"/>
        <v>0</v>
      </c>
      <c r="BA355" s="70">
        <f t="shared" si="1078"/>
        <v>0</v>
      </c>
      <c r="BB355" s="70">
        <f t="shared" si="1078"/>
        <v>0</v>
      </c>
      <c r="BC355" s="70">
        <f t="shared" si="1078"/>
        <v>0</v>
      </c>
      <c r="BD355" s="70">
        <f t="shared" si="1078"/>
        <v>0</v>
      </c>
      <c r="BE355" s="70">
        <f t="shared" si="1078"/>
        <v>0</v>
      </c>
      <c r="BF355" s="70">
        <f t="shared" si="1078"/>
        <v>0</v>
      </c>
      <c r="BG355" s="70">
        <f t="shared" si="1078"/>
        <v>0</v>
      </c>
      <c r="BH355" s="70">
        <f t="shared" si="792"/>
        <v>-3.7706548904471782E-2</v>
      </c>
      <c r="BI355" s="62"/>
      <c r="BJ355" s="69">
        <v>0.315</v>
      </c>
      <c r="BK355" s="69">
        <v>0.60599999999999998</v>
      </c>
      <c r="BL355" s="69">
        <v>0</v>
      </c>
      <c r="BM355" s="69">
        <v>4.1000000000000002E-2</v>
      </c>
      <c r="BN355" s="69">
        <v>3.6999999999999998E-2</v>
      </c>
      <c r="BO355" s="69">
        <v>0</v>
      </c>
      <c r="BP355" s="69">
        <v>0</v>
      </c>
      <c r="BQ355" s="69">
        <v>0</v>
      </c>
      <c r="BR355" s="62"/>
      <c r="BS355" s="72">
        <f t="shared" ref="BS355:BW355" si="1079">AP355-BJ355</f>
        <v>5.4203891975832863E-2</v>
      </c>
      <c r="BT355" s="72">
        <f t="shared" si="1079"/>
        <v>-0.32121121976075506</v>
      </c>
      <c r="BU355" s="72">
        <f t="shared" si="1079"/>
        <v>0.21980928347851406</v>
      </c>
      <c r="BV355" s="72">
        <f t="shared" si="1079"/>
        <v>2.922056147332152E-2</v>
      </c>
      <c r="BW355" s="72">
        <f t="shared" si="1079"/>
        <v>3.3220561473321523E-2</v>
      </c>
      <c r="BX355" s="72"/>
      <c r="BY355" s="72"/>
      <c r="BZ355" s="72">
        <f t="shared" si="794"/>
        <v>-1.4243078640234771E-2</v>
      </c>
    </row>
    <row r="356" spans="1:78" ht="13.15">
      <c r="A356" s="73" t="s">
        <v>6</v>
      </c>
      <c r="B356" s="74" t="s">
        <v>755</v>
      </c>
      <c r="C356" s="75" t="s">
        <v>756</v>
      </c>
      <c r="D356" s="75" t="s">
        <v>68</v>
      </c>
      <c r="E356" s="76"/>
      <c r="F356" s="59"/>
      <c r="G356" s="60"/>
      <c r="H356" s="77">
        <v>14362</v>
      </c>
      <c r="I356" s="77">
        <v>17910</v>
      </c>
      <c r="J356" s="77">
        <v>10384</v>
      </c>
      <c r="K356" s="77">
        <v>1927</v>
      </c>
      <c r="L356" s="77">
        <v>2601</v>
      </c>
      <c r="M356" s="77"/>
      <c r="N356" s="77"/>
      <c r="O356" s="77">
        <v>198</v>
      </c>
      <c r="P356" s="77"/>
      <c r="Q356" s="77"/>
      <c r="R356" s="77"/>
      <c r="S356" s="77"/>
      <c r="T356" s="77"/>
      <c r="U356" s="77"/>
      <c r="V356" s="77"/>
      <c r="W356" s="77"/>
      <c r="X356" s="77"/>
      <c r="Y356" s="77">
        <v>251</v>
      </c>
      <c r="Z356" s="77"/>
      <c r="AA356" s="77"/>
      <c r="AB356" s="77"/>
      <c r="AC356" s="77"/>
      <c r="AD356" s="77"/>
      <c r="AE356" s="62"/>
      <c r="AF356" s="63" t="b">
        <v>0</v>
      </c>
      <c r="AG356" s="63" t="b">
        <v>0</v>
      </c>
      <c r="AH356" s="62"/>
      <c r="AI356" s="64">
        <f t="shared" si="786"/>
        <v>47633</v>
      </c>
      <c r="AJ356" s="65" t="str">
        <f t="shared" si="340"/>
        <v>CON</v>
      </c>
      <c r="AK356" s="66" t="str">
        <f t="shared" si="787"/>
        <v>HOLD</v>
      </c>
      <c r="AL356" s="67" t="e">
        <f t="shared" ca="1" si="788"/>
        <v>#NAME?</v>
      </c>
      <c r="AM356" s="68">
        <f t="shared" si="637"/>
        <v>3548</v>
      </c>
      <c r="AN356" s="69">
        <f t="shared" si="638"/>
        <v>7.4486175550563638E-2</v>
      </c>
      <c r="AO356" s="62"/>
      <c r="AP356" s="70">
        <f t="shared" ref="AP356:AT356" si="1080">H356/$AI356</f>
        <v>0.30151365649864592</v>
      </c>
      <c r="AQ356" s="70">
        <f t="shared" si="1080"/>
        <v>0.37599983204920956</v>
      </c>
      <c r="AR356" s="70">
        <f t="shared" si="1080"/>
        <v>0.21800012596309282</v>
      </c>
      <c r="AS356" s="70">
        <f t="shared" si="1080"/>
        <v>4.0455146642033882E-2</v>
      </c>
      <c r="AT356" s="70">
        <f t="shared" si="1080"/>
        <v>5.4605000734784706E-2</v>
      </c>
      <c r="AU356" s="70"/>
      <c r="AV356" s="70"/>
      <c r="AW356" s="81">
        <f t="shared" si="790"/>
        <v>9.4262381122330874E-3</v>
      </c>
      <c r="AX356" s="70">
        <f t="shared" ref="AX356:BG356" si="1081">O356/$AI356</f>
        <v>4.1567820628555831E-3</v>
      </c>
      <c r="AY356" s="70">
        <f t="shared" si="1081"/>
        <v>0</v>
      </c>
      <c r="AZ356" s="70">
        <f t="shared" si="1081"/>
        <v>0</v>
      </c>
      <c r="BA356" s="70">
        <f t="shared" si="1081"/>
        <v>0</v>
      </c>
      <c r="BB356" s="70">
        <f t="shared" si="1081"/>
        <v>0</v>
      </c>
      <c r="BC356" s="70">
        <f t="shared" si="1081"/>
        <v>0</v>
      </c>
      <c r="BD356" s="70">
        <f t="shared" si="1081"/>
        <v>0</v>
      </c>
      <c r="BE356" s="70">
        <f t="shared" si="1081"/>
        <v>0</v>
      </c>
      <c r="BF356" s="70">
        <f t="shared" si="1081"/>
        <v>0</v>
      </c>
      <c r="BG356" s="70">
        <f t="shared" si="1081"/>
        <v>0</v>
      </c>
      <c r="BH356" s="70">
        <f t="shared" si="792"/>
        <v>5.2694560493775043E-3</v>
      </c>
      <c r="BI356" s="62"/>
      <c r="BJ356" s="69">
        <v>0.23899999999999999</v>
      </c>
      <c r="BK356" s="69">
        <v>0.63900000000000001</v>
      </c>
      <c r="BL356" s="69">
        <v>0</v>
      </c>
      <c r="BM356" s="69">
        <v>8.3000000000000004E-2</v>
      </c>
      <c r="BN356" s="69">
        <v>3.5000000000000003E-2</v>
      </c>
      <c r="BO356" s="69">
        <v>0</v>
      </c>
      <c r="BP356" s="69">
        <v>0</v>
      </c>
      <c r="BQ356" s="69">
        <v>4.0000000000000001E-3</v>
      </c>
      <c r="BR356" s="62"/>
      <c r="BS356" s="72">
        <f t="shared" ref="BS356:BW356" si="1082">AP356-BJ356</f>
        <v>6.2513656498645931E-2</v>
      </c>
      <c r="BT356" s="72">
        <f t="shared" si="1082"/>
        <v>-0.26300016795079045</v>
      </c>
      <c r="BU356" s="72">
        <f t="shared" si="1082"/>
        <v>0.21800012596309282</v>
      </c>
      <c r="BV356" s="72">
        <f t="shared" si="1082"/>
        <v>-4.2544853357966123E-2</v>
      </c>
      <c r="BW356" s="72">
        <f t="shared" si="1082"/>
        <v>1.9605000734784703E-2</v>
      </c>
      <c r="BX356" s="72"/>
      <c r="BY356" s="72"/>
      <c r="BZ356" s="72">
        <f t="shared" si="794"/>
        <v>5.4262381122330873E-3</v>
      </c>
    </row>
    <row r="357" spans="1:78" ht="13.15">
      <c r="A357" s="78" t="s">
        <v>5</v>
      </c>
      <c r="B357" s="74" t="s">
        <v>757</v>
      </c>
      <c r="C357" s="75" t="s">
        <v>758</v>
      </c>
      <c r="D357" s="75" t="s">
        <v>50</v>
      </c>
      <c r="E357" s="76"/>
      <c r="F357" s="59"/>
      <c r="G357" s="60"/>
      <c r="H357" s="77">
        <v>14091</v>
      </c>
      <c r="I357" s="77">
        <v>6838</v>
      </c>
      <c r="J357" s="77">
        <v>7734</v>
      </c>
      <c r="K357" s="77">
        <v>3386</v>
      </c>
      <c r="L357" s="77">
        <v>1490</v>
      </c>
      <c r="M357" s="77"/>
      <c r="N357" s="77"/>
      <c r="O357" s="77">
        <v>1362</v>
      </c>
      <c r="P357" s="77"/>
      <c r="Q357" s="77"/>
      <c r="R357" s="77"/>
      <c r="S357" s="77"/>
      <c r="T357" s="77"/>
      <c r="U357" s="77"/>
      <c r="V357" s="77"/>
      <c r="W357" s="77"/>
      <c r="X357" s="77"/>
      <c r="Y357" s="77">
        <v>517</v>
      </c>
      <c r="Z357" s="77"/>
      <c r="AA357" s="77"/>
      <c r="AB357" s="77"/>
      <c r="AC357" s="77"/>
      <c r="AD357" s="77"/>
      <c r="AE357" s="62"/>
      <c r="AF357" s="63" t="b">
        <v>0</v>
      </c>
      <c r="AG357" s="63" t="b">
        <v>0</v>
      </c>
      <c r="AH357" s="62"/>
      <c r="AI357" s="64">
        <f t="shared" si="786"/>
        <v>35418</v>
      </c>
      <c r="AJ357" s="65" t="str">
        <f t="shared" si="340"/>
        <v>LAB</v>
      </c>
      <c r="AK357" s="66" t="str">
        <f t="shared" si="787"/>
        <v>HOLD</v>
      </c>
      <c r="AL357" s="67" t="e">
        <f t="shared" ca="1" si="788"/>
        <v>#NAME?</v>
      </c>
      <c r="AM357" s="68">
        <f t="shared" si="637"/>
        <v>6357</v>
      </c>
      <c r="AN357" s="69">
        <f t="shared" si="638"/>
        <v>0.17948500762324243</v>
      </c>
      <c r="AO357" s="62"/>
      <c r="AP357" s="70">
        <f t="shared" ref="AP357:AT357" si="1083">H357/$AI357</f>
        <v>0.39784855158394039</v>
      </c>
      <c r="AQ357" s="70">
        <f t="shared" si="1083"/>
        <v>0.19306567282172907</v>
      </c>
      <c r="AR357" s="70">
        <f t="shared" si="1083"/>
        <v>0.21836354396069796</v>
      </c>
      <c r="AS357" s="70">
        <f t="shared" si="1083"/>
        <v>9.560110678186233E-2</v>
      </c>
      <c r="AT357" s="70">
        <f t="shared" si="1083"/>
        <v>4.206900446100853E-2</v>
      </c>
      <c r="AU357" s="70"/>
      <c r="AV357" s="70"/>
      <c r="AW357" s="81">
        <f t="shared" si="790"/>
        <v>5.3052120390761681E-2</v>
      </c>
      <c r="AX357" s="70">
        <f t="shared" ref="AX357:BG357" si="1084">O357/$AI357</f>
        <v>3.8455022869727254E-2</v>
      </c>
      <c r="AY357" s="70">
        <f t="shared" si="1084"/>
        <v>0</v>
      </c>
      <c r="AZ357" s="70">
        <f t="shared" si="1084"/>
        <v>0</v>
      </c>
      <c r="BA357" s="70">
        <f t="shared" si="1084"/>
        <v>0</v>
      </c>
      <c r="BB357" s="70">
        <f t="shared" si="1084"/>
        <v>0</v>
      </c>
      <c r="BC357" s="70">
        <f t="shared" si="1084"/>
        <v>0</v>
      </c>
      <c r="BD357" s="70">
        <f t="shared" si="1084"/>
        <v>0</v>
      </c>
      <c r="BE357" s="70">
        <f t="shared" si="1084"/>
        <v>0</v>
      </c>
      <c r="BF357" s="70">
        <f t="shared" si="1084"/>
        <v>0</v>
      </c>
      <c r="BG357" s="70">
        <f t="shared" si="1084"/>
        <v>0</v>
      </c>
      <c r="BH357" s="70">
        <f t="shared" si="792"/>
        <v>1.4597097521034427E-2</v>
      </c>
      <c r="BI357" s="62"/>
      <c r="BJ357" s="69">
        <v>0.435</v>
      </c>
      <c r="BK357" s="69">
        <v>0.40300000000000002</v>
      </c>
      <c r="BL357" s="69">
        <v>6.5000000000000002E-2</v>
      </c>
      <c r="BM357" s="69">
        <v>5.2999999999999999E-2</v>
      </c>
      <c r="BN357" s="69">
        <v>1.7000000000000001E-2</v>
      </c>
      <c r="BO357" s="69">
        <v>0</v>
      </c>
      <c r="BP357" s="69">
        <v>0</v>
      </c>
      <c r="BQ357" s="69">
        <v>2.8000000000000001E-2</v>
      </c>
      <c r="BR357" s="62"/>
      <c r="BS357" s="72">
        <f t="shared" ref="BS357:BW357" si="1085">AP357-BJ357</f>
        <v>-3.7151448416059607E-2</v>
      </c>
      <c r="BT357" s="72">
        <f t="shared" si="1085"/>
        <v>-0.20993432717827096</v>
      </c>
      <c r="BU357" s="72">
        <f t="shared" si="1085"/>
        <v>0.15336354396069796</v>
      </c>
      <c r="BV357" s="72">
        <f t="shared" si="1085"/>
        <v>4.2601106781862332E-2</v>
      </c>
      <c r="BW357" s="72">
        <f t="shared" si="1085"/>
        <v>2.5069004461008529E-2</v>
      </c>
      <c r="BX357" s="72"/>
      <c r="BY357" s="72"/>
      <c r="BZ357" s="72">
        <f t="shared" si="794"/>
        <v>2.5052120390761681E-2</v>
      </c>
    </row>
    <row r="358" spans="1:78" ht="13.15">
      <c r="A358" s="78" t="s">
        <v>5</v>
      </c>
      <c r="B358" s="74" t="s">
        <v>759</v>
      </c>
      <c r="C358" s="75" t="s">
        <v>760</v>
      </c>
      <c r="D358" s="75" t="s">
        <v>50</v>
      </c>
      <c r="E358" s="76"/>
      <c r="F358" s="59"/>
      <c r="G358" s="60"/>
      <c r="H358" s="77">
        <v>13232</v>
      </c>
      <c r="I358" s="77">
        <v>4066</v>
      </c>
      <c r="J358" s="77">
        <v>6848</v>
      </c>
      <c r="K358" s="77">
        <v>1271</v>
      </c>
      <c r="L358" s="77">
        <v>1857</v>
      </c>
      <c r="M358" s="77"/>
      <c r="N358" s="77"/>
      <c r="O358" s="77">
        <v>8256</v>
      </c>
      <c r="P358" s="77"/>
      <c r="Q358" s="77"/>
      <c r="R358" s="77"/>
      <c r="S358" s="77"/>
      <c r="T358" s="77"/>
      <c r="U358" s="77"/>
      <c r="V358" s="77"/>
      <c r="W358" s="77"/>
      <c r="X358" s="77"/>
      <c r="Y358" s="77">
        <v>2470</v>
      </c>
      <c r="Z358" s="77">
        <v>573</v>
      </c>
      <c r="AA358" s="77"/>
      <c r="AB358" s="77"/>
      <c r="AC358" s="77"/>
      <c r="AD358" s="77"/>
      <c r="AE358" s="62"/>
      <c r="AF358" s="63" t="b">
        <v>0</v>
      </c>
      <c r="AG358" s="63" t="b">
        <v>0</v>
      </c>
      <c r="AH358" s="62"/>
      <c r="AI358" s="64">
        <f t="shared" si="786"/>
        <v>38573</v>
      </c>
      <c r="AJ358" s="65" t="str">
        <f t="shared" si="340"/>
        <v>LAB</v>
      </c>
      <c r="AK358" s="66" t="str">
        <f t="shared" si="787"/>
        <v>HOLD</v>
      </c>
      <c r="AL358" s="67" t="e">
        <f t="shared" ca="1" si="788"/>
        <v>#NAME?</v>
      </c>
      <c r="AM358" s="68">
        <f t="shared" si="637"/>
        <v>4976</v>
      </c>
      <c r="AN358" s="69">
        <f t="shared" si="638"/>
        <v>0.12900215176418739</v>
      </c>
      <c r="AO358" s="62"/>
      <c r="AP358" s="70">
        <f t="shared" ref="AP358:AT358" si="1086">H358/$AI358</f>
        <v>0.34303787623467191</v>
      </c>
      <c r="AQ358" s="70">
        <f t="shared" si="1086"/>
        <v>0.10541052031213544</v>
      </c>
      <c r="AR358" s="70">
        <f t="shared" si="1086"/>
        <v>0.17753350789412284</v>
      </c>
      <c r="AS358" s="70">
        <f t="shared" si="1086"/>
        <v>3.2950509423690148E-2</v>
      </c>
      <c r="AT358" s="70">
        <f t="shared" si="1086"/>
        <v>4.8142483084022504E-2</v>
      </c>
      <c r="AU358" s="70"/>
      <c r="AV358" s="70"/>
      <c r="AW358" s="81">
        <f t="shared" si="790"/>
        <v>0.29292510305135722</v>
      </c>
      <c r="AX358" s="70">
        <f t="shared" ref="AX358:BG358" si="1087">O358/$AI358</f>
        <v>0.21403572447048452</v>
      </c>
      <c r="AY358" s="70">
        <f t="shared" si="1087"/>
        <v>0</v>
      </c>
      <c r="AZ358" s="70">
        <f t="shared" si="1087"/>
        <v>0</v>
      </c>
      <c r="BA358" s="70">
        <f t="shared" si="1087"/>
        <v>0</v>
      </c>
      <c r="BB358" s="70">
        <f t="shared" si="1087"/>
        <v>0</v>
      </c>
      <c r="BC358" s="70">
        <f t="shared" si="1087"/>
        <v>0</v>
      </c>
      <c r="BD358" s="70">
        <f t="shared" si="1087"/>
        <v>0</v>
      </c>
      <c r="BE358" s="70">
        <f t="shared" si="1087"/>
        <v>0</v>
      </c>
      <c r="BF358" s="70">
        <f t="shared" si="1087"/>
        <v>0</v>
      </c>
      <c r="BG358" s="70">
        <f t="shared" si="1087"/>
        <v>0</v>
      </c>
      <c r="BH358" s="70">
        <f t="shared" si="792"/>
        <v>7.8889378580872693E-2</v>
      </c>
      <c r="BI358" s="62"/>
      <c r="BJ358" s="69">
        <v>0.55300000000000005</v>
      </c>
      <c r="BK358" s="69">
        <v>0.30299999999999999</v>
      </c>
      <c r="BL358" s="69">
        <v>7.4999999999999997E-2</v>
      </c>
      <c r="BM358" s="69">
        <v>3.3000000000000002E-2</v>
      </c>
      <c r="BN358" s="69">
        <v>1.4999999999999999E-2</v>
      </c>
      <c r="BO358" s="69">
        <v>0</v>
      </c>
      <c r="BP358" s="69">
        <v>0</v>
      </c>
      <c r="BQ358" s="69">
        <v>2.1000000000000001E-2</v>
      </c>
      <c r="BR358" s="62"/>
      <c r="BS358" s="72">
        <f t="shared" ref="BS358:BW358" si="1088">AP358-BJ358</f>
        <v>-0.20996212376532813</v>
      </c>
      <c r="BT358" s="72">
        <f t="shared" si="1088"/>
        <v>-0.19758947968786456</v>
      </c>
      <c r="BU358" s="72">
        <f t="shared" si="1088"/>
        <v>0.10253350789412284</v>
      </c>
      <c r="BV358" s="72">
        <f t="shared" si="1088"/>
        <v>-4.9490576309853263E-5</v>
      </c>
      <c r="BW358" s="72">
        <f t="shared" si="1088"/>
        <v>3.3142483084022505E-2</v>
      </c>
      <c r="BX358" s="72"/>
      <c r="BY358" s="72"/>
      <c r="BZ358" s="72">
        <f t="shared" si="794"/>
        <v>0.2719251030513572</v>
      </c>
    </row>
    <row r="359" spans="1:78" ht="13.15">
      <c r="A359" s="73" t="s">
        <v>6</v>
      </c>
      <c r="B359" s="74" t="s">
        <v>761</v>
      </c>
      <c r="C359" s="75" t="s">
        <v>762</v>
      </c>
      <c r="D359" s="75" t="s">
        <v>68</v>
      </c>
      <c r="E359" s="76"/>
      <c r="F359" s="59"/>
      <c r="G359" s="60"/>
      <c r="H359" s="77">
        <v>12386</v>
      </c>
      <c r="I359" s="77">
        <v>17504</v>
      </c>
      <c r="J359" s="77">
        <v>8896</v>
      </c>
      <c r="K359" s="77">
        <v>4728</v>
      </c>
      <c r="L359" s="77">
        <v>2319</v>
      </c>
      <c r="M359" s="77"/>
      <c r="N359" s="77"/>
      <c r="O359" s="77"/>
      <c r="P359" s="77"/>
      <c r="Q359" s="77"/>
      <c r="R359" s="77"/>
      <c r="S359" s="77"/>
      <c r="T359" s="77"/>
      <c r="U359" s="77"/>
      <c r="V359" s="77"/>
      <c r="W359" s="77"/>
      <c r="X359" s="77"/>
      <c r="Y359" s="77">
        <v>240</v>
      </c>
      <c r="Z359" s="77"/>
      <c r="AA359" s="77"/>
      <c r="AB359" s="77"/>
      <c r="AC359" s="77"/>
      <c r="AD359" s="77"/>
      <c r="AE359" s="62"/>
      <c r="AF359" s="63" t="b">
        <v>0</v>
      </c>
      <c r="AG359" s="63" t="b">
        <v>0</v>
      </c>
      <c r="AH359" s="62"/>
      <c r="AI359" s="64">
        <f t="shared" si="786"/>
        <v>46073</v>
      </c>
      <c r="AJ359" s="65" t="str">
        <f t="shared" si="340"/>
        <v>CON</v>
      </c>
      <c r="AK359" s="66" t="str">
        <f t="shared" si="787"/>
        <v>HOLD</v>
      </c>
      <c r="AL359" s="67" t="e">
        <f t="shared" ca="1" si="788"/>
        <v>#NAME?</v>
      </c>
      <c r="AM359" s="68">
        <f t="shared" si="637"/>
        <v>5118</v>
      </c>
      <c r="AN359" s="69">
        <f t="shared" si="638"/>
        <v>0.1110845831615046</v>
      </c>
      <c r="AO359" s="62"/>
      <c r="AP359" s="70">
        <f t="shared" ref="AP359:AT359" si="1089">H359/$AI359</f>
        <v>0.2688342413126994</v>
      </c>
      <c r="AQ359" s="70">
        <f t="shared" si="1089"/>
        <v>0.379918824474204</v>
      </c>
      <c r="AR359" s="70">
        <f t="shared" si="1089"/>
        <v>0.19308488702710916</v>
      </c>
      <c r="AS359" s="70">
        <f t="shared" si="1089"/>
        <v>0.10261975560523517</v>
      </c>
      <c r="AT359" s="70">
        <f t="shared" si="1089"/>
        <v>5.0333166930740345E-2</v>
      </c>
      <c r="AU359" s="70"/>
      <c r="AV359" s="70"/>
      <c r="AW359" s="81">
        <f t="shared" si="790"/>
        <v>5.2091246500119981E-3</v>
      </c>
      <c r="AX359" s="70">
        <f t="shared" ref="AX359:BG359" si="1090">O359/$AI359</f>
        <v>0</v>
      </c>
      <c r="AY359" s="70">
        <f t="shared" si="1090"/>
        <v>0</v>
      </c>
      <c r="AZ359" s="70">
        <f t="shared" si="1090"/>
        <v>0</v>
      </c>
      <c r="BA359" s="70">
        <f t="shared" si="1090"/>
        <v>0</v>
      </c>
      <c r="BB359" s="70">
        <f t="shared" si="1090"/>
        <v>0</v>
      </c>
      <c r="BC359" s="70">
        <f t="shared" si="1090"/>
        <v>0</v>
      </c>
      <c r="BD359" s="70">
        <f t="shared" si="1090"/>
        <v>0</v>
      </c>
      <c r="BE359" s="70">
        <f t="shared" si="1090"/>
        <v>0</v>
      </c>
      <c r="BF359" s="70">
        <f t="shared" si="1090"/>
        <v>0</v>
      </c>
      <c r="BG359" s="70">
        <f t="shared" si="1090"/>
        <v>0</v>
      </c>
      <c r="BH359" s="70">
        <f t="shared" si="792"/>
        <v>5.2091246500119981E-3</v>
      </c>
      <c r="BI359" s="62"/>
      <c r="BJ359" s="69">
        <v>0.19800000000000001</v>
      </c>
      <c r="BK359" s="69">
        <v>0.61899999999999999</v>
      </c>
      <c r="BL359" s="69">
        <v>0</v>
      </c>
      <c r="BM359" s="69">
        <v>0.14599999999999999</v>
      </c>
      <c r="BN359" s="69">
        <v>3.6999999999999998E-2</v>
      </c>
      <c r="BO359" s="69">
        <v>0</v>
      </c>
      <c r="BP359" s="69">
        <v>0</v>
      </c>
      <c r="BQ359" s="69">
        <v>0</v>
      </c>
      <c r="BR359" s="62"/>
      <c r="BS359" s="72">
        <f t="shared" ref="BS359:BW359" si="1091">AP359-BJ359</f>
        <v>7.0834241312699386E-2</v>
      </c>
      <c r="BT359" s="72">
        <f t="shared" si="1091"/>
        <v>-0.239081175525796</v>
      </c>
      <c r="BU359" s="72">
        <f t="shared" si="1091"/>
        <v>0.19308488702710916</v>
      </c>
      <c r="BV359" s="72">
        <f t="shared" si="1091"/>
        <v>-4.3380244394764816E-2</v>
      </c>
      <c r="BW359" s="72">
        <f t="shared" si="1091"/>
        <v>1.3333166930740346E-2</v>
      </c>
      <c r="BX359" s="72"/>
      <c r="BY359" s="72"/>
      <c r="BZ359" s="72">
        <f t="shared" si="794"/>
        <v>5.2091246500119981E-3</v>
      </c>
    </row>
    <row r="360" spans="1:78" ht="13.15">
      <c r="A360" s="73" t="s">
        <v>6</v>
      </c>
      <c r="B360" s="74" t="s">
        <v>763</v>
      </c>
      <c r="C360" s="75" t="s">
        <v>764</v>
      </c>
      <c r="D360" s="75" t="s">
        <v>71</v>
      </c>
      <c r="E360" s="76"/>
      <c r="F360" s="59"/>
      <c r="G360" s="60"/>
      <c r="H360" s="77">
        <v>17232</v>
      </c>
      <c r="I360" s="77">
        <v>12690</v>
      </c>
      <c r="J360" s="77">
        <v>9224</v>
      </c>
      <c r="K360" s="77">
        <v>1785</v>
      </c>
      <c r="L360" s="77">
        <v>2132</v>
      </c>
      <c r="M360" s="77"/>
      <c r="N360" s="77"/>
      <c r="O360" s="77"/>
      <c r="P360" s="77"/>
      <c r="Q360" s="77"/>
      <c r="R360" s="77">
        <v>810</v>
      </c>
      <c r="S360" s="77"/>
      <c r="T360" s="77"/>
      <c r="U360" s="77"/>
      <c r="V360" s="77"/>
      <c r="W360" s="77"/>
      <c r="X360" s="77"/>
      <c r="Y360" s="77"/>
      <c r="Z360" s="77"/>
      <c r="AA360" s="77"/>
      <c r="AB360" s="77"/>
      <c r="AC360" s="77"/>
      <c r="AD360" s="77"/>
      <c r="AE360" s="62"/>
      <c r="AF360" s="63" t="b">
        <v>0</v>
      </c>
      <c r="AG360" s="63" t="b">
        <v>0</v>
      </c>
      <c r="AH360" s="62"/>
      <c r="AI360" s="64">
        <f t="shared" si="786"/>
        <v>43873</v>
      </c>
      <c r="AJ360" s="65" t="str">
        <f t="shared" si="340"/>
        <v>LAB</v>
      </c>
      <c r="AK360" s="66" t="str">
        <f t="shared" si="787"/>
        <v>GAIN</v>
      </c>
      <c r="AL360" s="67" t="e">
        <f t="shared" ca="1" si="788"/>
        <v>#NAME?</v>
      </c>
      <c r="AM360" s="68">
        <f t="shared" si="637"/>
        <v>4542</v>
      </c>
      <c r="AN360" s="69">
        <f t="shared" si="638"/>
        <v>0.10352608665922092</v>
      </c>
      <c r="AO360" s="62"/>
      <c r="AP360" s="70">
        <f t="shared" ref="AP360:AT360" si="1092">H360/$AI360</f>
        <v>0.39277004079958061</v>
      </c>
      <c r="AQ360" s="70">
        <f t="shared" si="1092"/>
        <v>0.28924395414035969</v>
      </c>
      <c r="AR360" s="70">
        <f t="shared" si="1092"/>
        <v>0.21024320196932053</v>
      </c>
      <c r="AS360" s="70">
        <f t="shared" si="1092"/>
        <v>4.0685615298703078E-2</v>
      </c>
      <c r="AT360" s="70">
        <f t="shared" si="1092"/>
        <v>4.8594807740523785E-2</v>
      </c>
      <c r="AU360" s="70"/>
      <c r="AV360" s="70"/>
      <c r="AW360" s="81">
        <f t="shared" si="790"/>
        <v>1.8462380051512239E-2</v>
      </c>
      <c r="AX360" s="70">
        <f t="shared" ref="AX360:BG360" si="1093">O360/$AI360</f>
        <v>0</v>
      </c>
      <c r="AY360" s="70">
        <f t="shared" si="1093"/>
        <v>0</v>
      </c>
      <c r="AZ360" s="70">
        <f t="shared" si="1093"/>
        <v>0</v>
      </c>
      <c r="BA360" s="70">
        <f t="shared" si="1093"/>
        <v>1.8462380051512319E-2</v>
      </c>
      <c r="BB360" s="70">
        <f t="shared" si="1093"/>
        <v>0</v>
      </c>
      <c r="BC360" s="70">
        <f t="shared" si="1093"/>
        <v>0</v>
      </c>
      <c r="BD360" s="70">
        <f t="shared" si="1093"/>
        <v>0</v>
      </c>
      <c r="BE360" s="70">
        <f t="shared" si="1093"/>
        <v>0</v>
      </c>
      <c r="BF360" s="70">
        <f t="shared" si="1093"/>
        <v>0</v>
      </c>
      <c r="BG360" s="70">
        <f t="shared" si="1093"/>
        <v>0</v>
      </c>
      <c r="BH360" s="70">
        <f t="shared" si="792"/>
        <v>-7.9797279894933126E-17</v>
      </c>
      <c r="BI360" s="62"/>
      <c r="BJ360" s="69">
        <v>0.312</v>
      </c>
      <c r="BK360" s="69">
        <v>0.53900000000000003</v>
      </c>
      <c r="BL360" s="69">
        <v>5.0999999999999997E-2</v>
      </c>
      <c r="BM360" s="69">
        <v>4.9000000000000002E-2</v>
      </c>
      <c r="BN360" s="69">
        <v>1.2E-2</v>
      </c>
      <c r="BO360" s="69">
        <v>0</v>
      </c>
      <c r="BP360" s="69">
        <v>0</v>
      </c>
      <c r="BQ360" s="69">
        <v>3.6999999999999998E-2</v>
      </c>
      <c r="BR360" s="62"/>
      <c r="BS360" s="72">
        <f t="shared" ref="BS360:BW360" si="1094">AP360-BJ360</f>
        <v>8.0770040799580611E-2</v>
      </c>
      <c r="BT360" s="72">
        <f t="shared" si="1094"/>
        <v>-0.24975604585964034</v>
      </c>
      <c r="BU360" s="72">
        <f t="shared" si="1094"/>
        <v>0.15924320196932054</v>
      </c>
      <c r="BV360" s="72">
        <f t="shared" si="1094"/>
        <v>-8.3143847012969244E-3</v>
      </c>
      <c r="BW360" s="72">
        <f t="shared" si="1094"/>
        <v>3.6594807740523788E-2</v>
      </c>
      <c r="BX360" s="72"/>
      <c r="BY360" s="72"/>
      <c r="BZ360" s="72">
        <f t="shared" si="794"/>
        <v>-1.8537619948487759E-2</v>
      </c>
    </row>
    <row r="361" spans="1:78" ht="13.15">
      <c r="A361" s="78" t="s">
        <v>5</v>
      </c>
      <c r="B361" s="74" t="s">
        <v>765</v>
      </c>
      <c r="C361" s="75" t="s">
        <v>766</v>
      </c>
      <c r="D361" s="75" t="s">
        <v>44</v>
      </c>
      <c r="E361" s="76"/>
      <c r="F361" s="59"/>
      <c r="G361" s="60"/>
      <c r="H361" s="77">
        <v>19541</v>
      </c>
      <c r="I361" s="77">
        <v>4739</v>
      </c>
      <c r="J361" s="77"/>
      <c r="K361" s="77">
        <v>3437</v>
      </c>
      <c r="L361" s="77">
        <v>5076</v>
      </c>
      <c r="M361" s="77"/>
      <c r="N361" s="77"/>
      <c r="O361" s="77">
        <v>1761</v>
      </c>
      <c r="P361" s="77">
        <v>615</v>
      </c>
      <c r="Q361" s="77">
        <v>232</v>
      </c>
      <c r="R361" s="77">
        <v>2381</v>
      </c>
      <c r="S361" s="77"/>
      <c r="T361" s="77"/>
      <c r="U361" s="77"/>
      <c r="V361" s="77"/>
      <c r="W361" s="77"/>
      <c r="X361" s="77"/>
      <c r="Y361" s="77">
        <v>600</v>
      </c>
      <c r="Z361" s="77">
        <v>425</v>
      </c>
      <c r="AA361" s="77">
        <v>337</v>
      </c>
      <c r="AB361" s="77">
        <v>197</v>
      </c>
      <c r="AC361" s="77"/>
      <c r="AD361" s="77"/>
      <c r="AE361" s="62"/>
      <c r="AF361" s="63" t="b">
        <v>0</v>
      </c>
      <c r="AG361" s="63" t="b">
        <v>0</v>
      </c>
      <c r="AH361" s="62"/>
      <c r="AI361" s="64">
        <f t="shared" si="786"/>
        <v>39341</v>
      </c>
      <c r="AJ361" s="65" t="str">
        <f t="shared" si="340"/>
        <v>LAB</v>
      </c>
      <c r="AK361" s="66" t="str">
        <f t="shared" si="787"/>
        <v>HOLD</v>
      </c>
      <c r="AL361" s="67" t="e">
        <f t="shared" ca="1" si="788"/>
        <v>#NAME?</v>
      </c>
      <c r="AM361" s="68">
        <f t="shared" si="637"/>
        <v>14465</v>
      </c>
      <c r="AN361" s="69">
        <f t="shared" si="638"/>
        <v>0.3676825703464579</v>
      </c>
      <c r="AO361" s="62"/>
      <c r="AP361" s="70">
        <f t="shared" ref="AP361:AT361" si="1095">H361/$AI361</f>
        <v>0.49670826872728197</v>
      </c>
      <c r="AQ361" s="70">
        <f t="shared" si="1095"/>
        <v>0.12045957143946519</v>
      </c>
      <c r="AR361" s="70">
        <f t="shared" si="1095"/>
        <v>0</v>
      </c>
      <c r="AS361" s="70">
        <f t="shared" si="1095"/>
        <v>8.7364327292137972E-2</v>
      </c>
      <c r="AT361" s="70">
        <f t="shared" si="1095"/>
        <v>0.12902569838082409</v>
      </c>
      <c r="AU361" s="70"/>
      <c r="AV361" s="70"/>
      <c r="AW361" s="81">
        <f t="shared" si="790"/>
        <v>0.16644213416029074</v>
      </c>
      <c r="AX361" s="70">
        <f t="shared" ref="AX361:BG361" si="1096">O361/$AI361</f>
        <v>4.4762461554103863E-2</v>
      </c>
      <c r="AY361" s="70">
        <f t="shared" si="1096"/>
        <v>1.5632546198622303E-2</v>
      </c>
      <c r="AZ361" s="70">
        <f t="shared" si="1096"/>
        <v>5.8971556391550798E-3</v>
      </c>
      <c r="BA361" s="70">
        <f t="shared" si="1096"/>
        <v>6.052210162425968E-2</v>
      </c>
      <c r="BB361" s="70">
        <f t="shared" si="1096"/>
        <v>0</v>
      </c>
      <c r="BC361" s="70">
        <f t="shared" si="1096"/>
        <v>0</v>
      </c>
      <c r="BD361" s="70">
        <f t="shared" si="1096"/>
        <v>0</v>
      </c>
      <c r="BE361" s="70">
        <f t="shared" si="1096"/>
        <v>0</v>
      </c>
      <c r="BF361" s="70">
        <f t="shared" si="1096"/>
        <v>0</v>
      </c>
      <c r="BG361" s="70">
        <f t="shared" si="1096"/>
        <v>0</v>
      </c>
      <c r="BH361" s="70">
        <f t="shared" si="792"/>
        <v>3.9627869144149813E-2</v>
      </c>
      <c r="BI361" s="62"/>
      <c r="BJ361" s="69">
        <v>0.56499999999999995</v>
      </c>
      <c r="BK361" s="69">
        <v>0.215</v>
      </c>
      <c r="BL361" s="69">
        <v>2.3E-2</v>
      </c>
      <c r="BM361" s="69">
        <v>0.14000000000000001</v>
      </c>
      <c r="BN361" s="69">
        <v>4.7E-2</v>
      </c>
      <c r="BO361" s="69">
        <v>0</v>
      </c>
      <c r="BP361" s="69">
        <v>0</v>
      </c>
      <c r="BQ361" s="69">
        <v>1.0999999999999999E-2</v>
      </c>
      <c r="BR361" s="62"/>
      <c r="BS361" s="72">
        <f t="shared" ref="BS361:BW361" si="1097">AP361-BJ361</f>
        <v>-6.8291731272717981E-2</v>
      </c>
      <c r="BT361" s="72">
        <f t="shared" si="1097"/>
        <v>-9.4540428560534809E-2</v>
      </c>
      <c r="BU361" s="72">
        <f t="shared" si="1097"/>
        <v>-2.3E-2</v>
      </c>
      <c r="BV361" s="72">
        <f t="shared" si="1097"/>
        <v>-5.2635672707862041E-2</v>
      </c>
      <c r="BW361" s="72">
        <f t="shared" si="1097"/>
        <v>8.2025698380824089E-2</v>
      </c>
      <c r="BX361" s="72"/>
      <c r="BY361" s="72"/>
      <c r="BZ361" s="72">
        <f t="shared" si="794"/>
        <v>0.15544213416029073</v>
      </c>
    </row>
    <row r="362" spans="1:78" ht="13.15">
      <c r="A362" s="79" t="s">
        <v>8</v>
      </c>
      <c r="B362" s="74" t="s">
        <v>767</v>
      </c>
      <c r="C362" s="75" t="s">
        <v>768</v>
      </c>
      <c r="D362" s="75" t="s">
        <v>44</v>
      </c>
      <c r="E362" s="76"/>
      <c r="F362" s="59"/>
      <c r="G362" s="60"/>
      <c r="H362" s="77">
        <v>5981</v>
      </c>
      <c r="I362" s="77">
        <v>8520</v>
      </c>
      <c r="J362" s="77">
        <v>4164</v>
      </c>
      <c r="K362" s="77">
        <v>23414</v>
      </c>
      <c r="L362" s="77">
        <v>3236</v>
      </c>
      <c r="M362" s="77"/>
      <c r="N362" s="77"/>
      <c r="O362" s="77">
        <v>168</v>
      </c>
      <c r="P362" s="77"/>
      <c r="Q362" s="77">
        <v>259</v>
      </c>
      <c r="R362" s="77"/>
      <c r="S362" s="77"/>
      <c r="T362" s="77"/>
      <c r="U362" s="77"/>
      <c r="V362" s="77"/>
      <c r="W362" s="77"/>
      <c r="X362" s="77"/>
      <c r="Y362" s="77">
        <v>256</v>
      </c>
      <c r="Z362" s="77"/>
      <c r="AA362" s="77"/>
      <c r="AB362" s="77"/>
      <c r="AC362" s="77"/>
      <c r="AD362" s="77"/>
      <c r="AE362" s="62"/>
      <c r="AF362" s="63" t="b">
        <v>0</v>
      </c>
      <c r="AG362" s="63" t="b">
        <v>0</v>
      </c>
      <c r="AH362" s="62"/>
      <c r="AI362" s="64">
        <f t="shared" si="786"/>
        <v>45998</v>
      </c>
      <c r="AJ362" s="65" t="str">
        <f t="shared" si="340"/>
        <v>LDM</v>
      </c>
      <c r="AK362" s="66" t="str">
        <f t="shared" si="787"/>
        <v>HOLD</v>
      </c>
      <c r="AL362" s="67" t="e">
        <f t="shared" ca="1" si="788"/>
        <v>#NAME?</v>
      </c>
      <c r="AM362" s="68">
        <f t="shared" si="637"/>
        <v>14894</v>
      </c>
      <c r="AN362" s="69">
        <f t="shared" si="638"/>
        <v>0.32379668681247009</v>
      </c>
      <c r="AO362" s="62"/>
      <c r="AP362" s="70">
        <f t="shared" ref="AP362:AT362" si="1098">H362/$AI362</f>
        <v>0.13002739249532588</v>
      </c>
      <c r="AQ362" s="70">
        <f t="shared" si="1098"/>
        <v>0.18522544458454715</v>
      </c>
      <c r="AR362" s="70">
        <f t="shared" si="1098"/>
        <v>9.0525675029349106E-2</v>
      </c>
      <c r="AS362" s="70">
        <f t="shared" si="1098"/>
        <v>0.50902213139701724</v>
      </c>
      <c r="AT362" s="70">
        <f t="shared" si="1098"/>
        <v>7.0350884821079179E-2</v>
      </c>
      <c r="AU362" s="70"/>
      <c r="AV362" s="70"/>
      <c r="AW362" s="81">
        <f t="shared" si="790"/>
        <v>1.4848471672681329E-2</v>
      </c>
      <c r="AX362" s="70">
        <f t="shared" ref="AX362:BG362" si="1099">O362/$AI362</f>
        <v>3.6523327101178312E-3</v>
      </c>
      <c r="AY362" s="70">
        <f t="shared" si="1099"/>
        <v>0</v>
      </c>
      <c r="AZ362" s="70">
        <f t="shared" si="1099"/>
        <v>5.6306795947649894E-3</v>
      </c>
      <c r="BA362" s="70">
        <f t="shared" si="1099"/>
        <v>0</v>
      </c>
      <c r="BB362" s="70">
        <f t="shared" si="1099"/>
        <v>0</v>
      </c>
      <c r="BC362" s="70">
        <f t="shared" si="1099"/>
        <v>0</v>
      </c>
      <c r="BD362" s="70">
        <f t="shared" si="1099"/>
        <v>0</v>
      </c>
      <c r="BE362" s="70">
        <f t="shared" si="1099"/>
        <v>0</v>
      </c>
      <c r="BF362" s="70">
        <f t="shared" si="1099"/>
        <v>0</v>
      </c>
      <c r="BG362" s="70">
        <f t="shared" si="1099"/>
        <v>0</v>
      </c>
      <c r="BH362" s="70">
        <f t="shared" si="792"/>
        <v>5.5654593677985087E-3</v>
      </c>
      <c r="BI362" s="62"/>
      <c r="BJ362" s="69">
        <v>0.11799999999999999</v>
      </c>
      <c r="BK362" s="69">
        <v>0.34100000000000003</v>
      </c>
      <c r="BL362" s="69">
        <v>1.4999999999999999E-2</v>
      </c>
      <c r="BM362" s="69">
        <v>0.52200000000000002</v>
      </c>
      <c r="BN362" s="69">
        <v>5.0000000000000001E-3</v>
      </c>
      <c r="BO362" s="69">
        <v>0</v>
      </c>
      <c r="BP362" s="69">
        <v>0</v>
      </c>
      <c r="BQ362" s="69">
        <v>0</v>
      </c>
      <c r="BR362" s="62"/>
      <c r="BS362" s="72">
        <f t="shared" ref="BS362:BW362" si="1100">AP362-BJ362</f>
        <v>1.2027392495325889E-2</v>
      </c>
      <c r="BT362" s="72">
        <f t="shared" si="1100"/>
        <v>-0.15577455541545288</v>
      </c>
      <c r="BU362" s="72">
        <f t="shared" si="1100"/>
        <v>7.5525675029349107E-2</v>
      </c>
      <c r="BV362" s="72">
        <f t="shared" si="1100"/>
        <v>-1.2977868602982778E-2</v>
      </c>
      <c r="BW362" s="72">
        <f t="shared" si="1100"/>
        <v>6.5350884821079175E-2</v>
      </c>
      <c r="BX362" s="72"/>
      <c r="BY362" s="72"/>
      <c r="BZ362" s="72">
        <f t="shared" si="794"/>
        <v>1.4848471672681329E-2</v>
      </c>
    </row>
    <row r="363" spans="1:78" ht="13.15">
      <c r="A363" s="78" t="s">
        <v>5</v>
      </c>
      <c r="B363" s="74" t="s">
        <v>769</v>
      </c>
      <c r="C363" s="75" t="s">
        <v>770</v>
      </c>
      <c r="D363" s="75" t="s">
        <v>68</v>
      </c>
      <c r="E363" s="76"/>
      <c r="F363" s="59"/>
      <c r="G363" s="60"/>
      <c r="H363" s="77">
        <v>22813</v>
      </c>
      <c r="I363" s="77">
        <v>2276</v>
      </c>
      <c r="J363" s="77">
        <v>1790</v>
      </c>
      <c r="K363" s="77">
        <v>2724</v>
      </c>
      <c r="L363" s="77">
        <v>7585</v>
      </c>
      <c r="M363" s="77"/>
      <c r="N363" s="77"/>
      <c r="O363" s="77">
        <v>555</v>
      </c>
      <c r="P363" s="77"/>
      <c r="Q363" s="77"/>
      <c r="R363" s="77"/>
      <c r="S363" s="77"/>
      <c r="T363" s="77"/>
      <c r="U363" s="77"/>
      <c r="V363" s="77"/>
      <c r="W363" s="77"/>
      <c r="X363" s="77"/>
      <c r="Y363" s="77">
        <v>355</v>
      </c>
      <c r="Z363" s="77">
        <v>285</v>
      </c>
      <c r="AA363" s="77">
        <v>261</v>
      </c>
      <c r="AB363" s="77">
        <v>153</v>
      </c>
      <c r="AC363" s="77"/>
      <c r="AD363" s="77"/>
      <c r="AE363" s="62"/>
      <c r="AF363" s="63" t="b">
        <v>0</v>
      </c>
      <c r="AG363" s="63" t="b">
        <v>0</v>
      </c>
      <c r="AH363" s="62"/>
      <c r="AI363" s="64">
        <f t="shared" si="786"/>
        <v>38797</v>
      </c>
      <c r="AJ363" s="65" t="str">
        <f t="shared" si="340"/>
        <v>LAB</v>
      </c>
      <c r="AK363" s="66" t="str">
        <f t="shared" si="787"/>
        <v>HOLD</v>
      </c>
      <c r="AL363" s="67" t="e">
        <f t="shared" ca="1" si="788"/>
        <v>#NAME?</v>
      </c>
      <c r="AM363" s="68">
        <f t="shared" si="637"/>
        <v>15228</v>
      </c>
      <c r="AN363" s="69">
        <f t="shared" si="638"/>
        <v>0.39250457509601255</v>
      </c>
      <c r="AO363" s="62"/>
      <c r="AP363" s="70">
        <f t="shared" ref="AP363:AT363" si="1101">H363/$AI363</f>
        <v>0.58800938216872434</v>
      </c>
      <c r="AQ363" s="70">
        <f t="shared" si="1101"/>
        <v>5.8664329716215172E-2</v>
      </c>
      <c r="AR363" s="70">
        <f t="shared" si="1101"/>
        <v>4.6137587957831794E-2</v>
      </c>
      <c r="AS363" s="70">
        <f t="shared" si="1101"/>
        <v>7.0211614300074748E-2</v>
      </c>
      <c r="AT363" s="70">
        <f t="shared" si="1101"/>
        <v>0.19550480707271181</v>
      </c>
      <c r="AU363" s="70"/>
      <c r="AV363" s="70"/>
      <c r="AW363" s="81">
        <f t="shared" si="790"/>
        <v>4.1472278784442151E-2</v>
      </c>
      <c r="AX363" s="70">
        <f t="shared" ref="AX363:BG363" si="1102">O363/$AI363</f>
        <v>1.4305229785808182E-2</v>
      </c>
      <c r="AY363" s="70">
        <f t="shared" si="1102"/>
        <v>0</v>
      </c>
      <c r="AZ363" s="70">
        <f t="shared" si="1102"/>
        <v>0</v>
      </c>
      <c r="BA363" s="70">
        <f t="shared" si="1102"/>
        <v>0</v>
      </c>
      <c r="BB363" s="70">
        <f t="shared" si="1102"/>
        <v>0</v>
      </c>
      <c r="BC363" s="70">
        <f t="shared" si="1102"/>
        <v>0</v>
      </c>
      <c r="BD363" s="70">
        <f t="shared" si="1102"/>
        <v>0</v>
      </c>
      <c r="BE363" s="70">
        <f t="shared" si="1102"/>
        <v>0</v>
      </c>
      <c r="BF363" s="70">
        <f t="shared" si="1102"/>
        <v>0</v>
      </c>
      <c r="BG363" s="70">
        <f t="shared" si="1102"/>
        <v>0</v>
      </c>
      <c r="BH363" s="70">
        <f t="shared" si="792"/>
        <v>2.716704899863397E-2</v>
      </c>
      <c r="BI363" s="62"/>
      <c r="BJ363" s="69">
        <v>0.70799999999999996</v>
      </c>
      <c r="BK363" s="69">
        <v>0.112</v>
      </c>
      <c r="BL363" s="69">
        <v>2.3E-2</v>
      </c>
      <c r="BM363" s="69">
        <v>0.104</v>
      </c>
      <c r="BN363" s="69">
        <v>0.05</v>
      </c>
      <c r="BO363" s="69">
        <v>0</v>
      </c>
      <c r="BP363" s="69">
        <v>0</v>
      </c>
      <c r="BQ363" s="69">
        <v>3.0000000000000001E-3</v>
      </c>
      <c r="BR363" s="62"/>
      <c r="BS363" s="72">
        <f t="shared" ref="BS363:BW363" si="1103">AP363-BJ363</f>
        <v>-0.11999061783127563</v>
      </c>
      <c r="BT363" s="72">
        <f t="shared" si="1103"/>
        <v>-5.3335670283784831E-2</v>
      </c>
      <c r="BU363" s="72">
        <f t="shared" si="1103"/>
        <v>2.3137587957831794E-2</v>
      </c>
      <c r="BV363" s="72">
        <f t="shared" si="1103"/>
        <v>-3.3788385699925247E-2</v>
      </c>
      <c r="BW363" s="72">
        <f t="shared" si="1103"/>
        <v>0.14550480707271179</v>
      </c>
      <c r="BX363" s="72"/>
      <c r="BY363" s="72"/>
      <c r="BZ363" s="72">
        <f t="shared" si="794"/>
        <v>3.8472278784442149E-2</v>
      </c>
    </row>
    <row r="364" spans="1:78" ht="13.15">
      <c r="A364" s="73" t="s">
        <v>6</v>
      </c>
      <c r="B364" s="74" t="s">
        <v>771</v>
      </c>
      <c r="C364" s="75" t="s">
        <v>772</v>
      </c>
      <c r="D364" s="75" t="s">
        <v>50</v>
      </c>
      <c r="E364" s="76"/>
      <c r="F364" s="59"/>
      <c r="G364" s="60"/>
      <c r="H364" s="77">
        <v>16129</v>
      </c>
      <c r="I364" s="77">
        <v>15227</v>
      </c>
      <c r="J364" s="77">
        <v>8171</v>
      </c>
      <c r="K364" s="77">
        <v>2039</v>
      </c>
      <c r="L364" s="77">
        <v>1421</v>
      </c>
      <c r="M364" s="77"/>
      <c r="N364" s="77"/>
      <c r="O364" s="77">
        <v>3108</v>
      </c>
      <c r="P364" s="77">
        <v>336</v>
      </c>
      <c r="Q364" s="77"/>
      <c r="R364" s="77"/>
      <c r="S364" s="77"/>
      <c r="T364" s="77"/>
      <c r="U364" s="77"/>
      <c r="V364" s="77"/>
      <c r="W364" s="77"/>
      <c r="X364" s="77"/>
      <c r="Y364" s="77">
        <v>190</v>
      </c>
      <c r="Z364" s="77">
        <v>133</v>
      </c>
      <c r="AA364" s="77"/>
      <c r="AB364" s="77"/>
      <c r="AC364" s="77"/>
      <c r="AD364" s="77"/>
      <c r="AE364" s="62"/>
      <c r="AF364" s="63" t="b">
        <v>0</v>
      </c>
      <c r="AG364" s="63" t="b">
        <v>0</v>
      </c>
      <c r="AH364" s="62"/>
      <c r="AI364" s="64">
        <f t="shared" si="786"/>
        <v>46754</v>
      </c>
      <c r="AJ364" s="65" t="str">
        <f t="shared" si="340"/>
        <v>LAB</v>
      </c>
      <c r="AK364" s="66" t="str">
        <f t="shared" si="787"/>
        <v>GAIN</v>
      </c>
      <c r="AL364" s="67" t="e">
        <f t="shared" ca="1" si="788"/>
        <v>#NAME?</v>
      </c>
      <c r="AM364" s="68">
        <f t="shared" si="637"/>
        <v>902</v>
      </c>
      <c r="AN364" s="69">
        <f t="shared" si="638"/>
        <v>1.929246695469905E-2</v>
      </c>
      <c r="AO364" s="62"/>
      <c r="AP364" s="70">
        <f t="shared" ref="AP364:AT364" si="1104">H364/$AI364</f>
        <v>0.34497583094494588</v>
      </c>
      <c r="AQ364" s="70">
        <f t="shared" si="1104"/>
        <v>0.32568336399024683</v>
      </c>
      <c r="AR364" s="70">
        <f t="shared" si="1104"/>
        <v>0.17476579543996235</v>
      </c>
      <c r="AS364" s="70">
        <f t="shared" si="1104"/>
        <v>4.3611241818881805E-2</v>
      </c>
      <c r="AT364" s="70">
        <f t="shared" si="1104"/>
        <v>3.039312144415451E-2</v>
      </c>
      <c r="AU364" s="70"/>
      <c r="AV364" s="70"/>
      <c r="AW364" s="81">
        <f t="shared" si="790"/>
        <v>8.0570646361808551E-2</v>
      </c>
      <c r="AX364" s="70">
        <f t="shared" ref="AX364:BG364" si="1105">O364/$AI364</f>
        <v>6.6475595670958634E-2</v>
      </c>
      <c r="AY364" s="70">
        <f t="shared" si="1105"/>
        <v>7.186550883346879E-3</v>
      </c>
      <c r="AZ364" s="70">
        <f t="shared" si="1105"/>
        <v>0</v>
      </c>
      <c r="BA364" s="70">
        <f t="shared" si="1105"/>
        <v>0</v>
      </c>
      <c r="BB364" s="70">
        <f t="shared" si="1105"/>
        <v>0</v>
      </c>
      <c r="BC364" s="70">
        <f t="shared" si="1105"/>
        <v>0</v>
      </c>
      <c r="BD364" s="70">
        <f t="shared" si="1105"/>
        <v>0</v>
      </c>
      <c r="BE364" s="70">
        <f t="shared" si="1105"/>
        <v>0</v>
      </c>
      <c r="BF364" s="70">
        <f t="shared" si="1105"/>
        <v>0</v>
      </c>
      <c r="BG364" s="70">
        <f t="shared" si="1105"/>
        <v>0</v>
      </c>
      <c r="BH364" s="70">
        <f t="shared" si="792"/>
        <v>6.9084998075030352E-3</v>
      </c>
      <c r="BI364" s="62"/>
      <c r="BJ364" s="69">
        <v>0.33100000000000002</v>
      </c>
      <c r="BK364" s="69">
        <v>0.56899999999999995</v>
      </c>
      <c r="BL364" s="69">
        <v>0</v>
      </c>
      <c r="BM364" s="69">
        <v>7.2999999999999995E-2</v>
      </c>
      <c r="BN364" s="69">
        <v>2.1000000000000001E-2</v>
      </c>
      <c r="BO364" s="69">
        <v>0</v>
      </c>
      <c r="BP364" s="69">
        <v>0</v>
      </c>
      <c r="BQ364" s="69">
        <v>6.0000000000000001E-3</v>
      </c>
      <c r="BR364" s="62"/>
      <c r="BS364" s="72">
        <f t="shared" ref="BS364:BW364" si="1106">AP364-BJ364</f>
        <v>1.3975830944945866E-2</v>
      </c>
      <c r="BT364" s="72">
        <f t="shared" si="1106"/>
        <v>-0.24331663600975312</v>
      </c>
      <c r="BU364" s="72">
        <f t="shared" si="1106"/>
        <v>0.17476579543996235</v>
      </c>
      <c r="BV364" s="72">
        <f t="shared" si="1106"/>
        <v>-2.9388758181118191E-2</v>
      </c>
      <c r="BW364" s="72">
        <f t="shared" si="1106"/>
        <v>9.3931214441545091E-3</v>
      </c>
      <c r="BX364" s="72"/>
      <c r="BY364" s="72"/>
      <c r="BZ364" s="72">
        <f t="shared" si="794"/>
        <v>7.4570646361808546E-2</v>
      </c>
    </row>
    <row r="365" spans="1:78" ht="13.15">
      <c r="A365" s="73" t="s">
        <v>6</v>
      </c>
      <c r="B365" s="74" t="s">
        <v>773</v>
      </c>
      <c r="C365" s="75" t="s">
        <v>774</v>
      </c>
      <c r="D365" s="75" t="s">
        <v>71</v>
      </c>
      <c r="E365" s="76"/>
      <c r="F365" s="59"/>
      <c r="G365" s="60"/>
      <c r="H365" s="77">
        <v>19169</v>
      </c>
      <c r="I365" s="77">
        <v>10430</v>
      </c>
      <c r="J365" s="77">
        <v>9456</v>
      </c>
      <c r="K365" s="77">
        <v>2866</v>
      </c>
      <c r="L365" s="77">
        <v>2044</v>
      </c>
      <c r="M365" s="77"/>
      <c r="N365" s="77"/>
      <c r="O365" s="77"/>
      <c r="P365" s="77"/>
      <c r="Q365" s="77"/>
      <c r="R365" s="77"/>
      <c r="S365" s="77"/>
      <c r="T365" s="77"/>
      <c r="U365" s="77"/>
      <c r="V365" s="77"/>
      <c r="W365" s="77"/>
      <c r="X365" s="77"/>
      <c r="Y365" s="77"/>
      <c r="Z365" s="77"/>
      <c r="AA365" s="77"/>
      <c r="AB365" s="77"/>
      <c r="AC365" s="77"/>
      <c r="AD365" s="77"/>
      <c r="AE365" s="62"/>
      <c r="AF365" s="63" t="b">
        <v>0</v>
      </c>
      <c r="AG365" s="63" t="b">
        <v>0</v>
      </c>
      <c r="AH365" s="62"/>
      <c r="AI365" s="64">
        <f t="shared" si="786"/>
        <v>43965</v>
      </c>
      <c r="AJ365" s="65" t="str">
        <f t="shared" si="340"/>
        <v>LAB</v>
      </c>
      <c r="AK365" s="66" t="str">
        <f t="shared" si="787"/>
        <v>GAIN</v>
      </c>
      <c r="AL365" s="67" t="e">
        <f t="shared" ca="1" si="788"/>
        <v>#NAME?</v>
      </c>
      <c r="AM365" s="68">
        <f t="shared" si="637"/>
        <v>8739</v>
      </c>
      <c r="AN365" s="69">
        <f t="shared" si="638"/>
        <v>0.19877175025588537</v>
      </c>
      <c r="AO365" s="62"/>
      <c r="AP365" s="70">
        <f t="shared" ref="AP365:AT365" si="1107">H365/$AI365</f>
        <v>0.43600591379506426</v>
      </c>
      <c r="AQ365" s="70">
        <f t="shared" si="1107"/>
        <v>0.23723416353917889</v>
      </c>
      <c r="AR365" s="70">
        <f t="shared" si="1107"/>
        <v>0.21508017741385194</v>
      </c>
      <c r="AS365" s="70">
        <f t="shared" si="1107"/>
        <v>6.5188217900602752E-2</v>
      </c>
      <c r="AT365" s="70">
        <f t="shared" si="1107"/>
        <v>4.6491527351302173E-2</v>
      </c>
      <c r="AU365" s="70"/>
      <c r="AV365" s="70"/>
      <c r="AW365" s="81">
        <f t="shared" si="790"/>
        <v>0</v>
      </c>
      <c r="AX365" s="70">
        <f t="shared" ref="AX365:BG365" si="1108">O365/$AI365</f>
        <v>0</v>
      </c>
      <c r="AY365" s="70">
        <f t="shared" si="1108"/>
        <v>0</v>
      </c>
      <c r="AZ365" s="70">
        <f t="shared" si="1108"/>
        <v>0</v>
      </c>
      <c r="BA365" s="70">
        <f t="shared" si="1108"/>
        <v>0</v>
      </c>
      <c r="BB365" s="70">
        <f t="shared" si="1108"/>
        <v>0</v>
      </c>
      <c r="BC365" s="70">
        <f t="shared" si="1108"/>
        <v>0</v>
      </c>
      <c r="BD365" s="70">
        <f t="shared" si="1108"/>
        <v>0</v>
      </c>
      <c r="BE365" s="70">
        <f t="shared" si="1108"/>
        <v>0</v>
      </c>
      <c r="BF365" s="70">
        <f t="shared" si="1108"/>
        <v>0</v>
      </c>
      <c r="BG365" s="70">
        <f t="shared" si="1108"/>
        <v>0</v>
      </c>
      <c r="BH365" s="70">
        <f t="shared" si="792"/>
        <v>1.1102230246251565E-16</v>
      </c>
      <c r="BI365" s="62"/>
      <c r="BJ365" s="69">
        <v>0.33300000000000002</v>
      </c>
      <c r="BK365" s="69">
        <v>0.47799999999999998</v>
      </c>
      <c r="BL365" s="69">
        <v>8.6999999999999994E-2</v>
      </c>
      <c r="BM365" s="69">
        <v>0.10199999999999999</v>
      </c>
      <c r="BN365" s="69">
        <v>0</v>
      </c>
      <c r="BO365" s="69">
        <v>0</v>
      </c>
      <c r="BP365" s="69">
        <v>0</v>
      </c>
      <c r="BQ365" s="69">
        <v>0</v>
      </c>
      <c r="BR365" s="62"/>
      <c r="BS365" s="72">
        <f t="shared" ref="BS365:BW365" si="1109">AP365-BJ365</f>
        <v>0.10300591379506424</v>
      </c>
      <c r="BT365" s="72">
        <f t="shared" si="1109"/>
        <v>-0.24076583646082109</v>
      </c>
      <c r="BU365" s="72">
        <f t="shared" si="1109"/>
        <v>0.12808017741385194</v>
      </c>
      <c r="BV365" s="72">
        <f t="shared" si="1109"/>
        <v>-3.6811782099397242E-2</v>
      </c>
      <c r="BW365" s="72">
        <f t="shared" si="1109"/>
        <v>4.6491527351302173E-2</v>
      </c>
      <c r="BX365" s="72"/>
      <c r="BY365" s="72"/>
      <c r="BZ365" s="72">
        <f t="shared" si="794"/>
        <v>1.1102230246251565E-16</v>
      </c>
    </row>
    <row r="366" spans="1:78" ht="13.15">
      <c r="A366" s="73" t="s">
        <v>6</v>
      </c>
      <c r="B366" s="74" t="s">
        <v>775</v>
      </c>
      <c r="C366" s="75" t="s">
        <v>776</v>
      </c>
      <c r="D366" s="75" t="s">
        <v>50</v>
      </c>
      <c r="E366" s="76"/>
      <c r="F366" s="59"/>
      <c r="G366" s="60"/>
      <c r="H366" s="77">
        <v>19986</v>
      </c>
      <c r="I366" s="77">
        <v>14729</v>
      </c>
      <c r="J366" s="77">
        <v>7624</v>
      </c>
      <c r="K366" s="77">
        <v>4742</v>
      </c>
      <c r="L366" s="77">
        <v>1730</v>
      </c>
      <c r="M366" s="77"/>
      <c r="N366" s="77"/>
      <c r="O366" s="77">
        <v>195</v>
      </c>
      <c r="P366" s="77"/>
      <c r="Q366" s="77"/>
      <c r="R366" s="77"/>
      <c r="S366" s="77"/>
      <c r="T366" s="77"/>
      <c r="U366" s="77"/>
      <c r="V366" s="77"/>
      <c r="W366" s="77"/>
      <c r="X366" s="77"/>
      <c r="Y366" s="77"/>
      <c r="Z366" s="77"/>
      <c r="AA366" s="77"/>
      <c r="AB366" s="77"/>
      <c r="AC366" s="77"/>
      <c r="AD366" s="77"/>
      <c r="AE366" s="62"/>
      <c r="AF366" s="63" t="b">
        <v>0</v>
      </c>
      <c r="AG366" s="63" t="b">
        <v>0</v>
      </c>
      <c r="AH366" s="62"/>
      <c r="AI366" s="64">
        <f t="shared" si="786"/>
        <v>49006</v>
      </c>
      <c r="AJ366" s="65" t="str">
        <f t="shared" si="340"/>
        <v>LAB</v>
      </c>
      <c r="AK366" s="66" t="str">
        <f t="shared" si="787"/>
        <v>GAIN</v>
      </c>
      <c r="AL366" s="67" t="e">
        <f t="shared" ca="1" si="788"/>
        <v>#NAME?</v>
      </c>
      <c r="AM366" s="68">
        <f t="shared" si="637"/>
        <v>5257</v>
      </c>
      <c r="AN366" s="69">
        <f t="shared" si="638"/>
        <v>0.10727257886789371</v>
      </c>
      <c r="AO366" s="62"/>
      <c r="AP366" s="70">
        <f t="shared" ref="AP366:AT366" si="1110">H366/$AI366</f>
        <v>0.40782761294535363</v>
      </c>
      <c r="AQ366" s="70">
        <f t="shared" si="1110"/>
        <v>0.30055503407745993</v>
      </c>
      <c r="AR366" s="70">
        <f t="shared" si="1110"/>
        <v>0.15557278700567279</v>
      </c>
      <c r="AS366" s="70">
        <f t="shared" si="1110"/>
        <v>9.676366159245807E-2</v>
      </c>
      <c r="AT366" s="70">
        <f t="shared" si="1110"/>
        <v>3.5301799779618823E-2</v>
      </c>
      <c r="AU366" s="70"/>
      <c r="AV366" s="70"/>
      <c r="AW366" s="81">
        <f t="shared" si="790"/>
        <v>3.9791045994367336E-3</v>
      </c>
      <c r="AX366" s="70">
        <f t="shared" ref="AX366:BG366" si="1111">O366/$AI366</f>
        <v>3.9791045994368038E-3</v>
      </c>
      <c r="AY366" s="70">
        <f t="shared" si="1111"/>
        <v>0</v>
      </c>
      <c r="AZ366" s="70">
        <f t="shared" si="1111"/>
        <v>0</v>
      </c>
      <c r="BA366" s="70">
        <f t="shared" si="1111"/>
        <v>0</v>
      </c>
      <c r="BB366" s="70">
        <f t="shared" si="1111"/>
        <v>0</v>
      </c>
      <c r="BC366" s="70">
        <f t="shared" si="1111"/>
        <v>0</v>
      </c>
      <c r="BD366" s="70">
        <f t="shared" si="1111"/>
        <v>0</v>
      </c>
      <c r="BE366" s="70">
        <f t="shared" si="1111"/>
        <v>0</v>
      </c>
      <c r="BF366" s="70">
        <f t="shared" si="1111"/>
        <v>0</v>
      </c>
      <c r="BG366" s="70">
        <f t="shared" si="1111"/>
        <v>0</v>
      </c>
      <c r="BH366" s="70">
        <f t="shared" si="792"/>
        <v>-7.0256300777060687E-17</v>
      </c>
      <c r="BI366" s="62"/>
      <c r="BJ366" s="69">
        <v>0.30199999999999999</v>
      </c>
      <c r="BK366" s="69">
        <v>0.54800000000000004</v>
      </c>
      <c r="BL366" s="69">
        <v>1.7999999999999999E-2</v>
      </c>
      <c r="BM366" s="69">
        <v>8.2000000000000003E-2</v>
      </c>
      <c r="BN366" s="69">
        <v>3.1E-2</v>
      </c>
      <c r="BO366" s="69">
        <v>0</v>
      </c>
      <c r="BP366" s="69">
        <v>0</v>
      </c>
      <c r="BQ366" s="69">
        <v>0.02</v>
      </c>
      <c r="BR366" s="62"/>
      <c r="BS366" s="72">
        <f t="shared" ref="BS366:BW366" si="1112">AP366-BJ366</f>
        <v>0.10582761294535364</v>
      </c>
      <c r="BT366" s="72">
        <f t="shared" si="1112"/>
        <v>-0.24744496592254012</v>
      </c>
      <c r="BU366" s="72">
        <f t="shared" si="1112"/>
        <v>0.1375727870056728</v>
      </c>
      <c r="BV366" s="72">
        <f t="shared" si="1112"/>
        <v>1.4763661592458066E-2</v>
      </c>
      <c r="BW366" s="72">
        <f t="shared" si="1112"/>
        <v>4.3017997796188229E-3</v>
      </c>
      <c r="BX366" s="72"/>
      <c r="BY366" s="72"/>
      <c r="BZ366" s="72">
        <f t="shared" si="794"/>
        <v>-1.6020895400563267E-2</v>
      </c>
    </row>
    <row r="367" spans="1:78" ht="13.15">
      <c r="A367" s="73" t="s">
        <v>6</v>
      </c>
      <c r="B367" s="74" t="s">
        <v>777</v>
      </c>
      <c r="C367" s="75" t="s">
        <v>778</v>
      </c>
      <c r="D367" s="75" t="s">
        <v>78</v>
      </c>
      <c r="E367" s="76"/>
      <c r="F367" s="59"/>
      <c r="G367" s="60"/>
      <c r="H367" s="77">
        <v>13418</v>
      </c>
      <c r="I367" s="77">
        <v>13300</v>
      </c>
      <c r="J367" s="77">
        <v>5379</v>
      </c>
      <c r="K367" s="77">
        <v>1746</v>
      </c>
      <c r="L367" s="77">
        <v>2542</v>
      </c>
      <c r="M367" s="77"/>
      <c r="N367" s="77"/>
      <c r="O367" s="77">
        <v>211</v>
      </c>
      <c r="P367" s="77">
        <v>5051</v>
      </c>
      <c r="Q367" s="77"/>
      <c r="R367" s="77"/>
      <c r="S367" s="77"/>
      <c r="T367" s="77"/>
      <c r="U367" s="77"/>
      <c r="V367" s="77"/>
      <c r="W367" s="77"/>
      <c r="X367" s="77"/>
      <c r="Y367" s="77">
        <v>225</v>
      </c>
      <c r="Z367" s="77"/>
      <c r="AA367" s="77"/>
      <c r="AB367" s="77"/>
      <c r="AC367" s="77"/>
      <c r="AD367" s="77"/>
      <c r="AE367" s="62"/>
      <c r="AF367" s="63" t="b">
        <v>0</v>
      </c>
      <c r="AG367" s="63" t="b">
        <v>0</v>
      </c>
      <c r="AH367" s="62"/>
      <c r="AI367" s="64">
        <f t="shared" si="786"/>
        <v>41872</v>
      </c>
      <c r="AJ367" s="65" t="str">
        <f t="shared" si="340"/>
        <v>LAB</v>
      </c>
      <c r="AK367" s="66" t="str">
        <f t="shared" si="787"/>
        <v>GAIN</v>
      </c>
      <c r="AL367" s="67" t="e">
        <f t="shared" ca="1" si="788"/>
        <v>#NAME?</v>
      </c>
      <c r="AM367" s="68">
        <f t="shared" si="637"/>
        <v>118</v>
      </c>
      <c r="AN367" s="69">
        <f t="shared" si="638"/>
        <v>2.8181123423767218E-3</v>
      </c>
      <c r="AO367" s="62"/>
      <c r="AP367" s="70">
        <f t="shared" ref="AP367:AT367" si="1113">H367/$AI367</f>
        <v>0.32045280855941916</v>
      </c>
      <c r="AQ367" s="70">
        <f t="shared" si="1113"/>
        <v>0.31763469621704243</v>
      </c>
      <c r="AR367" s="70">
        <f t="shared" si="1113"/>
        <v>0.12846293465800535</v>
      </c>
      <c r="AS367" s="70">
        <f t="shared" si="1113"/>
        <v>4.1698509743981656E-2</v>
      </c>
      <c r="AT367" s="70">
        <f t="shared" si="1113"/>
        <v>6.0708826901031715E-2</v>
      </c>
      <c r="AU367" s="70"/>
      <c r="AV367" s="70"/>
      <c r="AW367" s="81">
        <f t="shared" si="790"/>
        <v>0.13104222392051967</v>
      </c>
      <c r="AX367" s="70">
        <f t="shared" ref="AX367:BG367" si="1114">O367/$AI367</f>
        <v>5.0391669850974397E-3</v>
      </c>
      <c r="AY367" s="70">
        <f t="shared" si="1114"/>
        <v>0.12062953763851739</v>
      </c>
      <c r="AZ367" s="70">
        <f t="shared" si="1114"/>
        <v>0</v>
      </c>
      <c r="BA367" s="70">
        <f t="shared" si="1114"/>
        <v>0</v>
      </c>
      <c r="BB367" s="70">
        <f t="shared" si="1114"/>
        <v>0</v>
      </c>
      <c r="BC367" s="70">
        <f t="shared" si="1114"/>
        <v>0</v>
      </c>
      <c r="BD367" s="70">
        <f t="shared" si="1114"/>
        <v>0</v>
      </c>
      <c r="BE367" s="70">
        <f t="shared" si="1114"/>
        <v>0</v>
      </c>
      <c r="BF367" s="70">
        <f t="shared" si="1114"/>
        <v>0</v>
      </c>
      <c r="BG367" s="70">
        <f t="shared" si="1114"/>
        <v>0</v>
      </c>
      <c r="BH367" s="70">
        <f t="shared" si="792"/>
        <v>5.3735192969048551E-3</v>
      </c>
      <c r="BI367" s="62"/>
      <c r="BJ367" s="69">
        <v>0.41499999999999998</v>
      </c>
      <c r="BK367" s="69">
        <v>0.46500000000000002</v>
      </c>
      <c r="BL367" s="69">
        <v>4.4999999999999998E-2</v>
      </c>
      <c r="BM367" s="69">
        <v>4.9000000000000002E-2</v>
      </c>
      <c r="BN367" s="69">
        <v>1.4999999999999999E-2</v>
      </c>
      <c r="BO367" s="69">
        <v>0</v>
      </c>
      <c r="BP367" s="69">
        <v>0</v>
      </c>
      <c r="BQ367" s="69">
        <v>1.0999999999999999E-2</v>
      </c>
      <c r="BR367" s="62"/>
      <c r="BS367" s="72">
        <f t="shared" ref="BS367:BW367" si="1115">AP367-BJ367</f>
        <v>-9.4547191440580824E-2</v>
      </c>
      <c r="BT367" s="72">
        <f t="shared" si="1115"/>
        <v>-0.14736530378295759</v>
      </c>
      <c r="BU367" s="72">
        <f t="shared" si="1115"/>
        <v>8.3462934658005347E-2</v>
      </c>
      <c r="BV367" s="72">
        <f t="shared" si="1115"/>
        <v>-7.3014902560183462E-3</v>
      </c>
      <c r="BW367" s="72">
        <f t="shared" si="1115"/>
        <v>4.5708826901031716E-2</v>
      </c>
      <c r="BX367" s="72"/>
      <c r="BY367" s="72"/>
      <c r="BZ367" s="72">
        <f t="shared" si="794"/>
        <v>0.12004222392051968</v>
      </c>
    </row>
    <row r="368" spans="1:78" ht="13.15">
      <c r="A368" s="73" t="s">
        <v>6</v>
      </c>
      <c r="B368" s="74" t="s">
        <v>779</v>
      </c>
      <c r="C368" s="75" t="s">
        <v>780</v>
      </c>
      <c r="D368" s="75" t="s">
        <v>85</v>
      </c>
      <c r="E368" s="76"/>
      <c r="F368" s="59"/>
      <c r="G368" s="60"/>
      <c r="H368" s="77">
        <v>17665</v>
      </c>
      <c r="I368" s="77">
        <v>12061</v>
      </c>
      <c r="J368" s="77">
        <v>9670</v>
      </c>
      <c r="K368" s="77">
        <v>1766</v>
      </c>
      <c r="L368" s="77">
        <v>1694</v>
      </c>
      <c r="M368" s="77"/>
      <c r="N368" s="77"/>
      <c r="O368" s="77"/>
      <c r="P368" s="77"/>
      <c r="Q368" s="77"/>
      <c r="R368" s="77"/>
      <c r="S368" s="77"/>
      <c r="T368" s="77"/>
      <c r="U368" s="77"/>
      <c r="V368" s="77"/>
      <c r="W368" s="77"/>
      <c r="X368" s="77"/>
      <c r="Y368" s="77"/>
      <c r="Z368" s="77"/>
      <c r="AA368" s="77"/>
      <c r="AB368" s="77"/>
      <c r="AC368" s="77"/>
      <c r="AD368" s="77"/>
      <c r="AE368" s="62"/>
      <c r="AF368" s="63" t="b">
        <v>0</v>
      </c>
      <c r="AG368" s="63" t="b">
        <v>0</v>
      </c>
      <c r="AH368" s="62"/>
      <c r="AI368" s="64">
        <f t="shared" si="786"/>
        <v>42856</v>
      </c>
      <c r="AJ368" s="65" t="str">
        <f t="shared" ref="AJ368:AJ622" si="1116">INDEX($H$1:$X$1,0,MATCH(MAX($H368:$X368),$H368:$X368,0))</f>
        <v>LAB</v>
      </c>
      <c r="AK368" s="66" t="str">
        <f t="shared" si="787"/>
        <v>GAIN</v>
      </c>
      <c r="AL368" s="67" t="e">
        <f t="shared" ca="1" si="788"/>
        <v>#NAME?</v>
      </c>
      <c r="AM368" s="68">
        <f t="shared" si="637"/>
        <v>5604</v>
      </c>
      <c r="AN368" s="69">
        <f t="shared" si="638"/>
        <v>0.13076348702632068</v>
      </c>
      <c r="AO368" s="62"/>
      <c r="AP368" s="70">
        <f t="shared" ref="AP368:AT368" si="1117">H368/$AI368</f>
        <v>0.41219432518200483</v>
      </c>
      <c r="AQ368" s="70">
        <f t="shared" si="1117"/>
        <v>0.28143083815568415</v>
      </c>
      <c r="AR368" s="70">
        <f t="shared" si="1117"/>
        <v>0.22563935038267688</v>
      </c>
      <c r="AS368" s="70">
        <f t="shared" si="1117"/>
        <v>4.1207765540414408E-2</v>
      </c>
      <c r="AT368" s="70">
        <f t="shared" si="1117"/>
        <v>3.9527720739219716E-2</v>
      </c>
      <c r="AU368" s="70"/>
      <c r="AV368" s="70"/>
      <c r="AW368" s="81">
        <f t="shared" si="790"/>
        <v>0</v>
      </c>
      <c r="AX368" s="70">
        <f t="shared" ref="AX368:BG368" si="1118">O368/$AI368</f>
        <v>0</v>
      </c>
      <c r="AY368" s="70">
        <f t="shared" si="1118"/>
        <v>0</v>
      </c>
      <c r="AZ368" s="70">
        <f t="shared" si="1118"/>
        <v>0</v>
      </c>
      <c r="BA368" s="70">
        <f t="shared" si="1118"/>
        <v>0</v>
      </c>
      <c r="BB368" s="70">
        <f t="shared" si="1118"/>
        <v>0</v>
      </c>
      <c r="BC368" s="70">
        <f t="shared" si="1118"/>
        <v>0</v>
      </c>
      <c r="BD368" s="70">
        <f t="shared" si="1118"/>
        <v>0</v>
      </c>
      <c r="BE368" s="70">
        <f t="shared" si="1118"/>
        <v>0</v>
      </c>
      <c r="BF368" s="70">
        <f t="shared" si="1118"/>
        <v>0</v>
      </c>
      <c r="BG368" s="70">
        <f t="shared" si="1118"/>
        <v>0</v>
      </c>
      <c r="BH368" s="70">
        <f t="shared" si="792"/>
        <v>0</v>
      </c>
      <c r="BI368" s="62"/>
      <c r="BJ368" s="69">
        <v>0.32300000000000001</v>
      </c>
      <c r="BK368" s="69">
        <v>0.59799999999999998</v>
      </c>
      <c r="BL368" s="69">
        <v>2E-3</v>
      </c>
      <c r="BM368" s="69">
        <v>5.0999999999999997E-2</v>
      </c>
      <c r="BN368" s="69">
        <v>2.5999999999999999E-2</v>
      </c>
      <c r="BO368" s="69">
        <v>0</v>
      </c>
      <c r="BP368" s="69">
        <v>0</v>
      </c>
      <c r="BQ368" s="69">
        <v>0</v>
      </c>
      <c r="BR368" s="62"/>
      <c r="BS368" s="72">
        <f t="shared" ref="BS368:BW368" si="1119">AP368-BJ368</f>
        <v>8.9194325182004819E-2</v>
      </c>
      <c r="BT368" s="72">
        <f t="shared" si="1119"/>
        <v>-0.31656916184431583</v>
      </c>
      <c r="BU368" s="72">
        <f t="shared" si="1119"/>
        <v>0.22363935038267688</v>
      </c>
      <c r="BV368" s="72">
        <f t="shared" si="1119"/>
        <v>-9.7922344595855887E-3</v>
      </c>
      <c r="BW368" s="72">
        <f t="shared" si="1119"/>
        <v>1.3527720739219717E-2</v>
      </c>
      <c r="BX368" s="72"/>
      <c r="BY368" s="72"/>
      <c r="BZ368" s="72">
        <f t="shared" si="794"/>
        <v>0</v>
      </c>
    </row>
    <row r="369" spans="1:78" ht="13.15">
      <c r="A369" s="78" t="s">
        <v>5</v>
      </c>
      <c r="B369" s="74" t="s">
        <v>781</v>
      </c>
      <c r="C369" s="75" t="s">
        <v>782</v>
      </c>
      <c r="D369" s="75" t="s">
        <v>85</v>
      </c>
      <c r="E369" s="76"/>
      <c r="F369" s="59"/>
      <c r="G369" s="60"/>
      <c r="H369" s="77">
        <v>20795</v>
      </c>
      <c r="I369" s="77">
        <v>6873</v>
      </c>
      <c r="J369" s="77">
        <v>7467</v>
      </c>
      <c r="K369" s="77">
        <v>2441</v>
      </c>
      <c r="L369" s="77">
        <v>3186</v>
      </c>
      <c r="M369" s="77"/>
      <c r="N369" s="77"/>
      <c r="O369" s="77">
        <v>619</v>
      </c>
      <c r="P369" s="77">
        <v>311</v>
      </c>
      <c r="Q369" s="77"/>
      <c r="R369" s="77"/>
      <c r="S369" s="77"/>
      <c r="T369" s="77"/>
      <c r="U369" s="77"/>
      <c r="V369" s="77"/>
      <c r="W369" s="77"/>
      <c r="X369" s="77"/>
      <c r="Y369" s="77">
        <v>220</v>
      </c>
      <c r="Z369" s="77">
        <v>183</v>
      </c>
      <c r="AA369" s="77"/>
      <c r="AB369" s="77"/>
      <c r="AC369" s="77"/>
      <c r="AD369" s="77"/>
      <c r="AE369" s="62"/>
      <c r="AF369" s="63" t="b">
        <v>0</v>
      </c>
      <c r="AG369" s="63" t="b">
        <v>0</v>
      </c>
      <c r="AH369" s="62"/>
      <c r="AI369" s="64">
        <f t="shared" si="786"/>
        <v>42095</v>
      </c>
      <c r="AJ369" s="65" t="str">
        <f t="shared" si="1116"/>
        <v>LAB</v>
      </c>
      <c r="AK369" s="66" t="str">
        <f t="shared" si="787"/>
        <v>HOLD</v>
      </c>
      <c r="AL369" s="67" t="e">
        <f t="shared" ca="1" si="788"/>
        <v>#NAME?</v>
      </c>
      <c r="AM369" s="68">
        <f t="shared" si="637"/>
        <v>13328</v>
      </c>
      <c r="AN369" s="69">
        <f t="shared" si="638"/>
        <v>0.31661717543651263</v>
      </c>
      <c r="AO369" s="62"/>
      <c r="AP369" s="70">
        <f t="shared" ref="AP369:AT369" si="1120">H369/$AI369</f>
        <v>0.49400166290533315</v>
      </c>
      <c r="AQ369" s="70">
        <f t="shared" si="1120"/>
        <v>0.16327354792730728</v>
      </c>
      <c r="AR369" s="70">
        <f t="shared" si="1120"/>
        <v>0.17738448746882052</v>
      </c>
      <c r="AS369" s="70">
        <f t="shared" si="1120"/>
        <v>5.7987884546858298E-2</v>
      </c>
      <c r="AT369" s="70">
        <f t="shared" si="1120"/>
        <v>7.5685948449934676E-2</v>
      </c>
      <c r="AU369" s="70"/>
      <c r="AV369" s="70"/>
      <c r="AW369" s="81">
        <f t="shared" si="790"/>
        <v>3.1666468701746053E-2</v>
      </c>
      <c r="AX369" s="70">
        <f t="shared" ref="AX369:BG369" si="1121">O369/$AI369</f>
        <v>1.4704834303361444E-2</v>
      </c>
      <c r="AY369" s="70">
        <f t="shared" si="1121"/>
        <v>7.3880508373916146E-3</v>
      </c>
      <c r="AZ369" s="70">
        <f t="shared" si="1121"/>
        <v>0</v>
      </c>
      <c r="BA369" s="70">
        <f t="shared" si="1121"/>
        <v>0</v>
      </c>
      <c r="BB369" s="70">
        <f t="shared" si="1121"/>
        <v>0</v>
      </c>
      <c r="BC369" s="70">
        <f t="shared" si="1121"/>
        <v>0</v>
      </c>
      <c r="BD369" s="70">
        <f t="shared" si="1121"/>
        <v>0</v>
      </c>
      <c r="BE369" s="70">
        <f t="shared" si="1121"/>
        <v>0</v>
      </c>
      <c r="BF369" s="70">
        <f t="shared" si="1121"/>
        <v>0</v>
      </c>
      <c r="BG369" s="70">
        <f t="shared" si="1121"/>
        <v>0</v>
      </c>
      <c r="BH369" s="70">
        <f t="shared" si="792"/>
        <v>9.5735835609929952E-3</v>
      </c>
      <c r="BI369" s="62"/>
      <c r="BJ369" s="69">
        <v>0.48399999999999999</v>
      </c>
      <c r="BK369" s="69">
        <v>0.38</v>
      </c>
      <c r="BL369" s="69">
        <v>5.7000000000000002E-2</v>
      </c>
      <c r="BM369" s="69">
        <v>4.9000000000000002E-2</v>
      </c>
      <c r="BN369" s="69">
        <v>0.03</v>
      </c>
      <c r="BO369" s="69">
        <v>0</v>
      </c>
      <c r="BP369" s="69">
        <v>0</v>
      </c>
      <c r="BQ369" s="69">
        <v>0</v>
      </c>
      <c r="BR369" s="62"/>
      <c r="BS369" s="72">
        <f t="shared" ref="BS369:BW369" si="1122">AP369-BJ369</f>
        <v>1.0001662905333164E-2</v>
      </c>
      <c r="BT369" s="72">
        <f t="shared" si="1122"/>
        <v>-0.21672645207269273</v>
      </c>
      <c r="BU369" s="72">
        <f t="shared" si="1122"/>
        <v>0.12038448746882052</v>
      </c>
      <c r="BV369" s="72">
        <f t="shared" si="1122"/>
        <v>8.9878845468582963E-3</v>
      </c>
      <c r="BW369" s="72">
        <f t="shared" si="1122"/>
        <v>4.5685948449934677E-2</v>
      </c>
      <c r="BX369" s="72"/>
      <c r="BY369" s="72"/>
      <c r="BZ369" s="72">
        <f t="shared" si="794"/>
        <v>3.1666468701746053E-2</v>
      </c>
    </row>
    <row r="370" spans="1:78" ht="13.15">
      <c r="A370" s="78" t="s">
        <v>5</v>
      </c>
      <c r="B370" s="74" t="s">
        <v>783</v>
      </c>
      <c r="C370" s="75" t="s">
        <v>784</v>
      </c>
      <c r="D370" s="75" t="s">
        <v>71</v>
      </c>
      <c r="E370" s="76"/>
      <c r="F370" s="59"/>
      <c r="G370" s="60"/>
      <c r="H370" s="77">
        <v>17089</v>
      </c>
      <c r="I370" s="77">
        <v>5406</v>
      </c>
      <c r="J370" s="77">
        <v>10459</v>
      </c>
      <c r="K370" s="77">
        <v>1213</v>
      </c>
      <c r="L370" s="77">
        <v>1651</v>
      </c>
      <c r="M370" s="77"/>
      <c r="N370" s="77"/>
      <c r="O370" s="77"/>
      <c r="P370" s="77"/>
      <c r="Q370" s="77">
        <v>139</v>
      </c>
      <c r="R370" s="77"/>
      <c r="S370" s="77"/>
      <c r="T370" s="77"/>
      <c r="U370" s="77"/>
      <c r="V370" s="77"/>
      <c r="W370" s="77"/>
      <c r="X370" s="77"/>
      <c r="Y370" s="77"/>
      <c r="Z370" s="77"/>
      <c r="AA370" s="77"/>
      <c r="AB370" s="77"/>
      <c r="AC370" s="77"/>
      <c r="AD370" s="77"/>
      <c r="AE370" s="62"/>
      <c r="AF370" s="63" t="b">
        <v>0</v>
      </c>
      <c r="AG370" s="63" t="b">
        <v>0</v>
      </c>
      <c r="AH370" s="62"/>
      <c r="AI370" s="64">
        <f t="shared" si="786"/>
        <v>35957</v>
      </c>
      <c r="AJ370" s="65" t="str">
        <f t="shared" si="1116"/>
        <v>LAB</v>
      </c>
      <c r="AK370" s="66" t="str">
        <f t="shared" si="787"/>
        <v>HOLD</v>
      </c>
      <c r="AL370" s="67" t="e">
        <f t="shared" ca="1" si="788"/>
        <v>#NAME?</v>
      </c>
      <c r="AM370" s="68">
        <f t="shared" si="637"/>
        <v>6630</v>
      </c>
      <c r="AN370" s="69">
        <f t="shared" si="638"/>
        <v>0.18438690658286283</v>
      </c>
      <c r="AO370" s="62"/>
      <c r="AP370" s="70">
        <f t="shared" ref="AP370:AT370" si="1123">H370/$AI370</f>
        <v>0.47526211864171092</v>
      </c>
      <c r="AQ370" s="70">
        <f t="shared" si="1123"/>
        <v>0.15034624690602663</v>
      </c>
      <c r="AR370" s="70">
        <f t="shared" si="1123"/>
        <v>0.29087521205884809</v>
      </c>
      <c r="AS370" s="70">
        <f t="shared" si="1123"/>
        <v>3.3734738715688183E-2</v>
      </c>
      <c r="AT370" s="70">
        <f t="shared" si="1123"/>
        <v>4.5915955168673694E-2</v>
      </c>
      <c r="AU370" s="70"/>
      <c r="AV370" s="70"/>
      <c r="AW370" s="81">
        <f t="shared" si="790"/>
        <v>3.865728509052424E-3</v>
      </c>
      <c r="AX370" s="70">
        <f t="shared" ref="AX370:BG370" si="1124">O370/$AI370</f>
        <v>0</v>
      </c>
      <c r="AY370" s="70">
        <f t="shared" si="1124"/>
        <v>0</v>
      </c>
      <c r="AZ370" s="70">
        <f t="shared" si="1124"/>
        <v>3.8657285090524796E-3</v>
      </c>
      <c r="BA370" s="70">
        <f t="shared" si="1124"/>
        <v>0</v>
      </c>
      <c r="BB370" s="70">
        <f t="shared" si="1124"/>
        <v>0</v>
      </c>
      <c r="BC370" s="70">
        <f t="shared" si="1124"/>
        <v>0</v>
      </c>
      <c r="BD370" s="70">
        <f t="shared" si="1124"/>
        <v>0</v>
      </c>
      <c r="BE370" s="70">
        <f t="shared" si="1124"/>
        <v>0</v>
      </c>
      <c r="BF370" s="70">
        <f t="shared" si="1124"/>
        <v>0</v>
      </c>
      <c r="BG370" s="70">
        <f t="shared" si="1124"/>
        <v>0</v>
      </c>
      <c r="BH370" s="70">
        <f t="shared" si="792"/>
        <v>-5.5511151231257827E-17</v>
      </c>
      <c r="BI370" s="62"/>
      <c r="BJ370" s="69">
        <v>0.38200000000000001</v>
      </c>
      <c r="BK370" s="69">
        <v>0.35599999999999998</v>
      </c>
      <c r="BL370" s="69">
        <v>0.158</v>
      </c>
      <c r="BM370" s="69">
        <v>6.8000000000000005E-2</v>
      </c>
      <c r="BN370" s="69">
        <v>0</v>
      </c>
      <c r="BO370" s="69">
        <v>0</v>
      </c>
      <c r="BP370" s="69">
        <v>0</v>
      </c>
      <c r="BQ370" s="69">
        <v>3.6999999999999998E-2</v>
      </c>
      <c r="BR370" s="62"/>
      <c r="BS370" s="72">
        <f t="shared" ref="BS370:BW370" si="1125">AP370-BJ370</f>
        <v>9.3262118641710912E-2</v>
      </c>
      <c r="BT370" s="72">
        <f t="shared" si="1125"/>
        <v>-0.20565375309397335</v>
      </c>
      <c r="BU370" s="72">
        <f t="shared" si="1125"/>
        <v>0.13287521205884809</v>
      </c>
      <c r="BV370" s="72">
        <f t="shared" si="1125"/>
        <v>-3.4265261284311822E-2</v>
      </c>
      <c r="BW370" s="72">
        <f t="shared" si="1125"/>
        <v>4.5915955168673694E-2</v>
      </c>
      <c r="BX370" s="72"/>
      <c r="BY370" s="72"/>
      <c r="BZ370" s="72">
        <f t="shared" si="794"/>
        <v>-3.3134271490947574E-2</v>
      </c>
    </row>
    <row r="371" spans="1:78" ht="13.15">
      <c r="A371" s="73" t="s">
        <v>6</v>
      </c>
      <c r="B371" s="74" t="s">
        <v>785</v>
      </c>
      <c r="C371" s="75" t="s">
        <v>786</v>
      </c>
      <c r="D371" s="75" t="s">
        <v>85</v>
      </c>
      <c r="E371" s="76"/>
      <c r="F371" s="59"/>
      <c r="G371" s="60"/>
      <c r="H371" s="77">
        <v>14168</v>
      </c>
      <c r="I371" s="77">
        <v>14150</v>
      </c>
      <c r="J371" s="77">
        <v>7429</v>
      </c>
      <c r="K371" s="77">
        <v>5507</v>
      </c>
      <c r="L371" s="77">
        <v>2218</v>
      </c>
      <c r="M371" s="77"/>
      <c r="N371" s="77"/>
      <c r="O371" s="77">
        <v>698</v>
      </c>
      <c r="P371" s="77"/>
      <c r="Q371" s="77"/>
      <c r="R371" s="77"/>
      <c r="S371" s="77"/>
      <c r="T371" s="77"/>
      <c r="U371" s="77"/>
      <c r="V371" s="77"/>
      <c r="W371" s="77"/>
      <c r="X371" s="77"/>
      <c r="Y371" s="77">
        <v>325</v>
      </c>
      <c r="Z371" s="77"/>
      <c r="AA371" s="77"/>
      <c r="AB371" s="77"/>
      <c r="AC371" s="77"/>
      <c r="AD371" s="77"/>
      <c r="AE371" s="62"/>
      <c r="AF371" s="63" t="b">
        <v>0</v>
      </c>
      <c r="AG371" s="63" t="b">
        <v>0</v>
      </c>
      <c r="AH371" s="62"/>
      <c r="AI371" s="64">
        <f t="shared" si="786"/>
        <v>44495</v>
      </c>
      <c r="AJ371" s="65" t="str">
        <f t="shared" si="1116"/>
        <v>LAB</v>
      </c>
      <c r="AK371" s="66" t="str">
        <f t="shared" si="787"/>
        <v>GAIN</v>
      </c>
      <c r="AL371" s="67" t="e">
        <f t="shared" ca="1" si="788"/>
        <v>#NAME?</v>
      </c>
      <c r="AM371" s="68">
        <f t="shared" si="637"/>
        <v>18</v>
      </c>
      <c r="AN371" s="69">
        <f t="shared" si="638"/>
        <v>4.0453983593663478E-4</v>
      </c>
      <c r="AO371" s="62"/>
      <c r="AP371" s="70">
        <f t="shared" ref="AP371:AT371" si="1126">H371/$AI371</f>
        <v>0.31841779975278123</v>
      </c>
      <c r="AQ371" s="70">
        <f t="shared" si="1126"/>
        <v>0.31801325991684459</v>
      </c>
      <c r="AR371" s="70">
        <f t="shared" si="1126"/>
        <v>0.16696258006517586</v>
      </c>
      <c r="AS371" s="70">
        <f t="shared" si="1126"/>
        <v>0.12376671536127655</v>
      </c>
      <c r="AT371" s="70">
        <f t="shared" si="1126"/>
        <v>4.9848297561523765E-2</v>
      </c>
      <c r="AU371" s="70"/>
      <c r="AV371" s="70"/>
      <c r="AW371" s="81">
        <f t="shared" si="790"/>
        <v>2.2991347342397939E-2</v>
      </c>
      <c r="AX371" s="70">
        <f t="shared" ref="AX371:BG371" si="1127">O371/$AI371</f>
        <v>1.5687155860209013E-2</v>
      </c>
      <c r="AY371" s="70">
        <f t="shared" si="1127"/>
        <v>0</v>
      </c>
      <c r="AZ371" s="70">
        <f t="shared" si="1127"/>
        <v>0</v>
      </c>
      <c r="BA371" s="70">
        <f t="shared" si="1127"/>
        <v>0</v>
      </c>
      <c r="BB371" s="70">
        <f t="shared" si="1127"/>
        <v>0</v>
      </c>
      <c r="BC371" s="70">
        <f t="shared" si="1127"/>
        <v>0</v>
      </c>
      <c r="BD371" s="70">
        <f t="shared" si="1127"/>
        <v>0</v>
      </c>
      <c r="BE371" s="70">
        <f t="shared" si="1127"/>
        <v>0</v>
      </c>
      <c r="BF371" s="70">
        <f t="shared" si="1127"/>
        <v>0</v>
      </c>
      <c r="BG371" s="70">
        <f t="shared" si="1127"/>
        <v>0</v>
      </c>
      <c r="BH371" s="70">
        <f t="shared" si="792"/>
        <v>7.3041914821889257E-3</v>
      </c>
      <c r="BI371" s="62"/>
      <c r="BJ371" s="69">
        <v>0.20699999999999999</v>
      </c>
      <c r="BK371" s="69">
        <v>0.58799999999999997</v>
      </c>
      <c r="BL371" s="69">
        <v>0</v>
      </c>
      <c r="BM371" s="69">
        <v>0.154</v>
      </c>
      <c r="BN371" s="69">
        <v>3.4000000000000002E-2</v>
      </c>
      <c r="BO371" s="69">
        <v>0</v>
      </c>
      <c r="BP371" s="69">
        <v>0</v>
      </c>
      <c r="BQ371" s="69">
        <v>1.7000000000000001E-2</v>
      </c>
      <c r="BR371" s="62"/>
      <c r="BS371" s="72">
        <f t="shared" ref="BS371:BW371" si="1128">AP371-BJ371</f>
        <v>0.11141779975278124</v>
      </c>
      <c r="BT371" s="72">
        <f t="shared" si="1128"/>
        <v>-0.26998674008315537</v>
      </c>
      <c r="BU371" s="72">
        <f t="shared" si="1128"/>
        <v>0.16696258006517586</v>
      </c>
      <c r="BV371" s="72">
        <f t="shared" si="1128"/>
        <v>-3.0233284638723448E-2</v>
      </c>
      <c r="BW371" s="72">
        <f t="shared" si="1128"/>
        <v>1.5848297561523762E-2</v>
      </c>
      <c r="BX371" s="72"/>
      <c r="BY371" s="72"/>
      <c r="BZ371" s="72">
        <f t="shared" si="794"/>
        <v>5.9913473423979374E-3</v>
      </c>
    </row>
    <row r="372" spans="1:78" ht="13.15">
      <c r="A372" s="78" t="s">
        <v>5</v>
      </c>
      <c r="B372" s="74" t="s">
        <v>787</v>
      </c>
      <c r="C372" s="75" t="s">
        <v>788</v>
      </c>
      <c r="D372" s="75" t="s">
        <v>68</v>
      </c>
      <c r="E372" s="76"/>
      <c r="F372" s="59"/>
      <c r="G372" s="60"/>
      <c r="H372" s="77">
        <v>18535</v>
      </c>
      <c r="I372" s="77">
        <v>4738</v>
      </c>
      <c r="J372" s="77">
        <v>3403</v>
      </c>
      <c r="K372" s="77">
        <v>4189</v>
      </c>
      <c r="L372" s="77">
        <v>5975</v>
      </c>
      <c r="M372" s="77"/>
      <c r="N372" s="77"/>
      <c r="O372" s="77">
        <v>4554</v>
      </c>
      <c r="P372" s="77">
        <v>1463</v>
      </c>
      <c r="Q372" s="77">
        <v>194</v>
      </c>
      <c r="R372" s="77"/>
      <c r="S372" s="77"/>
      <c r="T372" s="77"/>
      <c r="U372" s="77"/>
      <c r="V372" s="77"/>
      <c r="W372" s="77"/>
      <c r="X372" s="77"/>
      <c r="Y372" s="77"/>
      <c r="Z372" s="77"/>
      <c r="AA372" s="77"/>
      <c r="AB372" s="77"/>
      <c r="AC372" s="77"/>
      <c r="AD372" s="77"/>
      <c r="AE372" s="62"/>
      <c r="AF372" s="63" t="b">
        <v>0</v>
      </c>
      <c r="AG372" s="63" t="b">
        <v>0</v>
      </c>
      <c r="AH372" s="62"/>
      <c r="AI372" s="64">
        <f t="shared" si="786"/>
        <v>43051</v>
      </c>
      <c r="AJ372" s="65" t="str">
        <f t="shared" si="1116"/>
        <v>LAB</v>
      </c>
      <c r="AK372" s="66" t="str">
        <f t="shared" si="787"/>
        <v>HOLD</v>
      </c>
      <c r="AL372" s="67" t="e">
        <f t="shared" ca="1" si="788"/>
        <v>#NAME?</v>
      </c>
      <c r="AM372" s="68">
        <f t="shared" si="637"/>
        <v>12560</v>
      </c>
      <c r="AN372" s="69">
        <f t="shared" si="638"/>
        <v>0.29174699774685836</v>
      </c>
      <c r="AO372" s="62"/>
      <c r="AP372" s="70">
        <f t="shared" ref="AP372:AT372" si="1129">H372/$AI372</f>
        <v>0.43053587605398247</v>
      </c>
      <c r="AQ372" s="70">
        <f t="shared" si="1129"/>
        <v>0.11005551555132286</v>
      </c>
      <c r="AR372" s="70">
        <f t="shared" si="1129"/>
        <v>7.9045782908643239E-2</v>
      </c>
      <c r="AS372" s="70">
        <f t="shared" si="1129"/>
        <v>9.7303198531973709E-2</v>
      </c>
      <c r="AT372" s="70">
        <f t="shared" si="1129"/>
        <v>0.13878887830712411</v>
      </c>
      <c r="AU372" s="70"/>
      <c r="AV372" s="70"/>
      <c r="AW372" s="81">
        <f t="shared" si="790"/>
        <v>0.14427074864695366</v>
      </c>
      <c r="AX372" s="70">
        <f t="shared" ref="AX372:BG372" si="1130">O372/$AI372</f>
        <v>0.10578151494738798</v>
      </c>
      <c r="AY372" s="70">
        <f t="shared" si="1130"/>
        <v>3.3982950454112565E-2</v>
      </c>
      <c r="AZ372" s="70">
        <f t="shared" si="1130"/>
        <v>4.5062832454530674E-3</v>
      </c>
      <c r="BA372" s="70">
        <f t="shared" si="1130"/>
        <v>0</v>
      </c>
      <c r="BB372" s="70">
        <f t="shared" si="1130"/>
        <v>0</v>
      </c>
      <c r="BC372" s="70">
        <f t="shared" si="1130"/>
        <v>0</v>
      </c>
      <c r="BD372" s="70">
        <f t="shared" si="1130"/>
        <v>0</v>
      </c>
      <c r="BE372" s="70">
        <f t="shared" si="1130"/>
        <v>0</v>
      </c>
      <c r="BF372" s="70">
        <f t="shared" si="1130"/>
        <v>0</v>
      </c>
      <c r="BG372" s="70">
        <f t="shared" si="1130"/>
        <v>0</v>
      </c>
      <c r="BH372" s="70">
        <f t="shared" si="792"/>
        <v>0</v>
      </c>
      <c r="BI372" s="62"/>
      <c r="BJ372" s="69">
        <v>0.60299999999999998</v>
      </c>
      <c r="BK372" s="69">
        <v>0.17699999999999999</v>
      </c>
      <c r="BL372" s="69">
        <v>2.4E-2</v>
      </c>
      <c r="BM372" s="69">
        <v>0.155</v>
      </c>
      <c r="BN372" s="69">
        <v>3.4000000000000002E-2</v>
      </c>
      <c r="BO372" s="69">
        <v>0</v>
      </c>
      <c r="BP372" s="69">
        <v>0</v>
      </c>
      <c r="BQ372" s="69">
        <v>7.0000000000000001E-3</v>
      </c>
      <c r="BR372" s="62"/>
      <c r="BS372" s="72">
        <f t="shared" ref="BS372:BW372" si="1131">AP372-BJ372</f>
        <v>-0.17246412394601751</v>
      </c>
      <c r="BT372" s="72">
        <f t="shared" si="1131"/>
        <v>-6.6944484448677136E-2</v>
      </c>
      <c r="BU372" s="72">
        <f t="shared" si="1131"/>
        <v>5.5045782908643238E-2</v>
      </c>
      <c r="BV372" s="72">
        <f t="shared" si="1131"/>
        <v>-5.769680146802629E-2</v>
      </c>
      <c r="BW372" s="72">
        <f t="shared" si="1131"/>
        <v>0.10478887830712411</v>
      </c>
      <c r="BX372" s="72"/>
      <c r="BY372" s="72"/>
      <c r="BZ372" s="72">
        <f t="shared" si="794"/>
        <v>0.13727074864695363</v>
      </c>
    </row>
    <row r="373" spans="1:78" ht="13.15">
      <c r="A373" s="73" t="s">
        <v>6</v>
      </c>
      <c r="B373" s="74" t="s">
        <v>789</v>
      </c>
      <c r="C373" s="75" t="s">
        <v>790</v>
      </c>
      <c r="D373" s="75" t="s">
        <v>44</v>
      </c>
      <c r="E373" s="76"/>
      <c r="F373" s="59"/>
      <c r="G373" s="60"/>
      <c r="H373" s="77">
        <v>14495</v>
      </c>
      <c r="I373" s="77">
        <v>13715</v>
      </c>
      <c r="J373" s="77">
        <v>8501</v>
      </c>
      <c r="K373" s="77">
        <v>3031</v>
      </c>
      <c r="L373" s="77">
        <v>1851</v>
      </c>
      <c r="M373" s="77"/>
      <c r="N373" s="77"/>
      <c r="O373" s="77"/>
      <c r="P373" s="77"/>
      <c r="Q373" s="77"/>
      <c r="R373" s="77"/>
      <c r="S373" s="77"/>
      <c r="T373" s="77"/>
      <c r="U373" s="77"/>
      <c r="V373" s="77"/>
      <c r="W373" s="77"/>
      <c r="X373" s="77"/>
      <c r="Y373" s="77"/>
      <c r="Z373" s="77"/>
      <c r="AA373" s="77"/>
      <c r="AB373" s="77"/>
      <c r="AC373" s="77"/>
      <c r="AD373" s="77"/>
      <c r="AE373" s="62"/>
      <c r="AF373" s="63" t="b">
        <v>0</v>
      </c>
      <c r="AG373" s="63" t="b">
        <v>0</v>
      </c>
      <c r="AH373" s="62"/>
      <c r="AI373" s="64">
        <f t="shared" si="786"/>
        <v>41593</v>
      </c>
      <c r="AJ373" s="65" t="str">
        <f t="shared" si="1116"/>
        <v>LAB</v>
      </c>
      <c r="AK373" s="66" t="str">
        <f t="shared" si="787"/>
        <v>GAIN</v>
      </c>
      <c r="AL373" s="67" t="e">
        <f t="shared" ca="1" si="788"/>
        <v>#NAME?</v>
      </c>
      <c r="AM373" s="68">
        <f t="shared" si="637"/>
        <v>780</v>
      </c>
      <c r="AN373" s="69">
        <f t="shared" si="638"/>
        <v>1.8753155579063818E-2</v>
      </c>
      <c r="AO373" s="62"/>
      <c r="AP373" s="70">
        <f t="shared" ref="AP373:AT373" si="1132">H373/$AI373</f>
        <v>0.34849614117760203</v>
      </c>
      <c r="AQ373" s="70">
        <f t="shared" si="1132"/>
        <v>0.32974298559853821</v>
      </c>
      <c r="AR373" s="70">
        <f t="shared" si="1132"/>
        <v>0.20438535330464261</v>
      </c>
      <c r="AS373" s="70">
        <f t="shared" si="1132"/>
        <v>7.2872839179669663E-2</v>
      </c>
      <c r="AT373" s="70">
        <f t="shared" si="1132"/>
        <v>4.4502680739547523E-2</v>
      </c>
      <c r="AU373" s="70"/>
      <c r="AV373" s="70"/>
      <c r="AW373" s="81">
        <f t="shared" si="790"/>
        <v>0</v>
      </c>
      <c r="AX373" s="70">
        <f t="shared" ref="AX373:BG373" si="1133">O373/$AI373</f>
        <v>0</v>
      </c>
      <c r="AY373" s="70">
        <f t="shared" si="1133"/>
        <v>0</v>
      </c>
      <c r="AZ373" s="70">
        <f t="shared" si="1133"/>
        <v>0</v>
      </c>
      <c r="BA373" s="70">
        <f t="shared" si="1133"/>
        <v>0</v>
      </c>
      <c r="BB373" s="70">
        <f t="shared" si="1133"/>
        <v>0</v>
      </c>
      <c r="BC373" s="70">
        <f t="shared" si="1133"/>
        <v>0</v>
      </c>
      <c r="BD373" s="70">
        <f t="shared" si="1133"/>
        <v>0</v>
      </c>
      <c r="BE373" s="70">
        <f t="shared" si="1133"/>
        <v>0</v>
      </c>
      <c r="BF373" s="70">
        <f t="shared" si="1133"/>
        <v>0</v>
      </c>
      <c r="BG373" s="70">
        <f t="shared" si="1133"/>
        <v>0</v>
      </c>
      <c r="BH373" s="70">
        <f t="shared" si="792"/>
        <v>0</v>
      </c>
      <c r="BI373" s="62"/>
      <c r="BJ373" s="69">
        <v>0.27</v>
      </c>
      <c r="BK373" s="69">
        <v>0.61399999999999999</v>
      </c>
      <c r="BL373" s="69">
        <v>0</v>
      </c>
      <c r="BM373" s="69">
        <v>7.4999999999999997E-2</v>
      </c>
      <c r="BN373" s="69">
        <v>2.8000000000000001E-2</v>
      </c>
      <c r="BO373" s="69">
        <v>0</v>
      </c>
      <c r="BP373" s="69">
        <v>0</v>
      </c>
      <c r="BQ373" s="69">
        <v>1.4E-2</v>
      </c>
      <c r="BR373" s="62"/>
      <c r="BS373" s="72">
        <f t="shared" ref="BS373:BW373" si="1134">AP373-BJ373</f>
        <v>7.8496141177602008E-2</v>
      </c>
      <c r="BT373" s="72">
        <f t="shared" si="1134"/>
        <v>-0.28425701440146178</v>
      </c>
      <c r="BU373" s="72">
        <f t="shared" si="1134"/>
        <v>0.20438535330464261</v>
      </c>
      <c r="BV373" s="72">
        <f t="shared" si="1134"/>
        <v>-2.1271608203303344E-3</v>
      </c>
      <c r="BW373" s="72">
        <f t="shared" si="1134"/>
        <v>1.6502680739547523E-2</v>
      </c>
      <c r="BX373" s="72"/>
      <c r="BY373" s="72"/>
      <c r="BZ373" s="72">
        <f t="shared" si="794"/>
        <v>-1.4E-2</v>
      </c>
    </row>
    <row r="374" spans="1:78" ht="13.15">
      <c r="A374" s="78" t="s">
        <v>5</v>
      </c>
      <c r="B374" s="74" t="s">
        <v>791</v>
      </c>
      <c r="C374" s="75" t="s">
        <v>792</v>
      </c>
      <c r="D374" s="75" t="s">
        <v>44</v>
      </c>
      <c r="E374" s="76"/>
      <c r="F374" s="59"/>
      <c r="G374" s="60"/>
      <c r="H374" s="77">
        <v>18857</v>
      </c>
      <c r="I374" s="77">
        <v>5643</v>
      </c>
      <c r="J374" s="77">
        <v>5702</v>
      </c>
      <c r="K374" s="77">
        <v>4886</v>
      </c>
      <c r="L374" s="77">
        <v>3107</v>
      </c>
      <c r="M374" s="77"/>
      <c r="N374" s="77"/>
      <c r="O374" s="77"/>
      <c r="P374" s="77"/>
      <c r="Q374" s="77"/>
      <c r="R374" s="77">
        <v>733</v>
      </c>
      <c r="S374" s="77"/>
      <c r="T374" s="77"/>
      <c r="U374" s="77"/>
      <c r="V374" s="77"/>
      <c r="W374" s="77"/>
      <c r="X374" s="77"/>
      <c r="Y374" s="77"/>
      <c r="Z374" s="77"/>
      <c r="AA374" s="77"/>
      <c r="AB374" s="77"/>
      <c r="AC374" s="77"/>
      <c r="AD374" s="77"/>
      <c r="AE374" s="62"/>
      <c r="AF374" s="63" t="b">
        <v>0</v>
      </c>
      <c r="AG374" s="63" t="b">
        <v>0</v>
      </c>
      <c r="AH374" s="62"/>
      <c r="AI374" s="64">
        <f t="shared" si="786"/>
        <v>38928</v>
      </c>
      <c r="AJ374" s="65" t="str">
        <f t="shared" si="1116"/>
        <v>LAB</v>
      </c>
      <c r="AK374" s="66" t="str">
        <f t="shared" si="787"/>
        <v>HOLD</v>
      </c>
      <c r="AL374" s="67" t="e">
        <f t="shared" ca="1" si="788"/>
        <v>#NAME?</v>
      </c>
      <c r="AM374" s="68">
        <f t="shared" si="637"/>
        <v>13155</v>
      </c>
      <c r="AN374" s="69">
        <f t="shared" si="638"/>
        <v>0.33793156596794083</v>
      </c>
      <c r="AO374" s="62"/>
      <c r="AP374" s="70">
        <f t="shared" ref="AP374:AT374" si="1135">H374/$AI374</f>
        <v>0.48440711056309083</v>
      </c>
      <c r="AQ374" s="70">
        <f t="shared" si="1135"/>
        <v>0.14495992601726265</v>
      </c>
      <c r="AR374" s="70">
        <f t="shared" si="1135"/>
        <v>0.14647554459515003</v>
      </c>
      <c r="AS374" s="70">
        <f t="shared" si="1135"/>
        <v>0.12551376900945335</v>
      </c>
      <c r="AT374" s="70">
        <f t="shared" si="1135"/>
        <v>7.9814015618577885E-2</v>
      </c>
      <c r="AU374" s="70"/>
      <c r="AV374" s="70"/>
      <c r="AW374" s="81">
        <f t="shared" si="790"/>
        <v>1.8829634196465328E-2</v>
      </c>
      <c r="AX374" s="70">
        <f t="shared" ref="AX374:BG374" si="1136">O374/$AI374</f>
        <v>0</v>
      </c>
      <c r="AY374" s="70">
        <f t="shared" si="1136"/>
        <v>0</v>
      </c>
      <c r="AZ374" s="70">
        <f t="shared" si="1136"/>
        <v>0</v>
      </c>
      <c r="BA374" s="70">
        <f t="shared" si="1136"/>
        <v>1.8829634196465269E-2</v>
      </c>
      <c r="BB374" s="70">
        <f t="shared" si="1136"/>
        <v>0</v>
      </c>
      <c r="BC374" s="70">
        <f t="shared" si="1136"/>
        <v>0</v>
      </c>
      <c r="BD374" s="70">
        <f t="shared" si="1136"/>
        <v>0</v>
      </c>
      <c r="BE374" s="70">
        <f t="shared" si="1136"/>
        <v>0</v>
      </c>
      <c r="BF374" s="70">
        <f t="shared" si="1136"/>
        <v>0</v>
      </c>
      <c r="BG374" s="70">
        <f t="shared" si="1136"/>
        <v>0</v>
      </c>
      <c r="BH374" s="70">
        <f t="shared" si="792"/>
        <v>5.8980598183211441E-17</v>
      </c>
      <c r="BI374" s="62"/>
      <c r="BJ374" s="69">
        <v>0.48599999999999999</v>
      </c>
      <c r="BK374" s="69">
        <v>0.373</v>
      </c>
      <c r="BL374" s="69">
        <v>2.1000000000000001E-2</v>
      </c>
      <c r="BM374" s="69">
        <v>0.114</v>
      </c>
      <c r="BN374" s="69">
        <v>0</v>
      </c>
      <c r="BO374" s="69">
        <v>0</v>
      </c>
      <c r="BP374" s="69">
        <v>0</v>
      </c>
      <c r="BQ374" s="69">
        <v>5.0000000000000001E-3</v>
      </c>
      <c r="BR374" s="62"/>
      <c r="BS374" s="72">
        <f t="shared" ref="BS374:BW374" si="1137">AP374-BJ374</f>
        <v>-1.5928894369091617E-3</v>
      </c>
      <c r="BT374" s="72">
        <f t="shared" si="1137"/>
        <v>-0.22804007398273735</v>
      </c>
      <c r="BU374" s="72">
        <f t="shared" si="1137"/>
        <v>0.12547554459515003</v>
      </c>
      <c r="BV374" s="72">
        <f t="shared" si="1137"/>
        <v>1.1513769009453348E-2</v>
      </c>
      <c r="BW374" s="72">
        <f t="shared" si="1137"/>
        <v>7.9814015618577885E-2</v>
      </c>
      <c r="BX374" s="72"/>
      <c r="BY374" s="72"/>
      <c r="BZ374" s="72">
        <f t="shared" si="794"/>
        <v>1.3829634196465327E-2</v>
      </c>
    </row>
    <row r="375" spans="1:78" ht="13.15">
      <c r="A375" s="78" t="s">
        <v>5</v>
      </c>
      <c r="B375" s="74" t="s">
        <v>793</v>
      </c>
      <c r="C375" s="75" t="s">
        <v>794</v>
      </c>
      <c r="D375" s="75" t="s">
        <v>50</v>
      </c>
      <c r="E375" s="76"/>
      <c r="F375" s="59"/>
      <c r="G375" s="60"/>
      <c r="H375" s="77">
        <v>14006</v>
      </c>
      <c r="I375" s="77">
        <v>5212</v>
      </c>
      <c r="J375" s="77">
        <v>5738</v>
      </c>
      <c r="K375" s="77">
        <v>3195</v>
      </c>
      <c r="L375" s="77">
        <v>1751</v>
      </c>
      <c r="M375" s="77"/>
      <c r="N375" s="77"/>
      <c r="O375" s="77">
        <v>8715</v>
      </c>
      <c r="P375" s="77"/>
      <c r="Q375" s="77"/>
      <c r="R375" s="77"/>
      <c r="S375" s="77"/>
      <c r="T375" s="77"/>
      <c r="U375" s="77"/>
      <c r="V375" s="77"/>
      <c r="W375" s="77"/>
      <c r="X375" s="77"/>
      <c r="Y375" s="77">
        <v>891</v>
      </c>
      <c r="Z375" s="77">
        <v>216</v>
      </c>
      <c r="AA375" s="77">
        <v>145</v>
      </c>
      <c r="AB375" s="77">
        <v>124</v>
      </c>
      <c r="AC375" s="77"/>
      <c r="AD375" s="77"/>
      <c r="AE375" s="62"/>
      <c r="AF375" s="63" t="b">
        <v>0</v>
      </c>
      <c r="AG375" s="63" t="b">
        <v>0</v>
      </c>
      <c r="AH375" s="62"/>
      <c r="AI375" s="64">
        <f t="shared" si="786"/>
        <v>39993</v>
      </c>
      <c r="AJ375" s="65" t="str">
        <f t="shared" si="1116"/>
        <v>LAB</v>
      </c>
      <c r="AK375" s="66" t="str">
        <f t="shared" si="787"/>
        <v>HOLD</v>
      </c>
      <c r="AL375" s="67" t="e">
        <f t="shared" ca="1" si="788"/>
        <v>#NAME?</v>
      </c>
      <c r="AM375" s="68">
        <f t="shared" si="637"/>
        <v>5291</v>
      </c>
      <c r="AN375" s="69">
        <f t="shared" si="638"/>
        <v>0.13229815217663088</v>
      </c>
      <c r="AO375" s="62"/>
      <c r="AP375" s="70">
        <f t="shared" ref="AP375:AT375" si="1138">H375/$AI375</f>
        <v>0.35021128697522064</v>
      </c>
      <c r="AQ375" s="70">
        <f t="shared" si="1138"/>
        <v>0.13032280649113595</v>
      </c>
      <c r="AR375" s="70">
        <f t="shared" si="1138"/>
        <v>0.1434751081439252</v>
      </c>
      <c r="AS375" s="70">
        <f t="shared" si="1138"/>
        <v>7.988898057160003E-2</v>
      </c>
      <c r="AT375" s="70">
        <f t="shared" si="1138"/>
        <v>4.3782661965844023E-2</v>
      </c>
      <c r="AU375" s="70"/>
      <c r="AV375" s="70"/>
      <c r="AW375" s="81">
        <f t="shared" si="790"/>
        <v>0.25231915585227427</v>
      </c>
      <c r="AX375" s="70">
        <f t="shared" ref="AX375:BG375" si="1139">O375/$AI375</f>
        <v>0.21791313479858976</v>
      </c>
      <c r="AY375" s="70">
        <f t="shared" si="1139"/>
        <v>0</v>
      </c>
      <c r="AZ375" s="70">
        <f t="shared" si="1139"/>
        <v>0</v>
      </c>
      <c r="BA375" s="70">
        <f t="shared" si="1139"/>
        <v>0</v>
      </c>
      <c r="BB375" s="70">
        <f t="shared" si="1139"/>
        <v>0</v>
      </c>
      <c r="BC375" s="70">
        <f t="shared" si="1139"/>
        <v>0</v>
      </c>
      <c r="BD375" s="70">
        <f t="shared" si="1139"/>
        <v>0</v>
      </c>
      <c r="BE375" s="70">
        <f t="shared" si="1139"/>
        <v>0</v>
      </c>
      <c r="BF375" s="70">
        <f t="shared" si="1139"/>
        <v>0</v>
      </c>
      <c r="BG375" s="70">
        <f t="shared" si="1139"/>
        <v>0</v>
      </c>
      <c r="BH375" s="70">
        <f t="shared" si="792"/>
        <v>3.440602105368451E-2</v>
      </c>
      <c r="BI375" s="62"/>
      <c r="BJ375" s="69">
        <v>0.57299999999999995</v>
      </c>
      <c r="BK375" s="69">
        <v>0.29799999999999999</v>
      </c>
      <c r="BL375" s="69">
        <v>4.2000000000000003E-2</v>
      </c>
      <c r="BM375" s="69">
        <v>6.8000000000000005E-2</v>
      </c>
      <c r="BN375" s="69">
        <v>0.02</v>
      </c>
      <c r="BO375" s="69">
        <v>0</v>
      </c>
      <c r="BP375" s="69">
        <v>0</v>
      </c>
      <c r="BQ375" s="69">
        <v>0</v>
      </c>
      <c r="BR375" s="62"/>
      <c r="BS375" s="72">
        <f t="shared" ref="BS375:BW375" si="1140">AP375-BJ375</f>
        <v>-0.22278871302477932</v>
      </c>
      <c r="BT375" s="72">
        <f t="shared" si="1140"/>
        <v>-0.16767719350886404</v>
      </c>
      <c r="BU375" s="72">
        <f t="shared" si="1140"/>
        <v>0.10147510814392519</v>
      </c>
      <c r="BV375" s="72">
        <f t="shared" si="1140"/>
        <v>1.1888980571600025E-2</v>
      </c>
      <c r="BW375" s="72">
        <f t="shared" si="1140"/>
        <v>2.3782661965844023E-2</v>
      </c>
      <c r="BX375" s="72"/>
      <c r="BY375" s="72"/>
      <c r="BZ375" s="72">
        <f t="shared" si="794"/>
        <v>0.25231915585227427</v>
      </c>
    </row>
    <row r="376" spans="1:78" ht="13.15">
      <c r="A376" s="78" t="s">
        <v>5</v>
      </c>
      <c r="B376" s="74" t="s">
        <v>795</v>
      </c>
      <c r="C376" s="75" t="s">
        <v>796</v>
      </c>
      <c r="D376" s="75" t="s">
        <v>68</v>
      </c>
      <c r="E376" s="76">
        <v>72614</v>
      </c>
      <c r="F376" s="59">
        <v>0.58899999999999997</v>
      </c>
      <c r="G376" s="60"/>
      <c r="H376" s="77">
        <v>20952</v>
      </c>
      <c r="I376" s="77">
        <v>10011</v>
      </c>
      <c r="J376" s="77">
        <v>2681</v>
      </c>
      <c r="K376" s="77">
        <v>5189</v>
      </c>
      <c r="L376" s="77">
        <v>3182</v>
      </c>
      <c r="M376" s="77"/>
      <c r="N376" s="77"/>
      <c r="O376" s="77"/>
      <c r="P376" s="77">
        <v>433</v>
      </c>
      <c r="Q376" s="77"/>
      <c r="R376" s="77"/>
      <c r="S376" s="77"/>
      <c r="T376" s="77"/>
      <c r="U376" s="77"/>
      <c r="V376" s="77"/>
      <c r="W376" s="77"/>
      <c r="X376" s="77"/>
      <c r="Y376" s="77">
        <v>289</v>
      </c>
      <c r="Z376" s="77"/>
      <c r="AA376" s="77"/>
      <c r="AB376" s="77"/>
      <c r="AC376" s="77"/>
      <c r="AD376" s="77"/>
      <c r="AE376" s="62"/>
      <c r="AF376" s="63" t="b">
        <v>0</v>
      </c>
      <c r="AG376" s="63" t="b">
        <v>0</v>
      </c>
      <c r="AH376" s="62"/>
      <c r="AI376" s="64">
        <f t="shared" si="786"/>
        <v>42737</v>
      </c>
      <c r="AJ376" s="65" t="str">
        <f t="shared" si="1116"/>
        <v>LAB</v>
      </c>
      <c r="AK376" s="66" t="str">
        <f t="shared" si="787"/>
        <v>HOLD</v>
      </c>
      <c r="AL376" s="67" t="e">
        <f t="shared" ca="1" si="788"/>
        <v>#NAME?</v>
      </c>
      <c r="AM376" s="68">
        <f t="shared" si="637"/>
        <v>10941</v>
      </c>
      <c r="AN376" s="69">
        <f t="shared" si="638"/>
        <v>0.25600767484849196</v>
      </c>
      <c r="AO376" s="62"/>
      <c r="AP376" s="70">
        <f t="shared" ref="AP376:AT376" si="1141">H376/$AI376</f>
        <v>0.49025434635093712</v>
      </c>
      <c r="AQ376" s="70">
        <f t="shared" si="1141"/>
        <v>0.23424667150244519</v>
      </c>
      <c r="AR376" s="70">
        <f t="shared" si="1141"/>
        <v>6.2732526850270254E-2</v>
      </c>
      <c r="AS376" s="70">
        <f t="shared" si="1141"/>
        <v>0.12141703909960924</v>
      </c>
      <c r="AT376" s="70">
        <f t="shared" si="1141"/>
        <v>7.4455389943140604E-2</v>
      </c>
      <c r="AU376" s="70"/>
      <c r="AV376" s="70"/>
      <c r="AW376" s="81">
        <f t="shared" si="790"/>
        <v>1.6894026253597705E-2</v>
      </c>
      <c r="AX376" s="70">
        <f t="shared" ref="AX376:BG376" si="1142">O376/$AI376</f>
        <v>0</v>
      </c>
      <c r="AY376" s="70">
        <f t="shared" si="1142"/>
        <v>1.0131735966492734E-2</v>
      </c>
      <c r="AZ376" s="70">
        <f t="shared" si="1142"/>
        <v>0</v>
      </c>
      <c r="BA376" s="70">
        <f t="shared" si="1142"/>
        <v>0</v>
      </c>
      <c r="BB376" s="70">
        <f t="shared" si="1142"/>
        <v>0</v>
      </c>
      <c r="BC376" s="70">
        <f t="shared" si="1142"/>
        <v>0</v>
      </c>
      <c r="BD376" s="70">
        <f t="shared" si="1142"/>
        <v>0</v>
      </c>
      <c r="BE376" s="70">
        <f t="shared" si="1142"/>
        <v>0</v>
      </c>
      <c r="BF376" s="70">
        <f t="shared" si="1142"/>
        <v>0</v>
      </c>
      <c r="BG376" s="70">
        <f t="shared" si="1142"/>
        <v>0</v>
      </c>
      <c r="BH376" s="70">
        <f t="shared" si="792"/>
        <v>6.7622902871049707E-3</v>
      </c>
      <c r="BI376" s="62"/>
      <c r="BJ376" s="69">
        <v>0.443</v>
      </c>
      <c r="BK376" s="69">
        <v>0.36399999999999999</v>
      </c>
      <c r="BL376" s="69">
        <v>1E-3</v>
      </c>
      <c r="BM376" s="69">
        <v>0.16900000000000001</v>
      </c>
      <c r="BN376" s="69">
        <v>2.3E-2</v>
      </c>
      <c r="BO376" s="69">
        <v>0</v>
      </c>
      <c r="BP376" s="69">
        <v>0</v>
      </c>
      <c r="BQ376" s="69">
        <v>0</v>
      </c>
      <c r="BR376" s="62"/>
      <c r="BS376" s="72">
        <f t="shared" ref="BS376:BW376" si="1143">AP376-BJ376</f>
        <v>4.7254346350937115E-2</v>
      </c>
      <c r="BT376" s="72">
        <f t="shared" si="1143"/>
        <v>-0.1297533284975548</v>
      </c>
      <c r="BU376" s="72">
        <f t="shared" si="1143"/>
        <v>6.1732526850270253E-2</v>
      </c>
      <c r="BV376" s="72">
        <f t="shared" si="1143"/>
        <v>-4.7582960900390769E-2</v>
      </c>
      <c r="BW376" s="72">
        <f t="shared" si="1143"/>
        <v>5.1455389943140604E-2</v>
      </c>
      <c r="BX376" s="72"/>
      <c r="BY376" s="72"/>
      <c r="BZ376" s="72">
        <f t="shared" si="794"/>
        <v>1.6894026253597705E-2</v>
      </c>
    </row>
    <row r="377" spans="1:78" ht="13.15">
      <c r="A377" s="78" t="s">
        <v>5</v>
      </c>
      <c r="B377" s="74" t="s">
        <v>797</v>
      </c>
      <c r="C377" s="75" t="s">
        <v>798</v>
      </c>
      <c r="D377" s="75" t="s">
        <v>68</v>
      </c>
      <c r="E377" s="76"/>
      <c r="F377" s="59"/>
      <c r="G377" s="60"/>
      <c r="H377" s="77">
        <v>20126</v>
      </c>
      <c r="I377" s="77">
        <v>5088</v>
      </c>
      <c r="J377" s="77">
        <v>2106</v>
      </c>
      <c r="K377" s="77">
        <v>3417</v>
      </c>
      <c r="L377" s="77">
        <v>5213</v>
      </c>
      <c r="M377" s="77"/>
      <c r="N377" s="77"/>
      <c r="O377" s="77">
        <v>601</v>
      </c>
      <c r="P377" s="77">
        <v>1792</v>
      </c>
      <c r="Q377" s="77"/>
      <c r="R377" s="77"/>
      <c r="S377" s="77"/>
      <c r="T377" s="77"/>
      <c r="U377" s="77"/>
      <c r="V377" s="77"/>
      <c r="W377" s="77"/>
      <c r="X377" s="77"/>
      <c r="Y377" s="77"/>
      <c r="Z377" s="77"/>
      <c r="AA377" s="77"/>
      <c r="AB377" s="77"/>
      <c r="AC377" s="77"/>
      <c r="AD377" s="77"/>
      <c r="AE377" s="62"/>
      <c r="AF377" s="63" t="b">
        <v>0</v>
      </c>
      <c r="AG377" s="63" t="b">
        <v>0</v>
      </c>
      <c r="AH377" s="62"/>
      <c r="AI377" s="64">
        <f t="shared" si="786"/>
        <v>38343</v>
      </c>
      <c r="AJ377" s="65" t="str">
        <f t="shared" si="1116"/>
        <v>LAB</v>
      </c>
      <c r="AK377" s="66" t="str">
        <f t="shared" si="787"/>
        <v>HOLD</v>
      </c>
      <c r="AL377" s="67" t="e">
        <f t="shared" ca="1" si="788"/>
        <v>#NAME?</v>
      </c>
      <c r="AM377" s="68">
        <f t="shared" si="637"/>
        <v>14913</v>
      </c>
      <c r="AN377" s="69">
        <f t="shared" si="638"/>
        <v>0.38893670291839449</v>
      </c>
      <c r="AO377" s="62"/>
      <c r="AP377" s="70">
        <f t="shared" ref="AP377:AT377" si="1144">H377/$AI377</f>
        <v>0.52489372245259891</v>
      </c>
      <c r="AQ377" s="70">
        <f t="shared" si="1144"/>
        <v>0.13269697206791331</v>
      </c>
      <c r="AR377" s="70">
        <f t="shared" si="1144"/>
        <v>5.492527971207261E-2</v>
      </c>
      <c r="AS377" s="70">
        <f t="shared" si="1144"/>
        <v>8.9116657538533761E-2</v>
      </c>
      <c r="AT377" s="70">
        <f t="shared" si="1144"/>
        <v>0.13595701953420442</v>
      </c>
      <c r="AU377" s="70"/>
      <c r="AV377" s="70"/>
      <c r="AW377" s="81">
        <f t="shared" si="790"/>
        <v>6.2410348694676987E-2</v>
      </c>
      <c r="AX377" s="70">
        <f t="shared" ref="AX377:BG377" si="1145">O377/$AI377</f>
        <v>1.5674308217927653E-2</v>
      </c>
      <c r="AY377" s="70">
        <f t="shared" si="1145"/>
        <v>4.6736040476749341E-2</v>
      </c>
      <c r="AZ377" s="70">
        <f t="shared" si="1145"/>
        <v>0</v>
      </c>
      <c r="BA377" s="70">
        <f t="shared" si="1145"/>
        <v>0</v>
      </c>
      <c r="BB377" s="70">
        <f t="shared" si="1145"/>
        <v>0</v>
      </c>
      <c r="BC377" s="70">
        <f t="shared" si="1145"/>
        <v>0</v>
      </c>
      <c r="BD377" s="70">
        <f t="shared" si="1145"/>
        <v>0</v>
      </c>
      <c r="BE377" s="70">
        <f t="shared" si="1145"/>
        <v>0</v>
      </c>
      <c r="BF377" s="70">
        <f t="shared" si="1145"/>
        <v>0</v>
      </c>
      <c r="BG377" s="70">
        <f t="shared" si="1145"/>
        <v>0</v>
      </c>
      <c r="BH377" s="70">
        <f t="shared" si="792"/>
        <v>0</v>
      </c>
      <c r="BI377" s="62"/>
      <c r="BJ377" s="69">
        <v>0.61899999999999999</v>
      </c>
      <c r="BK377" s="69">
        <v>0.19800000000000001</v>
      </c>
      <c r="BL377" s="69">
        <v>8.9999999999999993E-3</v>
      </c>
      <c r="BM377" s="69">
        <v>0.13900000000000001</v>
      </c>
      <c r="BN377" s="69">
        <v>3.2000000000000001E-2</v>
      </c>
      <c r="BO377" s="69">
        <v>0</v>
      </c>
      <c r="BP377" s="69">
        <v>0</v>
      </c>
      <c r="BQ377" s="69">
        <v>3.0000000000000001E-3</v>
      </c>
      <c r="BR377" s="62"/>
      <c r="BS377" s="72">
        <f t="shared" ref="BS377:BW377" si="1146">AP377-BJ377</f>
        <v>-9.4106277547401085E-2</v>
      </c>
      <c r="BT377" s="72">
        <f t="shared" si="1146"/>
        <v>-6.5303027932086699E-2</v>
      </c>
      <c r="BU377" s="72">
        <f t="shared" si="1146"/>
        <v>4.5925279712072609E-2</v>
      </c>
      <c r="BV377" s="72">
        <f t="shared" si="1146"/>
        <v>-4.9883342461466251E-2</v>
      </c>
      <c r="BW377" s="72">
        <f t="shared" si="1146"/>
        <v>0.10395701953420441</v>
      </c>
      <c r="BX377" s="72"/>
      <c r="BY377" s="72"/>
      <c r="BZ377" s="72">
        <f t="shared" si="794"/>
        <v>5.9410348694676991E-2</v>
      </c>
    </row>
    <row r="378" spans="1:78" ht="13.15">
      <c r="A378" s="78" t="s">
        <v>5</v>
      </c>
      <c r="B378" s="74" t="s">
        <v>799</v>
      </c>
      <c r="C378" s="75" t="s">
        <v>800</v>
      </c>
      <c r="D378" s="75" t="s">
        <v>71</v>
      </c>
      <c r="E378" s="76"/>
      <c r="F378" s="59"/>
      <c r="G378" s="60"/>
      <c r="H378" s="77">
        <v>16612</v>
      </c>
      <c r="I378" s="77">
        <v>4496</v>
      </c>
      <c r="J378" s="77">
        <v>9704</v>
      </c>
      <c r="K378" s="77">
        <v>1137</v>
      </c>
      <c r="L378" s="77">
        <v>1687</v>
      </c>
      <c r="M378" s="77"/>
      <c r="N378" s="77"/>
      <c r="O378" s="77"/>
      <c r="P378" s="77">
        <v>268</v>
      </c>
      <c r="Q378" s="77"/>
      <c r="R378" s="77"/>
      <c r="S378" s="77"/>
      <c r="T378" s="77"/>
      <c r="U378" s="77"/>
      <c r="V378" s="77"/>
      <c r="W378" s="77"/>
      <c r="X378" s="77"/>
      <c r="Y378" s="77"/>
      <c r="Z378" s="77"/>
      <c r="AA378" s="77"/>
      <c r="AB378" s="77"/>
      <c r="AC378" s="77"/>
      <c r="AD378" s="77"/>
      <c r="AE378" s="62"/>
      <c r="AF378" s="63" t="b">
        <v>0</v>
      </c>
      <c r="AG378" s="63" t="b">
        <v>0</v>
      </c>
      <c r="AH378" s="62"/>
      <c r="AI378" s="64">
        <f t="shared" si="786"/>
        <v>33904</v>
      </c>
      <c r="AJ378" s="65" t="str">
        <f t="shared" si="1116"/>
        <v>LAB</v>
      </c>
      <c r="AK378" s="66" t="str">
        <f t="shared" si="787"/>
        <v>HOLD</v>
      </c>
      <c r="AL378" s="67" t="e">
        <f t="shared" ca="1" si="788"/>
        <v>#NAME?</v>
      </c>
      <c r="AM378" s="68">
        <f t="shared" si="637"/>
        <v>6908</v>
      </c>
      <c r="AN378" s="69">
        <f t="shared" si="638"/>
        <v>0.20375176970268999</v>
      </c>
      <c r="AO378" s="62"/>
      <c r="AP378" s="70">
        <f t="shared" ref="AP378:AT378" si="1147">H378/$AI378</f>
        <v>0.48997168475696085</v>
      </c>
      <c r="AQ378" s="70">
        <f t="shared" si="1147"/>
        <v>0.13260972156677678</v>
      </c>
      <c r="AR378" s="70">
        <f t="shared" si="1147"/>
        <v>0.28621991505427086</v>
      </c>
      <c r="AS378" s="70">
        <f t="shared" si="1147"/>
        <v>3.3535865974516278E-2</v>
      </c>
      <c r="AT378" s="70">
        <f t="shared" si="1147"/>
        <v>4.9758140632373764E-2</v>
      </c>
      <c r="AU378" s="70"/>
      <c r="AV378" s="70"/>
      <c r="AW378" s="81">
        <f t="shared" si="790"/>
        <v>7.9046720151015881E-3</v>
      </c>
      <c r="AX378" s="70">
        <f t="shared" ref="AX378:BG378" si="1148">O378/$AI378</f>
        <v>0</v>
      </c>
      <c r="AY378" s="70">
        <f t="shared" si="1148"/>
        <v>7.9046720151014632E-3</v>
      </c>
      <c r="AZ378" s="70">
        <f t="shared" si="1148"/>
        <v>0</v>
      </c>
      <c r="BA378" s="70">
        <f t="shared" si="1148"/>
        <v>0</v>
      </c>
      <c r="BB378" s="70">
        <f t="shared" si="1148"/>
        <v>0</v>
      </c>
      <c r="BC378" s="70">
        <f t="shared" si="1148"/>
        <v>0</v>
      </c>
      <c r="BD378" s="70">
        <f t="shared" si="1148"/>
        <v>0</v>
      </c>
      <c r="BE378" s="70">
        <f t="shared" si="1148"/>
        <v>0</v>
      </c>
      <c r="BF378" s="70">
        <f t="shared" si="1148"/>
        <v>0</v>
      </c>
      <c r="BG378" s="70">
        <f t="shared" si="1148"/>
        <v>0</v>
      </c>
      <c r="BH378" s="70">
        <f t="shared" si="792"/>
        <v>1.2490009027033011E-16</v>
      </c>
      <c r="BI378" s="62"/>
      <c r="BJ378" s="69">
        <v>0.40100000000000002</v>
      </c>
      <c r="BK378" s="69">
        <v>0.37</v>
      </c>
      <c r="BL378" s="69">
        <v>0.161</v>
      </c>
      <c r="BM378" s="69">
        <v>3.6999999999999998E-2</v>
      </c>
      <c r="BN378" s="69">
        <v>5.0000000000000001E-3</v>
      </c>
      <c r="BO378" s="69">
        <v>0</v>
      </c>
      <c r="BP378" s="69">
        <v>0</v>
      </c>
      <c r="BQ378" s="69">
        <v>2.7E-2</v>
      </c>
      <c r="BR378" s="62"/>
      <c r="BS378" s="72">
        <f t="shared" ref="BS378:BW378" si="1149">AP378-BJ378</f>
        <v>8.8971684756960823E-2</v>
      </c>
      <c r="BT378" s="72">
        <f t="shared" si="1149"/>
        <v>-0.23739027843322322</v>
      </c>
      <c r="BU378" s="72">
        <f t="shared" si="1149"/>
        <v>0.12521991505427085</v>
      </c>
      <c r="BV378" s="72">
        <f t="shared" si="1149"/>
        <v>-3.46413402548372E-3</v>
      </c>
      <c r="BW378" s="72">
        <f t="shared" si="1149"/>
        <v>4.4758140632373766E-2</v>
      </c>
      <c r="BX378" s="72"/>
      <c r="BY378" s="72"/>
      <c r="BZ378" s="72">
        <f t="shared" si="794"/>
        <v>-1.9095327984898412E-2</v>
      </c>
    </row>
    <row r="379" spans="1:78" ht="13.15">
      <c r="A379" s="73" t="s">
        <v>6</v>
      </c>
      <c r="B379" s="74" t="s">
        <v>801</v>
      </c>
      <c r="C379" s="75" t="s">
        <v>802</v>
      </c>
      <c r="D379" s="75" t="s">
        <v>78</v>
      </c>
      <c r="E379" s="76">
        <v>76422</v>
      </c>
      <c r="F379" s="59">
        <v>0.628</v>
      </c>
      <c r="G379" s="60"/>
      <c r="H379" s="77">
        <v>11823</v>
      </c>
      <c r="I379" s="77">
        <v>17756</v>
      </c>
      <c r="J379" s="77">
        <v>12135</v>
      </c>
      <c r="K379" s="77">
        <v>4068</v>
      </c>
      <c r="L379" s="77">
        <v>2196</v>
      </c>
      <c r="M379" s="77"/>
      <c r="N379" s="77"/>
      <c r="O379" s="77"/>
      <c r="P379" s="77"/>
      <c r="Q379" s="77"/>
      <c r="R379" s="77"/>
      <c r="S379" s="77"/>
      <c r="T379" s="77"/>
      <c r="U379" s="77"/>
      <c r="V379" s="77"/>
      <c r="W379" s="77"/>
      <c r="X379" s="77"/>
      <c r="Y379" s="77"/>
      <c r="Z379" s="77"/>
      <c r="AA379" s="77"/>
      <c r="AB379" s="77"/>
      <c r="AC379" s="77"/>
      <c r="AD379" s="77"/>
      <c r="AE379" s="62"/>
      <c r="AF379" s="63" t="b">
        <v>0</v>
      </c>
      <c r="AG379" s="63" t="b">
        <v>0</v>
      </c>
      <c r="AH379" s="62"/>
      <c r="AI379" s="64">
        <f t="shared" si="786"/>
        <v>47978</v>
      </c>
      <c r="AJ379" s="65" t="str">
        <f t="shared" si="1116"/>
        <v>CON</v>
      </c>
      <c r="AK379" s="66" t="str">
        <f t="shared" si="787"/>
        <v>HOLD</v>
      </c>
      <c r="AL379" s="67" t="e">
        <f t="shared" ca="1" si="788"/>
        <v>#NAME?</v>
      </c>
      <c r="AM379" s="68">
        <f t="shared" si="637"/>
        <v>5621</v>
      </c>
      <c r="AN379" s="69">
        <f t="shared" si="638"/>
        <v>0.11715786402100958</v>
      </c>
      <c r="AO379" s="62"/>
      <c r="AP379" s="70">
        <f t="shared" ref="AP379:AT379" si="1150">H379/$AI379</f>
        <v>0.24642544499562299</v>
      </c>
      <c r="AQ379" s="70">
        <f t="shared" si="1150"/>
        <v>0.37008628954937678</v>
      </c>
      <c r="AR379" s="70">
        <f t="shared" si="1150"/>
        <v>0.2529284255283672</v>
      </c>
      <c r="AS379" s="70">
        <f t="shared" si="1150"/>
        <v>8.4788861561549037E-2</v>
      </c>
      <c r="AT379" s="70">
        <f t="shared" si="1150"/>
        <v>4.5770978365083995E-2</v>
      </c>
      <c r="AU379" s="70"/>
      <c r="AV379" s="70"/>
      <c r="AW379" s="81">
        <f t="shared" si="790"/>
        <v>0</v>
      </c>
      <c r="AX379" s="70">
        <f t="shared" ref="AX379:BG379" si="1151">O379/$AI379</f>
        <v>0</v>
      </c>
      <c r="AY379" s="70">
        <f t="shared" si="1151"/>
        <v>0</v>
      </c>
      <c r="AZ379" s="70">
        <f t="shared" si="1151"/>
        <v>0</v>
      </c>
      <c r="BA379" s="70">
        <f t="shared" si="1151"/>
        <v>0</v>
      </c>
      <c r="BB379" s="70">
        <f t="shared" si="1151"/>
        <v>0</v>
      </c>
      <c r="BC379" s="70">
        <f t="shared" si="1151"/>
        <v>0</v>
      </c>
      <c r="BD379" s="70">
        <f t="shared" si="1151"/>
        <v>0</v>
      </c>
      <c r="BE379" s="70">
        <f t="shared" si="1151"/>
        <v>0</v>
      </c>
      <c r="BF379" s="70">
        <f t="shared" si="1151"/>
        <v>0</v>
      </c>
      <c r="BG379" s="70">
        <f t="shared" si="1151"/>
        <v>0</v>
      </c>
      <c r="BH379" s="70">
        <f t="shared" si="792"/>
        <v>0</v>
      </c>
      <c r="BI379" s="62"/>
      <c r="BJ379" s="69">
        <v>0.157</v>
      </c>
      <c r="BK379" s="69">
        <v>0.72899999999999998</v>
      </c>
      <c r="BL379" s="69">
        <v>0</v>
      </c>
      <c r="BM379" s="69">
        <v>7.6999999999999999E-2</v>
      </c>
      <c r="BN379" s="69">
        <v>3.6999999999999998E-2</v>
      </c>
      <c r="BO379" s="69">
        <v>0</v>
      </c>
      <c r="BP379" s="69">
        <v>0</v>
      </c>
      <c r="BQ379" s="69">
        <v>0</v>
      </c>
      <c r="BR379" s="62"/>
      <c r="BS379" s="72">
        <f t="shared" ref="BS379:BW379" si="1152">AP379-BJ379</f>
        <v>8.9425444995622994E-2</v>
      </c>
      <c r="BT379" s="72">
        <f t="shared" si="1152"/>
        <v>-0.3589137104506232</v>
      </c>
      <c r="BU379" s="72">
        <f t="shared" si="1152"/>
        <v>0.2529284255283672</v>
      </c>
      <c r="BV379" s="72">
        <f t="shared" si="1152"/>
        <v>7.7888615615490375E-3</v>
      </c>
      <c r="BW379" s="72">
        <f t="shared" si="1152"/>
        <v>8.7709783650839965E-3</v>
      </c>
      <c r="BX379" s="72"/>
      <c r="BY379" s="72"/>
      <c r="BZ379" s="72">
        <f t="shared" si="794"/>
        <v>0</v>
      </c>
    </row>
    <row r="380" spans="1:78" ht="13.15">
      <c r="A380" s="78" t="s">
        <v>5</v>
      </c>
      <c r="B380" s="74" t="s">
        <v>803</v>
      </c>
      <c r="C380" s="75" t="s">
        <v>804</v>
      </c>
      <c r="D380" s="75" t="s">
        <v>44</v>
      </c>
      <c r="E380" s="76">
        <v>71238</v>
      </c>
      <c r="F380" s="59">
        <v>0.63500000000000001</v>
      </c>
      <c r="G380" s="60"/>
      <c r="H380" s="77">
        <v>21598</v>
      </c>
      <c r="I380" s="77">
        <v>8961</v>
      </c>
      <c r="J380" s="77">
        <v>3904</v>
      </c>
      <c r="K380" s="77">
        <v>3963</v>
      </c>
      <c r="L380" s="77">
        <v>6417</v>
      </c>
      <c r="M380" s="77"/>
      <c r="N380" s="77"/>
      <c r="O380" s="77">
        <v>227</v>
      </c>
      <c r="P380" s="77"/>
      <c r="Q380" s="77"/>
      <c r="R380" s="77"/>
      <c r="S380" s="77"/>
      <c r="T380" s="77"/>
      <c r="U380" s="77"/>
      <c r="V380" s="77"/>
      <c r="W380" s="77"/>
      <c r="X380" s="77"/>
      <c r="Y380" s="77">
        <v>221</v>
      </c>
      <c r="Z380" s="77"/>
      <c r="AA380" s="77"/>
      <c r="AB380" s="77"/>
      <c r="AC380" s="77"/>
      <c r="AD380" s="77"/>
      <c r="AE380" s="62"/>
      <c r="AF380" s="63" t="b">
        <v>0</v>
      </c>
      <c r="AG380" s="63" t="b">
        <v>0</v>
      </c>
      <c r="AH380" s="62"/>
      <c r="AI380" s="64">
        <f t="shared" si="786"/>
        <v>45291</v>
      </c>
      <c r="AJ380" s="65" t="str">
        <f t="shared" si="1116"/>
        <v>LAB</v>
      </c>
      <c r="AK380" s="66" t="str">
        <f t="shared" si="787"/>
        <v>HOLD</v>
      </c>
      <c r="AL380" s="67" t="e">
        <f t="shared" ca="1" si="788"/>
        <v>#NAME?</v>
      </c>
      <c r="AM380" s="68">
        <f t="shared" si="637"/>
        <v>12637</v>
      </c>
      <c r="AN380" s="69">
        <f t="shared" si="638"/>
        <v>0.27901790642732555</v>
      </c>
      <c r="AO380" s="62"/>
      <c r="AP380" s="70">
        <f t="shared" ref="AP380:AT380" si="1153">H380/$AI380</f>
        <v>0.47687178468128327</v>
      </c>
      <c r="AQ380" s="70">
        <f t="shared" si="1153"/>
        <v>0.19785387825395773</v>
      </c>
      <c r="AR380" s="70">
        <f t="shared" si="1153"/>
        <v>8.619814091099777E-2</v>
      </c>
      <c r="AS380" s="70">
        <f t="shared" si="1153"/>
        <v>8.750082797906869E-2</v>
      </c>
      <c r="AT380" s="70">
        <f t="shared" si="1153"/>
        <v>0.14168377823408623</v>
      </c>
      <c r="AU380" s="70"/>
      <c r="AV380" s="70"/>
      <c r="AW380" s="81">
        <f t="shared" si="790"/>
        <v>9.89158994060646E-3</v>
      </c>
      <c r="AX380" s="70">
        <f t="shared" ref="AX380:BG380" si="1154">O380/$AI380</f>
        <v>5.0120332957982825E-3</v>
      </c>
      <c r="AY380" s="70">
        <f t="shared" si="1154"/>
        <v>0</v>
      </c>
      <c r="AZ380" s="70">
        <f t="shared" si="1154"/>
        <v>0</v>
      </c>
      <c r="BA380" s="70">
        <f t="shared" si="1154"/>
        <v>0</v>
      </c>
      <c r="BB380" s="70">
        <f t="shared" si="1154"/>
        <v>0</v>
      </c>
      <c r="BC380" s="70">
        <f t="shared" si="1154"/>
        <v>0</v>
      </c>
      <c r="BD380" s="70">
        <f t="shared" si="1154"/>
        <v>0</v>
      </c>
      <c r="BE380" s="70">
        <f t="shared" si="1154"/>
        <v>0</v>
      </c>
      <c r="BF380" s="70">
        <f t="shared" si="1154"/>
        <v>0</v>
      </c>
      <c r="BG380" s="70">
        <f t="shared" si="1154"/>
        <v>0</v>
      </c>
      <c r="BH380" s="70">
        <f t="shared" si="792"/>
        <v>4.8795566448081775E-3</v>
      </c>
      <c r="BI380" s="62"/>
      <c r="BJ380" s="69">
        <v>0.52600000000000002</v>
      </c>
      <c r="BK380" s="69">
        <v>0.36399999999999999</v>
      </c>
      <c r="BL380" s="69">
        <v>1.0999999999999999E-2</v>
      </c>
      <c r="BM380" s="69">
        <v>6.4000000000000001E-2</v>
      </c>
      <c r="BN380" s="69">
        <v>3.1E-2</v>
      </c>
      <c r="BO380" s="69">
        <v>0</v>
      </c>
      <c r="BP380" s="69">
        <v>0</v>
      </c>
      <c r="BQ380" s="69">
        <v>4.0000000000000001E-3</v>
      </c>
      <c r="BR380" s="62"/>
      <c r="BS380" s="72">
        <f t="shared" ref="BS380:BW380" si="1155">AP380-BJ380</f>
        <v>-4.912821531871675E-2</v>
      </c>
      <c r="BT380" s="72">
        <f t="shared" si="1155"/>
        <v>-0.16614612174604226</v>
      </c>
      <c r="BU380" s="72">
        <f t="shared" si="1155"/>
        <v>7.5198140910997774E-2</v>
      </c>
      <c r="BV380" s="72">
        <f t="shared" si="1155"/>
        <v>2.3500827979068689E-2</v>
      </c>
      <c r="BW380" s="72">
        <f t="shared" si="1155"/>
        <v>0.11068377823408623</v>
      </c>
      <c r="BX380" s="72"/>
      <c r="BY380" s="72"/>
      <c r="BZ380" s="72">
        <f t="shared" si="794"/>
        <v>5.8915899406064599E-3</v>
      </c>
    </row>
    <row r="381" spans="1:78" ht="13.15">
      <c r="A381" s="73" t="s">
        <v>6</v>
      </c>
      <c r="B381" s="74" t="s">
        <v>805</v>
      </c>
      <c r="C381" s="75" t="s">
        <v>806</v>
      </c>
      <c r="D381" s="75" t="s">
        <v>44</v>
      </c>
      <c r="E381" s="76"/>
      <c r="F381" s="59"/>
      <c r="G381" s="60"/>
      <c r="H381" s="77">
        <v>16273</v>
      </c>
      <c r="I381" s="77">
        <v>14912</v>
      </c>
      <c r="J381" s="77">
        <v>6260</v>
      </c>
      <c r="K381" s="77">
        <v>513</v>
      </c>
      <c r="L381" s="77">
        <v>3169</v>
      </c>
      <c r="M381" s="77"/>
      <c r="N381" s="77"/>
      <c r="O381" s="77">
        <v>562</v>
      </c>
      <c r="P381" s="77"/>
      <c r="Q381" s="77"/>
      <c r="R381" s="77"/>
      <c r="S381" s="77"/>
      <c r="T381" s="77"/>
      <c r="U381" s="77"/>
      <c r="V381" s="77"/>
      <c r="W381" s="77"/>
      <c r="X381" s="77"/>
      <c r="Y381" s="77">
        <v>272</v>
      </c>
      <c r="Z381" s="77"/>
      <c r="AA381" s="77"/>
      <c r="AB381" s="77"/>
      <c r="AC381" s="77"/>
      <c r="AD381" s="77"/>
      <c r="AE381" s="62"/>
      <c r="AF381" s="63" t="b">
        <v>0</v>
      </c>
      <c r="AG381" s="63" t="b">
        <v>0</v>
      </c>
      <c r="AH381" s="62"/>
      <c r="AI381" s="64">
        <f t="shared" si="786"/>
        <v>41961</v>
      </c>
      <c r="AJ381" s="65" t="str">
        <f t="shared" si="1116"/>
        <v>LAB</v>
      </c>
      <c r="AK381" s="66" t="str">
        <f t="shared" si="787"/>
        <v>GAIN</v>
      </c>
      <c r="AL381" s="67" t="e">
        <f t="shared" ca="1" si="788"/>
        <v>#NAME?</v>
      </c>
      <c r="AM381" s="68">
        <f t="shared" si="637"/>
        <v>1361</v>
      </c>
      <c r="AN381" s="69">
        <f t="shared" si="638"/>
        <v>3.2434880007626121E-2</v>
      </c>
      <c r="AO381" s="62"/>
      <c r="AP381" s="70">
        <f t="shared" ref="AP381:AT381" si="1156">H381/$AI381</f>
        <v>0.38781249255260836</v>
      </c>
      <c r="AQ381" s="70">
        <f t="shared" si="1156"/>
        <v>0.35537761254498224</v>
      </c>
      <c r="AR381" s="70">
        <f t="shared" si="1156"/>
        <v>0.14918614904315913</v>
      </c>
      <c r="AS381" s="70">
        <f t="shared" si="1156"/>
        <v>1.2225638092514477E-2</v>
      </c>
      <c r="AT381" s="70">
        <f t="shared" si="1156"/>
        <v>7.5522508996449078E-2</v>
      </c>
      <c r="AU381" s="70"/>
      <c r="AV381" s="70"/>
      <c r="AW381" s="81">
        <f t="shared" si="790"/>
        <v>1.9875598770286662E-2</v>
      </c>
      <c r="AX381" s="70">
        <f t="shared" ref="AX381:BG381" si="1157">O381/$AI381</f>
        <v>1.3393389099401826E-2</v>
      </c>
      <c r="AY381" s="70">
        <f t="shared" si="1157"/>
        <v>0</v>
      </c>
      <c r="AZ381" s="70">
        <f t="shared" si="1157"/>
        <v>0</v>
      </c>
      <c r="BA381" s="70">
        <f t="shared" si="1157"/>
        <v>0</v>
      </c>
      <c r="BB381" s="70">
        <f t="shared" si="1157"/>
        <v>0</v>
      </c>
      <c r="BC381" s="70">
        <f t="shared" si="1157"/>
        <v>0</v>
      </c>
      <c r="BD381" s="70">
        <f t="shared" si="1157"/>
        <v>0</v>
      </c>
      <c r="BE381" s="70">
        <f t="shared" si="1157"/>
        <v>0</v>
      </c>
      <c r="BF381" s="70">
        <f t="shared" si="1157"/>
        <v>0</v>
      </c>
      <c r="BG381" s="70">
        <f t="shared" si="1157"/>
        <v>0</v>
      </c>
      <c r="BH381" s="70">
        <f t="shared" si="792"/>
        <v>6.4822096708848365E-3</v>
      </c>
      <c r="BI381" s="62"/>
      <c r="BJ381" s="69">
        <v>0.22900000000000001</v>
      </c>
      <c r="BK381" s="69">
        <v>0.56799999999999995</v>
      </c>
      <c r="BL381" s="69">
        <v>0</v>
      </c>
      <c r="BM381" s="69">
        <v>0.16900000000000001</v>
      </c>
      <c r="BN381" s="69">
        <v>3.4000000000000002E-2</v>
      </c>
      <c r="BO381" s="69">
        <v>0</v>
      </c>
      <c r="BP381" s="69">
        <v>0</v>
      </c>
      <c r="BQ381" s="69">
        <v>0</v>
      </c>
      <c r="BR381" s="62"/>
      <c r="BS381" s="72">
        <f t="shared" ref="BS381:BW381" si="1158">AP381-BJ381</f>
        <v>0.15881249255260835</v>
      </c>
      <c r="BT381" s="72">
        <f t="shared" si="1158"/>
        <v>-0.21262238745501771</v>
      </c>
      <c r="BU381" s="72">
        <f t="shared" si="1158"/>
        <v>0.14918614904315913</v>
      </c>
      <c r="BV381" s="72">
        <f t="shared" si="1158"/>
        <v>-0.15677436190748553</v>
      </c>
      <c r="BW381" s="72">
        <f t="shared" si="1158"/>
        <v>4.1522508996449076E-2</v>
      </c>
      <c r="BX381" s="72"/>
      <c r="BY381" s="72"/>
      <c r="BZ381" s="72">
        <f t="shared" si="794"/>
        <v>1.9875598770286662E-2</v>
      </c>
    </row>
    <row r="382" spans="1:78" ht="13.15">
      <c r="A382" s="73" t="s">
        <v>6</v>
      </c>
      <c r="B382" s="74" t="s">
        <v>807</v>
      </c>
      <c r="C382" s="75" t="s">
        <v>808</v>
      </c>
      <c r="D382" s="75" t="s">
        <v>129</v>
      </c>
      <c r="E382" s="76">
        <v>71331</v>
      </c>
      <c r="F382" s="59">
        <v>0.53400000000000003</v>
      </c>
      <c r="G382" s="60"/>
      <c r="H382" s="77">
        <v>15663</v>
      </c>
      <c r="I382" s="77">
        <v>12314</v>
      </c>
      <c r="J382" s="77">
        <v>7216</v>
      </c>
      <c r="K382" s="77">
        <v>1542</v>
      </c>
      <c r="L382" s="77">
        <v>1217</v>
      </c>
      <c r="M382" s="77"/>
      <c r="N382" s="77"/>
      <c r="O382" s="77"/>
      <c r="P382" s="77"/>
      <c r="Q382" s="77">
        <v>169</v>
      </c>
      <c r="R382" s="77"/>
      <c r="S382" s="77"/>
      <c r="T382" s="77"/>
      <c r="U382" s="77"/>
      <c r="V382" s="77"/>
      <c r="W382" s="77"/>
      <c r="X382" s="77"/>
      <c r="Y382" s="77"/>
      <c r="Z382" s="77"/>
      <c r="AA382" s="77"/>
      <c r="AB382" s="77"/>
      <c r="AC382" s="77"/>
      <c r="AD382" s="77"/>
      <c r="AE382" s="62"/>
      <c r="AF382" s="63" t="b">
        <v>0</v>
      </c>
      <c r="AG382" s="63" t="b">
        <v>0</v>
      </c>
      <c r="AH382" s="62"/>
      <c r="AI382" s="64">
        <f t="shared" si="786"/>
        <v>38121</v>
      </c>
      <c r="AJ382" s="65" t="str">
        <f t="shared" si="1116"/>
        <v>LAB</v>
      </c>
      <c r="AK382" s="66" t="str">
        <f t="shared" si="787"/>
        <v>GAIN</v>
      </c>
      <c r="AL382" s="67" t="e">
        <f t="shared" ca="1" si="788"/>
        <v>#NAME?</v>
      </c>
      <c r="AM382" s="68">
        <f t="shared" si="637"/>
        <v>3349</v>
      </c>
      <c r="AN382" s="69">
        <f t="shared" si="638"/>
        <v>8.7851840193069408E-2</v>
      </c>
      <c r="AO382" s="62"/>
      <c r="AP382" s="70">
        <f t="shared" ref="AP382:AT382" si="1159">H382/$AI382</f>
        <v>0.4108758951758873</v>
      </c>
      <c r="AQ382" s="70">
        <f t="shared" si="1159"/>
        <v>0.32302405498281789</v>
      </c>
      <c r="AR382" s="70">
        <f t="shared" si="1159"/>
        <v>0.18929199129088953</v>
      </c>
      <c r="AS382" s="70">
        <f t="shared" si="1159"/>
        <v>4.045014558904541E-2</v>
      </c>
      <c r="AT382" s="70">
        <f t="shared" si="1159"/>
        <v>3.1924660948033895E-2</v>
      </c>
      <c r="AU382" s="70"/>
      <c r="AV382" s="70"/>
      <c r="AW382" s="81">
        <f t="shared" si="790"/>
        <v>4.4332520133261166E-3</v>
      </c>
      <c r="AX382" s="70">
        <f t="shared" ref="AX382:BG382" si="1160">O382/$AI382</f>
        <v>0</v>
      </c>
      <c r="AY382" s="70">
        <f t="shared" si="1160"/>
        <v>0</v>
      </c>
      <c r="AZ382" s="70">
        <f t="shared" si="1160"/>
        <v>4.4332520133259883E-3</v>
      </c>
      <c r="BA382" s="70">
        <f t="shared" si="1160"/>
        <v>0</v>
      </c>
      <c r="BB382" s="70">
        <f t="shared" si="1160"/>
        <v>0</v>
      </c>
      <c r="BC382" s="70">
        <f t="shared" si="1160"/>
        <v>0</v>
      </c>
      <c r="BD382" s="70">
        <f t="shared" si="1160"/>
        <v>0</v>
      </c>
      <c r="BE382" s="70">
        <f t="shared" si="1160"/>
        <v>0</v>
      </c>
      <c r="BF382" s="70">
        <f t="shared" si="1160"/>
        <v>0</v>
      </c>
      <c r="BG382" s="70">
        <f t="shared" si="1160"/>
        <v>0</v>
      </c>
      <c r="BH382" s="70">
        <f t="shared" si="792"/>
        <v>1.2836953722228372E-16</v>
      </c>
      <c r="BI382" s="62"/>
      <c r="BJ382" s="69">
        <v>0.36599999999999999</v>
      </c>
      <c r="BK382" s="69">
        <v>0.47499999999999998</v>
      </c>
      <c r="BL382" s="69">
        <v>6.5000000000000002E-2</v>
      </c>
      <c r="BM382" s="69">
        <v>4.8000000000000001E-2</v>
      </c>
      <c r="BN382" s="69">
        <v>1.6E-2</v>
      </c>
      <c r="BO382" s="69">
        <v>0</v>
      </c>
      <c r="BP382" s="69">
        <v>0</v>
      </c>
      <c r="BQ382" s="69">
        <v>0.03</v>
      </c>
      <c r="BR382" s="62"/>
      <c r="BS382" s="72">
        <f t="shared" ref="BS382:BW382" si="1161">AP382-BJ382</f>
        <v>4.4875895175887304E-2</v>
      </c>
      <c r="BT382" s="72">
        <f t="shared" si="1161"/>
        <v>-0.15197594501718209</v>
      </c>
      <c r="BU382" s="72">
        <f t="shared" si="1161"/>
        <v>0.12429199129088953</v>
      </c>
      <c r="BV382" s="72">
        <f t="shared" si="1161"/>
        <v>-7.5498544109545915E-3</v>
      </c>
      <c r="BW382" s="72">
        <f t="shared" si="1161"/>
        <v>1.5924660948033895E-2</v>
      </c>
      <c r="BX382" s="72"/>
      <c r="BY382" s="72"/>
      <c r="BZ382" s="72">
        <f t="shared" si="794"/>
        <v>-2.5566747986673882E-2</v>
      </c>
    </row>
    <row r="383" spans="1:78" ht="13.15">
      <c r="A383" s="73" t="s">
        <v>6</v>
      </c>
      <c r="B383" s="74" t="s">
        <v>809</v>
      </c>
      <c r="C383" s="75" t="s">
        <v>810</v>
      </c>
      <c r="D383" s="75" t="s">
        <v>47</v>
      </c>
      <c r="E383" s="76"/>
      <c r="F383" s="59"/>
      <c r="G383" s="60"/>
      <c r="H383" s="77">
        <v>14810</v>
      </c>
      <c r="I383" s="77">
        <v>14021</v>
      </c>
      <c r="J383" s="77">
        <v>8516</v>
      </c>
      <c r="K383" s="77">
        <v>2165</v>
      </c>
      <c r="L383" s="77">
        <v>2098</v>
      </c>
      <c r="M383" s="77"/>
      <c r="N383" s="77"/>
      <c r="O383" s="77"/>
      <c r="P383" s="77">
        <v>765</v>
      </c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62"/>
      <c r="AF383" s="63" t="b">
        <v>0</v>
      </c>
      <c r="AG383" s="63" t="b">
        <v>0</v>
      </c>
      <c r="AH383" s="62"/>
      <c r="AI383" s="64">
        <f t="shared" si="786"/>
        <v>42375</v>
      </c>
      <c r="AJ383" s="65" t="str">
        <f t="shared" si="1116"/>
        <v>LAB</v>
      </c>
      <c r="AK383" s="66" t="str">
        <f t="shared" si="787"/>
        <v>GAIN</v>
      </c>
      <c r="AL383" s="67" t="e">
        <f t="shared" ca="1" si="788"/>
        <v>#NAME?</v>
      </c>
      <c r="AM383" s="68">
        <f t="shared" si="637"/>
        <v>789</v>
      </c>
      <c r="AN383" s="69">
        <f t="shared" si="638"/>
        <v>1.8619469026548652E-2</v>
      </c>
      <c r="AO383" s="62"/>
      <c r="AP383" s="70">
        <f t="shared" ref="AP383:AT383" si="1162">H383/$AI383</f>
        <v>0.34949852507374629</v>
      </c>
      <c r="AQ383" s="70">
        <f t="shared" si="1162"/>
        <v>0.33087905604719764</v>
      </c>
      <c r="AR383" s="70">
        <f t="shared" si="1162"/>
        <v>0.20096755162241889</v>
      </c>
      <c r="AS383" s="70">
        <f t="shared" si="1162"/>
        <v>5.1091445427728616E-2</v>
      </c>
      <c r="AT383" s="70">
        <f t="shared" si="1162"/>
        <v>4.9510324483775812E-2</v>
      </c>
      <c r="AU383" s="70"/>
      <c r="AV383" s="70"/>
      <c r="AW383" s="81">
        <f t="shared" si="790"/>
        <v>1.8053097345132829E-2</v>
      </c>
      <c r="AX383" s="70">
        <f t="shared" ref="AX383:BG383" si="1163">O383/$AI383</f>
        <v>0</v>
      </c>
      <c r="AY383" s="70">
        <f t="shared" si="1163"/>
        <v>1.8053097345132742E-2</v>
      </c>
      <c r="AZ383" s="70">
        <f t="shared" si="1163"/>
        <v>0</v>
      </c>
      <c r="BA383" s="70">
        <f t="shared" si="1163"/>
        <v>0</v>
      </c>
      <c r="BB383" s="70">
        <f t="shared" si="1163"/>
        <v>0</v>
      </c>
      <c r="BC383" s="70">
        <f t="shared" si="1163"/>
        <v>0</v>
      </c>
      <c r="BD383" s="70">
        <f t="shared" si="1163"/>
        <v>0</v>
      </c>
      <c r="BE383" s="70">
        <f t="shared" si="1163"/>
        <v>0</v>
      </c>
      <c r="BF383" s="70">
        <f t="shared" si="1163"/>
        <v>0</v>
      </c>
      <c r="BG383" s="70">
        <f t="shared" si="1163"/>
        <v>0</v>
      </c>
      <c r="BH383" s="70">
        <f t="shared" si="792"/>
        <v>8.6736173798840355E-17</v>
      </c>
      <c r="BI383" s="62"/>
      <c r="BJ383" s="69">
        <v>0.25900000000000001</v>
      </c>
      <c r="BK383" s="69">
        <v>0.64700000000000002</v>
      </c>
      <c r="BL383" s="69">
        <v>0</v>
      </c>
      <c r="BM383" s="69">
        <v>6.4000000000000001E-2</v>
      </c>
      <c r="BN383" s="69">
        <v>3.1E-2</v>
      </c>
      <c r="BO383" s="69">
        <v>0</v>
      </c>
      <c r="BP383" s="69">
        <v>0</v>
      </c>
      <c r="BQ383" s="69">
        <v>0</v>
      </c>
      <c r="BR383" s="62"/>
      <c r="BS383" s="72">
        <f t="shared" ref="BS383:BW383" si="1164">AP383-BJ383</f>
        <v>9.0498525073746283E-2</v>
      </c>
      <c r="BT383" s="72">
        <f t="shared" si="1164"/>
        <v>-0.31612094395280238</v>
      </c>
      <c r="BU383" s="72">
        <f t="shared" si="1164"/>
        <v>0.20096755162241889</v>
      </c>
      <c r="BV383" s="72">
        <f t="shared" si="1164"/>
        <v>-1.2908554572271386E-2</v>
      </c>
      <c r="BW383" s="72">
        <f t="shared" si="1164"/>
        <v>1.8510324483775813E-2</v>
      </c>
      <c r="BX383" s="72"/>
      <c r="BY383" s="72"/>
      <c r="BZ383" s="72">
        <f t="shared" si="794"/>
        <v>1.8053097345132829E-2</v>
      </c>
    </row>
    <row r="384" spans="1:78" ht="13.15">
      <c r="A384" s="73" t="s">
        <v>6</v>
      </c>
      <c r="B384" s="74" t="s">
        <v>811</v>
      </c>
      <c r="C384" s="75" t="s">
        <v>812</v>
      </c>
      <c r="D384" s="75" t="s">
        <v>44</v>
      </c>
      <c r="E384" s="76"/>
      <c r="F384" s="59"/>
      <c r="G384" s="60"/>
      <c r="H384" s="77">
        <v>15635</v>
      </c>
      <c r="I384" s="77">
        <v>18822</v>
      </c>
      <c r="J384" s="77">
        <v>7240</v>
      </c>
      <c r="K384" s="77">
        <v>6773</v>
      </c>
      <c r="L384" s="77">
        <v>4691</v>
      </c>
      <c r="M384" s="77"/>
      <c r="N384" s="77"/>
      <c r="O384" s="77"/>
      <c r="P384" s="77"/>
      <c r="Q384" s="77"/>
      <c r="R384" s="77"/>
      <c r="S384" s="77"/>
      <c r="T384" s="77"/>
      <c r="U384" s="77"/>
      <c r="V384" s="77"/>
      <c r="W384" s="77"/>
      <c r="X384" s="77"/>
      <c r="Y384" s="77"/>
      <c r="Z384" s="77"/>
      <c r="AA384" s="77"/>
      <c r="AB384" s="77"/>
      <c r="AC384" s="77"/>
      <c r="AD384" s="77"/>
      <c r="AE384" s="62"/>
      <c r="AF384" s="63" t="b">
        <v>0</v>
      </c>
      <c r="AG384" s="63" t="b">
        <v>0</v>
      </c>
      <c r="AH384" s="62"/>
      <c r="AI384" s="64">
        <f t="shared" si="786"/>
        <v>53161</v>
      </c>
      <c r="AJ384" s="65" t="str">
        <f t="shared" si="1116"/>
        <v>CON</v>
      </c>
      <c r="AK384" s="66" t="str">
        <f t="shared" si="787"/>
        <v>HOLD</v>
      </c>
      <c r="AL384" s="67" t="e">
        <f t="shared" ca="1" si="788"/>
        <v>#NAME?</v>
      </c>
      <c r="AM384" s="68">
        <f t="shared" si="637"/>
        <v>3187</v>
      </c>
      <c r="AN384" s="69">
        <f t="shared" si="638"/>
        <v>5.9949963318974453E-2</v>
      </c>
      <c r="AO384" s="62"/>
      <c r="AP384" s="70">
        <f t="shared" ref="AP384:AT384" si="1165">H384/$AI384</f>
        <v>0.29410658189274091</v>
      </c>
      <c r="AQ384" s="70">
        <f t="shared" si="1165"/>
        <v>0.35405654521171537</v>
      </c>
      <c r="AR384" s="70">
        <f t="shared" si="1165"/>
        <v>0.13619006414476778</v>
      </c>
      <c r="AS384" s="70">
        <f t="shared" si="1165"/>
        <v>0.12740542879178346</v>
      </c>
      <c r="AT384" s="70">
        <f t="shared" si="1165"/>
        <v>8.8241379958992491E-2</v>
      </c>
      <c r="AU384" s="70"/>
      <c r="AV384" s="70"/>
      <c r="AW384" s="81">
        <f t="shared" si="790"/>
        <v>0</v>
      </c>
      <c r="AX384" s="70">
        <f t="shared" ref="AX384:BG384" si="1166">O384/$AI384</f>
        <v>0</v>
      </c>
      <c r="AY384" s="70">
        <f t="shared" si="1166"/>
        <v>0</v>
      </c>
      <c r="AZ384" s="70">
        <f t="shared" si="1166"/>
        <v>0</v>
      </c>
      <c r="BA384" s="70">
        <f t="shared" si="1166"/>
        <v>0</v>
      </c>
      <c r="BB384" s="70">
        <f t="shared" si="1166"/>
        <v>0</v>
      </c>
      <c r="BC384" s="70">
        <f t="shared" si="1166"/>
        <v>0</v>
      </c>
      <c r="BD384" s="70">
        <f t="shared" si="1166"/>
        <v>0</v>
      </c>
      <c r="BE384" s="70">
        <f t="shared" si="1166"/>
        <v>0</v>
      </c>
      <c r="BF384" s="70">
        <f t="shared" si="1166"/>
        <v>0</v>
      </c>
      <c r="BG384" s="70">
        <f t="shared" si="1166"/>
        <v>0</v>
      </c>
      <c r="BH384" s="70">
        <f t="shared" si="792"/>
        <v>0</v>
      </c>
      <c r="BI384" s="62"/>
      <c r="BJ384" s="69">
        <v>0.16900000000000001</v>
      </c>
      <c r="BK384" s="69">
        <v>0.55800000000000005</v>
      </c>
      <c r="BL384" s="69">
        <v>0</v>
      </c>
      <c r="BM384" s="69">
        <v>0.19900000000000001</v>
      </c>
      <c r="BN384" s="69">
        <v>5.8000000000000003E-2</v>
      </c>
      <c r="BO384" s="69">
        <v>0</v>
      </c>
      <c r="BP384" s="69">
        <v>0</v>
      </c>
      <c r="BQ384" s="69">
        <v>1.6E-2</v>
      </c>
      <c r="BR384" s="62"/>
      <c r="BS384" s="72">
        <f t="shared" ref="BS384:BW384" si="1167">AP384-BJ384</f>
        <v>0.1251065818927409</v>
      </c>
      <c r="BT384" s="72">
        <f t="shared" si="1167"/>
        <v>-0.20394345478828468</v>
      </c>
      <c r="BU384" s="72">
        <f t="shared" si="1167"/>
        <v>0.13619006414476778</v>
      </c>
      <c r="BV384" s="72">
        <f t="shared" si="1167"/>
        <v>-7.1594571208216551E-2</v>
      </c>
      <c r="BW384" s="72">
        <f t="shared" si="1167"/>
        <v>3.0241379958992488E-2</v>
      </c>
      <c r="BX384" s="72"/>
      <c r="BY384" s="72"/>
      <c r="BZ384" s="72">
        <f t="shared" si="794"/>
        <v>-1.6E-2</v>
      </c>
    </row>
    <row r="385" spans="1:78" ht="13.15">
      <c r="A385" s="73" t="s">
        <v>6</v>
      </c>
      <c r="B385" s="74" t="s">
        <v>813</v>
      </c>
      <c r="C385" s="75" t="s">
        <v>814</v>
      </c>
      <c r="D385" s="75" t="s">
        <v>50</v>
      </c>
      <c r="E385" s="76"/>
      <c r="F385" s="59"/>
      <c r="G385" s="60"/>
      <c r="H385" s="77">
        <v>18177</v>
      </c>
      <c r="I385" s="77">
        <v>17321</v>
      </c>
      <c r="J385" s="77">
        <v>8524</v>
      </c>
      <c r="K385" s="77">
        <v>5001</v>
      </c>
      <c r="L385" s="77">
        <v>1727</v>
      </c>
      <c r="M385" s="77"/>
      <c r="N385" s="77"/>
      <c r="O385" s="77">
        <v>1273</v>
      </c>
      <c r="P385" s="77"/>
      <c r="Q385" s="77"/>
      <c r="R385" s="77"/>
      <c r="S385" s="77"/>
      <c r="T385" s="77"/>
      <c r="U385" s="77"/>
      <c r="V385" s="77"/>
      <c r="W385" s="77"/>
      <c r="X385" s="77"/>
      <c r="Y385" s="77"/>
      <c r="Z385" s="77"/>
      <c r="AA385" s="77"/>
      <c r="AB385" s="77"/>
      <c r="AC385" s="77"/>
      <c r="AD385" s="77"/>
      <c r="AE385" s="62"/>
      <c r="AF385" s="63" t="b">
        <v>0</v>
      </c>
      <c r="AG385" s="63" t="b">
        <v>0</v>
      </c>
      <c r="AH385" s="62"/>
      <c r="AI385" s="64">
        <f t="shared" si="786"/>
        <v>52023</v>
      </c>
      <c r="AJ385" s="65" t="str">
        <f t="shared" si="1116"/>
        <v>LAB</v>
      </c>
      <c r="AK385" s="66" t="str">
        <f t="shared" si="787"/>
        <v>GAIN</v>
      </c>
      <c r="AL385" s="67" t="e">
        <f t="shared" ca="1" si="788"/>
        <v>#NAME?</v>
      </c>
      <c r="AM385" s="68">
        <f t="shared" si="637"/>
        <v>856</v>
      </c>
      <c r="AN385" s="69">
        <f t="shared" si="638"/>
        <v>1.6454260615496985E-2</v>
      </c>
      <c r="AO385" s="62"/>
      <c r="AP385" s="70">
        <f t="shared" ref="AP385:AT385" si="1168">H385/$AI385</f>
        <v>0.34940314860734673</v>
      </c>
      <c r="AQ385" s="70">
        <f t="shared" si="1168"/>
        <v>0.33294888799184974</v>
      </c>
      <c r="AR385" s="70">
        <f t="shared" si="1168"/>
        <v>0.16385060454029948</v>
      </c>
      <c r="AS385" s="70">
        <f t="shared" si="1168"/>
        <v>9.6130557637967823E-2</v>
      </c>
      <c r="AT385" s="70">
        <f t="shared" si="1168"/>
        <v>3.3196855237106665E-2</v>
      </c>
      <c r="AU385" s="70"/>
      <c r="AV385" s="70"/>
      <c r="AW385" s="81">
        <f t="shared" si="790"/>
        <v>2.446994598542962E-2</v>
      </c>
      <c r="AX385" s="70">
        <f t="shared" ref="AX385:BG385" si="1169">O385/$AI385</f>
        <v>2.4469945985429523E-2</v>
      </c>
      <c r="AY385" s="70">
        <f t="shared" si="1169"/>
        <v>0</v>
      </c>
      <c r="AZ385" s="70">
        <f t="shared" si="1169"/>
        <v>0</v>
      </c>
      <c r="BA385" s="70">
        <f t="shared" si="1169"/>
        <v>0</v>
      </c>
      <c r="BB385" s="70">
        <f t="shared" si="1169"/>
        <v>0</v>
      </c>
      <c r="BC385" s="70">
        <f t="shared" si="1169"/>
        <v>0</v>
      </c>
      <c r="BD385" s="70">
        <f t="shared" si="1169"/>
        <v>0</v>
      </c>
      <c r="BE385" s="70">
        <f t="shared" si="1169"/>
        <v>0</v>
      </c>
      <c r="BF385" s="70">
        <f t="shared" si="1169"/>
        <v>0</v>
      </c>
      <c r="BG385" s="70">
        <f t="shared" si="1169"/>
        <v>0</v>
      </c>
      <c r="BH385" s="70">
        <f t="shared" si="792"/>
        <v>9.7144514654701197E-17</v>
      </c>
      <c r="BI385" s="62"/>
      <c r="BJ385" s="69">
        <v>0.27600000000000002</v>
      </c>
      <c r="BK385" s="69">
        <v>0.59799999999999998</v>
      </c>
      <c r="BL385" s="69">
        <v>0</v>
      </c>
      <c r="BM385" s="69">
        <v>0.08</v>
      </c>
      <c r="BN385" s="69">
        <v>2.8000000000000001E-2</v>
      </c>
      <c r="BO385" s="69">
        <v>0</v>
      </c>
      <c r="BP385" s="69">
        <v>0</v>
      </c>
      <c r="BQ385" s="69">
        <v>1.7000000000000001E-2</v>
      </c>
      <c r="BR385" s="62"/>
      <c r="BS385" s="72">
        <f t="shared" ref="BS385:BW385" si="1170">AP385-BJ385</f>
        <v>7.3403148607346702E-2</v>
      </c>
      <c r="BT385" s="72">
        <f t="shared" si="1170"/>
        <v>-0.26505111200815024</v>
      </c>
      <c r="BU385" s="72">
        <f t="shared" si="1170"/>
        <v>0.16385060454029948</v>
      </c>
      <c r="BV385" s="72">
        <f t="shared" si="1170"/>
        <v>1.6130557637967821E-2</v>
      </c>
      <c r="BW385" s="72">
        <f t="shared" si="1170"/>
        <v>5.1968552371066644E-3</v>
      </c>
      <c r="BX385" s="72"/>
      <c r="BY385" s="72"/>
      <c r="BZ385" s="72">
        <f t="shared" si="794"/>
        <v>7.4699459854296185E-3</v>
      </c>
    </row>
    <row r="386" spans="1:78" ht="13.15">
      <c r="A386" s="73" t="s">
        <v>6</v>
      </c>
      <c r="B386" s="74" t="s">
        <v>815</v>
      </c>
      <c r="C386" s="75" t="s">
        <v>816</v>
      </c>
      <c r="D386" s="75" t="s">
        <v>71</v>
      </c>
      <c r="E386" s="76"/>
      <c r="F386" s="59"/>
      <c r="G386" s="60"/>
      <c r="H386" s="77">
        <v>10874</v>
      </c>
      <c r="I386" s="77">
        <v>23059</v>
      </c>
      <c r="J386" s="77">
        <v>7142</v>
      </c>
      <c r="K386" s="77">
        <v>4322</v>
      </c>
      <c r="L386" s="77">
        <v>2058</v>
      </c>
      <c r="M386" s="77"/>
      <c r="N386" s="77"/>
      <c r="O386" s="77">
        <v>222</v>
      </c>
      <c r="P386" s="77">
        <v>90</v>
      </c>
      <c r="Q386" s="77"/>
      <c r="R386" s="77"/>
      <c r="S386" s="77"/>
      <c r="T386" s="77"/>
      <c r="U386" s="77"/>
      <c r="V386" s="77"/>
      <c r="W386" s="77"/>
      <c r="X386" s="77"/>
      <c r="Y386" s="77">
        <v>27</v>
      </c>
      <c r="Z386" s="77">
        <v>33</v>
      </c>
      <c r="AA386" s="77">
        <v>132</v>
      </c>
      <c r="AB386" s="77">
        <v>308</v>
      </c>
      <c r="AC386" s="77">
        <v>99</v>
      </c>
      <c r="AD386" s="77">
        <v>160</v>
      </c>
      <c r="AE386" s="62"/>
      <c r="AF386" s="63" t="b">
        <v>0</v>
      </c>
      <c r="AG386" s="63" t="b">
        <v>0</v>
      </c>
      <c r="AH386" s="62"/>
      <c r="AI386" s="64">
        <f t="shared" si="786"/>
        <v>48526</v>
      </c>
      <c r="AJ386" s="65" t="str">
        <f t="shared" si="1116"/>
        <v>CON</v>
      </c>
      <c r="AK386" s="66" t="str">
        <f t="shared" si="787"/>
        <v>HOLD</v>
      </c>
      <c r="AL386" s="67" t="e">
        <f t="shared" ca="1" si="788"/>
        <v>#NAME?</v>
      </c>
      <c r="AM386" s="68">
        <f t="shared" si="637"/>
        <v>12185</v>
      </c>
      <c r="AN386" s="69">
        <f t="shared" si="638"/>
        <v>0.25110250175163829</v>
      </c>
      <c r="AO386" s="62"/>
      <c r="AP386" s="70">
        <f t="shared" ref="AP386:AT386" si="1171">H386/$AI386</f>
        <v>0.22408605695915593</v>
      </c>
      <c r="AQ386" s="70">
        <f t="shared" si="1171"/>
        <v>0.47518855871079424</v>
      </c>
      <c r="AR386" s="70">
        <f t="shared" si="1171"/>
        <v>0.14717883196636855</v>
      </c>
      <c r="AS386" s="70">
        <f t="shared" si="1171"/>
        <v>8.9065655524873263E-2</v>
      </c>
      <c r="AT386" s="70">
        <f t="shared" si="1171"/>
        <v>4.2410254296665707E-2</v>
      </c>
      <c r="AU386" s="70"/>
      <c r="AV386" s="70"/>
      <c r="AW386" s="81">
        <f t="shared" si="790"/>
        <v>2.2070642542142305E-2</v>
      </c>
      <c r="AX386" s="70">
        <f t="shared" ref="AX386:BG386" si="1172">O386/$AI386</f>
        <v>4.5748670815645223E-3</v>
      </c>
      <c r="AY386" s="70">
        <f t="shared" si="1172"/>
        <v>1.854675843877509E-3</v>
      </c>
      <c r="AZ386" s="70">
        <f t="shared" si="1172"/>
        <v>0</v>
      </c>
      <c r="BA386" s="70">
        <f t="shared" si="1172"/>
        <v>0</v>
      </c>
      <c r="BB386" s="70">
        <f t="shared" si="1172"/>
        <v>0</v>
      </c>
      <c r="BC386" s="70">
        <f t="shared" si="1172"/>
        <v>0</v>
      </c>
      <c r="BD386" s="70">
        <f t="shared" si="1172"/>
        <v>0</v>
      </c>
      <c r="BE386" s="70">
        <f t="shared" si="1172"/>
        <v>0</v>
      </c>
      <c r="BF386" s="70">
        <f t="shared" si="1172"/>
        <v>0</v>
      </c>
      <c r="BG386" s="70">
        <f t="shared" si="1172"/>
        <v>0</v>
      </c>
      <c r="BH386" s="70">
        <f t="shared" si="792"/>
        <v>1.5641099616700273E-2</v>
      </c>
      <c r="BI386" s="62"/>
      <c r="BJ386" s="69">
        <v>0.16400000000000001</v>
      </c>
      <c r="BK386" s="69">
        <v>0.63300000000000001</v>
      </c>
      <c r="BL386" s="69">
        <v>0</v>
      </c>
      <c r="BM386" s="69">
        <v>0.125</v>
      </c>
      <c r="BN386" s="69">
        <v>3.7999999999999999E-2</v>
      </c>
      <c r="BO386" s="69">
        <v>0</v>
      </c>
      <c r="BP386" s="69">
        <v>0</v>
      </c>
      <c r="BQ386" s="69">
        <v>3.9E-2</v>
      </c>
      <c r="BR386" s="62"/>
      <c r="BS386" s="72">
        <f t="shared" ref="BS386:BW386" si="1173">AP386-BJ386</f>
        <v>6.008605695915592E-2</v>
      </c>
      <c r="BT386" s="72">
        <f t="shared" si="1173"/>
        <v>-0.15781144128920577</v>
      </c>
      <c r="BU386" s="72">
        <f t="shared" si="1173"/>
        <v>0.14717883196636855</v>
      </c>
      <c r="BV386" s="72">
        <f t="shared" si="1173"/>
        <v>-3.5934344475126737E-2</v>
      </c>
      <c r="BW386" s="72">
        <f t="shared" si="1173"/>
        <v>4.4102542966657082E-3</v>
      </c>
      <c r="BX386" s="72"/>
      <c r="BY386" s="72"/>
      <c r="BZ386" s="72">
        <f t="shared" si="794"/>
        <v>-1.6929357457857695E-2</v>
      </c>
    </row>
    <row r="387" spans="1:78" ht="13.15">
      <c r="A387" s="79" t="s">
        <v>8</v>
      </c>
      <c r="B387" s="74" t="s">
        <v>817</v>
      </c>
      <c r="C387" s="75" t="s">
        <v>818</v>
      </c>
      <c r="D387" s="75" t="s">
        <v>68</v>
      </c>
      <c r="E387" s="76"/>
      <c r="F387" s="59"/>
      <c r="G387" s="60"/>
      <c r="H387" s="77">
        <v>5048</v>
      </c>
      <c r="I387" s="77">
        <v>11373</v>
      </c>
      <c r="J387" s="77">
        <v>3258</v>
      </c>
      <c r="K387" s="77">
        <v>28528</v>
      </c>
      <c r="L387" s="77">
        <v>2728</v>
      </c>
      <c r="M387" s="77"/>
      <c r="N387" s="77"/>
      <c r="O387" s="77"/>
      <c r="P387" s="77"/>
      <c r="Q387" s="77"/>
      <c r="R387" s="77"/>
      <c r="S387" s="77"/>
      <c r="T387" s="77"/>
      <c r="U387" s="77"/>
      <c r="V387" s="77"/>
      <c r="W387" s="77"/>
      <c r="X387" s="77"/>
      <c r="Y387" s="77">
        <v>349</v>
      </c>
      <c r="Z387" s="77">
        <v>233</v>
      </c>
      <c r="AA387" s="77"/>
      <c r="AB387" s="77"/>
      <c r="AC387" s="77"/>
      <c r="AD387" s="77"/>
      <c r="AE387" s="62"/>
      <c r="AF387" s="63" t="b">
        <v>0</v>
      </c>
      <c r="AG387" s="63" t="b">
        <v>0</v>
      </c>
      <c r="AH387" s="62"/>
      <c r="AI387" s="64">
        <f t="shared" si="786"/>
        <v>51517</v>
      </c>
      <c r="AJ387" s="65" t="str">
        <f t="shared" si="1116"/>
        <v>LDM</v>
      </c>
      <c r="AK387" s="66" t="str">
        <f t="shared" si="787"/>
        <v>HOLD</v>
      </c>
      <c r="AL387" s="67" t="e">
        <f t="shared" ca="1" si="788"/>
        <v>#NAME?</v>
      </c>
      <c r="AM387" s="68">
        <f t="shared" si="637"/>
        <v>17155</v>
      </c>
      <c r="AN387" s="69">
        <f t="shared" si="638"/>
        <v>0.3329968748180212</v>
      </c>
      <c r="AO387" s="62"/>
      <c r="AP387" s="70">
        <f t="shared" ref="AP387:AT387" si="1174">H387/$AI387</f>
        <v>9.7987072228584743E-2</v>
      </c>
      <c r="AQ387" s="70">
        <f t="shared" si="1174"/>
        <v>0.22076207853718191</v>
      </c>
      <c r="AR387" s="70">
        <f t="shared" si="1174"/>
        <v>6.3241260166546964E-2</v>
      </c>
      <c r="AS387" s="70">
        <f t="shared" si="1174"/>
        <v>0.55375895335520309</v>
      </c>
      <c r="AT387" s="70">
        <f t="shared" si="1174"/>
        <v>5.2953394025273208E-2</v>
      </c>
      <c r="AU387" s="70"/>
      <c r="AV387" s="70"/>
      <c r="AW387" s="81">
        <f t="shared" si="790"/>
        <v>1.1297241687210025E-2</v>
      </c>
      <c r="AX387" s="70">
        <f t="shared" ref="AX387:BG387" si="1175">O387/$AI387</f>
        <v>0</v>
      </c>
      <c r="AY387" s="70">
        <f t="shared" si="1175"/>
        <v>0</v>
      </c>
      <c r="AZ387" s="70">
        <f t="shared" si="1175"/>
        <v>0</v>
      </c>
      <c r="BA387" s="70">
        <f t="shared" si="1175"/>
        <v>0</v>
      </c>
      <c r="BB387" s="70">
        <f t="shared" si="1175"/>
        <v>0</v>
      </c>
      <c r="BC387" s="70">
        <f t="shared" si="1175"/>
        <v>0</v>
      </c>
      <c r="BD387" s="70">
        <f t="shared" si="1175"/>
        <v>0</v>
      </c>
      <c r="BE387" s="70">
        <f t="shared" si="1175"/>
        <v>0</v>
      </c>
      <c r="BF387" s="70">
        <f t="shared" si="1175"/>
        <v>0</v>
      </c>
      <c r="BG387" s="70">
        <f t="shared" si="1175"/>
        <v>0</v>
      </c>
      <c r="BH387" s="70">
        <f t="shared" si="792"/>
        <v>1.1297241687210025E-2</v>
      </c>
      <c r="BI387" s="62"/>
      <c r="BJ387" s="69">
        <v>5.2999999999999999E-2</v>
      </c>
      <c r="BK387" s="69">
        <v>0.40600000000000003</v>
      </c>
      <c r="BL387" s="69">
        <v>0</v>
      </c>
      <c r="BM387" s="69">
        <v>0.53700000000000003</v>
      </c>
      <c r="BN387" s="69">
        <v>0</v>
      </c>
      <c r="BO387" s="69">
        <v>0</v>
      </c>
      <c r="BP387" s="69">
        <v>0</v>
      </c>
      <c r="BQ387" s="69">
        <v>5.0000000000000001E-3</v>
      </c>
      <c r="BR387" s="62"/>
      <c r="BS387" s="72">
        <f t="shared" ref="BS387:BW387" si="1176">AP387-BJ387</f>
        <v>4.4987072228584744E-2</v>
      </c>
      <c r="BT387" s="72">
        <f t="shared" si="1176"/>
        <v>-0.18523792146281812</v>
      </c>
      <c r="BU387" s="72">
        <f t="shared" si="1176"/>
        <v>6.3241260166546964E-2</v>
      </c>
      <c r="BV387" s="72">
        <f t="shared" si="1176"/>
        <v>1.6758953355203055E-2</v>
      </c>
      <c r="BW387" s="72">
        <f t="shared" si="1176"/>
        <v>5.2953394025273208E-2</v>
      </c>
      <c r="BX387" s="72"/>
      <c r="BY387" s="72"/>
      <c r="BZ387" s="72">
        <f t="shared" si="794"/>
        <v>6.2972416872100244E-3</v>
      </c>
    </row>
    <row r="388" spans="1:78" ht="13.15">
      <c r="A388" s="78" t="s">
        <v>5</v>
      </c>
      <c r="B388" s="74" t="s">
        <v>819</v>
      </c>
      <c r="C388" s="75" t="s">
        <v>820</v>
      </c>
      <c r="D388" s="75" t="s">
        <v>50</v>
      </c>
      <c r="E388" s="76">
        <v>71264</v>
      </c>
      <c r="F388" s="59">
        <v>0.55600000000000005</v>
      </c>
      <c r="G388" s="60"/>
      <c r="H388" s="77">
        <v>13047</v>
      </c>
      <c r="I388" s="77">
        <v>4273</v>
      </c>
      <c r="J388" s="77">
        <v>6773</v>
      </c>
      <c r="K388" s="77">
        <v>2816</v>
      </c>
      <c r="L388" s="77">
        <v>1212</v>
      </c>
      <c r="M388" s="77"/>
      <c r="N388" s="77"/>
      <c r="O388" s="77"/>
      <c r="P388" s="77">
        <v>11508</v>
      </c>
      <c r="Q388" s="77"/>
      <c r="R388" s="77"/>
      <c r="S388" s="77"/>
      <c r="T388" s="77"/>
      <c r="U388" s="77"/>
      <c r="V388" s="77"/>
      <c r="W388" s="77"/>
      <c r="X388" s="77"/>
      <c r="Y388" s="77"/>
      <c r="Z388" s="77"/>
      <c r="AA388" s="77"/>
      <c r="AB388" s="77"/>
      <c r="AC388" s="77"/>
      <c r="AD388" s="77"/>
      <c r="AE388" s="62"/>
      <c r="AF388" s="63" t="b">
        <v>0</v>
      </c>
      <c r="AG388" s="63" t="b">
        <v>0</v>
      </c>
      <c r="AH388" s="62"/>
      <c r="AI388" s="64">
        <f t="shared" si="786"/>
        <v>39629</v>
      </c>
      <c r="AJ388" s="65" t="str">
        <f t="shared" si="1116"/>
        <v>LAB</v>
      </c>
      <c r="AK388" s="66" t="str">
        <f t="shared" si="787"/>
        <v>HOLD</v>
      </c>
      <c r="AL388" s="67" t="e">
        <f t="shared" ca="1" si="788"/>
        <v>#NAME?</v>
      </c>
      <c r="AM388" s="68">
        <f t="shared" si="637"/>
        <v>1539</v>
      </c>
      <c r="AN388" s="69">
        <f t="shared" si="638"/>
        <v>3.8835196447046361E-2</v>
      </c>
      <c r="AO388" s="62"/>
      <c r="AP388" s="70">
        <f t="shared" ref="AP388:AT388" si="1177">H388/$AI388</f>
        <v>0.32922859522067172</v>
      </c>
      <c r="AQ388" s="70">
        <f t="shared" si="1177"/>
        <v>0.10782507759469076</v>
      </c>
      <c r="AR388" s="70">
        <f t="shared" si="1177"/>
        <v>0.17091019203108834</v>
      </c>
      <c r="AS388" s="70">
        <f t="shared" si="1177"/>
        <v>7.1059072901158246E-2</v>
      </c>
      <c r="AT388" s="70">
        <f t="shared" si="1177"/>
        <v>3.0583663478765552E-2</v>
      </c>
      <c r="AU388" s="70"/>
      <c r="AV388" s="70"/>
      <c r="AW388" s="81">
        <f t="shared" si="790"/>
        <v>0.29039339877362547</v>
      </c>
      <c r="AX388" s="70">
        <f t="shared" ref="AX388:BG388" si="1178">O388/$AI388</f>
        <v>0</v>
      </c>
      <c r="AY388" s="70">
        <f t="shared" si="1178"/>
        <v>0.29039339877362536</v>
      </c>
      <c r="AZ388" s="70">
        <f t="shared" si="1178"/>
        <v>0</v>
      </c>
      <c r="BA388" s="70">
        <f t="shared" si="1178"/>
        <v>0</v>
      </c>
      <c r="BB388" s="70">
        <f t="shared" si="1178"/>
        <v>0</v>
      </c>
      <c r="BC388" s="70">
        <f t="shared" si="1178"/>
        <v>0</v>
      </c>
      <c r="BD388" s="70">
        <f t="shared" si="1178"/>
        <v>0</v>
      </c>
      <c r="BE388" s="70">
        <f t="shared" si="1178"/>
        <v>0</v>
      </c>
      <c r="BF388" s="70">
        <f t="shared" si="1178"/>
        <v>0</v>
      </c>
      <c r="BG388" s="70">
        <f t="shared" si="1178"/>
        <v>0</v>
      </c>
      <c r="BH388" s="70">
        <f t="shared" si="792"/>
        <v>0</v>
      </c>
      <c r="BI388" s="62"/>
      <c r="BJ388" s="69">
        <v>0.50800000000000001</v>
      </c>
      <c r="BK388" s="69">
        <v>0.316</v>
      </c>
      <c r="BL388" s="69">
        <v>8.2000000000000003E-2</v>
      </c>
      <c r="BM388" s="69">
        <v>7.4999999999999997E-2</v>
      </c>
      <c r="BN388" s="69">
        <v>1.9E-2</v>
      </c>
      <c r="BO388" s="69">
        <v>0</v>
      </c>
      <c r="BP388" s="69">
        <v>0</v>
      </c>
      <c r="BQ388" s="69">
        <v>0</v>
      </c>
      <c r="BR388" s="62"/>
      <c r="BS388" s="72">
        <f t="shared" ref="BS388:BW388" si="1179">AP388-BJ388</f>
        <v>-0.17877140477932829</v>
      </c>
      <c r="BT388" s="72">
        <f t="shared" si="1179"/>
        <v>-0.20817492240530924</v>
      </c>
      <c r="BU388" s="72">
        <f t="shared" si="1179"/>
        <v>8.8910192031088339E-2</v>
      </c>
      <c r="BV388" s="72">
        <f t="shared" si="1179"/>
        <v>-3.9409270988417511E-3</v>
      </c>
      <c r="BW388" s="72">
        <f t="shared" si="1179"/>
        <v>1.1583663478765552E-2</v>
      </c>
      <c r="BX388" s="72"/>
      <c r="BY388" s="72"/>
      <c r="BZ388" s="72">
        <f t="shared" si="794"/>
        <v>0.29039339877362536</v>
      </c>
    </row>
    <row r="389" spans="1:78" ht="13.15">
      <c r="A389" s="73" t="s">
        <v>6</v>
      </c>
      <c r="B389" s="74" t="s">
        <v>821</v>
      </c>
      <c r="C389" s="75" t="s">
        <v>822</v>
      </c>
      <c r="D389" s="75" t="s">
        <v>44</v>
      </c>
      <c r="E389" s="76"/>
      <c r="F389" s="59"/>
      <c r="G389" s="60"/>
      <c r="H389" s="77">
        <v>15403</v>
      </c>
      <c r="I389" s="77">
        <v>12473</v>
      </c>
      <c r="J389" s="77">
        <v>9966</v>
      </c>
      <c r="K389" s="77">
        <v>1894</v>
      </c>
      <c r="L389" s="77">
        <v>2427</v>
      </c>
      <c r="M389" s="77"/>
      <c r="N389" s="77"/>
      <c r="O389" s="77"/>
      <c r="P389" s="77">
        <v>245</v>
      </c>
      <c r="Q389" s="77"/>
      <c r="R389" s="77"/>
      <c r="S389" s="77"/>
      <c r="T389" s="77"/>
      <c r="U389" s="77"/>
      <c r="V389" s="77"/>
      <c r="W389" s="77"/>
      <c r="X389" s="77"/>
      <c r="Y389" s="77">
        <v>190</v>
      </c>
      <c r="Z389" s="77"/>
      <c r="AA389" s="77"/>
      <c r="AB389" s="77"/>
      <c r="AC389" s="77"/>
      <c r="AD389" s="77"/>
      <c r="AE389" s="62"/>
      <c r="AF389" s="63" t="b">
        <v>0</v>
      </c>
      <c r="AG389" s="63" t="b">
        <v>0</v>
      </c>
      <c r="AH389" s="62"/>
      <c r="AI389" s="64">
        <f t="shared" si="786"/>
        <v>42598</v>
      </c>
      <c r="AJ389" s="65" t="str">
        <f t="shared" si="1116"/>
        <v>LAB</v>
      </c>
      <c r="AK389" s="66" t="str">
        <f t="shared" si="787"/>
        <v>GAIN</v>
      </c>
      <c r="AL389" s="67" t="e">
        <f t="shared" ca="1" si="788"/>
        <v>#NAME?</v>
      </c>
      <c r="AM389" s="68">
        <f t="shared" si="637"/>
        <v>2930</v>
      </c>
      <c r="AN389" s="69">
        <f t="shared" si="638"/>
        <v>6.8782571951734817E-2</v>
      </c>
      <c r="AO389" s="62"/>
      <c r="AP389" s="70">
        <f t="shared" ref="AP389:AT389" si="1180">H389/$AI389</f>
        <v>0.36158974599746468</v>
      </c>
      <c r="AQ389" s="70">
        <f t="shared" si="1180"/>
        <v>0.29280717404572987</v>
      </c>
      <c r="AR389" s="70">
        <f t="shared" si="1180"/>
        <v>0.2339546457580168</v>
      </c>
      <c r="AS389" s="70">
        <f t="shared" si="1180"/>
        <v>4.4462181323066813E-2</v>
      </c>
      <c r="AT389" s="70">
        <f t="shared" si="1180"/>
        <v>5.6974505845344851E-2</v>
      </c>
      <c r="AU389" s="70"/>
      <c r="AV389" s="70"/>
      <c r="AW389" s="81">
        <f t="shared" si="790"/>
        <v>1.0211747030377083E-2</v>
      </c>
      <c r="AX389" s="70">
        <f t="shared" ref="AX389:BG389" si="1181">O389/$AI389</f>
        <v>0</v>
      </c>
      <c r="AY389" s="70">
        <f t="shared" si="1181"/>
        <v>5.7514437297525702E-3</v>
      </c>
      <c r="AZ389" s="70">
        <f t="shared" si="1181"/>
        <v>0</v>
      </c>
      <c r="BA389" s="70">
        <f t="shared" si="1181"/>
        <v>0</v>
      </c>
      <c r="BB389" s="70">
        <f t="shared" si="1181"/>
        <v>0</v>
      </c>
      <c r="BC389" s="70">
        <f t="shared" si="1181"/>
        <v>0</v>
      </c>
      <c r="BD389" s="70">
        <f t="shared" si="1181"/>
        <v>0</v>
      </c>
      <c r="BE389" s="70">
        <f t="shared" si="1181"/>
        <v>0</v>
      </c>
      <c r="BF389" s="70">
        <f t="shared" si="1181"/>
        <v>0</v>
      </c>
      <c r="BG389" s="70">
        <f t="shared" si="1181"/>
        <v>0</v>
      </c>
      <c r="BH389" s="70">
        <f t="shared" si="792"/>
        <v>4.4603033006245128E-3</v>
      </c>
      <c r="BI389" s="62"/>
      <c r="BJ389" s="69">
        <v>0.28100000000000003</v>
      </c>
      <c r="BK389" s="69">
        <v>0.58499999999999996</v>
      </c>
      <c r="BL389" s="69">
        <v>0</v>
      </c>
      <c r="BM389" s="69">
        <v>7.0999999999999994E-2</v>
      </c>
      <c r="BN389" s="69">
        <v>2.5999999999999999E-2</v>
      </c>
      <c r="BO389" s="69">
        <v>0</v>
      </c>
      <c r="BP389" s="69">
        <v>0</v>
      </c>
      <c r="BQ389" s="69">
        <v>3.6999999999999998E-2</v>
      </c>
      <c r="BR389" s="62"/>
      <c r="BS389" s="72">
        <f t="shared" ref="BS389:BW389" si="1182">AP389-BJ389</f>
        <v>8.0589745997464657E-2</v>
      </c>
      <c r="BT389" s="72">
        <f t="shared" si="1182"/>
        <v>-0.2921928259542701</v>
      </c>
      <c r="BU389" s="72">
        <f t="shared" si="1182"/>
        <v>0.2339546457580168</v>
      </c>
      <c r="BV389" s="72">
        <f t="shared" si="1182"/>
        <v>-2.6537818676933181E-2</v>
      </c>
      <c r="BW389" s="72">
        <f t="shared" si="1182"/>
        <v>3.0974505845344853E-2</v>
      </c>
      <c r="BX389" s="72"/>
      <c r="BY389" s="72"/>
      <c r="BZ389" s="72">
        <f t="shared" si="794"/>
        <v>-2.6788252969622915E-2</v>
      </c>
    </row>
    <row r="390" spans="1:78" ht="13.15">
      <c r="A390" s="73" t="s">
        <v>6</v>
      </c>
      <c r="B390" s="74" t="s">
        <v>823</v>
      </c>
      <c r="C390" s="75" t="s">
        <v>824</v>
      </c>
      <c r="D390" s="75" t="s">
        <v>68</v>
      </c>
      <c r="E390" s="76"/>
      <c r="F390" s="59"/>
      <c r="G390" s="60"/>
      <c r="H390" s="77">
        <v>13876</v>
      </c>
      <c r="I390" s="77">
        <v>15339</v>
      </c>
      <c r="J390" s="77">
        <v>9624</v>
      </c>
      <c r="K390" s="77">
        <v>1895</v>
      </c>
      <c r="L390" s="77">
        <v>2220</v>
      </c>
      <c r="M390" s="77"/>
      <c r="N390" s="77"/>
      <c r="O390" s="77"/>
      <c r="P390" s="77">
        <v>898</v>
      </c>
      <c r="Q390" s="77"/>
      <c r="R390" s="77"/>
      <c r="S390" s="77"/>
      <c r="T390" s="77"/>
      <c r="U390" s="77"/>
      <c r="V390" s="77"/>
      <c r="W390" s="77"/>
      <c r="X390" s="77"/>
      <c r="Y390" s="77">
        <v>195</v>
      </c>
      <c r="Z390" s="77"/>
      <c r="AA390" s="77"/>
      <c r="AB390" s="77"/>
      <c r="AC390" s="77"/>
      <c r="AD390" s="77"/>
      <c r="AE390" s="62"/>
      <c r="AF390" s="63" t="b">
        <v>0</v>
      </c>
      <c r="AG390" s="63" t="b">
        <v>0</v>
      </c>
      <c r="AH390" s="62"/>
      <c r="AI390" s="64">
        <f t="shared" si="786"/>
        <v>44047</v>
      </c>
      <c r="AJ390" s="65" t="str">
        <f t="shared" si="1116"/>
        <v>CON</v>
      </c>
      <c r="AK390" s="66" t="str">
        <f t="shared" si="787"/>
        <v>HOLD</v>
      </c>
      <c r="AL390" s="67" t="e">
        <f t="shared" ca="1" si="788"/>
        <v>#NAME?</v>
      </c>
      <c r="AM390" s="68">
        <f t="shared" si="637"/>
        <v>1463</v>
      </c>
      <c r="AN390" s="69">
        <f t="shared" si="638"/>
        <v>3.3214520852725471E-2</v>
      </c>
      <c r="AO390" s="62"/>
      <c r="AP390" s="70">
        <f t="shared" ref="AP390:AT390" si="1183">H390/$AI390</f>
        <v>0.31502713011101779</v>
      </c>
      <c r="AQ390" s="70">
        <f t="shared" si="1183"/>
        <v>0.34824165096374327</v>
      </c>
      <c r="AR390" s="70">
        <f t="shared" si="1183"/>
        <v>0.2184938815356324</v>
      </c>
      <c r="AS390" s="70">
        <f t="shared" si="1183"/>
        <v>4.3022226258314984E-2</v>
      </c>
      <c r="AT390" s="70">
        <f t="shared" si="1183"/>
        <v>5.0400708334279294E-2</v>
      </c>
      <c r="AU390" s="70"/>
      <c r="AV390" s="70"/>
      <c r="AW390" s="81">
        <f t="shared" si="790"/>
        <v>2.4814402797012192E-2</v>
      </c>
      <c r="AX390" s="70">
        <f t="shared" ref="AX390:BG390" si="1184">O390/$AI390</f>
        <v>0</v>
      </c>
      <c r="AY390" s="70">
        <f t="shared" si="1184"/>
        <v>2.0387313551433695E-2</v>
      </c>
      <c r="AZ390" s="70">
        <f t="shared" si="1184"/>
        <v>0</v>
      </c>
      <c r="BA390" s="70">
        <f t="shared" si="1184"/>
        <v>0</v>
      </c>
      <c r="BB390" s="70">
        <f t="shared" si="1184"/>
        <v>0</v>
      </c>
      <c r="BC390" s="70">
        <f t="shared" si="1184"/>
        <v>0</v>
      </c>
      <c r="BD390" s="70">
        <f t="shared" si="1184"/>
        <v>0</v>
      </c>
      <c r="BE390" s="70">
        <f t="shared" si="1184"/>
        <v>0</v>
      </c>
      <c r="BF390" s="70">
        <f t="shared" si="1184"/>
        <v>0</v>
      </c>
      <c r="BG390" s="70">
        <f t="shared" si="1184"/>
        <v>0</v>
      </c>
      <c r="BH390" s="70">
        <f t="shared" si="792"/>
        <v>4.4270892455784971E-3</v>
      </c>
      <c r="BI390" s="62"/>
      <c r="BJ390" s="69">
        <v>0.26400000000000001</v>
      </c>
      <c r="BK390" s="69">
        <v>0.64800000000000002</v>
      </c>
      <c r="BL390" s="69">
        <v>0</v>
      </c>
      <c r="BM390" s="69">
        <v>5.8000000000000003E-2</v>
      </c>
      <c r="BN390" s="69">
        <v>0.03</v>
      </c>
      <c r="BO390" s="69">
        <v>0</v>
      </c>
      <c r="BP390" s="69">
        <v>0</v>
      </c>
      <c r="BQ390" s="69">
        <v>0</v>
      </c>
      <c r="BR390" s="62"/>
      <c r="BS390" s="72">
        <f t="shared" ref="BS390:BW390" si="1185">AP390-BJ390</f>
        <v>5.1027130111017782E-2</v>
      </c>
      <c r="BT390" s="72">
        <f t="shared" si="1185"/>
        <v>-0.29975834903625675</v>
      </c>
      <c r="BU390" s="72">
        <f t="shared" si="1185"/>
        <v>0.2184938815356324</v>
      </c>
      <c r="BV390" s="72">
        <f t="shared" si="1185"/>
        <v>-1.4977773741685019E-2</v>
      </c>
      <c r="BW390" s="72">
        <f t="shared" si="1185"/>
        <v>2.0400708334279295E-2</v>
      </c>
      <c r="BX390" s="72"/>
      <c r="BY390" s="72"/>
      <c r="BZ390" s="72">
        <f t="shared" si="794"/>
        <v>2.4814402797012192E-2</v>
      </c>
    </row>
    <row r="391" spans="1:78" ht="13.15">
      <c r="A391" s="73" t="s">
        <v>6</v>
      </c>
      <c r="B391" s="74" t="s">
        <v>825</v>
      </c>
      <c r="C391" s="75" t="s">
        <v>826</v>
      </c>
      <c r="D391" s="75" t="s">
        <v>44</v>
      </c>
      <c r="E391" s="76"/>
      <c r="F391" s="59"/>
      <c r="G391" s="60"/>
      <c r="H391" s="77">
        <v>4640</v>
      </c>
      <c r="I391" s="77">
        <v>19893</v>
      </c>
      <c r="J391" s="77">
        <v>5716</v>
      </c>
      <c r="K391" s="77">
        <v>17702</v>
      </c>
      <c r="L391" s="77">
        <v>1893</v>
      </c>
      <c r="M391" s="77"/>
      <c r="N391" s="77"/>
      <c r="O391" s="77">
        <v>183</v>
      </c>
      <c r="P391" s="77"/>
      <c r="Q391" s="77"/>
      <c r="R391" s="77"/>
      <c r="S391" s="77"/>
      <c r="T391" s="77"/>
      <c r="U391" s="77"/>
      <c r="V391" s="77"/>
      <c r="W391" s="77"/>
      <c r="X391" s="77"/>
      <c r="Y391" s="77"/>
      <c r="Z391" s="77"/>
      <c r="AA391" s="77"/>
      <c r="AB391" s="77"/>
      <c r="AC391" s="77"/>
      <c r="AD391" s="77"/>
      <c r="AE391" s="62"/>
      <c r="AF391" s="63" t="b">
        <v>0</v>
      </c>
      <c r="AG391" s="63" t="b">
        <v>0</v>
      </c>
      <c r="AH391" s="62"/>
      <c r="AI391" s="64">
        <f t="shared" si="786"/>
        <v>50027</v>
      </c>
      <c r="AJ391" s="65" t="str">
        <f t="shared" si="1116"/>
        <v>CON</v>
      </c>
      <c r="AK391" s="66" t="str">
        <f t="shared" si="787"/>
        <v>HOLD</v>
      </c>
      <c r="AL391" s="67" t="e">
        <f t="shared" ca="1" si="788"/>
        <v>#NAME?</v>
      </c>
      <c r="AM391" s="68">
        <f t="shared" si="637"/>
        <v>2191</v>
      </c>
      <c r="AN391" s="69">
        <f t="shared" si="638"/>
        <v>4.3796349971015669E-2</v>
      </c>
      <c r="AO391" s="62"/>
      <c r="AP391" s="70">
        <f t="shared" ref="AP391:AT391" si="1186">H391/$AI391</f>
        <v>9.2749915045875223E-2</v>
      </c>
      <c r="AQ391" s="70">
        <f t="shared" si="1186"/>
        <v>0.39764527155336121</v>
      </c>
      <c r="AR391" s="70">
        <f t="shared" si="1186"/>
        <v>0.11425830051772043</v>
      </c>
      <c r="AS391" s="70">
        <f t="shared" si="1186"/>
        <v>0.35384892158234554</v>
      </c>
      <c r="AT391" s="70">
        <f t="shared" si="1186"/>
        <v>3.7839566634017628E-2</v>
      </c>
      <c r="AU391" s="70"/>
      <c r="AV391" s="70"/>
      <c r="AW391" s="81">
        <f t="shared" si="790"/>
        <v>3.6580246666799709E-3</v>
      </c>
      <c r="AX391" s="70">
        <f t="shared" ref="AX391:BG391" si="1187">O391/$AI391</f>
        <v>3.6580246666799926E-3</v>
      </c>
      <c r="AY391" s="70">
        <f t="shared" si="1187"/>
        <v>0</v>
      </c>
      <c r="AZ391" s="70">
        <f t="shared" si="1187"/>
        <v>0</v>
      </c>
      <c r="BA391" s="70">
        <f t="shared" si="1187"/>
        <v>0</v>
      </c>
      <c r="BB391" s="70">
        <f t="shared" si="1187"/>
        <v>0</v>
      </c>
      <c r="BC391" s="70">
        <f t="shared" si="1187"/>
        <v>0</v>
      </c>
      <c r="BD391" s="70">
        <f t="shared" si="1187"/>
        <v>0</v>
      </c>
      <c r="BE391" s="70">
        <f t="shared" si="1187"/>
        <v>0</v>
      </c>
      <c r="BF391" s="70">
        <f t="shared" si="1187"/>
        <v>0</v>
      </c>
      <c r="BG391" s="70">
        <f t="shared" si="1187"/>
        <v>0</v>
      </c>
      <c r="BH391" s="70">
        <f t="shared" si="792"/>
        <v>-2.1684043449710089E-17</v>
      </c>
      <c r="BI391" s="62"/>
      <c r="BJ391" s="69">
        <v>0.121</v>
      </c>
      <c r="BK391" s="69">
        <v>0.57899999999999996</v>
      </c>
      <c r="BL391" s="69">
        <v>0</v>
      </c>
      <c r="BM391" s="69">
        <v>0.28100000000000003</v>
      </c>
      <c r="BN391" s="69">
        <v>7.0000000000000001E-3</v>
      </c>
      <c r="BO391" s="69">
        <v>0</v>
      </c>
      <c r="BP391" s="69">
        <v>0</v>
      </c>
      <c r="BQ391" s="69">
        <v>1.2E-2</v>
      </c>
      <c r="BR391" s="62"/>
      <c r="BS391" s="72">
        <f t="shared" ref="BS391:BW391" si="1188">AP391-BJ391</f>
        <v>-2.8250084954124774E-2</v>
      </c>
      <c r="BT391" s="72">
        <f t="shared" si="1188"/>
        <v>-0.18135472844663875</v>
      </c>
      <c r="BU391" s="72">
        <f t="shared" si="1188"/>
        <v>0.11425830051772043</v>
      </c>
      <c r="BV391" s="72">
        <f t="shared" si="1188"/>
        <v>7.2848921582345516E-2</v>
      </c>
      <c r="BW391" s="72">
        <f t="shared" si="1188"/>
        <v>3.0839566634017629E-2</v>
      </c>
      <c r="BX391" s="72"/>
      <c r="BY391" s="72"/>
      <c r="BZ391" s="72">
        <f t="shared" si="794"/>
        <v>-8.3419753333200293E-3</v>
      </c>
    </row>
    <row r="392" spans="1:78" ht="13.15">
      <c r="A392" s="73" t="s">
        <v>6</v>
      </c>
      <c r="B392" s="74" t="s">
        <v>827</v>
      </c>
      <c r="C392" s="75" t="s">
        <v>828</v>
      </c>
      <c r="D392" s="75" t="s">
        <v>50</v>
      </c>
      <c r="E392" s="76"/>
      <c r="F392" s="59"/>
      <c r="G392" s="60"/>
      <c r="H392" s="77">
        <v>18247</v>
      </c>
      <c r="I392" s="77">
        <v>12619</v>
      </c>
      <c r="J392" s="77">
        <v>9695</v>
      </c>
      <c r="K392" s="77">
        <v>1241</v>
      </c>
      <c r="L392" s="77">
        <v>2325</v>
      </c>
      <c r="M392" s="77"/>
      <c r="N392" s="77"/>
      <c r="O392" s="77"/>
      <c r="P392" s="77">
        <v>491</v>
      </c>
      <c r="Q392" s="77"/>
      <c r="R392" s="77"/>
      <c r="S392" s="77"/>
      <c r="T392" s="77"/>
      <c r="U392" s="77"/>
      <c r="V392" s="77"/>
      <c r="W392" s="77"/>
      <c r="X392" s="77"/>
      <c r="Y392" s="77"/>
      <c r="Z392" s="77"/>
      <c r="AA392" s="77"/>
      <c r="AB392" s="77"/>
      <c r="AC392" s="77"/>
      <c r="AD392" s="77"/>
      <c r="AE392" s="62"/>
      <c r="AF392" s="63" t="b">
        <v>0</v>
      </c>
      <c r="AG392" s="63" t="b">
        <v>0</v>
      </c>
      <c r="AH392" s="62"/>
      <c r="AI392" s="64">
        <f t="shared" si="786"/>
        <v>44618</v>
      </c>
      <c r="AJ392" s="65" t="str">
        <f t="shared" si="1116"/>
        <v>LAB</v>
      </c>
      <c r="AK392" s="66" t="str">
        <f t="shared" si="787"/>
        <v>GAIN</v>
      </c>
      <c r="AL392" s="67" t="e">
        <f t="shared" ca="1" si="788"/>
        <v>#NAME?</v>
      </c>
      <c r="AM392" s="68">
        <f t="shared" si="637"/>
        <v>5628</v>
      </c>
      <c r="AN392" s="69">
        <f t="shared" si="638"/>
        <v>0.12613743332287419</v>
      </c>
      <c r="AO392" s="62"/>
      <c r="AP392" s="70">
        <f t="shared" ref="AP392:AT392" si="1189">H392/$AI392</f>
        <v>0.40896050921152899</v>
      </c>
      <c r="AQ392" s="70">
        <f t="shared" si="1189"/>
        <v>0.2828230758886548</v>
      </c>
      <c r="AR392" s="70">
        <f t="shared" si="1189"/>
        <v>0.21728898650768749</v>
      </c>
      <c r="AS392" s="70">
        <f t="shared" si="1189"/>
        <v>2.7813886772154735E-2</v>
      </c>
      <c r="AT392" s="70">
        <f t="shared" si="1189"/>
        <v>5.2109014299161774E-2</v>
      </c>
      <c r="AU392" s="70"/>
      <c r="AV392" s="70"/>
      <c r="AW392" s="81">
        <f t="shared" si="790"/>
        <v>1.1004527320812252E-2</v>
      </c>
      <c r="AX392" s="70">
        <f t="shared" ref="AX392:BG392" si="1190">O392/$AI392</f>
        <v>0</v>
      </c>
      <c r="AY392" s="70">
        <f t="shared" si="1190"/>
        <v>1.1004527320812228E-2</v>
      </c>
      <c r="AZ392" s="70">
        <f t="shared" si="1190"/>
        <v>0</v>
      </c>
      <c r="BA392" s="70">
        <f t="shared" si="1190"/>
        <v>0</v>
      </c>
      <c r="BB392" s="70">
        <f t="shared" si="1190"/>
        <v>0</v>
      </c>
      <c r="BC392" s="70">
        <f t="shared" si="1190"/>
        <v>0</v>
      </c>
      <c r="BD392" s="70">
        <f t="shared" si="1190"/>
        <v>0</v>
      </c>
      <c r="BE392" s="70">
        <f t="shared" si="1190"/>
        <v>0</v>
      </c>
      <c r="BF392" s="70">
        <f t="shared" si="1190"/>
        <v>0</v>
      </c>
      <c r="BG392" s="70">
        <f t="shared" si="1190"/>
        <v>0</v>
      </c>
      <c r="BH392" s="70">
        <f t="shared" si="792"/>
        <v>2.4286128663675299E-17</v>
      </c>
      <c r="BI392" s="62"/>
      <c r="BJ392" s="69">
        <v>0.36599999999999999</v>
      </c>
      <c r="BK392" s="69">
        <v>0.56399999999999995</v>
      </c>
      <c r="BL392" s="69">
        <v>4.0000000000000001E-3</v>
      </c>
      <c r="BM392" s="69">
        <v>4.2000000000000003E-2</v>
      </c>
      <c r="BN392" s="69">
        <v>2.5000000000000001E-2</v>
      </c>
      <c r="BO392" s="69">
        <v>0</v>
      </c>
      <c r="BP392" s="69">
        <v>0</v>
      </c>
      <c r="BQ392" s="69">
        <v>0</v>
      </c>
      <c r="BR392" s="62"/>
      <c r="BS392" s="72">
        <f t="shared" ref="BS392:BW392" si="1191">AP392-BJ392</f>
        <v>4.2960509211528997E-2</v>
      </c>
      <c r="BT392" s="72">
        <f t="shared" si="1191"/>
        <v>-0.28117692411134515</v>
      </c>
      <c r="BU392" s="72">
        <f t="shared" si="1191"/>
        <v>0.21328898650768749</v>
      </c>
      <c r="BV392" s="72">
        <f t="shared" si="1191"/>
        <v>-1.4186113227845267E-2</v>
      </c>
      <c r="BW392" s="72">
        <f t="shared" si="1191"/>
        <v>2.7109014299161772E-2</v>
      </c>
      <c r="BX392" s="72"/>
      <c r="BY392" s="72"/>
      <c r="BZ392" s="72">
        <f t="shared" si="794"/>
        <v>1.1004527320812252E-2</v>
      </c>
    </row>
    <row r="393" spans="1:78" ht="13.15">
      <c r="A393" s="73" t="s">
        <v>6</v>
      </c>
      <c r="B393" s="74" t="s">
        <v>829</v>
      </c>
      <c r="C393" s="75" t="s">
        <v>830</v>
      </c>
      <c r="D393" s="75" t="s">
        <v>71</v>
      </c>
      <c r="E393" s="76"/>
      <c r="F393" s="59"/>
      <c r="G393" s="60"/>
      <c r="H393" s="77">
        <v>16023</v>
      </c>
      <c r="I393" s="77">
        <v>15025</v>
      </c>
      <c r="J393" s="77">
        <v>7679</v>
      </c>
      <c r="K393" s="77">
        <v>1175</v>
      </c>
      <c r="L393" s="77">
        <v>1706</v>
      </c>
      <c r="M393" s="77"/>
      <c r="N393" s="77"/>
      <c r="O393" s="77"/>
      <c r="P393" s="77"/>
      <c r="Q393" s="77"/>
      <c r="R393" s="77"/>
      <c r="S393" s="77"/>
      <c r="T393" s="77"/>
      <c r="U393" s="77"/>
      <c r="V393" s="77"/>
      <c r="W393" s="77"/>
      <c r="X393" s="77"/>
      <c r="Y393" s="77"/>
      <c r="Z393" s="77"/>
      <c r="AA393" s="77"/>
      <c r="AB393" s="77"/>
      <c r="AC393" s="77"/>
      <c r="AD393" s="77"/>
      <c r="AE393" s="62"/>
      <c r="AF393" s="63" t="b">
        <v>0</v>
      </c>
      <c r="AG393" s="63" t="b">
        <v>0</v>
      </c>
      <c r="AH393" s="62"/>
      <c r="AI393" s="64">
        <f t="shared" si="786"/>
        <v>41608</v>
      </c>
      <c r="AJ393" s="65" t="str">
        <f t="shared" si="1116"/>
        <v>LAB</v>
      </c>
      <c r="AK393" s="66" t="str">
        <f t="shared" si="787"/>
        <v>GAIN</v>
      </c>
      <c r="AL393" s="67" t="e">
        <f t="shared" ca="1" si="788"/>
        <v>#NAME?</v>
      </c>
      <c r="AM393" s="68">
        <f t="shared" si="637"/>
        <v>998</v>
      </c>
      <c r="AN393" s="69">
        <f t="shared" si="638"/>
        <v>2.3985771966929414E-2</v>
      </c>
      <c r="AO393" s="62"/>
      <c r="AP393" s="70">
        <f t="shared" ref="AP393:AT393" si="1192">H393/$AI393</f>
        <v>0.38509421265141319</v>
      </c>
      <c r="AQ393" s="70">
        <f t="shared" si="1192"/>
        <v>0.36110844068448378</v>
      </c>
      <c r="AR393" s="70">
        <f t="shared" si="1192"/>
        <v>0.18455585464333782</v>
      </c>
      <c r="AS393" s="70">
        <f t="shared" si="1192"/>
        <v>2.823976158431071E-2</v>
      </c>
      <c r="AT393" s="70">
        <f t="shared" si="1192"/>
        <v>4.1001730436454525E-2</v>
      </c>
      <c r="AU393" s="70"/>
      <c r="AV393" s="70"/>
      <c r="AW393" s="81">
        <f t="shared" si="790"/>
        <v>0</v>
      </c>
      <c r="AX393" s="70">
        <f t="shared" ref="AX393:BG393" si="1193">O393/$AI393</f>
        <v>0</v>
      </c>
      <c r="AY393" s="70">
        <f t="shared" si="1193"/>
        <v>0</v>
      </c>
      <c r="AZ393" s="70">
        <f t="shared" si="1193"/>
        <v>0</v>
      </c>
      <c r="BA393" s="70">
        <f t="shared" si="1193"/>
        <v>0</v>
      </c>
      <c r="BB393" s="70">
        <f t="shared" si="1193"/>
        <v>0</v>
      </c>
      <c r="BC393" s="70">
        <f t="shared" si="1193"/>
        <v>0</v>
      </c>
      <c r="BD393" s="70">
        <f t="shared" si="1193"/>
        <v>0</v>
      </c>
      <c r="BE393" s="70">
        <f t="shared" si="1193"/>
        <v>0</v>
      </c>
      <c r="BF393" s="70">
        <f t="shared" si="1193"/>
        <v>0</v>
      </c>
      <c r="BG393" s="70">
        <f t="shared" si="1193"/>
        <v>0</v>
      </c>
      <c r="BH393" s="70">
        <f t="shared" si="792"/>
        <v>0</v>
      </c>
      <c r="BI393" s="62"/>
      <c r="BJ393" s="69">
        <v>0.32600000000000001</v>
      </c>
      <c r="BK393" s="69">
        <v>0.46100000000000002</v>
      </c>
      <c r="BL393" s="69">
        <v>0.11700000000000001</v>
      </c>
      <c r="BM393" s="69">
        <v>4.8000000000000001E-2</v>
      </c>
      <c r="BN393" s="69">
        <v>2.5000000000000001E-2</v>
      </c>
      <c r="BO393" s="69">
        <v>0</v>
      </c>
      <c r="BP393" s="69">
        <v>0</v>
      </c>
      <c r="BQ393" s="69">
        <v>2.3E-2</v>
      </c>
      <c r="BR393" s="62"/>
      <c r="BS393" s="72">
        <f t="shared" ref="BS393:BW393" si="1194">AP393-BJ393</f>
        <v>5.909421265141318E-2</v>
      </c>
      <c r="BT393" s="72">
        <f t="shared" si="1194"/>
        <v>-9.9891559315516243E-2</v>
      </c>
      <c r="BU393" s="72">
        <f t="shared" si="1194"/>
        <v>6.7555854643337812E-2</v>
      </c>
      <c r="BV393" s="72">
        <f t="shared" si="1194"/>
        <v>-1.9760238415689291E-2</v>
      </c>
      <c r="BW393" s="72">
        <f t="shared" si="1194"/>
        <v>1.6001730436454524E-2</v>
      </c>
      <c r="BX393" s="72"/>
      <c r="BY393" s="72"/>
      <c r="BZ393" s="72">
        <f t="shared" si="794"/>
        <v>-2.3E-2</v>
      </c>
    </row>
    <row r="394" spans="1:78" ht="13.15">
      <c r="A394" s="78" t="s">
        <v>5</v>
      </c>
      <c r="B394" s="74" t="s">
        <v>831</v>
      </c>
      <c r="C394" s="75" t="s">
        <v>832</v>
      </c>
      <c r="D394" s="75" t="s">
        <v>71</v>
      </c>
      <c r="E394" s="76"/>
      <c r="F394" s="59"/>
      <c r="G394" s="60"/>
      <c r="H394" s="77">
        <v>16671</v>
      </c>
      <c r="I394" s="77"/>
      <c r="J394" s="77">
        <v>11181</v>
      </c>
      <c r="K394" s="77">
        <v>2824</v>
      </c>
      <c r="L394" s="77">
        <v>2632</v>
      </c>
      <c r="M394" s="77"/>
      <c r="N394" s="77"/>
      <c r="O394" s="77">
        <v>547</v>
      </c>
      <c r="P394" s="77">
        <v>1714</v>
      </c>
      <c r="Q394" s="77"/>
      <c r="R394" s="77"/>
      <c r="S394" s="77"/>
      <c r="T394" s="77"/>
      <c r="U394" s="77"/>
      <c r="V394" s="77"/>
      <c r="W394" s="77"/>
      <c r="X394" s="77"/>
      <c r="Y394" s="77">
        <v>1363</v>
      </c>
      <c r="Z394" s="77"/>
      <c r="AA394" s="77"/>
      <c r="AB394" s="77"/>
      <c r="AC394" s="77"/>
      <c r="AD394" s="77"/>
      <c r="AE394" s="62"/>
      <c r="AF394" s="63" t="b">
        <v>0</v>
      </c>
      <c r="AG394" s="63" t="b">
        <v>0</v>
      </c>
      <c r="AH394" s="62"/>
      <c r="AI394" s="64">
        <f t="shared" si="786"/>
        <v>36932</v>
      </c>
      <c r="AJ394" s="65" t="str">
        <f t="shared" si="1116"/>
        <v>LAB</v>
      </c>
      <c r="AK394" s="66" t="str">
        <f t="shared" si="787"/>
        <v>HOLD</v>
      </c>
      <c r="AL394" s="67" t="e">
        <f t="shared" ca="1" si="788"/>
        <v>#NAME?</v>
      </c>
      <c r="AM394" s="68">
        <f t="shared" si="637"/>
        <v>5490</v>
      </c>
      <c r="AN394" s="69">
        <f t="shared" si="638"/>
        <v>0.14865157586916494</v>
      </c>
      <c r="AO394" s="62"/>
      <c r="AP394" s="70">
        <f t="shared" ref="AP394:AT394" si="1195">H394/$AI394</f>
        <v>0.45139716235243149</v>
      </c>
      <c r="AQ394" s="70">
        <f t="shared" si="1195"/>
        <v>0</v>
      </c>
      <c r="AR394" s="70">
        <f t="shared" si="1195"/>
        <v>0.30274558648326655</v>
      </c>
      <c r="AS394" s="70">
        <f t="shared" si="1195"/>
        <v>7.6464854326871001E-2</v>
      </c>
      <c r="AT394" s="70">
        <f t="shared" si="1195"/>
        <v>7.1266110689916604E-2</v>
      </c>
      <c r="AU394" s="70"/>
      <c r="AV394" s="70"/>
      <c r="AW394" s="81">
        <f t="shared" si="790"/>
        <v>9.8126286147514397E-2</v>
      </c>
      <c r="AX394" s="70">
        <f t="shared" ref="AX394:BG394" si="1196">O394/$AI394</f>
        <v>1.4811004007364887E-2</v>
      </c>
      <c r="AY394" s="70">
        <f t="shared" si="1196"/>
        <v>4.6409617675728362E-2</v>
      </c>
      <c r="AZ394" s="70">
        <f t="shared" si="1196"/>
        <v>0</v>
      </c>
      <c r="BA394" s="70">
        <f t="shared" si="1196"/>
        <v>0</v>
      </c>
      <c r="BB394" s="70">
        <f t="shared" si="1196"/>
        <v>0</v>
      </c>
      <c r="BC394" s="70">
        <f t="shared" si="1196"/>
        <v>0</v>
      </c>
      <c r="BD394" s="70">
        <f t="shared" si="1196"/>
        <v>0</v>
      </c>
      <c r="BE394" s="70">
        <f t="shared" si="1196"/>
        <v>0</v>
      </c>
      <c r="BF394" s="70">
        <f t="shared" si="1196"/>
        <v>0</v>
      </c>
      <c r="BG394" s="70">
        <f t="shared" si="1196"/>
        <v>0</v>
      </c>
      <c r="BH394" s="70">
        <f t="shared" si="792"/>
        <v>3.6905664464421145E-2</v>
      </c>
      <c r="BI394" s="62"/>
      <c r="BJ394" s="69">
        <v>0.40699999999999997</v>
      </c>
      <c r="BK394" s="69">
        <v>0.33100000000000002</v>
      </c>
      <c r="BL394" s="69">
        <v>0.17</v>
      </c>
      <c r="BM394" s="69">
        <v>6.2E-2</v>
      </c>
      <c r="BN394" s="69">
        <v>1E-3</v>
      </c>
      <c r="BO394" s="69">
        <v>0</v>
      </c>
      <c r="BP394" s="69">
        <v>0</v>
      </c>
      <c r="BQ394" s="69">
        <v>2.9000000000000001E-2</v>
      </c>
      <c r="BR394" s="62"/>
      <c r="BS394" s="72">
        <f t="shared" ref="BS394:BW394" si="1197">AP394-BJ394</f>
        <v>4.4397162352431518E-2</v>
      </c>
      <c r="BT394" s="72">
        <f t="shared" si="1197"/>
        <v>-0.33100000000000002</v>
      </c>
      <c r="BU394" s="72">
        <f t="shared" si="1197"/>
        <v>0.13274558648326654</v>
      </c>
      <c r="BV394" s="72">
        <f t="shared" si="1197"/>
        <v>1.4464854326871002E-2</v>
      </c>
      <c r="BW394" s="72">
        <f t="shared" si="1197"/>
        <v>7.0266110689916603E-2</v>
      </c>
      <c r="BX394" s="72"/>
      <c r="BY394" s="72"/>
      <c r="BZ394" s="72">
        <f t="shared" si="794"/>
        <v>6.9126286147514399E-2</v>
      </c>
    </row>
    <row r="395" spans="1:78" ht="13.15">
      <c r="A395" s="73" t="s">
        <v>6</v>
      </c>
      <c r="B395" s="74" t="s">
        <v>833</v>
      </c>
      <c r="C395" s="75" t="s">
        <v>834</v>
      </c>
      <c r="D395" s="75" t="s">
        <v>47</v>
      </c>
      <c r="E395" s="76"/>
      <c r="F395" s="59"/>
      <c r="G395" s="60"/>
      <c r="H395" s="77">
        <v>19533</v>
      </c>
      <c r="I395" s="77">
        <v>15105</v>
      </c>
      <c r="J395" s="77">
        <v>8225</v>
      </c>
      <c r="K395" s="77">
        <v>3252</v>
      </c>
      <c r="L395" s="77">
        <v>2556</v>
      </c>
      <c r="M395" s="77"/>
      <c r="N395" s="77"/>
      <c r="O395" s="77">
        <v>215</v>
      </c>
      <c r="P395" s="77"/>
      <c r="Q395" s="77"/>
      <c r="R395" s="77"/>
      <c r="S395" s="77"/>
      <c r="T395" s="77"/>
      <c r="U395" s="77"/>
      <c r="V395" s="77"/>
      <c r="W395" s="77"/>
      <c r="X395" s="77"/>
      <c r="Y395" s="77">
        <v>118</v>
      </c>
      <c r="Z395" s="77"/>
      <c r="AA395" s="77"/>
      <c r="AB395" s="77"/>
      <c r="AC395" s="77"/>
      <c r="AD395" s="77"/>
      <c r="AE395" s="62"/>
      <c r="AF395" s="63" t="b">
        <v>0</v>
      </c>
      <c r="AG395" s="63" t="b">
        <v>0</v>
      </c>
      <c r="AH395" s="62"/>
      <c r="AI395" s="64">
        <f t="shared" si="786"/>
        <v>49004</v>
      </c>
      <c r="AJ395" s="65" t="str">
        <f t="shared" si="1116"/>
        <v>LAB</v>
      </c>
      <c r="AK395" s="66" t="str">
        <f t="shared" si="787"/>
        <v>GAIN</v>
      </c>
      <c r="AL395" s="67" t="e">
        <f t="shared" ca="1" si="788"/>
        <v>#NAME?</v>
      </c>
      <c r="AM395" s="68">
        <f t="shared" si="637"/>
        <v>4428</v>
      </c>
      <c r="AN395" s="69">
        <f t="shared" si="638"/>
        <v>9.0359970614643681E-2</v>
      </c>
      <c r="AO395" s="62"/>
      <c r="AP395" s="70">
        <f t="shared" ref="AP395:AT395" si="1198">H395/$AI395</f>
        <v>0.39860011427638559</v>
      </c>
      <c r="AQ395" s="70">
        <f t="shared" si="1198"/>
        <v>0.30824014366174191</v>
      </c>
      <c r="AR395" s="70">
        <f t="shared" si="1198"/>
        <v>0.16784344135172638</v>
      </c>
      <c r="AS395" s="70">
        <f t="shared" si="1198"/>
        <v>6.6361929638396863E-2</v>
      </c>
      <c r="AT395" s="70">
        <f t="shared" si="1198"/>
        <v>5.2159007427965066E-2</v>
      </c>
      <c r="AU395" s="70"/>
      <c r="AV395" s="70"/>
      <c r="AW395" s="81">
        <f t="shared" si="790"/>
        <v>6.7953636437843024E-3</v>
      </c>
      <c r="AX395" s="70">
        <f t="shared" ref="AX395:BG395" si="1199">O395/$AI395</f>
        <v>4.3873969471879843E-3</v>
      </c>
      <c r="AY395" s="70">
        <f t="shared" si="1199"/>
        <v>0</v>
      </c>
      <c r="AZ395" s="70">
        <f t="shared" si="1199"/>
        <v>0</v>
      </c>
      <c r="BA395" s="70">
        <f t="shared" si="1199"/>
        <v>0</v>
      </c>
      <c r="BB395" s="70">
        <f t="shared" si="1199"/>
        <v>0</v>
      </c>
      <c r="BC395" s="70">
        <f t="shared" si="1199"/>
        <v>0</v>
      </c>
      <c r="BD395" s="70">
        <f t="shared" si="1199"/>
        <v>0</v>
      </c>
      <c r="BE395" s="70">
        <f t="shared" si="1199"/>
        <v>0</v>
      </c>
      <c r="BF395" s="70">
        <f t="shared" si="1199"/>
        <v>0</v>
      </c>
      <c r="BG395" s="70">
        <f t="shared" si="1199"/>
        <v>0</v>
      </c>
      <c r="BH395" s="70">
        <f t="shared" si="792"/>
        <v>2.4079666965963181E-3</v>
      </c>
      <c r="BI395" s="62"/>
      <c r="BJ395" s="69">
        <v>0.311</v>
      </c>
      <c r="BK395" s="69">
        <v>0.57299999999999995</v>
      </c>
      <c r="BL395" s="69">
        <v>0</v>
      </c>
      <c r="BM395" s="69">
        <v>8.3000000000000004E-2</v>
      </c>
      <c r="BN395" s="69">
        <v>3.3000000000000002E-2</v>
      </c>
      <c r="BO395" s="69">
        <v>0</v>
      </c>
      <c r="BP395" s="69">
        <v>0</v>
      </c>
      <c r="BQ395" s="69">
        <v>0</v>
      </c>
      <c r="BR395" s="62"/>
      <c r="BS395" s="72">
        <f t="shared" ref="BS395:BW395" si="1200">AP395-BJ395</f>
        <v>8.7600114276385588E-2</v>
      </c>
      <c r="BT395" s="72">
        <f t="shared" si="1200"/>
        <v>-0.26475985633825805</v>
      </c>
      <c r="BU395" s="72">
        <f t="shared" si="1200"/>
        <v>0.16784344135172638</v>
      </c>
      <c r="BV395" s="72">
        <f t="shared" si="1200"/>
        <v>-1.6638070361603141E-2</v>
      </c>
      <c r="BW395" s="72">
        <f t="shared" si="1200"/>
        <v>1.9159007427965065E-2</v>
      </c>
      <c r="BX395" s="72"/>
      <c r="BY395" s="72"/>
      <c r="BZ395" s="72">
        <f t="shared" si="794"/>
        <v>6.7953636437843024E-3</v>
      </c>
    </row>
    <row r="396" spans="1:78" ht="13.15">
      <c r="A396" s="73" t="s">
        <v>6</v>
      </c>
      <c r="B396" s="74" t="s">
        <v>835</v>
      </c>
      <c r="C396" s="75" t="s">
        <v>836</v>
      </c>
      <c r="D396" s="75" t="s">
        <v>68</v>
      </c>
      <c r="E396" s="76"/>
      <c r="F396" s="59"/>
      <c r="G396" s="60"/>
      <c r="H396" s="77">
        <v>13785</v>
      </c>
      <c r="I396" s="77">
        <v>21366</v>
      </c>
      <c r="J396" s="77">
        <v>4671</v>
      </c>
      <c r="K396" s="77">
        <v>4343</v>
      </c>
      <c r="L396" s="77">
        <v>2926</v>
      </c>
      <c r="M396" s="77"/>
      <c r="N396" s="77"/>
      <c r="O396" s="77"/>
      <c r="P396" s="77"/>
      <c r="Q396" s="77"/>
      <c r="R396" s="77"/>
      <c r="S396" s="77"/>
      <c r="T396" s="77"/>
      <c r="U396" s="77"/>
      <c r="V396" s="77"/>
      <c r="W396" s="77"/>
      <c r="X396" s="77"/>
      <c r="Y396" s="77"/>
      <c r="Z396" s="77"/>
      <c r="AA396" s="77"/>
      <c r="AB396" s="77"/>
      <c r="AC396" s="77"/>
      <c r="AD396" s="77"/>
      <c r="AE396" s="62"/>
      <c r="AF396" s="63" t="b">
        <v>0</v>
      </c>
      <c r="AG396" s="63" t="b">
        <v>0</v>
      </c>
      <c r="AH396" s="62"/>
      <c r="AI396" s="64">
        <f t="shared" si="786"/>
        <v>47091</v>
      </c>
      <c r="AJ396" s="65" t="str">
        <f t="shared" si="1116"/>
        <v>CON</v>
      </c>
      <c r="AK396" s="66" t="str">
        <f t="shared" si="787"/>
        <v>HOLD</v>
      </c>
      <c r="AL396" s="67" t="e">
        <f t="shared" ca="1" si="788"/>
        <v>#NAME?</v>
      </c>
      <c r="AM396" s="68">
        <f t="shared" si="637"/>
        <v>7581</v>
      </c>
      <c r="AN396" s="69">
        <f t="shared" si="638"/>
        <v>0.16098617570236351</v>
      </c>
      <c r="AO396" s="62"/>
      <c r="AP396" s="70">
        <f t="shared" ref="AP396:AT396" si="1201">H396/$AI396</f>
        <v>0.29273109511371598</v>
      </c>
      <c r="AQ396" s="70">
        <f t="shared" si="1201"/>
        <v>0.45371727081607949</v>
      </c>
      <c r="AR396" s="70">
        <f t="shared" si="1201"/>
        <v>9.9190928202841311E-2</v>
      </c>
      <c r="AS396" s="70">
        <f t="shared" si="1201"/>
        <v>9.2225690683994818E-2</v>
      </c>
      <c r="AT396" s="70">
        <f t="shared" si="1201"/>
        <v>6.2135015183368371E-2</v>
      </c>
      <c r="AU396" s="70"/>
      <c r="AV396" s="70"/>
      <c r="AW396" s="81">
        <f t="shared" si="790"/>
        <v>0</v>
      </c>
      <c r="AX396" s="70">
        <f t="shared" ref="AX396:BG396" si="1202">O396/$AI396</f>
        <v>0</v>
      </c>
      <c r="AY396" s="70">
        <f t="shared" si="1202"/>
        <v>0</v>
      </c>
      <c r="AZ396" s="70">
        <f t="shared" si="1202"/>
        <v>0</v>
      </c>
      <c r="BA396" s="70">
        <f t="shared" si="1202"/>
        <v>0</v>
      </c>
      <c r="BB396" s="70">
        <f t="shared" si="1202"/>
        <v>0</v>
      </c>
      <c r="BC396" s="70">
        <f t="shared" si="1202"/>
        <v>0</v>
      </c>
      <c r="BD396" s="70">
        <f t="shared" si="1202"/>
        <v>0</v>
      </c>
      <c r="BE396" s="70">
        <f t="shared" si="1202"/>
        <v>0</v>
      </c>
      <c r="BF396" s="70">
        <f t="shared" si="1202"/>
        <v>0</v>
      </c>
      <c r="BG396" s="70">
        <f t="shared" si="1202"/>
        <v>0</v>
      </c>
      <c r="BH396" s="70">
        <f t="shared" si="792"/>
        <v>1.1102230246251565E-16</v>
      </c>
      <c r="BI396" s="62"/>
      <c r="BJ396" s="69">
        <v>0.251</v>
      </c>
      <c r="BK396" s="69">
        <v>0.55300000000000005</v>
      </c>
      <c r="BL396" s="69">
        <v>1E-3</v>
      </c>
      <c r="BM396" s="69">
        <v>0.152</v>
      </c>
      <c r="BN396" s="69">
        <v>2.5999999999999999E-2</v>
      </c>
      <c r="BO396" s="69">
        <v>0</v>
      </c>
      <c r="BP396" s="69">
        <v>0</v>
      </c>
      <c r="BQ396" s="69">
        <v>1.7000000000000001E-2</v>
      </c>
      <c r="BR396" s="62"/>
      <c r="BS396" s="72">
        <f t="shared" ref="BS396:BW396" si="1203">AP396-BJ396</f>
        <v>4.1731095113715977E-2</v>
      </c>
      <c r="BT396" s="72">
        <f t="shared" si="1203"/>
        <v>-9.9282729183920559E-2</v>
      </c>
      <c r="BU396" s="72">
        <f t="shared" si="1203"/>
        <v>9.819092820284131E-2</v>
      </c>
      <c r="BV396" s="72">
        <f t="shared" si="1203"/>
        <v>-5.9774309316005178E-2</v>
      </c>
      <c r="BW396" s="72">
        <f t="shared" si="1203"/>
        <v>3.6135015183368369E-2</v>
      </c>
      <c r="BX396" s="72"/>
      <c r="BY396" s="72"/>
      <c r="BZ396" s="72">
        <f t="shared" si="794"/>
        <v>-1.699999999999989E-2</v>
      </c>
    </row>
    <row r="397" spans="1:78" ht="13.15">
      <c r="A397" s="78" t="s">
        <v>5</v>
      </c>
      <c r="B397" s="74" t="s">
        <v>837</v>
      </c>
      <c r="C397" s="75" t="s">
        <v>838</v>
      </c>
      <c r="D397" s="75" t="s">
        <v>50</v>
      </c>
      <c r="E397" s="76">
        <v>70950</v>
      </c>
      <c r="F397" s="59">
        <v>0.59499999999999997</v>
      </c>
      <c r="G397" s="60"/>
      <c r="H397" s="77">
        <v>22358</v>
      </c>
      <c r="I397" s="77">
        <v>6756</v>
      </c>
      <c r="J397" s="77">
        <v>7662</v>
      </c>
      <c r="K397" s="77">
        <v>2149</v>
      </c>
      <c r="L397" s="77">
        <v>2715</v>
      </c>
      <c r="M397" s="77"/>
      <c r="N397" s="77"/>
      <c r="O397" s="77"/>
      <c r="P397" s="77"/>
      <c r="Q397" s="77"/>
      <c r="R397" s="77"/>
      <c r="S397" s="77"/>
      <c r="T397" s="77"/>
      <c r="U397" s="77"/>
      <c r="V397" s="77"/>
      <c r="W397" s="77"/>
      <c r="X397" s="77"/>
      <c r="Y397" s="77">
        <v>479</v>
      </c>
      <c r="Z397" s="77">
        <v>116</v>
      </c>
      <c r="AA397" s="77"/>
      <c r="AB397" s="77"/>
      <c r="AC397" s="77"/>
      <c r="AD397" s="77"/>
      <c r="AE397" s="62"/>
      <c r="AF397" s="63" t="b">
        <v>0</v>
      </c>
      <c r="AG397" s="63" t="b">
        <v>0</v>
      </c>
      <c r="AH397" s="62"/>
      <c r="AI397" s="64">
        <f t="shared" si="786"/>
        <v>42235</v>
      </c>
      <c r="AJ397" s="65" t="str">
        <f t="shared" si="1116"/>
        <v>LAB</v>
      </c>
      <c r="AK397" s="66" t="str">
        <f t="shared" si="787"/>
        <v>HOLD</v>
      </c>
      <c r="AL397" s="67" t="e">
        <f t="shared" ca="1" si="788"/>
        <v>#NAME?</v>
      </c>
      <c r="AM397" s="68">
        <f t="shared" si="637"/>
        <v>14696</v>
      </c>
      <c r="AN397" s="69">
        <f t="shared" si="638"/>
        <v>0.34795785485971348</v>
      </c>
      <c r="AO397" s="62"/>
      <c r="AP397" s="70">
        <f t="shared" ref="AP397:AT397" si="1204">H397/$AI397</f>
        <v>0.52937137445246829</v>
      </c>
      <c r="AQ397" s="70">
        <f t="shared" si="1204"/>
        <v>0.15996211672783237</v>
      </c>
      <c r="AR397" s="70">
        <f t="shared" si="1204"/>
        <v>0.18141351959275481</v>
      </c>
      <c r="AS397" s="70">
        <f t="shared" si="1204"/>
        <v>5.0881969930152718E-2</v>
      </c>
      <c r="AT397" s="70">
        <f t="shared" si="1204"/>
        <v>6.4283177459453056E-2</v>
      </c>
      <c r="AU397" s="70"/>
      <c r="AV397" s="70"/>
      <c r="AW397" s="81">
        <f t="shared" si="790"/>
        <v>1.4087841837338688E-2</v>
      </c>
      <c r="AX397" s="70">
        <f t="shared" ref="AX397:BG397" si="1205">O397/$AI397</f>
        <v>0</v>
      </c>
      <c r="AY397" s="70">
        <f t="shared" si="1205"/>
        <v>0</v>
      </c>
      <c r="AZ397" s="70">
        <f t="shared" si="1205"/>
        <v>0</v>
      </c>
      <c r="BA397" s="70">
        <f t="shared" si="1205"/>
        <v>0</v>
      </c>
      <c r="BB397" s="70">
        <f t="shared" si="1205"/>
        <v>0</v>
      </c>
      <c r="BC397" s="70">
        <f t="shared" si="1205"/>
        <v>0</v>
      </c>
      <c r="BD397" s="70">
        <f t="shared" si="1205"/>
        <v>0</v>
      </c>
      <c r="BE397" s="70">
        <f t="shared" si="1205"/>
        <v>0</v>
      </c>
      <c r="BF397" s="70">
        <f t="shared" si="1205"/>
        <v>0</v>
      </c>
      <c r="BG397" s="70">
        <f t="shared" si="1205"/>
        <v>0</v>
      </c>
      <c r="BH397" s="70">
        <f t="shared" si="792"/>
        <v>1.4087841837338688E-2</v>
      </c>
      <c r="BI397" s="62"/>
      <c r="BJ397" s="69">
        <v>0.48799999999999999</v>
      </c>
      <c r="BK397" s="69">
        <v>0.36799999999999999</v>
      </c>
      <c r="BL397" s="69">
        <v>4.8000000000000001E-2</v>
      </c>
      <c r="BM397" s="69">
        <v>6.7000000000000004E-2</v>
      </c>
      <c r="BN397" s="69">
        <v>2.9000000000000001E-2</v>
      </c>
      <c r="BO397" s="69">
        <v>0</v>
      </c>
      <c r="BP397" s="69">
        <v>0</v>
      </c>
      <c r="BQ397" s="69">
        <v>0</v>
      </c>
      <c r="BR397" s="62"/>
      <c r="BS397" s="72">
        <f t="shared" ref="BS397:BW397" si="1206">AP397-BJ397</f>
        <v>4.1371374452468301E-2</v>
      </c>
      <c r="BT397" s="72">
        <f t="shared" si="1206"/>
        <v>-0.20803788327216763</v>
      </c>
      <c r="BU397" s="72">
        <f t="shared" si="1206"/>
        <v>0.13341351959275483</v>
      </c>
      <c r="BV397" s="72">
        <f t="shared" si="1206"/>
        <v>-1.6118030069847286E-2</v>
      </c>
      <c r="BW397" s="72">
        <f t="shared" si="1206"/>
        <v>3.5283177459453058E-2</v>
      </c>
      <c r="BX397" s="72"/>
      <c r="BY397" s="72"/>
      <c r="BZ397" s="72">
        <f t="shared" si="794"/>
        <v>1.4087841837338688E-2</v>
      </c>
    </row>
    <row r="398" spans="1:78" ht="13.15">
      <c r="A398" s="73" t="s">
        <v>6</v>
      </c>
      <c r="B398" s="74" t="s">
        <v>839</v>
      </c>
      <c r="C398" s="75" t="s">
        <v>840</v>
      </c>
      <c r="D398" s="75" t="s">
        <v>44</v>
      </c>
      <c r="E398" s="76"/>
      <c r="F398" s="59"/>
      <c r="G398" s="60"/>
      <c r="H398" s="77">
        <v>9963</v>
      </c>
      <c r="I398" s="77">
        <v>18442</v>
      </c>
      <c r="J398" s="77">
        <v>6419</v>
      </c>
      <c r="K398" s="77">
        <v>10815</v>
      </c>
      <c r="L398" s="77">
        <v>1954</v>
      </c>
      <c r="M398" s="77"/>
      <c r="N398" s="77"/>
      <c r="O398" s="77">
        <v>518</v>
      </c>
      <c r="P398" s="77"/>
      <c r="Q398" s="77"/>
      <c r="R398" s="77"/>
      <c r="S398" s="77"/>
      <c r="T398" s="77"/>
      <c r="U398" s="77"/>
      <c r="V398" s="77"/>
      <c r="W398" s="77"/>
      <c r="X398" s="77"/>
      <c r="Y398" s="77">
        <v>142</v>
      </c>
      <c r="Z398" s="77"/>
      <c r="AA398" s="77"/>
      <c r="AB398" s="77"/>
      <c r="AC398" s="77"/>
      <c r="AD398" s="77"/>
      <c r="AE398" s="62"/>
      <c r="AF398" s="63" t="b">
        <v>1</v>
      </c>
      <c r="AG398" s="63" t="b">
        <v>0</v>
      </c>
      <c r="AH398" s="62"/>
      <c r="AI398" s="64">
        <f t="shared" si="786"/>
        <v>48253</v>
      </c>
      <c r="AJ398" s="65" t="str">
        <f t="shared" si="1116"/>
        <v>CON</v>
      </c>
      <c r="AK398" s="66" t="str">
        <f t="shared" si="787"/>
        <v>HOLD</v>
      </c>
      <c r="AL398" s="67" t="e">
        <f t="shared" ca="1" si="788"/>
        <v>#NAME?</v>
      </c>
      <c r="AM398" s="68">
        <f t="shared" si="637"/>
        <v>7627</v>
      </c>
      <c r="AN398" s="69">
        <f t="shared" si="638"/>
        <v>0.15806271112676931</v>
      </c>
      <c r="AO398" s="62"/>
      <c r="AP398" s="70">
        <f t="shared" ref="AP398:AT398" si="1207">H398/$AI398</f>
        <v>0.20647420885748036</v>
      </c>
      <c r="AQ398" s="70">
        <f t="shared" si="1207"/>
        <v>0.3821938532319234</v>
      </c>
      <c r="AR398" s="70">
        <f t="shared" si="1207"/>
        <v>0.13302799825917561</v>
      </c>
      <c r="AS398" s="70">
        <f t="shared" si="1207"/>
        <v>0.22413114210515409</v>
      </c>
      <c r="AT398" s="70">
        <f t="shared" si="1207"/>
        <v>4.049489150933621E-2</v>
      </c>
      <c r="AU398" s="70"/>
      <c r="AV398" s="70"/>
      <c r="AW398" s="81">
        <f t="shared" si="790"/>
        <v>1.3677906036930421E-2</v>
      </c>
      <c r="AX398" s="70">
        <f t="shared" ref="AX398:BG398" si="1208">O398/$AI398</f>
        <v>1.0735083828984726E-2</v>
      </c>
      <c r="AY398" s="70">
        <f t="shared" si="1208"/>
        <v>0</v>
      </c>
      <c r="AZ398" s="70">
        <f t="shared" si="1208"/>
        <v>0</v>
      </c>
      <c r="BA398" s="70">
        <f t="shared" si="1208"/>
        <v>0</v>
      </c>
      <c r="BB398" s="70">
        <f t="shared" si="1208"/>
        <v>0</v>
      </c>
      <c r="BC398" s="70">
        <f t="shared" si="1208"/>
        <v>0</v>
      </c>
      <c r="BD398" s="70">
        <f t="shared" si="1208"/>
        <v>0</v>
      </c>
      <c r="BE398" s="70">
        <f t="shared" si="1208"/>
        <v>0</v>
      </c>
      <c r="BF398" s="70">
        <f t="shared" si="1208"/>
        <v>0</v>
      </c>
      <c r="BG398" s="70">
        <f t="shared" si="1208"/>
        <v>0</v>
      </c>
      <c r="BH398" s="70">
        <f t="shared" si="792"/>
        <v>2.9428222079456948E-3</v>
      </c>
      <c r="BI398" s="62"/>
      <c r="BJ398" s="69">
        <v>0.17799999999999999</v>
      </c>
      <c r="BK398" s="69">
        <v>0.53200000000000003</v>
      </c>
      <c r="BL398" s="69">
        <v>0</v>
      </c>
      <c r="BM398" s="69">
        <v>0.22700000000000001</v>
      </c>
      <c r="BN398" s="69">
        <v>2.7E-2</v>
      </c>
      <c r="BO398" s="69">
        <v>0</v>
      </c>
      <c r="BP398" s="69">
        <v>0</v>
      </c>
      <c r="BQ398" s="69">
        <v>3.6999999999999998E-2</v>
      </c>
      <c r="BR398" s="62"/>
      <c r="BS398" s="72">
        <f t="shared" ref="BS398:BW398" si="1209">AP398-BJ398</f>
        <v>2.8474208857480365E-2</v>
      </c>
      <c r="BT398" s="72">
        <f t="shared" si="1209"/>
        <v>-0.14980614676807663</v>
      </c>
      <c r="BU398" s="72">
        <f t="shared" si="1209"/>
        <v>0.13302799825917561</v>
      </c>
      <c r="BV398" s="72">
        <f t="shared" si="1209"/>
        <v>-2.868857894845922E-3</v>
      </c>
      <c r="BW398" s="72">
        <f t="shared" si="1209"/>
        <v>1.3494891509336211E-2</v>
      </c>
      <c r="BX398" s="72"/>
      <c r="BY398" s="72"/>
      <c r="BZ398" s="72">
        <f t="shared" si="794"/>
        <v>-2.3322093963069578E-2</v>
      </c>
    </row>
    <row r="399" spans="1:78" ht="13.15">
      <c r="A399" s="73" t="s">
        <v>6</v>
      </c>
      <c r="B399" s="74" t="s">
        <v>841</v>
      </c>
      <c r="C399" s="75" t="s">
        <v>842</v>
      </c>
      <c r="D399" s="75" t="s">
        <v>53</v>
      </c>
      <c r="E399" s="76">
        <v>76171</v>
      </c>
      <c r="F399" s="59">
        <v>0.75800000000000001</v>
      </c>
      <c r="G399" s="60"/>
      <c r="H399" s="77">
        <v>25291</v>
      </c>
      <c r="I399" s="77">
        <v>17865</v>
      </c>
      <c r="J399" s="77">
        <v>6353</v>
      </c>
      <c r="K399" s="77">
        <v>3133</v>
      </c>
      <c r="L399" s="77">
        <v>4367</v>
      </c>
      <c r="M399" s="77"/>
      <c r="N399" s="77"/>
      <c r="O399" s="77">
        <v>549</v>
      </c>
      <c r="P399" s="77"/>
      <c r="Q399" s="77"/>
      <c r="R399" s="77"/>
      <c r="S399" s="77"/>
      <c r="T399" s="77"/>
      <c r="U399" s="77"/>
      <c r="V399" s="77"/>
      <c r="W399" s="77"/>
      <c r="X399" s="77"/>
      <c r="Y399" s="77">
        <v>186</v>
      </c>
      <c r="Z399" s="77"/>
      <c r="AA399" s="77"/>
      <c r="AB399" s="77"/>
      <c r="AC399" s="77"/>
      <c r="AD399" s="77"/>
      <c r="AE399" s="62"/>
      <c r="AF399" s="63" t="b">
        <v>0</v>
      </c>
      <c r="AG399" s="63" t="b">
        <v>0</v>
      </c>
      <c r="AH399" s="62"/>
      <c r="AI399" s="64">
        <f t="shared" si="786"/>
        <v>57744</v>
      </c>
      <c r="AJ399" s="65" t="str">
        <f t="shared" si="1116"/>
        <v>LAB</v>
      </c>
      <c r="AK399" s="66" t="str">
        <f t="shared" si="787"/>
        <v>GAIN</v>
      </c>
      <c r="AL399" s="67" t="e">
        <f t="shared" ca="1" si="788"/>
        <v>#NAME?</v>
      </c>
      <c r="AM399" s="68">
        <f t="shared" si="637"/>
        <v>7426</v>
      </c>
      <c r="AN399" s="69">
        <f t="shared" si="638"/>
        <v>0.1286021058464949</v>
      </c>
      <c r="AO399" s="62"/>
      <c r="AP399" s="70">
        <f t="shared" ref="AP399:AT399" si="1210">H399/$AI399</f>
        <v>0.43798489886395126</v>
      </c>
      <c r="AQ399" s="70">
        <f t="shared" si="1210"/>
        <v>0.30938279301745636</v>
      </c>
      <c r="AR399" s="70">
        <f t="shared" si="1210"/>
        <v>0.11002008866722084</v>
      </c>
      <c r="AS399" s="70">
        <f t="shared" si="1210"/>
        <v>5.4256719312829035E-2</v>
      </c>
      <c r="AT399" s="70">
        <f t="shared" si="1210"/>
        <v>7.5626904959822661E-2</v>
      </c>
      <c r="AU399" s="70"/>
      <c r="AV399" s="70"/>
      <c r="AW399" s="81">
        <f t="shared" si="790"/>
        <v>1.2728595178719937E-2</v>
      </c>
      <c r="AX399" s="70">
        <f t="shared" ref="AX399:BG399" si="1211">O399/$AI399</f>
        <v>9.5074812967581041E-3</v>
      </c>
      <c r="AY399" s="70">
        <f t="shared" si="1211"/>
        <v>0</v>
      </c>
      <c r="AZ399" s="70">
        <f t="shared" si="1211"/>
        <v>0</v>
      </c>
      <c r="BA399" s="70">
        <f t="shared" si="1211"/>
        <v>0</v>
      </c>
      <c r="BB399" s="70">
        <f t="shared" si="1211"/>
        <v>0</v>
      </c>
      <c r="BC399" s="70">
        <f t="shared" si="1211"/>
        <v>0</v>
      </c>
      <c r="BD399" s="70">
        <f t="shared" si="1211"/>
        <v>0</v>
      </c>
      <c r="BE399" s="70">
        <f t="shared" si="1211"/>
        <v>0</v>
      </c>
      <c r="BF399" s="70">
        <f t="shared" si="1211"/>
        <v>0</v>
      </c>
      <c r="BG399" s="70">
        <f t="shared" si="1211"/>
        <v>0</v>
      </c>
      <c r="BH399" s="70">
        <f t="shared" si="792"/>
        <v>3.2211138819618328E-3</v>
      </c>
      <c r="BI399" s="62"/>
      <c r="BJ399" s="69">
        <v>0.35</v>
      </c>
      <c r="BK399" s="69">
        <v>0.47299999999999998</v>
      </c>
      <c r="BL399" s="69">
        <v>0</v>
      </c>
      <c r="BM399" s="69">
        <v>0.16</v>
      </c>
      <c r="BN399" s="69">
        <v>0</v>
      </c>
      <c r="BO399" s="69">
        <v>0</v>
      </c>
      <c r="BP399" s="69">
        <v>0</v>
      </c>
      <c r="BQ399" s="69">
        <v>1.7000000000000001E-2</v>
      </c>
      <c r="BR399" s="62"/>
      <c r="BS399" s="72">
        <f t="shared" ref="BS399:BW399" si="1212">AP399-BJ399</f>
        <v>8.7984898863951277E-2</v>
      </c>
      <c r="BT399" s="72">
        <f t="shared" si="1212"/>
        <v>-0.16361720698254362</v>
      </c>
      <c r="BU399" s="72">
        <f t="shared" si="1212"/>
        <v>0.11002008866722084</v>
      </c>
      <c r="BV399" s="72">
        <f t="shared" si="1212"/>
        <v>-0.10574328068717097</v>
      </c>
      <c r="BW399" s="72">
        <f t="shared" si="1212"/>
        <v>7.5626904959822661E-2</v>
      </c>
      <c r="BX399" s="72"/>
      <c r="BY399" s="72"/>
      <c r="BZ399" s="72">
        <f t="shared" si="794"/>
        <v>-4.2714048212800643E-3</v>
      </c>
    </row>
    <row r="400" spans="1:78" ht="13.15">
      <c r="A400" s="73" t="s">
        <v>6</v>
      </c>
      <c r="B400" s="74" t="s">
        <v>843</v>
      </c>
      <c r="C400" s="75" t="s">
        <v>844</v>
      </c>
      <c r="D400" s="75" t="s">
        <v>53</v>
      </c>
      <c r="E400" s="76"/>
      <c r="F400" s="59"/>
      <c r="G400" s="60"/>
      <c r="H400" s="77">
        <v>10854</v>
      </c>
      <c r="I400" s="77">
        <v>21248</v>
      </c>
      <c r="J400" s="77">
        <v>7008</v>
      </c>
      <c r="K400" s="77">
        <v>6252</v>
      </c>
      <c r="L400" s="77">
        <v>2806</v>
      </c>
      <c r="M400" s="77"/>
      <c r="N400" s="77"/>
      <c r="O400" s="77"/>
      <c r="P400" s="77"/>
      <c r="Q400" s="77"/>
      <c r="R400" s="77"/>
      <c r="S400" s="77"/>
      <c r="T400" s="77"/>
      <c r="U400" s="77"/>
      <c r="V400" s="77"/>
      <c r="W400" s="77"/>
      <c r="X400" s="77"/>
      <c r="Y400" s="77">
        <v>409</v>
      </c>
      <c r="Z400" s="77"/>
      <c r="AA400" s="77"/>
      <c r="AB400" s="77"/>
      <c r="AC400" s="77"/>
      <c r="AD400" s="77"/>
      <c r="AE400" s="62"/>
      <c r="AF400" s="63" t="b">
        <v>0</v>
      </c>
      <c r="AG400" s="63" t="b">
        <v>0</v>
      </c>
      <c r="AH400" s="62"/>
      <c r="AI400" s="64">
        <f t="shared" si="786"/>
        <v>48577</v>
      </c>
      <c r="AJ400" s="65" t="str">
        <f t="shared" si="1116"/>
        <v>CON</v>
      </c>
      <c r="AK400" s="66" t="str">
        <f t="shared" si="787"/>
        <v>HOLD</v>
      </c>
      <c r="AL400" s="67" t="e">
        <f t="shared" ca="1" si="788"/>
        <v>#NAME?</v>
      </c>
      <c r="AM400" s="68">
        <f t="shared" si="637"/>
        <v>10394</v>
      </c>
      <c r="AN400" s="69">
        <f t="shared" si="638"/>
        <v>0.2139695740782675</v>
      </c>
      <c r="AO400" s="62"/>
      <c r="AP400" s="70">
        <f t="shared" ref="AP400:AT400" si="1213">H400/$AI400</f>
        <v>0.22343907610597608</v>
      </c>
      <c r="AQ400" s="70">
        <f t="shared" si="1213"/>
        <v>0.43740865018424357</v>
      </c>
      <c r="AR400" s="70">
        <f t="shared" si="1213"/>
        <v>0.14426580480474299</v>
      </c>
      <c r="AS400" s="70">
        <f t="shared" si="1213"/>
        <v>0.12870288408094366</v>
      </c>
      <c r="AT400" s="70">
        <f t="shared" si="1213"/>
        <v>5.7763962369022377E-2</v>
      </c>
      <c r="AU400" s="70"/>
      <c r="AV400" s="70"/>
      <c r="AW400" s="81">
        <f t="shared" si="790"/>
        <v>8.4196224550713294E-3</v>
      </c>
      <c r="AX400" s="70">
        <f t="shared" ref="AX400:BG400" si="1214">O400/$AI400</f>
        <v>0</v>
      </c>
      <c r="AY400" s="70">
        <f t="shared" si="1214"/>
        <v>0</v>
      </c>
      <c r="AZ400" s="70">
        <f t="shared" si="1214"/>
        <v>0</v>
      </c>
      <c r="BA400" s="70">
        <f t="shared" si="1214"/>
        <v>0</v>
      </c>
      <c r="BB400" s="70">
        <f t="shared" si="1214"/>
        <v>0</v>
      </c>
      <c r="BC400" s="70">
        <f t="shared" si="1214"/>
        <v>0</v>
      </c>
      <c r="BD400" s="70">
        <f t="shared" si="1214"/>
        <v>0</v>
      </c>
      <c r="BE400" s="70">
        <f t="shared" si="1214"/>
        <v>0</v>
      </c>
      <c r="BF400" s="70">
        <f t="shared" si="1214"/>
        <v>0</v>
      </c>
      <c r="BG400" s="70">
        <f t="shared" si="1214"/>
        <v>0</v>
      </c>
      <c r="BH400" s="70">
        <f t="shared" si="792"/>
        <v>8.4196224550713294E-3</v>
      </c>
      <c r="BI400" s="62"/>
      <c r="BJ400" s="69">
        <v>0.14699999999999999</v>
      </c>
      <c r="BK400" s="69">
        <v>0.63300000000000001</v>
      </c>
      <c r="BL400" s="69">
        <v>0</v>
      </c>
      <c r="BM400" s="69">
        <v>0.158</v>
      </c>
      <c r="BN400" s="69">
        <v>3.5999999999999997E-2</v>
      </c>
      <c r="BO400" s="69">
        <v>0</v>
      </c>
      <c r="BP400" s="69">
        <v>0</v>
      </c>
      <c r="BQ400" s="69">
        <v>2.5999999999999999E-2</v>
      </c>
      <c r="BR400" s="62"/>
      <c r="BS400" s="72">
        <f t="shared" ref="BS400:BW400" si="1215">AP400-BJ400</f>
        <v>7.6439076105976084E-2</v>
      </c>
      <c r="BT400" s="72">
        <f t="shared" si="1215"/>
        <v>-0.19559134981575643</v>
      </c>
      <c r="BU400" s="72">
        <f t="shared" si="1215"/>
        <v>0.14426580480474299</v>
      </c>
      <c r="BV400" s="72">
        <f t="shared" si="1215"/>
        <v>-2.9297115919056343E-2</v>
      </c>
      <c r="BW400" s="72">
        <f t="shared" si="1215"/>
        <v>2.176396236902238E-2</v>
      </c>
      <c r="BX400" s="72"/>
      <c r="BY400" s="72"/>
      <c r="BZ400" s="72">
        <f t="shared" si="794"/>
        <v>-1.7580377544928669E-2</v>
      </c>
    </row>
    <row r="401" spans="1:78" ht="13.15">
      <c r="A401" s="78" t="s">
        <v>5</v>
      </c>
      <c r="B401" s="74" t="s">
        <v>845</v>
      </c>
      <c r="C401" s="75" t="s">
        <v>846</v>
      </c>
      <c r="D401" s="75" t="s">
        <v>50</v>
      </c>
      <c r="E401" s="76"/>
      <c r="F401" s="59"/>
      <c r="G401" s="60"/>
      <c r="H401" s="77">
        <v>21132</v>
      </c>
      <c r="I401" s="77">
        <v>3583</v>
      </c>
      <c r="J401" s="77">
        <v>6031</v>
      </c>
      <c r="K401" s="77">
        <v>2752</v>
      </c>
      <c r="L401" s="77">
        <v>5188</v>
      </c>
      <c r="M401" s="77"/>
      <c r="N401" s="77"/>
      <c r="O401" s="77"/>
      <c r="P401" s="77">
        <v>791</v>
      </c>
      <c r="Q401" s="77">
        <v>227</v>
      </c>
      <c r="R401" s="77"/>
      <c r="S401" s="77"/>
      <c r="T401" s="77"/>
      <c r="U401" s="77"/>
      <c r="V401" s="77"/>
      <c r="W401" s="77"/>
      <c r="X401" s="77"/>
      <c r="Y401" s="77"/>
      <c r="Z401" s="77"/>
      <c r="AA401" s="77"/>
      <c r="AB401" s="77"/>
      <c r="AC401" s="77"/>
      <c r="AD401" s="77"/>
      <c r="AE401" s="62"/>
      <c r="AF401" s="63" t="b">
        <v>0</v>
      </c>
      <c r="AG401" s="63" t="b">
        <v>0</v>
      </c>
      <c r="AH401" s="62"/>
      <c r="AI401" s="64">
        <f t="shared" si="786"/>
        <v>39704</v>
      </c>
      <c r="AJ401" s="65" t="str">
        <f t="shared" si="1116"/>
        <v>LAB</v>
      </c>
      <c r="AK401" s="66" t="str">
        <f t="shared" si="787"/>
        <v>HOLD</v>
      </c>
      <c r="AL401" s="67" t="e">
        <f t="shared" ca="1" si="788"/>
        <v>#NAME?</v>
      </c>
      <c r="AM401" s="68">
        <f t="shared" si="637"/>
        <v>15101</v>
      </c>
      <c r="AN401" s="69">
        <f t="shared" si="638"/>
        <v>0.38033951239169855</v>
      </c>
      <c r="AO401" s="62"/>
      <c r="AP401" s="70">
        <f t="shared" ref="AP401:AT401" si="1216">H401/$AI401</f>
        <v>0.5322385653838404</v>
      </c>
      <c r="AQ401" s="70">
        <f t="shared" si="1216"/>
        <v>9.0242796695547051E-2</v>
      </c>
      <c r="AR401" s="70">
        <f t="shared" si="1216"/>
        <v>0.15189905299214185</v>
      </c>
      <c r="AS401" s="70">
        <f t="shared" si="1216"/>
        <v>6.93129155752569E-2</v>
      </c>
      <c r="AT401" s="70">
        <f t="shared" si="1216"/>
        <v>0.13066693532137819</v>
      </c>
      <c r="AU401" s="70"/>
      <c r="AV401" s="70"/>
      <c r="AW401" s="81">
        <f t="shared" si="790"/>
        <v>2.5639734031835726E-2</v>
      </c>
      <c r="AX401" s="70">
        <f t="shared" ref="AX401:BG401" si="1217">O401/$AI401</f>
        <v>0</v>
      </c>
      <c r="AY401" s="70">
        <f t="shared" si="1217"/>
        <v>1.9922425952045134E-2</v>
      </c>
      <c r="AZ401" s="70">
        <f t="shared" si="1217"/>
        <v>5.7173080797904494E-3</v>
      </c>
      <c r="BA401" s="70">
        <f t="shared" si="1217"/>
        <v>0</v>
      </c>
      <c r="BB401" s="70">
        <f t="shared" si="1217"/>
        <v>0</v>
      </c>
      <c r="BC401" s="70">
        <f t="shared" si="1217"/>
        <v>0</v>
      </c>
      <c r="BD401" s="70">
        <f t="shared" si="1217"/>
        <v>0</v>
      </c>
      <c r="BE401" s="70">
        <f t="shared" si="1217"/>
        <v>0</v>
      </c>
      <c r="BF401" s="70">
        <f t="shared" si="1217"/>
        <v>0</v>
      </c>
      <c r="BG401" s="70">
        <f t="shared" si="1217"/>
        <v>0</v>
      </c>
      <c r="BH401" s="70">
        <f t="shared" si="792"/>
        <v>1.4224732503009818E-16</v>
      </c>
      <c r="BI401" s="62"/>
      <c r="BJ401" s="69">
        <v>0.57399999999999995</v>
      </c>
      <c r="BK401" s="69">
        <v>0.23300000000000001</v>
      </c>
      <c r="BL401" s="69">
        <v>8.8999999999999996E-2</v>
      </c>
      <c r="BM401" s="69">
        <v>6.2E-2</v>
      </c>
      <c r="BN401" s="69">
        <v>4.2999999999999997E-2</v>
      </c>
      <c r="BO401" s="69">
        <v>0</v>
      </c>
      <c r="BP401" s="69">
        <v>0</v>
      </c>
      <c r="BQ401" s="69">
        <v>0</v>
      </c>
      <c r="BR401" s="62"/>
      <c r="BS401" s="72">
        <f t="shared" ref="BS401:BW401" si="1218">AP401-BJ401</f>
        <v>-4.1761434616159554E-2</v>
      </c>
      <c r="BT401" s="72">
        <f t="shared" si="1218"/>
        <v>-0.14275720330445296</v>
      </c>
      <c r="BU401" s="72">
        <f t="shared" si="1218"/>
        <v>6.2899052992141852E-2</v>
      </c>
      <c r="BV401" s="72">
        <f t="shared" si="1218"/>
        <v>7.3129155752569008E-3</v>
      </c>
      <c r="BW401" s="72">
        <f t="shared" si="1218"/>
        <v>8.7666935321378189E-2</v>
      </c>
      <c r="BX401" s="72"/>
      <c r="BY401" s="72"/>
      <c r="BZ401" s="72">
        <f t="shared" si="794"/>
        <v>2.5639734031835726E-2</v>
      </c>
    </row>
    <row r="402" spans="1:78" ht="13.15">
      <c r="A402" s="73" t="s">
        <v>6</v>
      </c>
      <c r="B402" s="74" t="s">
        <v>847</v>
      </c>
      <c r="C402" s="75" t="s">
        <v>848</v>
      </c>
      <c r="D402" s="75" t="s">
        <v>85</v>
      </c>
      <c r="E402" s="76"/>
      <c r="F402" s="59"/>
      <c r="G402" s="60"/>
      <c r="H402" s="77">
        <v>13303</v>
      </c>
      <c r="I402" s="77">
        <v>17110</v>
      </c>
      <c r="J402" s="77">
        <v>5235</v>
      </c>
      <c r="K402" s="77">
        <v>11825</v>
      </c>
      <c r="L402" s="77">
        <v>2115</v>
      </c>
      <c r="M402" s="77"/>
      <c r="N402" s="77"/>
      <c r="O402" s="77">
        <v>458</v>
      </c>
      <c r="P402" s="77"/>
      <c r="Q402" s="77"/>
      <c r="R402" s="77"/>
      <c r="S402" s="77"/>
      <c r="T402" s="77"/>
      <c r="U402" s="77"/>
      <c r="V402" s="77"/>
      <c r="W402" s="77"/>
      <c r="X402" s="77"/>
      <c r="Y402" s="77">
        <v>127</v>
      </c>
      <c r="Z402" s="77"/>
      <c r="AA402" s="77"/>
      <c r="AB402" s="77"/>
      <c r="AC402" s="77"/>
      <c r="AD402" s="77"/>
      <c r="AE402" s="62"/>
      <c r="AF402" s="63" t="b">
        <v>0</v>
      </c>
      <c r="AG402" s="63" t="b">
        <v>0</v>
      </c>
      <c r="AH402" s="62"/>
      <c r="AI402" s="64">
        <f t="shared" si="786"/>
        <v>50173</v>
      </c>
      <c r="AJ402" s="65" t="str">
        <f t="shared" si="1116"/>
        <v>CON</v>
      </c>
      <c r="AK402" s="66" t="str">
        <f t="shared" si="787"/>
        <v>HOLD</v>
      </c>
      <c r="AL402" s="67" t="e">
        <f t="shared" ca="1" si="788"/>
        <v>#NAME?</v>
      </c>
      <c r="AM402" s="68">
        <f t="shared" si="637"/>
        <v>3807</v>
      </c>
      <c r="AN402" s="69">
        <f t="shared" si="638"/>
        <v>7.587746397464773E-2</v>
      </c>
      <c r="AO402" s="62"/>
      <c r="AP402" s="70">
        <f t="shared" ref="AP402:AT402" si="1219">H402/$AI402</f>
        <v>0.26514260658122896</v>
      </c>
      <c r="AQ402" s="70">
        <f t="shared" si="1219"/>
        <v>0.34102007055587669</v>
      </c>
      <c r="AR402" s="70">
        <f t="shared" si="1219"/>
        <v>0.10433898710461802</v>
      </c>
      <c r="AS402" s="70">
        <f t="shared" si="1219"/>
        <v>0.23568453152093755</v>
      </c>
      <c r="AT402" s="70">
        <f t="shared" si="1219"/>
        <v>4.2154146652582068E-2</v>
      </c>
      <c r="AU402" s="70"/>
      <c r="AV402" s="70"/>
      <c r="AW402" s="81">
        <f t="shared" si="790"/>
        <v>1.1659657584756733E-2</v>
      </c>
      <c r="AX402" s="70">
        <f t="shared" ref="AX402:BG402" si="1220">O402/$AI402</f>
        <v>9.1284156817411748E-3</v>
      </c>
      <c r="AY402" s="70">
        <f t="shared" si="1220"/>
        <v>0</v>
      </c>
      <c r="AZ402" s="70">
        <f t="shared" si="1220"/>
        <v>0</v>
      </c>
      <c r="BA402" s="70">
        <f t="shared" si="1220"/>
        <v>0</v>
      </c>
      <c r="BB402" s="70">
        <f t="shared" si="1220"/>
        <v>0</v>
      </c>
      <c r="BC402" s="70">
        <f t="shared" si="1220"/>
        <v>0</v>
      </c>
      <c r="BD402" s="70">
        <f t="shared" si="1220"/>
        <v>0</v>
      </c>
      <c r="BE402" s="70">
        <f t="shared" si="1220"/>
        <v>0</v>
      </c>
      <c r="BF402" s="70">
        <f t="shared" si="1220"/>
        <v>0</v>
      </c>
      <c r="BG402" s="70">
        <f t="shared" si="1220"/>
        <v>0</v>
      </c>
      <c r="BH402" s="70">
        <f t="shared" si="792"/>
        <v>2.5312419030155582E-3</v>
      </c>
      <c r="BI402" s="62"/>
      <c r="BJ402" s="69">
        <v>0.187</v>
      </c>
      <c r="BK402" s="69">
        <v>0.55300000000000005</v>
      </c>
      <c r="BL402" s="69">
        <v>0</v>
      </c>
      <c r="BM402" s="69">
        <v>0.19500000000000001</v>
      </c>
      <c r="BN402" s="69">
        <v>5.0999999999999997E-2</v>
      </c>
      <c r="BO402" s="69">
        <v>0</v>
      </c>
      <c r="BP402" s="69">
        <v>0</v>
      </c>
      <c r="BQ402" s="69">
        <v>1.4E-2</v>
      </c>
      <c r="BR402" s="62"/>
      <c r="BS402" s="72">
        <f t="shared" ref="BS402:BW402" si="1221">AP402-BJ402</f>
        <v>7.8142606581228957E-2</v>
      </c>
      <c r="BT402" s="72">
        <f t="shared" si="1221"/>
        <v>-0.21197992944412336</v>
      </c>
      <c r="BU402" s="72">
        <f t="shared" si="1221"/>
        <v>0.10433898710461802</v>
      </c>
      <c r="BV402" s="72">
        <f t="shared" si="1221"/>
        <v>4.0684531520937539E-2</v>
      </c>
      <c r="BW402" s="72">
        <f t="shared" si="1221"/>
        <v>-8.8458533474179285E-3</v>
      </c>
      <c r="BX402" s="72"/>
      <c r="BY402" s="72"/>
      <c r="BZ402" s="72">
        <f t="shared" si="794"/>
        <v>-2.3403424152432673E-3</v>
      </c>
    </row>
    <row r="403" spans="1:78" ht="13.15">
      <c r="A403" s="73" t="s">
        <v>6</v>
      </c>
      <c r="B403" s="74" t="s">
        <v>849</v>
      </c>
      <c r="C403" s="75" t="s">
        <v>850</v>
      </c>
      <c r="D403" s="75" t="s">
        <v>71</v>
      </c>
      <c r="E403" s="76"/>
      <c r="F403" s="59"/>
      <c r="G403" s="60"/>
      <c r="H403" s="77">
        <v>17758</v>
      </c>
      <c r="I403" s="77">
        <v>12350</v>
      </c>
      <c r="J403" s="77">
        <v>9657</v>
      </c>
      <c r="K403" s="77">
        <v>1899</v>
      </c>
      <c r="L403" s="77">
        <v>1719</v>
      </c>
      <c r="M403" s="77"/>
      <c r="N403" s="77"/>
      <c r="O403" s="77"/>
      <c r="P403" s="77"/>
      <c r="Q403" s="77">
        <v>76</v>
      </c>
      <c r="R403" s="77"/>
      <c r="S403" s="77"/>
      <c r="T403" s="77"/>
      <c r="U403" s="77"/>
      <c r="V403" s="77"/>
      <c r="W403" s="77"/>
      <c r="X403" s="77"/>
      <c r="Y403" s="77">
        <v>477</v>
      </c>
      <c r="Z403" s="77">
        <v>285</v>
      </c>
      <c r="AA403" s="77"/>
      <c r="AB403" s="77"/>
      <c r="AC403" s="77"/>
      <c r="AD403" s="77"/>
      <c r="AE403" s="62"/>
      <c r="AF403" s="63" t="b">
        <v>0</v>
      </c>
      <c r="AG403" s="63" t="b">
        <v>0</v>
      </c>
      <c r="AH403" s="62"/>
      <c r="AI403" s="64">
        <f t="shared" si="786"/>
        <v>44221</v>
      </c>
      <c r="AJ403" s="65" t="str">
        <f t="shared" si="1116"/>
        <v>LAB</v>
      </c>
      <c r="AK403" s="66" t="str">
        <f t="shared" si="787"/>
        <v>GAIN</v>
      </c>
      <c r="AL403" s="67" t="e">
        <f t="shared" ca="1" si="788"/>
        <v>#NAME?</v>
      </c>
      <c r="AM403" s="68">
        <f t="shared" si="637"/>
        <v>5408</v>
      </c>
      <c r="AN403" s="69">
        <f t="shared" si="638"/>
        <v>0.12229483729449808</v>
      </c>
      <c r="AO403" s="62"/>
      <c r="AP403" s="70">
        <f t="shared" ref="AP403:AT403" si="1222">H403/$AI403</f>
        <v>0.40157391284683747</v>
      </c>
      <c r="AQ403" s="70">
        <f t="shared" si="1222"/>
        <v>0.27927907555233938</v>
      </c>
      <c r="AR403" s="70">
        <f t="shared" si="1222"/>
        <v>0.21838040749869972</v>
      </c>
      <c r="AS403" s="70">
        <f t="shared" si="1222"/>
        <v>4.2943397933108703E-2</v>
      </c>
      <c r="AT403" s="70">
        <f t="shared" si="1222"/>
        <v>3.8872933674046269E-2</v>
      </c>
      <c r="AU403" s="70"/>
      <c r="AV403" s="70"/>
      <c r="AW403" s="81">
        <f t="shared" si="790"/>
        <v>1.895027249496839E-2</v>
      </c>
      <c r="AX403" s="70">
        <f t="shared" ref="AX403:BG403" si="1223">O403/$AI403</f>
        <v>0</v>
      </c>
      <c r="AY403" s="70">
        <f t="shared" si="1223"/>
        <v>0</v>
      </c>
      <c r="AZ403" s="70">
        <f t="shared" si="1223"/>
        <v>1.7186404649374731E-3</v>
      </c>
      <c r="BA403" s="70">
        <f t="shared" si="1223"/>
        <v>0</v>
      </c>
      <c r="BB403" s="70">
        <f t="shared" si="1223"/>
        <v>0</v>
      </c>
      <c r="BC403" s="70">
        <f t="shared" si="1223"/>
        <v>0</v>
      </c>
      <c r="BD403" s="70">
        <f t="shared" si="1223"/>
        <v>0</v>
      </c>
      <c r="BE403" s="70">
        <f t="shared" si="1223"/>
        <v>0</v>
      </c>
      <c r="BF403" s="70">
        <f t="shared" si="1223"/>
        <v>0</v>
      </c>
      <c r="BG403" s="70">
        <f t="shared" si="1223"/>
        <v>0</v>
      </c>
      <c r="BH403" s="70">
        <f t="shared" si="792"/>
        <v>1.7231632030030915E-2</v>
      </c>
      <c r="BI403" s="62"/>
      <c r="BJ403" s="69">
        <v>0.34799999999999998</v>
      </c>
      <c r="BK403" s="69">
        <v>0.55500000000000005</v>
      </c>
      <c r="BL403" s="69">
        <v>0</v>
      </c>
      <c r="BM403" s="69">
        <v>6.0999999999999999E-2</v>
      </c>
      <c r="BN403" s="69">
        <v>0</v>
      </c>
      <c r="BO403" s="69">
        <v>0</v>
      </c>
      <c r="BP403" s="69">
        <v>0</v>
      </c>
      <c r="BQ403" s="69">
        <v>3.5999999999999997E-2</v>
      </c>
      <c r="BR403" s="62"/>
      <c r="BS403" s="72">
        <f t="shared" ref="BS403:BW403" si="1224">AP403-BJ403</f>
        <v>5.357391284683749E-2</v>
      </c>
      <c r="BT403" s="72">
        <f t="shared" si="1224"/>
        <v>-0.27572092444766066</v>
      </c>
      <c r="BU403" s="72">
        <f t="shared" si="1224"/>
        <v>0.21838040749869972</v>
      </c>
      <c r="BV403" s="72">
        <f t="shared" si="1224"/>
        <v>-1.8056602066891296E-2</v>
      </c>
      <c r="BW403" s="72">
        <f t="shared" si="1224"/>
        <v>3.8872933674046269E-2</v>
      </c>
      <c r="BX403" s="72"/>
      <c r="BY403" s="72"/>
      <c r="BZ403" s="72">
        <f t="shared" si="794"/>
        <v>-1.7049727505031607E-2</v>
      </c>
    </row>
    <row r="404" spans="1:78" ht="13.15">
      <c r="A404" s="73" t="s">
        <v>6</v>
      </c>
      <c r="B404" s="74" t="s">
        <v>851</v>
      </c>
      <c r="C404" s="75" t="s">
        <v>852</v>
      </c>
      <c r="D404" s="75" t="s">
        <v>71</v>
      </c>
      <c r="E404" s="76"/>
      <c r="F404" s="59"/>
      <c r="G404" s="60"/>
      <c r="H404" s="77">
        <v>15484</v>
      </c>
      <c r="I404" s="77">
        <v>11942</v>
      </c>
      <c r="J404" s="77">
        <v>8163</v>
      </c>
      <c r="K404" s="77">
        <v>942</v>
      </c>
      <c r="L404" s="77">
        <v>1218</v>
      </c>
      <c r="M404" s="77"/>
      <c r="N404" s="77"/>
      <c r="O404" s="77">
        <v>1202</v>
      </c>
      <c r="P404" s="77"/>
      <c r="Q404" s="77"/>
      <c r="R404" s="77"/>
      <c r="S404" s="77"/>
      <c r="T404" s="77"/>
      <c r="U404" s="77"/>
      <c r="V404" s="77"/>
      <c r="W404" s="77"/>
      <c r="X404" s="77"/>
      <c r="Y404" s="77">
        <v>100</v>
      </c>
      <c r="Z404" s="77"/>
      <c r="AA404" s="77"/>
      <c r="AB404" s="77"/>
      <c r="AC404" s="77"/>
      <c r="AD404" s="77"/>
      <c r="AE404" s="62"/>
      <c r="AF404" s="63" t="b">
        <v>0</v>
      </c>
      <c r="AG404" s="63" t="b">
        <v>0</v>
      </c>
      <c r="AH404" s="62"/>
      <c r="AI404" s="64">
        <f t="shared" si="786"/>
        <v>39051</v>
      </c>
      <c r="AJ404" s="65" t="str">
        <f t="shared" si="1116"/>
        <v>LAB</v>
      </c>
      <c r="AK404" s="66" t="str">
        <f t="shared" si="787"/>
        <v>GAIN</v>
      </c>
      <c r="AL404" s="67" t="e">
        <f t="shared" ca="1" si="788"/>
        <v>#NAME?</v>
      </c>
      <c r="AM404" s="68">
        <f t="shared" si="637"/>
        <v>3542</v>
      </c>
      <c r="AN404" s="69">
        <f t="shared" si="638"/>
        <v>9.0701902640137277E-2</v>
      </c>
      <c r="AO404" s="62"/>
      <c r="AP404" s="70">
        <f t="shared" ref="AP404:AT404" si="1225">H404/$AI404</f>
        <v>0.39650713169957236</v>
      </c>
      <c r="AQ404" s="70">
        <f t="shared" si="1225"/>
        <v>0.30580522905943508</v>
      </c>
      <c r="AR404" s="70">
        <f t="shared" si="1225"/>
        <v>0.20903433970961052</v>
      </c>
      <c r="AS404" s="70">
        <f t="shared" si="1225"/>
        <v>2.4122301605592686E-2</v>
      </c>
      <c r="AT404" s="70">
        <f t="shared" si="1225"/>
        <v>3.1189982330798185E-2</v>
      </c>
      <c r="AU404" s="70"/>
      <c r="AV404" s="70"/>
      <c r="AW404" s="81">
        <f t="shared" si="790"/>
        <v>3.3341015594991252E-2</v>
      </c>
      <c r="AX404" s="70">
        <f t="shared" ref="AX404:BG404" si="1226">O404/$AI404</f>
        <v>3.0780261709047144E-2</v>
      </c>
      <c r="AY404" s="70">
        <f t="shared" si="1226"/>
        <v>0</v>
      </c>
      <c r="AZ404" s="70">
        <f t="shared" si="1226"/>
        <v>0</v>
      </c>
      <c r="BA404" s="70">
        <f t="shared" si="1226"/>
        <v>0</v>
      </c>
      <c r="BB404" s="70">
        <f t="shared" si="1226"/>
        <v>0</v>
      </c>
      <c r="BC404" s="70">
        <f t="shared" si="1226"/>
        <v>0</v>
      </c>
      <c r="BD404" s="70">
        <f t="shared" si="1226"/>
        <v>0</v>
      </c>
      <c r="BE404" s="70">
        <f t="shared" si="1226"/>
        <v>0</v>
      </c>
      <c r="BF404" s="70">
        <f t="shared" si="1226"/>
        <v>0</v>
      </c>
      <c r="BG404" s="70">
        <f t="shared" si="1226"/>
        <v>0</v>
      </c>
      <c r="BH404" s="70">
        <f t="shared" si="792"/>
        <v>2.5607538859441087E-3</v>
      </c>
      <c r="BI404" s="62"/>
      <c r="BJ404" s="69">
        <v>0.34899999999999998</v>
      </c>
      <c r="BK404" s="69">
        <v>0.56299999999999994</v>
      </c>
      <c r="BL404" s="69">
        <v>4.2999999999999997E-2</v>
      </c>
      <c r="BM404" s="69">
        <v>2.5999999999999999E-2</v>
      </c>
      <c r="BN404" s="69">
        <v>1.7999999999999999E-2</v>
      </c>
      <c r="BO404" s="69">
        <v>0</v>
      </c>
      <c r="BP404" s="69">
        <v>0</v>
      </c>
      <c r="BQ404" s="69">
        <v>0</v>
      </c>
      <c r="BR404" s="62"/>
      <c r="BS404" s="72">
        <f t="shared" ref="BS404:BW404" si="1227">AP404-BJ404</f>
        <v>4.750713169957238E-2</v>
      </c>
      <c r="BT404" s="72">
        <f t="shared" si="1227"/>
        <v>-0.25719477094056487</v>
      </c>
      <c r="BU404" s="72">
        <f t="shared" si="1227"/>
        <v>0.16603433970961051</v>
      </c>
      <c r="BV404" s="72">
        <f t="shared" si="1227"/>
        <v>-1.8776983944073129E-3</v>
      </c>
      <c r="BW404" s="72">
        <f t="shared" si="1227"/>
        <v>1.3189982330798187E-2</v>
      </c>
      <c r="BX404" s="72"/>
      <c r="BY404" s="72"/>
      <c r="BZ404" s="72">
        <f t="shared" si="794"/>
        <v>3.3341015594991252E-2</v>
      </c>
    </row>
    <row r="405" spans="1:78" ht="13.15">
      <c r="A405" s="78" t="s">
        <v>5</v>
      </c>
      <c r="B405" s="74" t="s">
        <v>853</v>
      </c>
      <c r="C405" s="75" t="s">
        <v>854</v>
      </c>
      <c r="D405" s="75" t="s">
        <v>50</v>
      </c>
      <c r="E405" s="76">
        <v>74284</v>
      </c>
      <c r="F405" s="59">
        <v>0.63900000000000001</v>
      </c>
      <c r="G405" s="60"/>
      <c r="H405" s="77">
        <v>26772</v>
      </c>
      <c r="I405" s="77">
        <v>8490</v>
      </c>
      <c r="J405" s="77">
        <v>5767</v>
      </c>
      <c r="K405" s="77">
        <v>2630</v>
      </c>
      <c r="L405" s="77">
        <v>3294</v>
      </c>
      <c r="M405" s="77"/>
      <c r="N405" s="77"/>
      <c r="O405" s="77">
        <v>496</v>
      </c>
      <c r="P405" s="77"/>
      <c r="Q405" s="77"/>
      <c r="R405" s="77"/>
      <c r="S405" s="77"/>
      <c r="T405" s="77"/>
      <c r="U405" s="77"/>
      <c r="V405" s="77"/>
      <c r="W405" s="77"/>
      <c r="X405" s="77"/>
      <c r="Y405" s="77"/>
      <c r="Z405" s="77"/>
      <c r="AA405" s="77"/>
      <c r="AB405" s="77"/>
      <c r="AC405" s="77"/>
      <c r="AD405" s="77"/>
      <c r="AE405" s="62"/>
      <c r="AF405" s="63" t="b">
        <v>0</v>
      </c>
      <c r="AG405" s="63" t="b">
        <v>0</v>
      </c>
      <c r="AH405" s="62"/>
      <c r="AI405" s="64">
        <f t="shared" si="786"/>
        <v>47449</v>
      </c>
      <c r="AJ405" s="65" t="str">
        <f t="shared" si="1116"/>
        <v>LAB</v>
      </c>
      <c r="AK405" s="66" t="str">
        <f t="shared" si="787"/>
        <v>HOLD</v>
      </c>
      <c r="AL405" s="67" t="e">
        <f t="shared" ca="1" si="788"/>
        <v>#NAME?</v>
      </c>
      <c r="AM405" s="68">
        <f t="shared" si="637"/>
        <v>18282</v>
      </c>
      <c r="AN405" s="69">
        <f t="shared" si="638"/>
        <v>0.3852978987966027</v>
      </c>
      <c r="AO405" s="62"/>
      <c r="AP405" s="70">
        <f t="shared" ref="AP405:AT405" si="1228">H405/$AI405</f>
        <v>0.56422685409597673</v>
      </c>
      <c r="AQ405" s="70">
        <f t="shared" si="1228"/>
        <v>0.17892895529937405</v>
      </c>
      <c r="AR405" s="70">
        <f t="shared" si="1228"/>
        <v>0.12154102299310839</v>
      </c>
      <c r="AS405" s="70">
        <f t="shared" si="1228"/>
        <v>5.5427933149276062E-2</v>
      </c>
      <c r="AT405" s="70">
        <f t="shared" si="1228"/>
        <v>6.9421905624986832E-2</v>
      </c>
      <c r="AU405" s="70"/>
      <c r="AV405" s="70"/>
      <c r="AW405" s="81">
        <f t="shared" si="790"/>
        <v>1.0453328837277898E-2</v>
      </c>
      <c r="AX405" s="70">
        <f t="shared" ref="AX405:BG405" si="1229">O405/$AI405</f>
        <v>1.045332883727792E-2</v>
      </c>
      <c r="AY405" s="70">
        <f t="shared" si="1229"/>
        <v>0</v>
      </c>
      <c r="AZ405" s="70">
        <f t="shared" si="1229"/>
        <v>0</v>
      </c>
      <c r="BA405" s="70">
        <f t="shared" si="1229"/>
        <v>0</v>
      </c>
      <c r="BB405" s="70">
        <f t="shared" si="1229"/>
        <v>0</v>
      </c>
      <c r="BC405" s="70">
        <f t="shared" si="1229"/>
        <v>0</v>
      </c>
      <c r="BD405" s="70">
        <f t="shared" si="1229"/>
        <v>0</v>
      </c>
      <c r="BE405" s="70">
        <f t="shared" si="1229"/>
        <v>0</v>
      </c>
      <c r="BF405" s="70">
        <f t="shared" si="1229"/>
        <v>0</v>
      </c>
      <c r="BG405" s="70">
        <f t="shared" si="1229"/>
        <v>0</v>
      </c>
      <c r="BH405" s="70">
        <f t="shared" si="792"/>
        <v>-2.2551405187698492E-17</v>
      </c>
      <c r="BI405" s="62"/>
      <c r="BJ405" s="69">
        <v>0.52600000000000002</v>
      </c>
      <c r="BK405" s="69">
        <v>0.34300000000000003</v>
      </c>
      <c r="BL405" s="69">
        <v>3.6999999999999998E-2</v>
      </c>
      <c r="BM405" s="69">
        <v>6.6000000000000003E-2</v>
      </c>
      <c r="BN405" s="69">
        <v>2.1000000000000001E-2</v>
      </c>
      <c r="BO405" s="69">
        <v>0</v>
      </c>
      <c r="BP405" s="69">
        <v>0</v>
      </c>
      <c r="BQ405" s="69">
        <v>7.0000000000000001E-3</v>
      </c>
      <c r="BR405" s="62"/>
      <c r="BS405" s="72">
        <f t="shared" ref="BS405:BW405" si="1230">AP405-BJ405</f>
        <v>3.8226854095976703E-2</v>
      </c>
      <c r="BT405" s="72">
        <f t="shared" si="1230"/>
        <v>-0.16407104470062597</v>
      </c>
      <c r="BU405" s="72">
        <f t="shared" si="1230"/>
        <v>8.4541022993108395E-2</v>
      </c>
      <c r="BV405" s="72">
        <f t="shared" si="1230"/>
        <v>-1.0572066850723941E-2</v>
      </c>
      <c r="BW405" s="72">
        <f t="shared" si="1230"/>
        <v>4.8421905624986827E-2</v>
      </c>
      <c r="BX405" s="72"/>
      <c r="BY405" s="72"/>
      <c r="BZ405" s="72">
        <f t="shared" si="794"/>
        <v>3.4533288372778975E-3</v>
      </c>
    </row>
    <row r="406" spans="1:78" ht="13.15">
      <c r="A406" s="73" t="s">
        <v>6</v>
      </c>
      <c r="B406" s="74" t="s">
        <v>855</v>
      </c>
      <c r="C406" s="75" t="s">
        <v>856</v>
      </c>
      <c r="D406" s="75" t="s">
        <v>71</v>
      </c>
      <c r="E406" s="76"/>
      <c r="F406" s="59"/>
      <c r="G406" s="60"/>
      <c r="H406" s="77">
        <v>22788</v>
      </c>
      <c r="I406" s="77">
        <v>12593</v>
      </c>
      <c r="J406" s="77">
        <v>9565</v>
      </c>
      <c r="K406" s="77">
        <v>1792</v>
      </c>
      <c r="L406" s="77">
        <v>2484</v>
      </c>
      <c r="M406" s="77"/>
      <c r="N406" s="77"/>
      <c r="O406" s="77"/>
      <c r="P406" s="77"/>
      <c r="Q406" s="77"/>
      <c r="R406" s="77"/>
      <c r="S406" s="77"/>
      <c r="T406" s="77"/>
      <c r="U406" s="77"/>
      <c r="V406" s="77"/>
      <c r="W406" s="77"/>
      <c r="X406" s="77"/>
      <c r="Y406" s="77"/>
      <c r="Z406" s="77"/>
      <c r="AA406" s="77"/>
      <c r="AB406" s="77"/>
      <c r="AC406" s="77"/>
      <c r="AD406" s="77"/>
      <c r="AE406" s="62"/>
      <c r="AF406" s="63" t="b">
        <v>1</v>
      </c>
      <c r="AG406" s="63" t="b">
        <v>0</v>
      </c>
      <c r="AH406" s="62"/>
      <c r="AI406" s="64">
        <f t="shared" si="786"/>
        <v>49222</v>
      </c>
      <c r="AJ406" s="65" t="str">
        <f t="shared" si="1116"/>
        <v>LAB</v>
      </c>
      <c r="AK406" s="66" t="str">
        <f t="shared" si="787"/>
        <v>GAIN</v>
      </c>
      <c r="AL406" s="67" t="e">
        <f t="shared" ca="1" si="788"/>
        <v>#NAME?</v>
      </c>
      <c r="AM406" s="68">
        <f t="shared" si="637"/>
        <v>10195</v>
      </c>
      <c r="AN406" s="69">
        <f t="shared" si="638"/>
        <v>0.20712283125431719</v>
      </c>
      <c r="AO406" s="62"/>
      <c r="AP406" s="70">
        <f t="shared" ref="AP406:AT406" si="1231">H406/$AI406</f>
        <v>0.46296371541180775</v>
      </c>
      <c r="AQ406" s="70">
        <f t="shared" si="1231"/>
        <v>0.25584088415749057</v>
      </c>
      <c r="AR406" s="70">
        <f t="shared" si="1231"/>
        <v>0.19432367640485962</v>
      </c>
      <c r="AS406" s="70">
        <f t="shared" si="1231"/>
        <v>3.6406484905123722E-2</v>
      </c>
      <c r="AT406" s="70">
        <f t="shared" si="1231"/>
        <v>5.0465239120718375E-2</v>
      </c>
      <c r="AU406" s="70"/>
      <c r="AV406" s="70"/>
      <c r="AW406" s="81">
        <f t="shared" si="790"/>
        <v>0</v>
      </c>
      <c r="AX406" s="70">
        <f t="shared" ref="AX406:BG406" si="1232">O406/$AI406</f>
        <v>0</v>
      </c>
      <c r="AY406" s="70">
        <f t="shared" si="1232"/>
        <v>0</v>
      </c>
      <c r="AZ406" s="70">
        <f t="shared" si="1232"/>
        <v>0</v>
      </c>
      <c r="BA406" s="70">
        <f t="shared" si="1232"/>
        <v>0</v>
      </c>
      <c r="BB406" s="70">
        <f t="shared" si="1232"/>
        <v>0</v>
      </c>
      <c r="BC406" s="70">
        <f t="shared" si="1232"/>
        <v>0</v>
      </c>
      <c r="BD406" s="70">
        <f t="shared" si="1232"/>
        <v>0</v>
      </c>
      <c r="BE406" s="70">
        <f t="shared" si="1232"/>
        <v>0</v>
      </c>
      <c r="BF406" s="70">
        <f t="shared" si="1232"/>
        <v>0</v>
      </c>
      <c r="BG406" s="70">
        <f t="shared" si="1232"/>
        <v>0</v>
      </c>
      <c r="BH406" s="70">
        <f t="shared" si="792"/>
        <v>0</v>
      </c>
      <c r="BI406" s="62"/>
      <c r="BJ406" s="69">
        <v>0.29799999999999999</v>
      </c>
      <c r="BK406" s="69">
        <v>0.57999999999999996</v>
      </c>
      <c r="BL406" s="69">
        <v>0</v>
      </c>
      <c r="BM406" s="69">
        <v>0.06</v>
      </c>
      <c r="BN406" s="69">
        <v>0.03</v>
      </c>
      <c r="BO406" s="69">
        <v>0</v>
      </c>
      <c r="BP406" s="69">
        <v>0</v>
      </c>
      <c r="BQ406" s="69">
        <v>3.2000000000000001E-2</v>
      </c>
      <c r="BR406" s="62"/>
      <c r="BS406" s="72">
        <f t="shared" ref="BS406:BW406" si="1233">AP406-BJ406</f>
        <v>0.16496371541180777</v>
      </c>
      <c r="BT406" s="72">
        <f t="shared" si="1233"/>
        <v>-0.32415911584250939</v>
      </c>
      <c r="BU406" s="72">
        <f t="shared" si="1233"/>
        <v>0.19432367640485962</v>
      </c>
      <c r="BV406" s="72">
        <f t="shared" si="1233"/>
        <v>-2.3593515094876276E-2</v>
      </c>
      <c r="BW406" s="72">
        <f t="shared" si="1233"/>
        <v>2.0465239120718376E-2</v>
      </c>
      <c r="BX406" s="72"/>
      <c r="BY406" s="72"/>
      <c r="BZ406" s="72">
        <f t="shared" si="794"/>
        <v>-3.2000000000000001E-2</v>
      </c>
    </row>
    <row r="407" spans="1:78" ht="13.15">
      <c r="A407" s="73" t="s">
        <v>6</v>
      </c>
      <c r="B407" s="74" t="s">
        <v>857</v>
      </c>
      <c r="C407" s="75" t="s">
        <v>858</v>
      </c>
      <c r="D407" s="75" t="s">
        <v>44</v>
      </c>
      <c r="E407" s="76"/>
      <c r="F407" s="59"/>
      <c r="G407" s="60"/>
      <c r="H407" s="77">
        <v>6802</v>
      </c>
      <c r="I407" s="77">
        <v>18328</v>
      </c>
      <c r="J407" s="77">
        <v>9341</v>
      </c>
      <c r="K407" s="77">
        <v>12888</v>
      </c>
      <c r="L407" s="77">
        <v>2033</v>
      </c>
      <c r="M407" s="77"/>
      <c r="N407" s="77"/>
      <c r="O407" s="77"/>
      <c r="P407" s="77"/>
      <c r="Q407" s="77">
        <v>209</v>
      </c>
      <c r="R407" s="77"/>
      <c r="S407" s="77"/>
      <c r="T407" s="77"/>
      <c r="U407" s="77"/>
      <c r="V407" s="77"/>
      <c r="W407" s="77"/>
      <c r="X407" s="77"/>
      <c r="Y407" s="77">
        <v>298</v>
      </c>
      <c r="Z407" s="77"/>
      <c r="AA407" s="77"/>
      <c r="AB407" s="77"/>
      <c r="AC407" s="77"/>
      <c r="AD407" s="77"/>
      <c r="AE407" s="62"/>
      <c r="AF407" s="63" t="b">
        <v>0</v>
      </c>
      <c r="AG407" s="63" t="b">
        <v>0</v>
      </c>
      <c r="AH407" s="62"/>
      <c r="AI407" s="64">
        <f t="shared" si="786"/>
        <v>49899</v>
      </c>
      <c r="AJ407" s="65" t="str">
        <f t="shared" si="1116"/>
        <v>CON</v>
      </c>
      <c r="AK407" s="66" t="str">
        <f t="shared" si="787"/>
        <v>HOLD</v>
      </c>
      <c r="AL407" s="67" t="e">
        <f t="shared" ca="1" si="788"/>
        <v>#NAME?</v>
      </c>
      <c r="AM407" s="68">
        <f t="shared" si="637"/>
        <v>5440</v>
      </c>
      <c r="AN407" s="69">
        <f t="shared" si="638"/>
        <v>0.10902022084610918</v>
      </c>
      <c r="AO407" s="62"/>
      <c r="AP407" s="70">
        <f t="shared" ref="AP407:AT407" si="1234">H407/$AI407</f>
        <v>0.13631535702118278</v>
      </c>
      <c r="AQ407" s="70">
        <f t="shared" si="1234"/>
        <v>0.36730194993887655</v>
      </c>
      <c r="AR407" s="70">
        <f t="shared" si="1234"/>
        <v>0.18719814024329146</v>
      </c>
      <c r="AS407" s="70">
        <f t="shared" si="1234"/>
        <v>0.25828172909276736</v>
      </c>
      <c r="AT407" s="70">
        <f t="shared" si="1234"/>
        <v>4.0742299444878657E-2</v>
      </c>
      <c r="AU407" s="70"/>
      <c r="AV407" s="70"/>
      <c r="AW407" s="81">
        <f t="shared" si="790"/>
        <v>1.0160524259003267E-2</v>
      </c>
      <c r="AX407" s="70">
        <f t="shared" ref="AX407:BG407" si="1235">O407/$AI407</f>
        <v>0</v>
      </c>
      <c r="AY407" s="70">
        <f t="shared" si="1235"/>
        <v>0</v>
      </c>
      <c r="AZ407" s="70">
        <f t="shared" si="1235"/>
        <v>4.1884606905950019E-3</v>
      </c>
      <c r="BA407" s="70">
        <f t="shared" si="1235"/>
        <v>0</v>
      </c>
      <c r="BB407" s="70">
        <f t="shared" si="1235"/>
        <v>0</v>
      </c>
      <c r="BC407" s="70">
        <f t="shared" si="1235"/>
        <v>0</v>
      </c>
      <c r="BD407" s="70">
        <f t="shared" si="1235"/>
        <v>0</v>
      </c>
      <c r="BE407" s="70">
        <f t="shared" si="1235"/>
        <v>0</v>
      </c>
      <c r="BF407" s="70">
        <f t="shared" si="1235"/>
        <v>0</v>
      </c>
      <c r="BG407" s="70">
        <f t="shared" si="1235"/>
        <v>0</v>
      </c>
      <c r="BH407" s="70">
        <f t="shared" si="792"/>
        <v>5.9720635684082654E-3</v>
      </c>
      <c r="BI407" s="62"/>
      <c r="BJ407" s="69">
        <v>0.13500000000000001</v>
      </c>
      <c r="BK407" s="69">
        <v>0.61699999999999999</v>
      </c>
      <c r="BL407" s="69">
        <v>0</v>
      </c>
      <c r="BM407" s="69">
        <v>0.19400000000000001</v>
      </c>
      <c r="BN407" s="69">
        <v>3.4000000000000002E-2</v>
      </c>
      <c r="BO407" s="69">
        <v>0</v>
      </c>
      <c r="BP407" s="69">
        <v>0</v>
      </c>
      <c r="BQ407" s="69">
        <v>1.9E-2</v>
      </c>
      <c r="BR407" s="62"/>
      <c r="BS407" s="72">
        <f t="shared" ref="BS407:BW407" si="1236">AP407-BJ407</f>
        <v>1.315357021182767E-3</v>
      </c>
      <c r="BT407" s="72">
        <f t="shared" si="1236"/>
        <v>-0.24969805006112344</v>
      </c>
      <c r="BU407" s="72">
        <f t="shared" si="1236"/>
        <v>0.18719814024329146</v>
      </c>
      <c r="BV407" s="72">
        <f t="shared" si="1236"/>
        <v>6.4281729092767359E-2</v>
      </c>
      <c r="BW407" s="72">
        <f t="shared" si="1236"/>
        <v>6.742299444878655E-3</v>
      </c>
      <c r="BX407" s="72"/>
      <c r="BY407" s="72"/>
      <c r="BZ407" s="72">
        <f t="shared" si="794"/>
        <v>-8.8394757409967321E-3</v>
      </c>
    </row>
    <row r="408" spans="1:78" ht="13.15">
      <c r="A408" s="78" t="s">
        <v>5</v>
      </c>
      <c r="B408" s="74" t="s">
        <v>859</v>
      </c>
      <c r="C408" s="75" t="s">
        <v>860</v>
      </c>
      <c r="D408" s="75" t="s">
        <v>71</v>
      </c>
      <c r="E408" s="76"/>
      <c r="F408" s="59"/>
      <c r="G408" s="60"/>
      <c r="H408" s="77">
        <v>16301</v>
      </c>
      <c r="I408" s="77">
        <v>4069</v>
      </c>
      <c r="J408" s="77"/>
      <c r="K408" s="77">
        <v>1694</v>
      </c>
      <c r="L408" s="77">
        <v>4701</v>
      </c>
      <c r="M408" s="77"/>
      <c r="N408" s="77"/>
      <c r="O408" s="77">
        <v>2537</v>
      </c>
      <c r="P408" s="77">
        <v>1437</v>
      </c>
      <c r="Q408" s="77">
        <v>873</v>
      </c>
      <c r="R408" s="77"/>
      <c r="S408" s="77"/>
      <c r="T408" s="77"/>
      <c r="U408" s="77"/>
      <c r="V408" s="77"/>
      <c r="W408" s="77"/>
      <c r="X408" s="77"/>
      <c r="Y408" s="77"/>
      <c r="Z408" s="77"/>
      <c r="AA408" s="77"/>
      <c r="AB408" s="77"/>
      <c r="AC408" s="77"/>
      <c r="AD408" s="77"/>
      <c r="AE408" s="62"/>
      <c r="AF408" s="63" t="b">
        <v>0</v>
      </c>
      <c r="AG408" s="63" t="b">
        <v>0</v>
      </c>
      <c r="AH408" s="62"/>
      <c r="AI408" s="64">
        <f t="shared" si="786"/>
        <v>31612</v>
      </c>
      <c r="AJ408" s="65" t="str">
        <f t="shared" si="1116"/>
        <v>LAB</v>
      </c>
      <c r="AK408" s="66" t="str">
        <f t="shared" si="787"/>
        <v>HOLD</v>
      </c>
      <c r="AL408" s="67" t="e">
        <f t="shared" ca="1" si="788"/>
        <v>#NAME?</v>
      </c>
      <c r="AM408" s="68">
        <f t="shared" si="637"/>
        <v>11600</v>
      </c>
      <c r="AN408" s="69">
        <f t="shared" si="638"/>
        <v>0.36694925977476905</v>
      </c>
      <c r="AO408" s="62"/>
      <c r="AP408" s="70">
        <f t="shared" ref="AP408:AT408" si="1237">H408/$AI408</f>
        <v>0.51565861065418195</v>
      </c>
      <c r="AQ408" s="70">
        <f t="shared" si="1237"/>
        <v>0.12871694293306341</v>
      </c>
      <c r="AR408" s="70">
        <f t="shared" si="1237"/>
        <v>0</v>
      </c>
      <c r="AS408" s="70">
        <f t="shared" si="1237"/>
        <v>5.3587245349867141E-2</v>
      </c>
      <c r="AT408" s="70">
        <f t="shared" si="1237"/>
        <v>0.14870935087941289</v>
      </c>
      <c r="AU408" s="70"/>
      <c r="AV408" s="70"/>
      <c r="AW408" s="81">
        <f t="shared" si="790"/>
        <v>0.15332785018347472</v>
      </c>
      <c r="AX408" s="70">
        <f t="shared" ref="AX408:BG408" si="1238">O408/$AI408</f>
        <v>8.0254333797292174E-2</v>
      </c>
      <c r="AY408" s="70">
        <f t="shared" si="1238"/>
        <v>4.5457421232443375E-2</v>
      </c>
      <c r="AZ408" s="70">
        <f t="shared" si="1238"/>
        <v>2.7616095153739088E-2</v>
      </c>
      <c r="BA408" s="70">
        <f t="shared" si="1238"/>
        <v>0</v>
      </c>
      <c r="BB408" s="70">
        <f t="shared" si="1238"/>
        <v>0</v>
      </c>
      <c r="BC408" s="70">
        <f t="shared" si="1238"/>
        <v>0</v>
      </c>
      <c r="BD408" s="70">
        <f t="shared" si="1238"/>
        <v>0</v>
      </c>
      <c r="BE408" s="70">
        <f t="shared" si="1238"/>
        <v>0</v>
      </c>
      <c r="BF408" s="70">
        <f t="shared" si="1238"/>
        <v>0</v>
      </c>
      <c r="BG408" s="70">
        <f t="shared" si="1238"/>
        <v>0</v>
      </c>
      <c r="BH408" s="70">
        <f t="shared" si="792"/>
        <v>0</v>
      </c>
      <c r="BI408" s="62"/>
      <c r="BJ408" s="69">
        <v>0.56599999999999995</v>
      </c>
      <c r="BK408" s="69">
        <v>0.254</v>
      </c>
      <c r="BL408" s="69">
        <v>9.7000000000000003E-2</v>
      </c>
      <c r="BM408" s="69">
        <v>3.9E-2</v>
      </c>
      <c r="BN408" s="69">
        <v>0.03</v>
      </c>
      <c r="BO408" s="69">
        <v>0</v>
      </c>
      <c r="BP408" s="69">
        <v>0</v>
      </c>
      <c r="BQ408" s="69">
        <v>1.4999999999999999E-2</v>
      </c>
      <c r="BR408" s="62"/>
      <c r="BS408" s="72">
        <f t="shared" ref="BS408:BW408" si="1239">AP408-BJ408</f>
        <v>-5.0341389345818E-2</v>
      </c>
      <c r="BT408" s="72">
        <f t="shared" si="1239"/>
        <v>-0.1252830570669366</v>
      </c>
      <c r="BU408" s="72">
        <f t="shared" si="1239"/>
        <v>-9.7000000000000003E-2</v>
      </c>
      <c r="BV408" s="72">
        <f t="shared" si="1239"/>
        <v>1.4587245349867141E-2</v>
      </c>
      <c r="BW408" s="72">
        <f t="shared" si="1239"/>
        <v>0.11870935087941289</v>
      </c>
      <c r="BX408" s="72"/>
      <c r="BY408" s="72"/>
      <c r="BZ408" s="72">
        <f t="shared" si="794"/>
        <v>0.13832785018347465</v>
      </c>
    </row>
    <row r="409" spans="1:78" ht="13.15">
      <c r="A409" s="78" t="s">
        <v>5</v>
      </c>
      <c r="B409" s="74" t="s">
        <v>861</v>
      </c>
      <c r="C409" s="75" t="s">
        <v>862</v>
      </c>
      <c r="D409" s="75" t="s">
        <v>71</v>
      </c>
      <c r="E409" s="76"/>
      <c r="F409" s="59"/>
      <c r="G409" s="60"/>
      <c r="H409" s="77">
        <v>16569</v>
      </c>
      <c r="I409" s="77">
        <v>2339</v>
      </c>
      <c r="J409" s="77"/>
      <c r="K409" s="77">
        <v>2174</v>
      </c>
      <c r="L409" s="77">
        <v>8283</v>
      </c>
      <c r="M409" s="77"/>
      <c r="N409" s="77"/>
      <c r="O409" s="77">
        <v>1039</v>
      </c>
      <c r="P409" s="77">
        <v>656</v>
      </c>
      <c r="Q409" s="77">
        <v>334</v>
      </c>
      <c r="R409" s="77"/>
      <c r="S409" s="77"/>
      <c r="T409" s="77"/>
      <c r="U409" s="77"/>
      <c r="V409" s="77"/>
      <c r="W409" s="77"/>
      <c r="X409" s="77"/>
      <c r="Y409" s="77">
        <v>409</v>
      </c>
      <c r="Z409" s="77"/>
      <c r="AA409" s="77"/>
      <c r="AB409" s="77"/>
      <c r="AC409" s="77"/>
      <c r="AD409" s="77"/>
      <c r="AE409" s="62"/>
      <c r="AF409" s="63" t="b">
        <v>0</v>
      </c>
      <c r="AG409" s="63" t="b">
        <v>0</v>
      </c>
      <c r="AH409" s="62"/>
      <c r="AI409" s="64">
        <f t="shared" si="786"/>
        <v>31803</v>
      </c>
      <c r="AJ409" s="65" t="str">
        <f t="shared" si="1116"/>
        <v>LAB</v>
      </c>
      <c r="AK409" s="66" t="str">
        <f t="shared" si="787"/>
        <v>HOLD</v>
      </c>
      <c r="AL409" s="67" t="e">
        <f t="shared" ca="1" si="788"/>
        <v>#NAME?</v>
      </c>
      <c r="AM409" s="68">
        <f t="shared" si="637"/>
        <v>8286</v>
      </c>
      <c r="AN409" s="69">
        <f t="shared" si="638"/>
        <v>0.26054145835298553</v>
      </c>
      <c r="AO409" s="62"/>
      <c r="AP409" s="70">
        <f t="shared" ref="AP409:AT409" si="1240">H409/$AI409</f>
        <v>0.52098858598245446</v>
      </c>
      <c r="AQ409" s="70">
        <f t="shared" si="1240"/>
        <v>7.3546520768480964E-2</v>
      </c>
      <c r="AR409" s="70">
        <f t="shared" si="1240"/>
        <v>0</v>
      </c>
      <c r="AS409" s="70">
        <f t="shared" si="1240"/>
        <v>6.8358330975065246E-2</v>
      </c>
      <c r="AT409" s="70">
        <f t="shared" si="1240"/>
        <v>0.26044712762946892</v>
      </c>
      <c r="AU409" s="70"/>
      <c r="AV409" s="70"/>
      <c r="AW409" s="81">
        <f t="shared" si="790"/>
        <v>7.66594346445304E-2</v>
      </c>
      <c r="AX409" s="70">
        <f t="shared" ref="AX409:BG409" si="1241">O409/$AI409</f>
        <v>3.2669873911266231E-2</v>
      </c>
      <c r="AY409" s="70">
        <f t="shared" si="1241"/>
        <v>2.0626984875640662E-2</v>
      </c>
      <c r="AZ409" s="70">
        <f t="shared" si="1241"/>
        <v>1.050215388485363E-2</v>
      </c>
      <c r="BA409" s="70">
        <f t="shared" si="1241"/>
        <v>0</v>
      </c>
      <c r="BB409" s="70">
        <f t="shared" si="1241"/>
        <v>0</v>
      </c>
      <c r="BC409" s="70">
        <f t="shared" si="1241"/>
        <v>0</v>
      </c>
      <c r="BD409" s="70">
        <f t="shared" si="1241"/>
        <v>0</v>
      </c>
      <c r="BE409" s="70">
        <f t="shared" si="1241"/>
        <v>0</v>
      </c>
      <c r="BF409" s="70">
        <f t="shared" si="1241"/>
        <v>0</v>
      </c>
      <c r="BG409" s="70">
        <f t="shared" si="1241"/>
        <v>0</v>
      </c>
      <c r="BH409" s="70">
        <f t="shared" si="792"/>
        <v>1.2860421972769875E-2</v>
      </c>
      <c r="BI409" s="62"/>
      <c r="BJ409" s="69">
        <v>0.67</v>
      </c>
      <c r="BK409" s="69">
        <v>0.124</v>
      </c>
      <c r="BL409" s="69">
        <v>3.1E-2</v>
      </c>
      <c r="BM409" s="69">
        <v>5.3999999999999999E-2</v>
      </c>
      <c r="BN409" s="69">
        <v>0.109</v>
      </c>
      <c r="BO409" s="69">
        <v>0</v>
      </c>
      <c r="BP409" s="69">
        <v>0</v>
      </c>
      <c r="BQ409" s="69">
        <v>1.2999999999999999E-2</v>
      </c>
      <c r="BR409" s="62"/>
      <c r="BS409" s="72">
        <f t="shared" ref="BS409:BW409" si="1242">AP409-BJ409</f>
        <v>-0.14901141401754558</v>
      </c>
      <c r="BT409" s="72">
        <f t="shared" si="1242"/>
        <v>-5.0453479231519036E-2</v>
      </c>
      <c r="BU409" s="72">
        <f t="shared" si="1242"/>
        <v>-3.1E-2</v>
      </c>
      <c r="BV409" s="72">
        <f t="shared" si="1242"/>
        <v>1.4358330975065246E-2</v>
      </c>
      <c r="BW409" s="72">
        <f t="shared" si="1242"/>
        <v>0.15144712762946894</v>
      </c>
      <c r="BX409" s="72"/>
      <c r="BY409" s="72"/>
      <c r="BZ409" s="72">
        <f t="shared" si="794"/>
        <v>6.3659434644530402E-2</v>
      </c>
    </row>
    <row r="410" spans="1:78" ht="13.15">
      <c r="A410" s="78" t="s">
        <v>5</v>
      </c>
      <c r="B410" s="74" t="s">
        <v>863</v>
      </c>
      <c r="C410" s="75" t="s">
        <v>864</v>
      </c>
      <c r="D410" s="75" t="s">
        <v>71</v>
      </c>
      <c r="E410" s="76"/>
      <c r="F410" s="59"/>
      <c r="G410" s="60"/>
      <c r="H410" s="77">
        <v>23875</v>
      </c>
      <c r="I410" s="77">
        <v>6205</v>
      </c>
      <c r="J410" s="77"/>
      <c r="K410" s="77">
        <v>15686</v>
      </c>
      <c r="L410" s="77">
        <v>4491</v>
      </c>
      <c r="M410" s="77"/>
      <c r="N410" s="77"/>
      <c r="O410" s="77"/>
      <c r="P410" s="77">
        <v>281</v>
      </c>
      <c r="Q410" s="77">
        <v>654</v>
      </c>
      <c r="R410" s="77"/>
      <c r="S410" s="77"/>
      <c r="T410" s="77"/>
      <c r="U410" s="77"/>
      <c r="V410" s="77"/>
      <c r="W410" s="77"/>
      <c r="X410" s="77"/>
      <c r="Y410" s="77">
        <v>409</v>
      </c>
      <c r="Z410" s="77"/>
      <c r="AA410" s="77"/>
      <c r="AB410" s="77"/>
      <c r="AC410" s="77"/>
      <c r="AD410" s="77"/>
      <c r="AE410" s="62"/>
      <c r="AF410" s="63" t="b">
        <v>0</v>
      </c>
      <c r="AG410" s="63" t="b">
        <v>0</v>
      </c>
      <c r="AH410" s="62"/>
      <c r="AI410" s="64">
        <f t="shared" si="786"/>
        <v>51601</v>
      </c>
      <c r="AJ410" s="65" t="str">
        <f t="shared" si="1116"/>
        <v>LAB</v>
      </c>
      <c r="AK410" s="66" t="str">
        <f t="shared" si="787"/>
        <v>HOLD</v>
      </c>
      <c r="AL410" s="67" t="e">
        <f t="shared" ca="1" si="788"/>
        <v>#NAME?</v>
      </c>
      <c r="AM410" s="68">
        <f t="shared" si="637"/>
        <v>8189</v>
      </c>
      <c r="AN410" s="69">
        <f t="shared" si="638"/>
        <v>0.158698474835759</v>
      </c>
      <c r="AO410" s="62"/>
      <c r="AP410" s="70">
        <f t="shared" ref="AP410:AT410" si="1243">H410/$AI410</f>
        <v>0.46268483168930835</v>
      </c>
      <c r="AQ410" s="70">
        <f t="shared" si="1243"/>
        <v>0.12024960756574485</v>
      </c>
      <c r="AR410" s="70">
        <f t="shared" si="1243"/>
        <v>0</v>
      </c>
      <c r="AS410" s="70">
        <f t="shared" si="1243"/>
        <v>0.30398635685354936</v>
      </c>
      <c r="AT410" s="70">
        <f t="shared" si="1243"/>
        <v>8.7033197031065296E-2</v>
      </c>
      <c r="AU410" s="70"/>
      <c r="AV410" s="70"/>
      <c r="AW410" s="81">
        <f t="shared" si="790"/>
        <v>2.6046006860332205E-2</v>
      </c>
      <c r="AX410" s="70">
        <f t="shared" ref="AX410:BG410" si="1244">O410/$AI410</f>
        <v>0</v>
      </c>
      <c r="AY410" s="70">
        <f t="shared" si="1244"/>
        <v>5.4456308986259956E-3</v>
      </c>
      <c r="AZ410" s="70">
        <f t="shared" si="1244"/>
        <v>1.2674172981143777E-2</v>
      </c>
      <c r="BA410" s="70">
        <f t="shared" si="1244"/>
        <v>0</v>
      </c>
      <c r="BB410" s="70">
        <f t="shared" si="1244"/>
        <v>0</v>
      </c>
      <c r="BC410" s="70">
        <f t="shared" si="1244"/>
        <v>0</v>
      </c>
      <c r="BD410" s="70">
        <f t="shared" si="1244"/>
        <v>0</v>
      </c>
      <c r="BE410" s="70">
        <f t="shared" si="1244"/>
        <v>0</v>
      </c>
      <c r="BF410" s="70">
        <f t="shared" si="1244"/>
        <v>0</v>
      </c>
      <c r="BG410" s="70">
        <f t="shared" si="1244"/>
        <v>0</v>
      </c>
      <c r="BH410" s="70">
        <f t="shared" si="792"/>
        <v>7.9262029805624336E-3</v>
      </c>
      <c r="BI410" s="62"/>
      <c r="BJ410" s="69">
        <v>0.35</v>
      </c>
      <c r="BK410" s="69">
        <v>0.25700000000000001</v>
      </c>
      <c r="BL410" s="69">
        <v>2.7E-2</v>
      </c>
      <c r="BM410" s="69">
        <v>0.33100000000000002</v>
      </c>
      <c r="BN410" s="69">
        <v>0.03</v>
      </c>
      <c r="BO410" s="69">
        <v>0</v>
      </c>
      <c r="BP410" s="69">
        <v>0</v>
      </c>
      <c r="BQ410" s="69">
        <v>5.0000000000000001E-3</v>
      </c>
      <c r="BR410" s="62"/>
      <c r="BS410" s="72">
        <f t="shared" ref="BS410:BW410" si="1245">AP410-BJ410</f>
        <v>0.11268483168930837</v>
      </c>
      <c r="BT410" s="72">
        <f t="shared" si="1245"/>
        <v>-0.13675039243425516</v>
      </c>
      <c r="BU410" s="72">
        <f t="shared" si="1245"/>
        <v>-2.7E-2</v>
      </c>
      <c r="BV410" s="72">
        <f t="shared" si="1245"/>
        <v>-2.7013643146450661E-2</v>
      </c>
      <c r="BW410" s="72">
        <f t="shared" si="1245"/>
        <v>5.7033197031065297E-2</v>
      </c>
      <c r="BX410" s="72"/>
      <c r="BY410" s="72"/>
      <c r="BZ410" s="72">
        <f t="shared" si="794"/>
        <v>2.1046006860332204E-2</v>
      </c>
    </row>
    <row r="411" spans="1:78" ht="13.15">
      <c r="A411" s="78" t="s">
        <v>5</v>
      </c>
      <c r="B411" s="74" t="s">
        <v>865</v>
      </c>
      <c r="C411" s="75" t="s">
        <v>866</v>
      </c>
      <c r="D411" s="75" t="s">
        <v>71</v>
      </c>
      <c r="E411" s="76"/>
      <c r="F411" s="59"/>
      <c r="G411" s="60"/>
      <c r="H411" s="77">
        <v>21230</v>
      </c>
      <c r="I411" s="77">
        <v>5242</v>
      </c>
      <c r="J411" s="77"/>
      <c r="K411" s="77">
        <v>3863</v>
      </c>
      <c r="L411" s="77">
        <v>5926</v>
      </c>
      <c r="M411" s="77"/>
      <c r="N411" s="77"/>
      <c r="O411" s="77"/>
      <c r="P411" s="77">
        <v>594</v>
      </c>
      <c r="Q411" s="77">
        <v>711</v>
      </c>
      <c r="R411" s="77"/>
      <c r="S411" s="77"/>
      <c r="T411" s="77"/>
      <c r="U411" s="77"/>
      <c r="V411" s="77"/>
      <c r="W411" s="77"/>
      <c r="X411" s="77"/>
      <c r="Y411" s="77">
        <v>482</v>
      </c>
      <c r="Z411" s="77">
        <v>398</v>
      </c>
      <c r="AA411" s="77"/>
      <c r="AB411" s="77"/>
      <c r="AC411" s="77"/>
      <c r="AD411" s="77"/>
      <c r="AE411" s="62"/>
      <c r="AF411" s="63" t="b">
        <v>0</v>
      </c>
      <c r="AG411" s="63" t="b">
        <v>0</v>
      </c>
      <c r="AH411" s="62"/>
      <c r="AI411" s="64">
        <f t="shared" si="786"/>
        <v>38446</v>
      </c>
      <c r="AJ411" s="65" t="str">
        <f t="shared" si="1116"/>
        <v>LAB</v>
      </c>
      <c r="AK411" s="66" t="str">
        <f t="shared" si="787"/>
        <v>HOLD</v>
      </c>
      <c r="AL411" s="67" t="e">
        <f t="shared" ca="1" si="788"/>
        <v>#NAME?</v>
      </c>
      <c r="AM411" s="68">
        <f t="shared" si="637"/>
        <v>15304</v>
      </c>
      <c r="AN411" s="69">
        <f t="shared" si="638"/>
        <v>0.39806481818654738</v>
      </c>
      <c r="AO411" s="62"/>
      <c r="AP411" s="70">
        <f t="shared" ref="AP411:AT411" si="1246">H411/$AI411</f>
        <v>0.55220309004837953</v>
      </c>
      <c r="AQ411" s="70">
        <f t="shared" si="1246"/>
        <v>0.13634708422202571</v>
      </c>
      <c r="AR411" s="70">
        <f t="shared" si="1246"/>
        <v>0</v>
      </c>
      <c r="AS411" s="70">
        <f t="shared" si="1246"/>
        <v>0.10047859335171409</v>
      </c>
      <c r="AT411" s="70">
        <f t="shared" si="1246"/>
        <v>0.15413827186183218</v>
      </c>
      <c r="AU411" s="70"/>
      <c r="AV411" s="70"/>
      <c r="AW411" s="81">
        <f t="shared" si="790"/>
        <v>5.6832960516048581E-2</v>
      </c>
      <c r="AX411" s="70">
        <f t="shared" ref="AX411:BG411" si="1247">O411/$AI411</f>
        <v>0</v>
      </c>
      <c r="AY411" s="70">
        <f t="shared" si="1247"/>
        <v>1.5450241897726681E-2</v>
      </c>
      <c r="AZ411" s="70">
        <f t="shared" si="1247"/>
        <v>1.8493471362430423E-2</v>
      </c>
      <c r="BA411" s="70">
        <f t="shared" si="1247"/>
        <v>0</v>
      </c>
      <c r="BB411" s="70">
        <f t="shared" si="1247"/>
        <v>0</v>
      </c>
      <c r="BC411" s="70">
        <f t="shared" si="1247"/>
        <v>0</v>
      </c>
      <c r="BD411" s="70">
        <f t="shared" si="1247"/>
        <v>0</v>
      </c>
      <c r="BE411" s="70">
        <f t="shared" si="1247"/>
        <v>0</v>
      </c>
      <c r="BF411" s="70">
        <f t="shared" si="1247"/>
        <v>0</v>
      </c>
      <c r="BG411" s="70">
        <f t="shared" si="1247"/>
        <v>0</v>
      </c>
      <c r="BH411" s="70">
        <f t="shared" si="792"/>
        <v>2.2889247255891476E-2</v>
      </c>
      <c r="BI411" s="62"/>
      <c r="BJ411" s="69">
        <v>0.53900000000000003</v>
      </c>
      <c r="BK411" s="69">
        <v>0.27100000000000002</v>
      </c>
      <c r="BL411" s="69">
        <v>0.08</v>
      </c>
      <c r="BM411" s="69">
        <v>6.7000000000000004E-2</v>
      </c>
      <c r="BN411" s="69">
        <v>4.2999999999999997E-2</v>
      </c>
      <c r="BO411" s="69">
        <v>0</v>
      </c>
      <c r="BP411" s="69">
        <v>0</v>
      </c>
      <c r="BQ411" s="69">
        <v>0</v>
      </c>
      <c r="BR411" s="62"/>
      <c r="BS411" s="72">
        <f t="shared" ref="BS411:BW411" si="1248">AP411-BJ411</f>
        <v>1.3203090048379496E-2</v>
      </c>
      <c r="BT411" s="72">
        <f t="shared" si="1248"/>
        <v>-0.13465291577797431</v>
      </c>
      <c r="BU411" s="72">
        <f t="shared" si="1248"/>
        <v>-0.08</v>
      </c>
      <c r="BV411" s="72">
        <f t="shared" si="1248"/>
        <v>3.3478593351714089E-2</v>
      </c>
      <c r="BW411" s="72">
        <f t="shared" si="1248"/>
        <v>0.11113827186183219</v>
      </c>
      <c r="BX411" s="72"/>
      <c r="BY411" s="72"/>
      <c r="BZ411" s="72">
        <f t="shared" si="794"/>
        <v>5.6832960516048581E-2</v>
      </c>
    </row>
    <row r="412" spans="1:78" ht="13.15">
      <c r="A412" s="78" t="s">
        <v>5</v>
      </c>
      <c r="B412" s="74" t="s">
        <v>867</v>
      </c>
      <c r="C412" s="75" t="s">
        <v>868</v>
      </c>
      <c r="D412" s="75" t="s">
        <v>71</v>
      </c>
      <c r="E412" s="76"/>
      <c r="F412" s="59"/>
      <c r="G412" s="60"/>
      <c r="H412" s="77">
        <v>18710</v>
      </c>
      <c r="I412" s="77">
        <v>6252</v>
      </c>
      <c r="J412" s="77"/>
      <c r="K412" s="77">
        <v>3421</v>
      </c>
      <c r="L412" s="77">
        <v>3158</v>
      </c>
      <c r="M412" s="77"/>
      <c r="N412" s="77"/>
      <c r="O412" s="77">
        <v>1716</v>
      </c>
      <c r="P412" s="77">
        <v>1453</v>
      </c>
      <c r="Q412" s="77">
        <v>1061</v>
      </c>
      <c r="R412" s="77"/>
      <c r="S412" s="77"/>
      <c r="T412" s="77"/>
      <c r="U412" s="77"/>
      <c r="V412" s="77"/>
      <c r="W412" s="77"/>
      <c r="X412" s="77"/>
      <c r="Y412" s="77"/>
      <c r="Z412" s="77"/>
      <c r="AA412" s="77"/>
      <c r="AB412" s="77"/>
      <c r="AC412" s="77"/>
      <c r="AD412" s="77"/>
      <c r="AE412" s="62"/>
      <c r="AF412" s="63" t="b">
        <v>0</v>
      </c>
      <c r="AG412" s="63" t="b">
        <v>0</v>
      </c>
      <c r="AH412" s="62"/>
      <c r="AI412" s="64">
        <f t="shared" si="786"/>
        <v>35771</v>
      </c>
      <c r="AJ412" s="65" t="str">
        <f t="shared" si="1116"/>
        <v>LAB</v>
      </c>
      <c r="AK412" s="66" t="str">
        <f t="shared" si="787"/>
        <v>HOLD</v>
      </c>
      <c r="AL412" s="67" t="e">
        <f t="shared" ca="1" si="788"/>
        <v>#NAME?</v>
      </c>
      <c r="AM412" s="68">
        <f t="shared" si="637"/>
        <v>12458</v>
      </c>
      <c r="AN412" s="69">
        <f t="shared" si="638"/>
        <v>0.3482709457381678</v>
      </c>
      <c r="AO412" s="62"/>
      <c r="AP412" s="70">
        <f t="shared" ref="AP412:AT412" si="1249">H412/$AI412</f>
        <v>0.52304939755668001</v>
      </c>
      <c r="AQ412" s="70">
        <f t="shared" si="1249"/>
        <v>0.1747784518185122</v>
      </c>
      <c r="AR412" s="70">
        <f t="shared" si="1249"/>
        <v>0</v>
      </c>
      <c r="AS412" s="70">
        <f t="shared" si="1249"/>
        <v>9.5636129825836566E-2</v>
      </c>
      <c r="AT412" s="70">
        <f t="shared" si="1249"/>
        <v>8.828380531715635E-2</v>
      </c>
      <c r="AU412" s="70"/>
      <c r="AV412" s="70"/>
      <c r="AW412" s="81">
        <f t="shared" si="790"/>
        <v>0.11825221548181486</v>
      </c>
      <c r="AX412" s="70">
        <f t="shared" ref="AX412:BG412" si="1250">O412/$AI412</f>
        <v>4.7971820748651139E-2</v>
      </c>
      <c r="AY412" s="70">
        <f t="shared" si="1250"/>
        <v>4.0619496239970923E-2</v>
      </c>
      <c r="AZ412" s="70">
        <f t="shared" si="1250"/>
        <v>2.9660898493192811E-2</v>
      </c>
      <c r="BA412" s="70">
        <f t="shared" si="1250"/>
        <v>0</v>
      </c>
      <c r="BB412" s="70">
        <f t="shared" si="1250"/>
        <v>0</v>
      </c>
      <c r="BC412" s="70">
        <f t="shared" si="1250"/>
        <v>0</v>
      </c>
      <c r="BD412" s="70">
        <f t="shared" si="1250"/>
        <v>0</v>
      </c>
      <c r="BE412" s="70">
        <f t="shared" si="1250"/>
        <v>0</v>
      </c>
      <c r="BF412" s="70">
        <f t="shared" si="1250"/>
        <v>0</v>
      </c>
      <c r="BG412" s="70">
        <f t="shared" si="1250"/>
        <v>0</v>
      </c>
      <c r="BH412" s="70">
        <f t="shared" si="792"/>
        <v>0</v>
      </c>
      <c r="BI412" s="62"/>
      <c r="BJ412" s="69">
        <v>0.46800000000000003</v>
      </c>
      <c r="BK412" s="69">
        <v>0.35599999999999998</v>
      </c>
      <c r="BL412" s="69">
        <v>0.107</v>
      </c>
      <c r="BM412" s="69">
        <v>4.7E-2</v>
      </c>
      <c r="BN412" s="69">
        <v>2E-3</v>
      </c>
      <c r="BO412" s="69">
        <v>0</v>
      </c>
      <c r="BP412" s="69">
        <v>0</v>
      </c>
      <c r="BQ412" s="69">
        <v>2.1000000000000001E-2</v>
      </c>
      <c r="BR412" s="62"/>
      <c r="BS412" s="72">
        <f t="shared" ref="BS412:BW412" si="1251">AP412-BJ412</f>
        <v>5.504939755667998E-2</v>
      </c>
      <c r="BT412" s="72">
        <f t="shared" si="1251"/>
        <v>-0.18122154818148778</v>
      </c>
      <c r="BU412" s="72">
        <f t="shared" si="1251"/>
        <v>-0.107</v>
      </c>
      <c r="BV412" s="72">
        <f t="shared" si="1251"/>
        <v>4.8636129825836566E-2</v>
      </c>
      <c r="BW412" s="72">
        <f t="shared" si="1251"/>
        <v>8.6283805317156348E-2</v>
      </c>
      <c r="BX412" s="72"/>
      <c r="BY412" s="72"/>
      <c r="BZ412" s="72">
        <f t="shared" si="794"/>
        <v>9.7252215481814869E-2</v>
      </c>
    </row>
    <row r="413" spans="1:78" ht="13.15">
      <c r="A413" s="73" t="s">
        <v>6</v>
      </c>
      <c r="B413" s="74" t="s">
        <v>869</v>
      </c>
      <c r="C413" s="75" t="s">
        <v>870</v>
      </c>
      <c r="D413" s="75" t="s">
        <v>53</v>
      </c>
      <c r="E413" s="76"/>
      <c r="F413" s="59"/>
      <c r="G413" s="60"/>
      <c r="H413" s="77">
        <v>18841</v>
      </c>
      <c r="I413" s="77">
        <v>13398</v>
      </c>
      <c r="J413" s="77">
        <v>11320</v>
      </c>
      <c r="K413" s="77">
        <v>1838</v>
      </c>
      <c r="L413" s="77">
        <v>2216</v>
      </c>
      <c r="M413" s="77"/>
      <c r="N413" s="77"/>
      <c r="O413" s="77">
        <v>864</v>
      </c>
      <c r="P413" s="77"/>
      <c r="Q413" s="77"/>
      <c r="R413" s="77"/>
      <c r="S413" s="77"/>
      <c r="T413" s="77"/>
      <c r="U413" s="77"/>
      <c r="V413" s="77"/>
      <c r="W413" s="77"/>
      <c r="X413" s="77"/>
      <c r="Y413" s="77">
        <v>183</v>
      </c>
      <c r="Z413" s="77"/>
      <c r="AA413" s="77"/>
      <c r="AB413" s="77"/>
      <c r="AC413" s="77"/>
      <c r="AD413" s="77"/>
      <c r="AE413" s="62"/>
      <c r="AF413" s="63" t="b">
        <v>0</v>
      </c>
      <c r="AG413" s="63" t="b">
        <v>0</v>
      </c>
      <c r="AH413" s="62"/>
      <c r="AI413" s="64">
        <f t="shared" si="786"/>
        <v>48660</v>
      </c>
      <c r="AJ413" s="65" t="str">
        <f t="shared" si="1116"/>
        <v>LAB</v>
      </c>
      <c r="AK413" s="66" t="str">
        <f t="shared" si="787"/>
        <v>GAIN</v>
      </c>
      <c r="AL413" s="67" t="e">
        <f t="shared" ca="1" si="788"/>
        <v>#NAME?</v>
      </c>
      <c r="AM413" s="68">
        <f t="shared" si="637"/>
        <v>5443</v>
      </c>
      <c r="AN413" s="69">
        <f t="shared" si="638"/>
        <v>0.11185778873818331</v>
      </c>
      <c r="AO413" s="62"/>
      <c r="AP413" s="70">
        <f t="shared" ref="AP413:AT413" si="1252">H413/$AI413</f>
        <v>0.38719687628442251</v>
      </c>
      <c r="AQ413" s="70">
        <f t="shared" si="1252"/>
        <v>0.2753390875462392</v>
      </c>
      <c r="AR413" s="70">
        <f t="shared" si="1252"/>
        <v>0.23263460748047679</v>
      </c>
      <c r="AS413" s="70">
        <f t="shared" si="1252"/>
        <v>3.7772297575010279E-2</v>
      </c>
      <c r="AT413" s="70">
        <f t="shared" si="1252"/>
        <v>4.5540484997944927E-2</v>
      </c>
      <c r="AU413" s="70"/>
      <c r="AV413" s="70"/>
      <c r="AW413" s="81">
        <f t="shared" si="790"/>
        <v>2.1516646115906202E-2</v>
      </c>
      <c r="AX413" s="70">
        <f t="shared" ref="AX413:BG413" si="1253">O413/$AI413</f>
        <v>1.775585696670777E-2</v>
      </c>
      <c r="AY413" s="70">
        <f t="shared" si="1253"/>
        <v>0</v>
      </c>
      <c r="AZ413" s="70">
        <f t="shared" si="1253"/>
        <v>0</v>
      </c>
      <c r="BA413" s="70">
        <f t="shared" si="1253"/>
        <v>0</v>
      </c>
      <c r="BB413" s="70">
        <f t="shared" si="1253"/>
        <v>0</v>
      </c>
      <c r="BC413" s="70">
        <f t="shared" si="1253"/>
        <v>0</v>
      </c>
      <c r="BD413" s="70">
        <f t="shared" si="1253"/>
        <v>0</v>
      </c>
      <c r="BE413" s="70">
        <f t="shared" si="1253"/>
        <v>0</v>
      </c>
      <c r="BF413" s="70">
        <f t="shared" si="1253"/>
        <v>0</v>
      </c>
      <c r="BG413" s="70">
        <f t="shared" si="1253"/>
        <v>0</v>
      </c>
      <c r="BH413" s="70">
        <f t="shared" si="792"/>
        <v>3.7607891491984319E-3</v>
      </c>
      <c r="BI413" s="62"/>
      <c r="BJ413" s="69">
        <v>0.29599999999999999</v>
      </c>
      <c r="BK413" s="69">
        <v>0.60799999999999998</v>
      </c>
      <c r="BL413" s="69">
        <v>0</v>
      </c>
      <c r="BM413" s="69">
        <v>5.7000000000000002E-2</v>
      </c>
      <c r="BN413" s="69">
        <v>2.5999999999999999E-2</v>
      </c>
      <c r="BO413" s="69">
        <v>0</v>
      </c>
      <c r="BP413" s="69">
        <v>0</v>
      </c>
      <c r="BQ413" s="69">
        <v>1.2999999999999999E-2</v>
      </c>
      <c r="BR413" s="62"/>
      <c r="BS413" s="72">
        <f t="shared" ref="BS413:BW413" si="1254">AP413-BJ413</f>
        <v>9.1196876284422523E-2</v>
      </c>
      <c r="BT413" s="72">
        <f t="shared" si="1254"/>
        <v>-0.33266091245376078</v>
      </c>
      <c r="BU413" s="72">
        <f t="shared" si="1254"/>
        <v>0.23263460748047679</v>
      </c>
      <c r="BV413" s="72">
        <f t="shared" si="1254"/>
        <v>-1.9227702424989723E-2</v>
      </c>
      <c r="BW413" s="72">
        <f t="shared" si="1254"/>
        <v>1.9540484997944928E-2</v>
      </c>
      <c r="BX413" s="72"/>
      <c r="BY413" s="72"/>
      <c r="BZ413" s="72">
        <f t="shared" si="794"/>
        <v>8.5166461159062023E-3</v>
      </c>
    </row>
    <row r="414" spans="1:78" ht="13.15">
      <c r="A414" s="73" t="s">
        <v>6</v>
      </c>
      <c r="B414" s="74" t="s">
        <v>871</v>
      </c>
      <c r="C414" s="75" t="s">
        <v>872</v>
      </c>
      <c r="D414" s="75" t="s">
        <v>71</v>
      </c>
      <c r="E414" s="76"/>
      <c r="F414" s="59"/>
      <c r="G414" s="60"/>
      <c r="H414" s="77">
        <v>21738</v>
      </c>
      <c r="I414" s="77">
        <v>13135</v>
      </c>
      <c r="J414" s="77">
        <v>7238</v>
      </c>
      <c r="K414" s="77">
        <v>1341</v>
      </c>
      <c r="L414" s="77">
        <v>3605</v>
      </c>
      <c r="M414" s="77"/>
      <c r="N414" s="77"/>
      <c r="O414" s="77">
        <v>297</v>
      </c>
      <c r="P414" s="77">
        <v>269</v>
      </c>
      <c r="Q414" s="77">
        <v>137</v>
      </c>
      <c r="R414" s="77"/>
      <c r="S414" s="77"/>
      <c r="T414" s="77"/>
      <c r="U414" s="77"/>
      <c r="V414" s="77"/>
      <c r="W414" s="77"/>
      <c r="X414" s="77"/>
      <c r="Y414" s="77">
        <v>447</v>
      </c>
      <c r="Z414" s="77">
        <v>96</v>
      </c>
      <c r="AA414" s="77"/>
      <c r="AB414" s="77"/>
      <c r="AC414" s="77"/>
      <c r="AD414" s="77"/>
      <c r="AE414" s="62"/>
      <c r="AF414" s="63" t="b">
        <v>0</v>
      </c>
      <c r="AG414" s="63" t="b">
        <v>0</v>
      </c>
      <c r="AH414" s="62"/>
      <c r="AI414" s="64">
        <f t="shared" si="786"/>
        <v>48303</v>
      </c>
      <c r="AJ414" s="65" t="str">
        <f t="shared" si="1116"/>
        <v>LAB</v>
      </c>
      <c r="AK414" s="66" t="str">
        <f t="shared" si="787"/>
        <v>GAIN</v>
      </c>
      <c r="AL414" s="67" t="e">
        <f t="shared" ca="1" si="788"/>
        <v>#NAME?</v>
      </c>
      <c r="AM414" s="68">
        <f t="shared" si="637"/>
        <v>8603</v>
      </c>
      <c r="AN414" s="69">
        <f t="shared" si="638"/>
        <v>0.17810487961410265</v>
      </c>
      <c r="AO414" s="62"/>
      <c r="AP414" s="70">
        <f t="shared" ref="AP414:AT414" si="1255">H414/$AI414</f>
        <v>0.45003415936898328</v>
      </c>
      <c r="AQ414" s="70">
        <f t="shared" si="1255"/>
        <v>0.27192927975488063</v>
      </c>
      <c r="AR414" s="70">
        <f t="shared" si="1255"/>
        <v>0.14984576527337848</v>
      </c>
      <c r="AS414" s="70">
        <f t="shared" si="1255"/>
        <v>2.7762250791876282E-2</v>
      </c>
      <c r="AT414" s="70">
        <f t="shared" si="1255"/>
        <v>7.4633045566527959E-2</v>
      </c>
      <c r="AU414" s="70"/>
      <c r="AV414" s="70"/>
      <c r="AW414" s="81">
        <f t="shared" si="790"/>
        <v>2.5795499244353426E-2</v>
      </c>
      <c r="AX414" s="70">
        <f t="shared" ref="AX414:BG414" si="1256">O414/$AI414</f>
        <v>6.1486864169927333E-3</v>
      </c>
      <c r="AY414" s="70">
        <f t="shared" si="1256"/>
        <v>5.5690122766701858E-3</v>
      </c>
      <c r="AZ414" s="70">
        <f t="shared" si="1256"/>
        <v>2.8362627580067489E-3</v>
      </c>
      <c r="BA414" s="70">
        <f t="shared" si="1256"/>
        <v>0</v>
      </c>
      <c r="BB414" s="70">
        <f t="shared" si="1256"/>
        <v>0</v>
      </c>
      <c r="BC414" s="70">
        <f t="shared" si="1256"/>
        <v>0</v>
      </c>
      <c r="BD414" s="70">
        <f t="shared" si="1256"/>
        <v>0</v>
      </c>
      <c r="BE414" s="70">
        <f t="shared" si="1256"/>
        <v>0</v>
      </c>
      <c r="BF414" s="70">
        <f t="shared" si="1256"/>
        <v>0</v>
      </c>
      <c r="BG414" s="70">
        <f t="shared" si="1256"/>
        <v>0</v>
      </c>
      <c r="BH414" s="70">
        <f t="shared" si="792"/>
        <v>1.1241537792683758E-2</v>
      </c>
      <c r="BI414" s="62"/>
      <c r="BJ414" s="69">
        <v>0.39300000000000002</v>
      </c>
      <c r="BK414" s="69">
        <v>0.50800000000000001</v>
      </c>
      <c r="BL414" s="69">
        <v>0</v>
      </c>
      <c r="BM414" s="69">
        <v>5.8999999999999997E-2</v>
      </c>
      <c r="BN414" s="69">
        <v>2.4E-2</v>
      </c>
      <c r="BO414" s="69">
        <v>0</v>
      </c>
      <c r="BP414" s="69">
        <v>0</v>
      </c>
      <c r="BQ414" s="69">
        <v>1.6E-2</v>
      </c>
      <c r="BR414" s="62"/>
      <c r="BS414" s="72">
        <f t="shared" ref="BS414:BW414" si="1257">AP414-BJ414</f>
        <v>5.7034159368983262E-2</v>
      </c>
      <c r="BT414" s="72">
        <f t="shared" si="1257"/>
        <v>-0.23607072024511938</v>
      </c>
      <c r="BU414" s="72">
        <f t="shared" si="1257"/>
        <v>0.14984576527337848</v>
      </c>
      <c r="BV414" s="72">
        <f t="shared" si="1257"/>
        <v>-3.1237749208123715E-2</v>
      </c>
      <c r="BW414" s="72">
        <f t="shared" si="1257"/>
        <v>5.0633045566527958E-2</v>
      </c>
      <c r="BX414" s="72"/>
      <c r="BY414" s="72"/>
      <c r="BZ414" s="72">
        <f t="shared" si="794"/>
        <v>9.7954992443534256E-3</v>
      </c>
    </row>
    <row r="415" spans="1:78" ht="13.15">
      <c r="A415" s="73" t="s">
        <v>6</v>
      </c>
      <c r="B415" s="74" t="s">
        <v>873</v>
      </c>
      <c r="C415" s="75" t="s">
        <v>874</v>
      </c>
      <c r="D415" s="75" t="s">
        <v>47</v>
      </c>
      <c r="E415" s="76"/>
      <c r="F415" s="59"/>
      <c r="G415" s="60"/>
      <c r="H415" s="77">
        <v>22932</v>
      </c>
      <c r="I415" s="77">
        <v>11577</v>
      </c>
      <c r="J415" s="77">
        <v>7524</v>
      </c>
      <c r="K415" s="77">
        <v>6722</v>
      </c>
      <c r="L415" s="77">
        <v>2387</v>
      </c>
      <c r="M415" s="77"/>
      <c r="N415" s="77"/>
      <c r="O415" s="77">
        <v>177</v>
      </c>
      <c r="P415" s="77"/>
      <c r="Q415" s="77"/>
      <c r="R415" s="77"/>
      <c r="S415" s="77"/>
      <c r="T415" s="77"/>
      <c r="U415" s="77"/>
      <c r="V415" s="77"/>
      <c r="W415" s="77"/>
      <c r="X415" s="77"/>
      <c r="Y415" s="77">
        <v>241</v>
      </c>
      <c r="Z415" s="77"/>
      <c r="AA415" s="77"/>
      <c r="AB415" s="77"/>
      <c r="AC415" s="77"/>
      <c r="AD415" s="77"/>
      <c r="AE415" s="62"/>
      <c r="AF415" s="63" t="b">
        <v>0</v>
      </c>
      <c r="AG415" s="63" t="b">
        <v>0</v>
      </c>
      <c r="AH415" s="62"/>
      <c r="AI415" s="64">
        <f t="shared" si="786"/>
        <v>51560</v>
      </c>
      <c r="AJ415" s="65" t="str">
        <f t="shared" si="1116"/>
        <v>LAB</v>
      </c>
      <c r="AK415" s="66" t="str">
        <f t="shared" si="787"/>
        <v>GAIN</v>
      </c>
      <c r="AL415" s="67" t="e">
        <f t="shared" ca="1" si="788"/>
        <v>#NAME?</v>
      </c>
      <c r="AM415" s="68">
        <f t="shared" si="637"/>
        <v>11355</v>
      </c>
      <c r="AN415" s="69">
        <f t="shared" si="638"/>
        <v>0.22022885958107058</v>
      </c>
      <c r="AO415" s="62"/>
      <c r="AP415" s="70">
        <f t="shared" ref="AP415:AT415" si="1258">H415/$AI415</f>
        <v>0.44476338246702868</v>
      </c>
      <c r="AQ415" s="70">
        <f t="shared" si="1258"/>
        <v>0.2245345228859581</v>
      </c>
      <c r="AR415" s="70">
        <f t="shared" si="1258"/>
        <v>0.14592707525213344</v>
      </c>
      <c r="AS415" s="70">
        <f t="shared" si="1258"/>
        <v>0.13037238169123352</v>
      </c>
      <c r="AT415" s="70">
        <f t="shared" si="1258"/>
        <v>4.6295577967416603E-2</v>
      </c>
      <c r="AU415" s="70"/>
      <c r="AV415" s="70"/>
      <c r="AW415" s="81">
        <f t="shared" si="790"/>
        <v>8.1070597362296049E-3</v>
      </c>
      <c r="AX415" s="70">
        <f t="shared" ref="AX415:BG415" si="1259">O415/$AI415</f>
        <v>3.4328937160589606E-3</v>
      </c>
      <c r="AY415" s="70">
        <f t="shared" si="1259"/>
        <v>0</v>
      </c>
      <c r="AZ415" s="70">
        <f t="shared" si="1259"/>
        <v>0</v>
      </c>
      <c r="BA415" s="70">
        <f t="shared" si="1259"/>
        <v>0</v>
      </c>
      <c r="BB415" s="70">
        <f t="shared" si="1259"/>
        <v>0</v>
      </c>
      <c r="BC415" s="70">
        <f t="shared" si="1259"/>
        <v>0</v>
      </c>
      <c r="BD415" s="70">
        <f t="shared" si="1259"/>
        <v>0</v>
      </c>
      <c r="BE415" s="70">
        <f t="shared" si="1259"/>
        <v>0</v>
      </c>
      <c r="BF415" s="70">
        <f t="shared" si="1259"/>
        <v>0</v>
      </c>
      <c r="BG415" s="70">
        <f t="shared" si="1259"/>
        <v>0</v>
      </c>
      <c r="BH415" s="70">
        <f t="shared" si="792"/>
        <v>4.6741660201706442E-3</v>
      </c>
      <c r="BI415" s="62"/>
      <c r="BJ415" s="69">
        <v>0.35499999999999998</v>
      </c>
      <c r="BK415" s="69">
        <v>0.49399999999999999</v>
      </c>
      <c r="BL415" s="69">
        <v>0</v>
      </c>
      <c r="BM415" s="69">
        <v>0.108</v>
      </c>
      <c r="BN415" s="69">
        <v>3.3000000000000002E-2</v>
      </c>
      <c r="BO415" s="69">
        <v>0</v>
      </c>
      <c r="BP415" s="69">
        <v>0</v>
      </c>
      <c r="BQ415" s="69">
        <v>1.0999999999999999E-2</v>
      </c>
      <c r="BR415" s="62"/>
      <c r="BS415" s="72">
        <f t="shared" ref="BS415:BW415" si="1260">AP415-BJ415</f>
        <v>8.9763382467028696E-2</v>
      </c>
      <c r="BT415" s="72">
        <f t="shared" si="1260"/>
        <v>-0.2694654771140419</v>
      </c>
      <c r="BU415" s="72">
        <f t="shared" si="1260"/>
        <v>0.14592707525213344</v>
      </c>
      <c r="BV415" s="72">
        <f t="shared" si="1260"/>
        <v>2.2372381691233525E-2</v>
      </c>
      <c r="BW415" s="72">
        <f t="shared" si="1260"/>
        <v>1.3295577967416601E-2</v>
      </c>
      <c r="BX415" s="72"/>
      <c r="BY415" s="72"/>
      <c r="BZ415" s="72">
        <f t="shared" si="794"/>
        <v>-2.8929402637703945E-3</v>
      </c>
    </row>
    <row r="416" spans="1:78" ht="13.15">
      <c r="A416" s="73" t="s">
        <v>6</v>
      </c>
      <c r="B416" s="74" t="s">
        <v>875</v>
      </c>
      <c r="C416" s="75" t="s">
        <v>876</v>
      </c>
      <c r="D416" s="75" t="s">
        <v>44</v>
      </c>
      <c r="E416" s="76"/>
      <c r="F416" s="59"/>
      <c r="G416" s="60"/>
      <c r="H416" s="77">
        <v>11919</v>
      </c>
      <c r="I416" s="77">
        <v>11564</v>
      </c>
      <c r="J416" s="77">
        <v>10512</v>
      </c>
      <c r="K416" s="77">
        <v>1312</v>
      </c>
      <c r="L416" s="77">
        <v>1692</v>
      </c>
      <c r="M416" s="77"/>
      <c r="N416" s="77"/>
      <c r="O416" s="77">
        <v>529</v>
      </c>
      <c r="P416" s="77"/>
      <c r="Q416" s="77"/>
      <c r="R416" s="77">
        <v>3238</v>
      </c>
      <c r="S416" s="77"/>
      <c r="T416" s="77"/>
      <c r="U416" s="77"/>
      <c r="V416" s="77"/>
      <c r="W416" s="77"/>
      <c r="X416" s="77"/>
      <c r="Y416" s="77">
        <v>223</v>
      </c>
      <c r="Z416" s="77"/>
      <c r="AA416" s="77"/>
      <c r="AB416" s="77"/>
      <c r="AC416" s="77"/>
      <c r="AD416" s="77"/>
      <c r="AE416" s="62"/>
      <c r="AF416" s="63" t="b">
        <v>0</v>
      </c>
      <c r="AG416" s="63" t="b">
        <v>0</v>
      </c>
      <c r="AH416" s="62"/>
      <c r="AI416" s="64">
        <f t="shared" si="786"/>
        <v>40989</v>
      </c>
      <c r="AJ416" s="65" t="str">
        <f t="shared" si="1116"/>
        <v>LAB</v>
      </c>
      <c r="AK416" s="66" t="str">
        <f t="shared" si="787"/>
        <v>GAIN</v>
      </c>
      <c r="AL416" s="67" t="e">
        <f t="shared" ca="1" si="788"/>
        <v>#NAME?</v>
      </c>
      <c r="AM416" s="68">
        <f t="shared" si="637"/>
        <v>355</v>
      </c>
      <c r="AN416" s="69">
        <f t="shared" si="638"/>
        <v>8.6608602307935989E-3</v>
      </c>
      <c r="AO416" s="62"/>
      <c r="AP416" s="70">
        <f t="shared" ref="AP416:AT416" si="1261">H416/$AI416</f>
        <v>0.29078533265022322</v>
      </c>
      <c r="AQ416" s="70">
        <f t="shared" si="1261"/>
        <v>0.28212447241942962</v>
      </c>
      <c r="AR416" s="70">
        <f t="shared" si="1261"/>
        <v>0.25645904998902147</v>
      </c>
      <c r="AS416" s="70">
        <f t="shared" si="1261"/>
        <v>3.200858766986265E-2</v>
      </c>
      <c r="AT416" s="70">
        <f t="shared" si="1261"/>
        <v>4.1279367635219208E-2</v>
      </c>
      <c r="AU416" s="70"/>
      <c r="AV416" s="70"/>
      <c r="AW416" s="81">
        <f t="shared" si="790"/>
        <v>9.7343189636243777E-2</v>
      </c>
      <c r="AX416" s="70">
        <f t="shared" ref="AX416:BG416" si="1262">O416/$AI416</f>
        <v>1.2905901583351632E-2</v>
      </c>
      <c r="AY416" s="70">
        <f t="shared" si="1262"/>
        <v>0</v>
      </c>
      <c r="AZ416" s="70">
        <f t="shared" si="1262"/>
        <v>0</v>
      </c>
      <c r="BA416" s="70">
        <f t="shared" si="1262"/>
        <v>7.8996804020590894E-2</v>
      </c>
      <c r="BB416" s="70">
        <f t="shared" si="1262"/>
        <v>0</v>
      </c>
      <c r="BC416" s="70">
        <f t="shared" si="1262"/>
        <v>0</v>
      </c>
      <c r="BD416" s="70">
        <f t="shared" si="1262"/>
        <v>0</v>
      </c>
      <c r="BE416" s="70">
        <f t="shared" si="1262"/>
        <v>0</v>
      </c>
      <c r="BF416" s="70">
        <f t="shared" si="1262"/>
        <v>0</v>
      </c>
      <c r="BG416" s="70">
        <f t="shared" si="1262"/>
        <v>0</v>
      </c>
      <c r="BH416" s="70">
        <f t="shared" si="792"/>
        <v>5.4404840323012543E-3</v>
      </c>
      <c r="BI416" s="62"/>
      <c r="BJ416" s="69">
        <v>0.20899999999999999</v>
      </c>
      <c r="BK416" s="69">
        <v>0.66500000000000004</v>
      </c>
      <c r="BL416" s="69">
        <v>0</v>
      </c>
      <c r="BM416" s="69">
        <v>6.3E-2</v>
      </c>
      <c r="BN416" s="69">
        <v>2.1999999999999999E-2</v>
      </c>
      <c r="BO416" s="69">
        <v>0</v>
      </c>
      <c r="BP416" s="69">
        <v>0</v>
      </c>
      <c r="BQ416" s="69">
        <v>0.04</v>
      </c>
      <c r="BR416" s="62"/>
      <c r="BS416" s="72">
        <f t="shared" ref="BS416:BW416" si="1263">AP416-BJ416</f>
        <v>8.1785332650223225E-2</v>
      </c>
      <c r="BT416" s="72">
        <f t="shared" si="1263"/>
        <v>-0.38287552758057042</v>
      </c>
      <c r="BU416" s="72">
        <f t="shared" si="1263"/>
        <v>0.25645904998902147</v>
      </c>
      <c r="BV416" s="72">
        <f t="shared" si="1263"/>
        <v>-3.0991412330137351E-2</v>
      </c>
      <c r="BW416" s="72">
        <f t="shared" si="1263"/>
        <v>1.9279367635219209E-2</v>
      </c>
      <c r="BX416" s="72"/>
      <c r="BY416" s="72"/>
      <c r="BZ416" s="72">
        <f t="shared" si="794"/>
        <v>5.7343189636243776E-2</v>
      </c>
    </row>
    <row r="417" spans="1:78" ht="13.15">
      <c r="A417" s="73" t="s">
        <v>6</v>
      </c>
      <c r="B417" s="74" t="s">
        <v>877</v>
      </c>
      <c r="C417" s="75" t="s">
        <v>878</v>
      </c>
      <c r="D417" s="75" t="s">
        <v>71</v>
      </c>
      <c r="E417" s="76"/>
      <c r="F417" s="59"/>
      <c r="G417" s="60"/>
      <c r="H417" s="77">
        <v>17183</v>
      </c>
      <c r="I417" s="77">
        <v>18833</v>
      </c>
      <c r="J417" s="77">
        <v>8516</v>
      </c>
      <c r="K417" s="77">
        <v>4194</v>
      </c>
      <c r="L417" s="77">
        <v>3446</v>
      </c>
      <c r="M417" s="77"/>
      <c r="N417" s="77"/>
      <c r="O417" s="77">
        <v>493</v>
      </c>
      <c r="P417" s="77"/>
      <c r="Q417" s="77"/>
      <c r="R417" s="77"/>
      <c r="S417" s="77"/>
      <c r="T417" s="77"/>
      <c r="U417" s="77"/>
      <c r="V417" s="77"/>
      <c r="W417" s="77"/>
      <c r="X417" s="77"/>
      <c r="Y417" s="77">
        <v>627</v>
      </c>
      <c r="Z417" s="77">
        <v>158</v>
      </c>
      <c r="AA417" s="77"/>
      <c r="AB417" s="77"/>
      <c r="AC417" s="77"/>
      <c r="AD417" s="77"/>
      <c r="AE417" s="62"/>
      <c r="AF417" s="63" t="b">
        <v>0</v>
      </c>
      <c r="AG417" s="63" t="b">
        <v>0</v>
      </c>
      <c r="AH417" s="62"/>
      <c r="AI417" s="64">
        <f t="shared" si="786"/>
        <v>53450</v>
      </c>
      <c r="AJ417" s="65" t="str">
        <f t="shared" si="1116"/>
        <v>CON</v>
      </c>
      <c r="AK417" s="66" t="str">
        <f t="shared" si="787"/>
        <v>HOLD</v>
      </c>
      <c r="AL417" s="67" t="e">
        <f t="shared" ca="1" si="788"/>
        <v>#NAME?</v>
      </c>
      <c r="AM417" s="68">
        <f t="shared" si="637"/>
        <v>1650</v>
      </c>
      <c r="AN417" s="69">
        <f t="shared" si="638"/>
        <v>3.0869971936389129E-2</v>
      </c>
      <c r="AO417" s="62"/>
      <c r="AP417" s="70">
        <f t="shared" ref="AP417:AT417" si="1264">H417/$AI417</f>
        <v>0.32147801683816651</v>
      </c>
      <c r="AQ417" s="70">
        <f t="shared" si="1264"/>
        <v>0.35234798877455564</v>
      </c>
      <c r="AR417" s="70">
        <f t="shared" si="1264"/>
        <v>0.1593264733395697</v>
      </c>
      <c r="AS417" s="70">
        <f t="shared" si="1264"/>
        <v>7.846585594013096E-2</v>
      </c>
      <c r="AT417" s="70">
        <f t="shared" si="1264"/>
        <v>6.4471468662301218E-2</v>
      </c>
      <c r="AU417" s="70"/>
      <c r="AV417" s="70"/>
      <c r="AW417" s="81">
        <f t="shared" si="790"/>
        <v>2.3910196445275922E-2</v>
      </c>
      <c r="AX417" s="70">
        <f t="shared" ref="AX417:BG417" si="1265">O417/$AI417</f>
        <v>9.22357343311506E-3</v>
      </c>
      <c r="AY417" s="70">
        <f t="shared" si="1265"/>
        <v>0</v>
      </c>
      <c r="AZ417" s="70">
        <f t="shared" si="1265"/>
        <v>0</v>
      </c>
      <c r="BA417" s="70">
        <f t="shared" si="1265"/>
        <v>0</v>
      </c>
      <c r="BB417" s="70">
        <f t="shared" si="1265"/>
        <v>0</v>
      </c>
      <c r="BC417" s="70">
        <f t="shared" si="1265"/>
        <v>0</v>
      </c>
      <c r="BD417" s="70">
        <f t="shared" si="1265"/>
        <v>0</v>
      </c>
      <c r="BE417" s="70">
        <f t="shared" si="1265"/>
        <v>0</v>
      </c>
      <c r="BF417" s="70">
        <f t="shared" si="1265"/>
        <v>0</v>
      </c>
      <c r="BG417" s="70">
        <f t="shared" si="1265"/>
        <v>0</v>
      </c>
      <c r="BH417" s="70">
        <f t="shared" si="792"/>
        <v>1.4686623012160862E-2</v>
      </c>
      <c r="BI417" s="62"/>
      <c r="BJ417" s="69">
        <v>0.192</v>
      </c>
      <c r="BK417" s="69">
        <v>0.58899999999999997</v>
      </c>
      <c r="BL417" s="69">
        <v>0</v>
      </c>
      <c r="BM417" s="69">
        <v>0.152</v>
      </c>
      <c r="BN417" s="69">
        <v>4.7E-2</v>
      </c>
      <c r="BO417" s="69">
        <v>0</v>
      </c>
      <c r="BP417" s="69">
        <v>0</v>
      </c>
      <c r="BQ417" s="69">
        <v>0.02</v>
      </c>
      <c r="BR417" s="62"/>
      <c r="BS417" s="72">
        <f t="shared" ref="BS417:BW417" si="1266">AP417-BJ417</f>
        <v>0.12947801683816651</v>
      </c>
      <c r="BT417" s="72">
        <f t="shared" si="1266"/>
        <v>-0.23665201122544433</v>
      </c>
      <c r="BU417" s="72">
        <f t="shared" si="1266"/>
        <v>0.1593264733395697</v>
      </c>
      <c r="BV417" s="72">
        <f t="shared" si="1266"/>
        <v>-7.3534144059869036E-2</v>
      </c>
      <c r="BW417" s="72">
        <f t="shared" si="1266"/>
        <v>1.7471468662301218E-2</v>
      </c>
      <c r="BX417" s="72"/>
      <c r="BY417" s="72"/>
      <c r="BZ417" s="72">
        <f t="shared" si="794"/>
        <v>3.9101964452759215E-3</v>
      </c>
    </row>
    <row r="418" spans="1:78" ht="13.15">
      <c r="A418" s="73" t="s">
        <v>6</v>
      </c>
      <c r="B418" s="74" t="s">
        <v>879</v>
      </c>
      <c r="C418" s="75" t="s">
        <v>880</v>
      </c>
      <c r="D418" s="75" t="s">
        <v>53</v>
      </c>
      <c r="E418" s="76"/>
      <c r="F418" s="59"/>
      <c r="G418" s="60"/>
      <c r="H418" s="77">
        <v>13002</v>
      </c>
      <c r="I418" s="77">
        <v>17348</v>
      </c>
      <c r="J418" s="77">
        <v>10484</v>
      </c>
      <c r="K418" s="77">
        <v>2264</v>
      </c>
      <c r="L418" s="77">
        <v>2435</v>
      </c>
      <c r="M418" s="77"/>
      <c r="N418" s="77"/>
      <c r="O418" s="77"/>
      <c r="P418" s="77"/>
      <c r="Q418" s="77"/>
      <c r="R418" s="77">
        <v>3032</v>
      </c>
      <c r="S418" s="77"/>
      <c r="T418" s="77"/>
      <c r="U418" s="77"/>
      <c r="V418" s="77"/>
      <c r="W418" s="77"/>
      <c r="X418" s="77"/>
      <c r="Y418" s="77"/>
      <c r="Z418" s="77"/>
      <c r="AA418" s="77"/>
      <c r="AB418" s="77"/>
      <c r="AC418" s="77"/>
      <c r="AD418" s="77"/>
      <c r="AE418" s="62"/>
      <c r="AF418" s="63" t="b">
        <v>0</v>
      </c>
      <c r="AG418" s="63" t="b">
        <v>0</v>
      </c>
      <c r="AH418" s="62"/>
      <c r="AI418" s="64">
        <f t="shared" si="786"/>
        <v>48565</v>
      </c>
      <c r="AJ418" s="65" t="str">
        <f t="shared" si="1116"/>
        <v>CON</v>
      </c>
      <c r="AK418" s="66" t="str">
        <f t="shared" si="787"/>
        <v>HOLD</v>
      </c>
      <c r="AL418" s="67" t="e">
        <f t="shared" ca="1" si="788"/>
        <v>#NAME?</v>
      </c>
      <c r="AM418" s="68">
        <f t="shared" si="637"/>
        <v>4346</v>
      </c>
      <c r="AN418" s="69">
        <f t="shared" si="638"/>
        <v>8.9488314629877441E-2</v>
      </c>
      <c r="AO418" s="62"/>
      <c r="AP418" s="70">
        <f t="shared" ref="AP418:AT418" si="1267">H418/$AI418</f>
        <v>0.2677236693091733</v>
      </c>
      <c r="AQ418" s="70">
        <f t="shared" si="1267"/>
        <v>0.35721198393905074</v>
      </c>
      <c r="AR418" s="70">
        <f t="shared" si="1267"/>
        <v>0.21587563059816742</v>
      </c>
      <c r="AS418" s="70">
        <f t="shared" si="1267"/>
        <v>4.6617934726655E-2</v>
      </c>
      <c r="AT418" s="70">
        <f t="shared" si="1267"/>
        <v>5.0138988983836098E-2</v>
      </c>
      <c r="AU418" s="70"/>
      <c r="AV418" s="70"/>
      <c r="AW418" s="81">
        <f t="shared" si="790"/>
        <v>6.2431792443117584E-2</v>
      </c>
      <c r="AX418" s="70">
        <f t="shared" ref="AX418:BG418" si="1268">O418/$AI418</f>
        <v>0</v>
      </c>
      <c r="AY418" s="70">
        <f t="shared" si="1268"/>
        <v>0</v>
      </c>
      <c r="AZ418" s="70">
        <f t="shared" si="1268"/>
        <v>0</v>
      </c>
      <c r="BA418" s="70">
        <f t="shared" si="1268"/>
        <v>6.2431792443117473E-2</v>
      </c>
      <c r="BB418" s="70">
        <f t="shared" si="1268"/>
        <v>0</v>
      </c>
      <c r="BC418" s="70">
        <f t="shared" si="1268"/>
        <v>0</v>
      </c>
      <c r="BD418" s="70">
        <f t="shared" si="1268"/>
        <v>0</v>
      </c>
      <c r="BE418" s="70">
        <f t="shared" si="1268"/>
        <v>0</v>
      </c>
      <c r="BF418" s="70">
        <f t="shared" si="1268"/>
        <v>0</v>
      </c>
      <c r="BG418" s="70">
        <f t="shared" si="1268"/>
        <v>0</v>
      </c>
      <c r="BH418" s="70">
        <f t="shared" si="792"/>
        <v>1.1102230246251565E-16</v>
      </c>
      <c r="BI418" s="62"/>
      <c r="BJ418" s="69">
        <v>0.186</v>
      </c>
      <c r="BK418" s="69">
        <v>0.66500000000000004</v>
      </c>
      <c r="BL418" s="69">
        <v>0</v>
      </c>
      <c r="BM418" s="69">
        <v>8.2000000000000003E-2</v>
      </c>
      <c r="BN418" s="69">
        <v>2.4E-2</v>
      </c>
      <c r="BO418" s="69">
        <v>0</v>
      </c>
      <c r="BP418" s="69">
        <v>0</v>
      </c>
      <c r="BQ418" s="69">
        <v>4.2999999999999997E-2</v>
      </c>
      <c r="BR418" s="62"/>
      <c r="BS418" s="72">
        <f t="shared" ref="BS418:BW418" si="1269">AP418-BJ418</f>
        <v>8.1723669309173297E-2</v>
      </c>
      <c r="BT418" s="72">
        <f t="shared" si="1269"/>
        <v>-0.3077880160609493</v>
      </c>
      <c r="BU418" s="72">
        <f t="shared" si="1269"/>
        <v>0.21587563059816742</v>
      </c>
      <c r="BV418" s="72">
        <f t="shared" si="1269"/>
        <v>-3.5382065273345004E-2</v>
      </c>
      <c r="BW418" s="72">
        <f t="shared" si="1269"/>
        <v>2.6138988983836098E-2</v>
      </c>
      <c r="BX418" s="72"/>
      <c r="BY418" s="72"/>
      <c r="BZ418" s="72">
        <f t="shared" si="794"/>
        <v>1.9431792443117588E-2</v>
      </c>
    </row>
    <row r="419" spans="1:78" ht="13.15">
      <c r="A419" s="78" t="s">
        <v>5</v>
      </c>
      <c r="B419" s="74" t="s">
        <v>881</v>
      </c>
      <c r="C419" s="75" t="s">
        <v>882</v>
      </c>
      <c r="D419" s="75" t="s">
        <v>44</v>
      </c>
      <c r="E419" s="76"/>
      <c r="F419" s="59"/>
      <c r="G419" s="60"/>
      <c r="H419" s="77">
        <v>14666</v>
      </c>
      <c r="I419" s="77">
        <v>7457</v>
      </c>
      <c r="J419" s="77">
        <v>3352</v>
      </c>
      <c r="K419" s="77">
        <v>2060</v>
      </c>
      <c r="L419" s="77">
        <v>1873</v>
      </c>
      <c r="M419" s="77"/>
      <c r="N419" s="77"/>
      <c r="O419" s="77">
        <v>11019</v>
      </c>
      <c r="P419" s="77">
        <v>1105</v>
      </c>
      <c r="Q419" s="77"/>
      <c r="R419" s="77"/>
      <c r="S419" s="77"/>
      <c r="T419" s="77"/>
      <c r="U419" s="77"/>
      <c r="V419" s="77"/>
      <c r="W419" s="77"/>
      <c r="X419" s="77"/>
      <c r="Y419" s="77">
        <v>995</v>
      </c>
      <c r="Z419" s="77">
        <v>402</v>
      </c>
      <c r="AA419" s="77">
        <v>204</v>
      </c>
      <c r="AB419" s="77">
        <v>145</v>
      </c>
      <c r="AC419" s="77"/>
      <c r="AD419" s="77"/>
      <c r="AE419" s="62"/>
      <c r="AF419" s="63" t="b">
        <v>0</v>
      </c>
      <c r="AG419" s="63" t="b">
        <v>0</v>
      </c>
      <c r="AH419" s="62"/>
      <c r="AI419" s="64">
        <f t="shared" si="786"/>
        <v>43278</v>
      </c>
      <c r="AJ419" s="65" t="str">
        <f t="shared" si="1116"/>
        <v>LAB</v>
      </c>
      <c r="AK419" s="66" t="str">
        <f t="shared" si="787"/>
        <v>HOLD</v>
      </c>
      <c r="AL419" s="67" t="e">
        <f t="shared" ca="1" si="788"/>
        <v>#NAME?</v>
      </c>
      <c r="AM419" s="68">
        <f t="shared" si="637"/>
        <v>3647</v>
      </c>
      <c r="AN419" s="69">
        <f t="shared" si="638"/>
        <v>8.4269143675770597E-2</v>
      </c>
      <c r="AO419" s="62"/>
      <c r="AP419" s="70">
        <f t="shared" ref="AP419:AT419" si="1270">H419/$AI419</f>
        <v>0.33887887610333195</v>
      </c>
      <c r="AQ419" s="70">
        <f t="shared" si="1270"/>
        <v>0.17230463514949859</v>
      </c>
      <c r="AR419" s="70">
        <f t="shared" si="1270"/>
        <v>7.7452747354313969E-2</v>
      </c>
      <c r="AS419" s="70">
        <f t="shared" si="1270"/>
        <v>4.7599242109154768E-2</v>
      </c>
      <c r="AT419" s="70">
        <f t="shared" si="1270"/>
        <v>4.3278340034197511E-2</v>
      </c>
      <c r="AU419" s="70"/>
      <c r="AV419" s="70"/>
      <c r="AW419" s="81">
        <f t="shared" si="790"/>
        <v>0.32048615924950319</v>
      </c>
      <c r="AX419" s="70">
        <f t="shared" ref="AX419:BG419" si="1271">O419/$AI419</f>
        <v>0.25460973242756135</v>
      </c>
      <c r="AY419" s="70">
        <f t="shared" si="1271"/>
        <v>2.5532603170201951E-2</v>
      </c>
      <c r="AZ419" s="70">
        <f t="shared" si="1271"/>
        <v>0</v>
      </c>
      <c r="BA419" s="70">
        <f t="shared" si="1271"/>
        <v>0</v>
      </c>
      <c r="BB419" s="70">
        <f t="shared" si="1271"/>
        <v>0</v>
      </c>
      <c r="BC419" s="70">
        <f t="shared" si="1271"/>
        <v>0</v>
      </c>
      <c r="BD419" s="70">
        <f t="shared" si="1271"/>
        <v>0</v>
      </c>
      <c r="BE419" s="70">
        <f t="shared" si="1271"/>
        <v>0</v>
      </c>
      <c r="BF419" s="70">
        <f t="shared" si="1271"/>
        <v>0</v>
      </c>
      <c r="BG419" s="70">
        <f t="shared" si="1271"/>
        <v>0</v>
      </c>
      <c r="BH419" s="70">
        <f t="shared" si="792"/>
        <v>4.0343823651739885E-2</v>
      </c>
      <c r="BI419" s="62"/>
      <c r="BJ419" s="69">
        <v>0.58799999999999997</v>
      </c>
      <c r="BK419" s="69">
        <v>0.29499999999999998</v>
      </c>
      <c r="BL419" s="69">
        <v>2.8000000000000001E-2</v>
      </c>
      <c r="BM419" s="69">
        <v>6.8000000000000005E-2</v>
      </c>
      <c r="BN419" s="69">
        <v>2.1000000000000001E-2</v>
      </c>
      <c r="BO419" s="69">
        <v>0</v>
      </c>
      <c r="BP419" s="69">
        <v>0</v>
      </c>
      <c r="BQ419" s="69">
        <v>0</v>
      </c>
      <c r="BR419" s="62"/>
      <c r="BS419" s="72">
        <f t="shared" ref="BS419:BW419" si="1272">AP419-BJ419</f>
        <v>-0.24912112389666802</v>
      </c>
      <c r="BT419" s="72">
        <f t="shared" si="1272"/>
        <v>-0.12269536485050139</v>
      </c>
      <c r="BU419" s="72">
        <f t="shared" si="1272"/>
        <v>4.9452747354313972E-2</v>
      </c>
      <c r="BV419" s="72">
        <f t="shared" si="1272"/>
        <v>-2.0400757890845236E-2</v>
      </c>
      <c r="BW419" s="72">
        <f t="shared" si="1272"/>
        <v>2.227834003419751E-2</v>
      </c>
      <c r="BX419" s="72"/>
      <c r="BY419" s="72"/>
      <c r="BZ419" s="72">
        <f t="shared" si="794"/>
        <v>0.32048615924950319</v>
      </c>
    </row>
    <row r="420" spans="1:78" ht="13.15">
      <c r="A420" s="78" t="s">
        <v>5</v>
      </c>
      <c r="B420" s="74" t="s">
        <v>883</v>
      </c>
      <c r="C420" s="75" t="s">
        <v>884</v>
      </c>
      <c r="D420" s="75" t="s">
        <v>47</v>
      </c>
      <c r="E420" s="76"/>
      <c r="F420" s="59"/>
      <c r="G420" s="60"/>
      <c r="H420" s="77">
        <v>16858</v>
      </c>
      <c r="I420" s="77">
        <v>4546</v>
      </c>
      <c r="J420" s="77">
        <v>5670</v>
      </c>
      <c r="K420" s="77">
        <v>1018</v>
      </c>
      <c r="L420" s="77">
        <v>2741</v>
      </c>
      <c r="M420" s="77"/>
      <c r="N420" s="77"/>
      <c r="O420" s="77">
        <v>1322</v>
      </c>
      <c r="P420" s="77">
        <v>2449</v>
      </c>
      <c r="Q420" s="77"/>
      <c r="R420" s="77"/>
      <c r="S420" s="77"/>
      <c r="T420" s="77"/>
      <c r="U420" s="77"/>
      <c r="V420" s="77"/>
      <c r="W420" s="77"/>
      <c r="X420" s="77"/>
      <c r="Y420" s="77">
        <v>348</v>
      </c>
      <c r="Z420" s="77">
        <v>163</v>
      </c>
      <c r="AA420" s="77"/>
      <c r="AB420" s="77"/>
      <c r="AC420" s="77"/>
      <c r="AD420" s="77"/>
      <c r="AE420" s="62"/>
      <c r="AF420" s="63" t="b">
        <v>0</v>
      </c>
      <c r="AG420" s="63" t="b">
        <v>0</v>
      </c>
      <c r="AH420" s="62"/>
      <c r="AI420" s="64">
        <f t="shared" si="786"/>
        <v>35115</v>
      </c>
      <c r="AJ420" s="65" t="str">
        <f t="shared" si="1116"/>
        <v>LAB</v>
      </c>
      <c r="AK420" s="66" t="str">
        <f t="shared" si="787"/>
        <v>HOLD</v>
      </c>
      <c r="AL420" s="67" t="e">
        <f t="shared" ca="1" si="788"/>
        <v>#NAME?</v>
      </c>
      <c r="AM420" s="68">
        <f t="shared" si="637"/>
        <v>11188</v>
      </c>
      <c r="AN420" s="69">
        <f t="shared" si="638"/>
        <v>0.31861028050690587</v>
      </c>
      <c r="AO420" s="62"/>
      <c r="AP420" s="70">
        <f t="shared" ref="AP420:AT420" si="1273">H420/$AI420</f>
        <v>0.48007973800370213</v>
      </c>
      <c r="AQ420" s="70">
        <f t="shared" si="1273"/>
        <v>0.12946034458208744</v>
      </c>
      <c r="AR420" s="70">
        <f t="shared" si="1273"/>
        <v>0.16146945749679625</v>
      </c>
      <c r="AS420" s="70">
        <f t="shared" si="1273"/>
        <v>2.899045991741421E-2</v>
      </c>
      <c r="AT420" s="70">
        <f t="shared" si="1273"/>
        <v>7.8057810052684043E-2</v>
      </c>
      <c r="AU420" s="70"/>
      <c r="AV420" s="70"/>
      <c r="AW420" s="81">
        <f t="shared" si="790"/>
        <v>0.12194218994731587</v>
      </c>
      <c r="AX420" s="70">
        <f t="shared" ref="AX420:BG420" si="1274">O420/$AI420</f>
        <v>3.7647728890787414E-2</v>
      </c>
      <c r="AY420" s="70">
        <f t="shared" si="1274"/>
        <v>6.9742275380891353E-2</v>
      </c>
      <c r="AZ420" s="70">
        <f t="shared" si="1274"/>
        <v>0</v>
      </c>
      <c r="BA420" s="70">
        <f t="shared" si="1274"/>
        <v>0</v>
      </c>
      <c r="BB420" s="70">
        <f t="shared" si="1274"/>
        <v>0</v>
      </c>
      <c r="BC420" s="70">
        <f t="shared" si="1274"/>
        <v>0</v>
      </c>
      <c r="BD420" s="70">
        <f t="shared" si="1274"/>
        <v>0</v>
      </c>
      <c r="BE420" s="70">
        <f t="shared" si="1274"/>
        <v>0</v>
      </c>
      <c r="BF420" s="70">
        <f t="shared" si="1274"/>
        <v>0</v>
      </c>
      <c r="BG420" s="70">
        <f t="shared" si="1274"/>
        <v>0</v>
      </c>
      <c r="BH420" s="70">
        <f t="shared" si="792"/>
        <v>1.4552185675637097E-2</v>
      </c>
      <c r="BI420" s="62"/>
      <c r="BJ420" s="69">
        <v>0.56999999999999995</v>
      </c>
      <c r="BK420" s="69">
        <v>0.30199999999999999</v>
      </c>
      <c r="BL420" s="69">
        <v>0.06</v>
      </c>
      <c r="BM420" s="69">
        <v>4.4999999999999998E-2</v>
      </c>
      <c r="BN420" s="69">
        <v>2.3E-2</v>
      </c>
      <c r="BO420" s="69">
        <v>0</v>
      </c>
      <c r="BP420" s="69">
        <v>0</v>
      </c>
      <c r="BQ420" s="69">
        <v>0</v>
      </c>
      <c r="BR420" s="62"/>
      <c r="BS420" s="72">
        <f t="shared" ref="BS420:BW420" si="1275">AP420-BJ420</f>
        <v>-8.9920261996297823E-2</v>
      </c>
      <c r="BT420" s="72">
        <f t="shared" si="1275"/>
        <v>-0.17253965541791255</v>
      </c>
      <c r="BU420" s="72">
        <f t="shared" si="1275"/>
        <v>0.10146945749679626</v>
      </c>
      <c r="BV420" s="72">
        <f t="shared" si="1275"/>
        <v>-1.6009540082585788E-2</v>
      </c>
      <c r="BW420" s="72">
        <f t="shared" si="1275"/>
        <v>5.5057810052684043E-2</v>
      </c>
      <c r="BX420" s="72"/>
      <c r="BY420" s="72"/>
      <c r="BZ420" s="72">
        <f t="shared" si="794"/>
        <v>0.12194218994731587</v>
      </c>
    </row>
    <row r="421" spans="1:78" ht="13.15">
      <c r="A421" s="73" t="s">
        <v>6</v>
      </c>
      <c r="B421" s="74" t="s">
        <v>885</v>
      </c>
      <c r="C421" s="75" t="s">
        <v>886</v>
      </c>
      <c r="D421" s="75" t="s">
        <v>47</v>
      </c>
      <c r="E421" s="76"/>
      <c r="F421" s="59"/>
      <c r="G421" s="60"/>
      <c r="H421" s="77">
        <v>11664</v>
      </c>
      <c r="I421" s="77">
        <v>16284</v>
      </c>
      <c r="J421" s="77">
        <v>7149</v>
      </c>
      <c r="K421" s="77">
        <v>7916</v>
      </c>
      <c r="L421" s="77">
        <v>3270</v>
      </c>
      <c r="M421" s="77"/>
      <c r="N421" s="77"/>
      <c r="O421" s="77">
        <v>594</v>
      </c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62"/>
      <c r="AF421" s="63" t="b">
        <v>0</v>
      </c>
      <c r="AG421" s="63" t="b">
        <v>0</v>
      </c>
      <c r="AH421" s="62"/>
      <c r="AI421" s="64">
        <f t="shared" si="786"/>
        <v>46877</v>
      </c>
      <c r="AJ421" s="65" t="str">
        <f t="shared" si="1116"/>
        <v>CON</v>
      </c>
      <c r="AK421" s="66" t="str">
        <f t="shared" si="787"/>
        <v>HOLD</v>
      </c>
      <c r="AL421" s="67" t="e">
        <f t="shared" ca="1" si="788"/>
        <v>#NAME?</v>
      </c>
      <c r="AM421" s="68">
        <f t="shared" si="637"/>
        <v>4620</v>
      </c>
      <c r="AN421" s="69">
        <f t="shared" si="638"/>
        <v>9.8555794952748688E-2</v>
      </c>
      <c r="AO421" s="62"/>
      <c r="AP421" s="70">
        <f t="shared" ref="AP421:AT421" si="1276">H421/$AI421</f>
        <v>0.24882138362096551</v>
      </c>
      <c r="AQ421" s="70">
        <f t="shared" si="1276"/>
        <v>0.3473771785737142</v>
      </c>
      <c r="AR421" s="70">
        <f t="shared" si="1276"/>
        <v>0.15250549309896111</v>
      </c>
      <c r="AS421" s="70">
        <f t="shared" si="1276"/>
        <v>0.16886746165496938</v>
      </c>
      <c r="AT421" s="70">
        <f t="shared" si="1276"/>
        <v>6.9757023700322121E-2</v>
      </c>
      <c r="AU421" s="70"/>
      <c r="AV421" s="70"/>
      <c r="AW421" s="81">
        <f t="shared" si="790"/>
        <v>1.2671459351067726E-2</v>
      </c>
      <c r="AX421" s="70">
        <f t="shared" ref="AX421:BG421" si="1277">O421/$AI421</f>
        <v>1.2671459351067688E-2</v>
      </c>
      <c r="AY421" s="70">
        <f t="shared" si="1277"/>
        <v>0</v>
      </c>
      <c r="AZ421" s="70">
        <f t="shared" si="1277"/>
        <v>0</v>
      </c>
      <c r="BA421" s="70">
        <f t="shared" si="1277"/>
        <v>0</v>
      </c>
      <c r="BB421" s="70">
        <f t="shared" si="1277"/>
        <v>0</v>
      </c>
      <c r="BC421" s="70">
        <f t="shared" si="1277"/>
        <v>0</v>
      </c>
      <c r="BD421" s="70">
        <f t="shared" si="1277"/>
        <v>0</v>
      </c>
      <c r="BE421" s="70">
        <f t="shared" si="1277"/>
        <v>0</v>
      </c>
      <c r="BF421" s="70">
        <f t="shared" si="1277"/>
        <v>0</v>
      </c>
      <c r="BG421" s="70">
        <f t="shared" si="1277"/>
        <v>0</v>
      </c>
      <c r="BH421" s="70">
        <f t="shared" si="792"/>
        <v>3.8163916471489756E-17</v>
      </c>
      <c r="BI421" s="62"/>
      <c r="BJ421" s="69">
        <v>0.19500000000000001</v>
      </c>
      <c r="BK421" s="69">
        <v>0.60899999999999999</v>
      </c>
      <c r="BL421" s="69">
        <v>0</v>
      </c>
      <c r="BM421" s="69">
        <v>0.157</v>
      </c>
      <c r="BN421" s="69">
        <v>0.04</v>
      </c>
      <c r="BO421" s="69">
        <v>0</v>
      </c>
      <c r="BP421" s="69">
        <v>0</v>
      </c>
      <c r="BQ421" s="69">
        <v>0</v>
      </c>
      <c r="BR421" s="62"/>
      <c r="BS421" s="72">
        <f t="shared" ref="BS421:BW421" si="1278">AP421-BJ421</f>
        <v>5.3821383620965502E-2</v>
      </c>
      <c r="BT421" s="72">
        <f t="shared" si="1278"/>
        <v>-0.26162282142628579</v>
      </c>
      <c r="BU421" s="72">
        <f t="shared" si="1278"/>
        <v>0.15250549309896111</v>
      </c>
      <c r="BV421" s="72">
        <f t="shared" si="1278"/>
        <v>1.186746165496938E-2</v>
      </c>
      <c r="BW421" s="72">
        <f t="shared" si="1278"/>
        <v>2.975702370032212E-2</v>
      </c>
      <c r="BX421" s="72"/>
      <c r="BY421" s="72"/>
      <c r="BZ421" s="72">
        <f t="shared" si="794"/>
        <v>1.2671459351067726E-2</v>
      </c>
    </row>
    <row r="422" spans="1:78" ht="13.15">
      <c r="A422" s="213" t="s">
        <v>6</v>
      </c>
      <c r="B422" s="214" t="s">
        <v>887</v>
      </c>
      <c r="C422" s="215" t="s">
        <v>888</v>
      </c>
      <c r="D422" s="215" t="s">
        <v>78</v>
      </c>
      <c r="E422" s="216"/>
      <c r="F422" s="216"/>
      <c r="G422" s="217"/>
      <c r="H422" s="218">
        <v>12080</v>
      </c>
      <c r="I422" s="218">
        <v>10159</v>
      </c>
      <c r="J422" s="218">
        <v>12178</v>
      </c>
      <c r="K422" s="218">
        <v>1071</v>
      </c>
      <c r="L422" s="218">
        <v>1718</v>
      </c>
      <c r="M422" s="219"/>
      <c r="N422" s="219"/>
      <c r="O422" s="218">
        <v>1928</v>
      </c>
      <c r="P422" s="219"/>
      <c r="Q422" s="218">
        <v>140</v>
      </c>
      <c r="R422" s="219"/>
      <c r="S422" s="219"/>
      <c r="T422" s="219"/>
      <c r="U422" s="219"/>
      <c r="V422" s="219"/>
      <c r="W422" s="219"/>
      <c r="X422" s="219"/>
      <c r="Y422" s="218">
        <v>275</v>
      </c>
      <c r="Z422" s="219"/>
      <c r="AA422" s="219"/>
      <c r="AB422" s="219"/>
      <c r="AC422" s="219"/>
      <c r="AD422" s="219"/>
      <c r="AE422" s="220"/>
      <c r="AF422" s="221" t="b">
        <v>0</v>
      </c>
      <c r="AG422" s="221" t="b">
        <v>0</v>
      </c>
      <c r="AH422" s="220"/>
      <c r="AI422" s="222">
        <v>39549</v>
      </c>
      <c r="AJ422" s="223" t="s">
        <v>7</v>
      </c>
      <c r="AK422" s="224" t="s">
        <v>2062</v>
      </c>
      <c r="AL422" s="223" t="s">
        <v>2063</v>
      </c>
      <c r="AM422" s="218">
        <v>98</v>
      </c>
      <c r="AN422" s="225">
        <v>2E-3</v>
      </c>
      <c r="AO422" s="220"/>
      <c r="AP422" s="225">
        <v>0.30499999999999999</v>
      </c>
      <c r="AQ422" s="225">
        <v>0.25700000000000001</v>
      </c>
      <c r="AR422" s="225">
        <v>0.308</v>
      </c>
      <c r="AS422" s="225">
        <v>2.7E-2</v>
      </c>
      <c r="AT422" s="225">
        <v>4.2999999999999997E-2</v>
      </c>
      <c r="AU422" s="219"/>
      <c r="AV422" s="219"/>
      <c r="AW422" s="226">
        <v>5.8999999999999997E-2</v>
      </c>
      <c r="AX422" s="225">
        <v>4.9000000000000002E-2</v>
      </c>
      <c r="AY422" s="227">
        <v>0</v>
      </c>
      <c r="AZ422" s="225">
        <v>4.0000000000000001E-3</v>
      </c>
      <c r="BA422" s="227">
        <v>0</v>
      </c>
      <c r="BB422" s="227">
        <v>0</v>
      </c>
      <c r="BC422" s="227">
        <v>0</v>
      </c>
      <c r="BD422" s="227">
        <v>0</v>
      </c>
      <c r="BE422" s="227">
        <v>0</v>
      </c>
      <c r="BF422" s="227">
        <v>0</v>
      </c>
      <c r="BG422" s="227">
        <v>0</v>
      </c>
      <c r="BH422" s="225">
        <v>7.0000000000000001E-3</v>
      </c>
      <c r="BI422" s="220"/>
      <c r="BJ422" s="225">
        <v>0.23599999999999999</v>
      </c>
      <c r="BK422" s="225">
        <v>0.65400000000000003</v>
      </c>
      <c r="BL422" s="227">
        <v>0</v>
      </c>
      <c r="BM422" s="225">
        <v>4.1000000000000002E-2</v>
      </c>
      <c r="BN422" s="225">
        <v>2E-3</v>
      </c>
      <c r="BO422" s="227">
        <v>0</v>
      </c>
      <c r="BP422" s="227">
        <v>0</v>
      </c>
      <c r="BQ422" s="225">
        <v>6.7000000000000004E-2</v>
      </c>
      <c r="BR422" s="220"/>
      <c r="BS422" s="225">
        <v>6.9000000000000006E-2</v>
      </c>
      <c r="BT422" s="225">
        <v>-0.39700000000000002</v>
      </c>
      <c r="BU422" s="225">
        <v>0.308</v>
      </c>
      <c r="BV422" s="225">
        <v>-1.4E-2</v>
      </c>
      <c r="BW422" s="225">
        <v>4.1000000000000002E-2</v>
      </c>
      <c r="BX422" s="219"/>
      <c r="BY422" s="219"/>
      <c r="BZ422" s="225">
        <v>-8.0000000000000002E-3</v>
      </c>
    </row>
    <row r="423" spans="1:78" ht="13.15">
      <c r="A423" s="73" t="s">
        <v>6</v>
      </c>
      <c r="B423" s="74" t="s">
        <v>889</v>
      </c>
      <c r="C423" s="75" t="s">
        <v>890</v>
      </c>
      <c r="D423" s="75" t="s">
        <v>78</v>
      </c>
      <c r="E423" s="76"/>
      <c r="F423" s="59"/>
      <c r="G423" s="60"/>
      <c r="H423" s="77">
        <v>6106</v>
      </c>
      <c r="I423" s="77">
        <v>15063</v>
      </c>
      <c r="J423" s="77">
        <v>4897</v>
      </c>
      <c r="K423" s="77">
        <v>25704</v>
      </c>
      <c r="L423" s="77">
        <v>2656</v>
      </c>
      <c r="M423" s="77"/>
      <c r="N423" s="77"/>
      <c r="O423" s="77">
        <v>459</v>
      </c>
      <c r="P423" s="77"/>
      <c r="Q423" s="77"/>
      <c r="R423" s="77"/>
      <c r="S423" s="77"/>
      <c r="T423" s="77"/>
      <c r="U423" s="77"/>
      <c r="V423" s="77"/>
      <c r="W423" s="77"/>
      <c r="X423" s="77"/>
      <c r="Y423" s="77"/>
      <c r="Z423" s="77"/>
      <c r="AA423" s="77"/>
      <c r="AB423" s="77"/>
      <c r="AC423" s="77"/>
      <c r="AD423" s="77"/>
      <c r="AE423" s="62"/>
      <c r="AF423" s="63" t="b">
        <v>0</v>
      </c>
      <c r="AG423" s="63" t="b">
        <v>0</v>
      </c>
      <c r="AH423" s="62"/>
      <c r="AI423" s="64">
        <f t="shared" si="786"/>
        <v>54885</v>
      </c>
      <c r="AJ423" s="65" t="str">
        <f t="shared" si="1116"/>
        <v>LDM</v>
      </c>
      <c r="AK423" s="66" t="str">
        <f t="shared" si="787"/>
        <v>GAIN</v>
      </c>
      <c r="AL423" s="67" t="e">
        <f t="shared" ca="1" si="788"/>
        <v>#NAME?</v>
      </c>
      <c r="AM423" s="68">
        <f t="shared" si="637"/>
        <v>10641</v>
      </c>
      <c r="AN423" s="69">
        <f t="shared" si="638"/>
        <v>0.1938781087728888</v>
      </c>
      <c r="AO423" s="62"/>
      <c r="AP423" s="70">
        <f t="shared" ref="AP423:AT423" si="1279">H423/$AI423</f>
        <v>0.11125079712125353</v>
      </c>
      <c r="AQ423" s="70">
        <f t="shared" si="1279"/>
        <v>0.2744465701011205</v>
      </c>
      <c r="AR423" s="70">
        <f t="shared" si="1279"/>
        <v>8.9222920652272941E-2</v>
      </c>
      <c r="AS423" s="70">
        <f t="shared" si="1279"/>
        <v>0.4683246788740093</v>
      </c>
      <c r="AT423" s="70">
        <f t="shared" si="1279"/>
        <v>4.8392092557164978E-2</v>
      </c>
      <c r="AU423" s="70"/>
      <c r="AV423" s="70"/>
      <c r="AW423" s="81">
        <f t="shared" si="790"/>
        <v>8.3629406941787554E-3</v>
      </c>
      <c r="AX423" s="70">
        <f t="shared" ref="AX423:BG423" si="1280">O423/$AI423</f>
        <v>8.3629406941787381E-3</v>
      </c>
      <c r="AY423" s="70">
        <f t="shared" si="1280"/>
        <v>0</v>
      </c>
      <c r="AZ423" s="70">
        <f t="shared" si="1280"/>
        <v>0</v>
      </c>
      <c r="BA423" s="70">
        <f t="shared" si="1280"/>
        <v>0</v>
      </c>
      <c r="BB423" s="70">
        <f t="shared" si="1280"/>
        <v>0</v>
      </c>
      <c r="BC423" s="70">
        <f t="shared" si="1280"/>
        <v>0</v>
      </c>
      <c r="BD423" s="70">
        <f t="shared" si="1280"/>
        <v>0</v>
      </c>
      <c r="BE423" s="70">
        <f t="shared" si="1280"/>
        <v>0</v>
      </c>
      <c r="BF423" s="70">
        <f t="shared" si="1280"/>
        <v>0</v>
      </c>
      <c r="BG423" s="70">
        <f t="shared" si="1280"/>
        <v>0</v>
      </c>
      <c r="BH423" s="70">
        <f t="shared" si="792"/>
        <v>1.7347234759768071E-17</v>
      </c>
      <c r="BI423" s="62"/>
      <c r="BJ423" s="69">
        <v>0.151</v>
      </c>
      <c r="BK423" s="69">
        <v>0.435</v>
      </c>
      <c r="BL423" s="69">
        <v>1E-3</v>
      </c>
      <c r="BM423" s="69">
        <v>0.41</v>
      </c>
      <c r="BN423" s="69">
        <v>2E-3</v>
      </c>
      <c r="BO423" s="69">
        <v>0</v>
      </c>
      <c r="BP423" s="69">
        <v>0</v>
      </c>
      <c r="BQ423" s="69">
        <v>0</v>
      </c>
      <c r="BR423" s="62"/>
      <c r="BS423" s="72">
        <f t="shared" ref="BS423:BW423" si="1281">AP423-BJ423</f>
        <v>-3.9749202878746462E-2</v>
      </c>
      <c r="BT423" s="72">
        <f t="shared" si="1281"/>
        <v>-0.1605534298988795</v>
      </c>
      <c r="BU423" s="72">
        <f t="shared" si="1281"/>
        <v>8.822292065227294E-2</v>
      </c>
      <c r="BV423" s="72">
        <f t="shared" si="1281"/>
        <v>5.8324678874009328E-2</v>
      </c>
      <c r="BW423" s="72">
        <f t="shared" si="1281"/>
        <v>4.6392092557164977E-2</v>
      </c>
      <c r="BX423" s="72"/>
      <c r="BY423" s="72"/>
      <c r="BZ423" s="72">
        <f t="shared" si="794"/>
        <v>8.3629406941787554E-3</v>
      </c>
    </row>
    <row r="424" spans="1:78" ht="13.15">
      <c r="A424" s="73" t="s">
        <v>6</v>
      </c>
      <c r="B424" s="74" t="s">
        <v>891</v>
      </c>
      <c r="C424" s="75" t="s">
        <v>892</v>
      </c>
      <c r="D424" s="75" t="s">
        <v>85</v>
      </c>
      <c r="E424" s="76"/>
      <c r="F424" s="59"/>
      <c r="G424" s="60"/>
      <c r="H424" s="77">
        <v>3942</v>
      </c>
      <c r="I424" s="77">
        <v>17988</v>
      </c>
      <c r="J424" s="77">
        <v>5146</v>
      </c>
      <c r="K424" s="77">
        <v>22961</v>
      </c>
      <c r="L424" s="77">
        <v>1564</v>
      </c>
      <c r="M424" s="77"/>
      <c r="N424" s="77"/>
      <c r="O424" s="77">
        <v>183</v>
      </c>
      <c r="P424" s="77"/>
      <c r="Q424" s="77">
        <v>156</v>
      </c>
      <c r="R424" s="77"/>
      <c r="S424" s="77"/>
      <c r="T424" s="77"/>
      <c r="U424" s="77"/>
      <c r="V424" s="77"/>
      <c r="W424" s="77"/>
      <c r="X424" s="77"/>
      <c r="Y424" s="77">
        <v>225</v>
      </c>
      <c r="Z424" s="77">
        <v>122</v>
      </c>
      <c r="AA424" s="77"/>
      <c r="AB424" s="77"/>
      <c r="AC424" s="77"/>
      <c r="AD424" s="77"/>
      <c r="AE424" s="62"/>
      <c r="AF424" s="63" t="b">
        <v>0</v>
      </c>
      <c r="AG424" s="63" t="b">
        <v>0</v>
      </c>
      <c r="AH424" s="62"/>
      <c r="AI424" s="64">
        <f t="shared" si="786"/>
        <v>52287</v>
      </c>
      <c r="AJ424" s="65" t="str">
        <f t="shared" si="1116"/>
        <v>LDM</v>
      </c>
      <c r="AK424" s="66" t="str">
        <f t="shared" si="787"/>
        <v>GAIN</v>
      </c>
      <c r="AL424" s="67" t="e">
        <f t="shared" ca="1" si="788"/>
        <v>#NAME?</v>
      </c>
      <c r="AM424" s="68">
        <f t="shared" si="637"/>
        <v>4973</v>
      </c>
      <c r="AN424" s="69">
        <f t="shared" si="638"/>
        <v>9.510968309522444E-2</v>
      </c>
      <c r="AO424" s="62"/>
      <c r="AP424" s="70">
        <f t="shared" ref="AP424:AT424" si="1282">H424/$AI424</f>
        <v>7.5391588731424639E-2</v>
      </c>
      <c r="AQ424" s="70">
        <f t="shared" si="1282"/>
        <v>0.34402432727064086</v>
      </c>
      <c r="AR424" s="70">
        <f t="shared" si="1282"/>
        <v>9.841834490408706E-2</v>
      </c>
      <c r="AS424" s="70">
        <f t="shared" si="1282"/>
        <v>0.4391340103658653</v>
      </c>
      <c r="AT424" s="70">
        <f t="shared" si="1282"/>
        <v>2.9911832769139557E-2</v>
      </c>
      <c r="AU424" s="70"/>
      <c r="AV424" s="70"/>
      <c r="AW424" s="81">
        <f t="shared" si="790"/>
        <v>1.3119895958842553E-2</v>
      </c>
      <c r="AX424" s="70">
        <f t="shared" ref="AX424:BG424" si="1283">O424/$AI424</f>
        <v>3.4999139365425439E-3</v>
      </c>
      <c r="AY424" s="70">
        <f t="shared" si="1283"/>
        <v>0</v>
      </c>
      <c r="AZ424" s="70">
        <f t="shared" si="1283"/>
        <v>2.9835331918067589E-3</v>
      </c>
      <c r="BA424" s="70">
        <f t="shared" si="1283"/>
        <v>0</v>
      </c>
      <c r="BB424" s="70">
        <f t="shared" si="1283"/>
        <v>0</v>
      </c>
      <c r="BC424" s="70">
        <f t="shared" si="1283"/>
        <v>0</v>
      </c>
      <c r="BD424" s="70">
        <f t="shared" si="1283"/>
        <v>0</v>
      </c>
      <c r="BE424" s="70">
        <f t="shared" si="1283"/>
        <v>0</v>
      </c>
      <c r="BF424" s="70">
        <f t="shared" si="1283"/>
        <v>0</v>
      </c>
      <c r="BG424" s="70">
        <f t="shared" si="1283"/>
        <v>0</v>
      </c>
      <c r="BH424" s="70">
        <f t="shared" si="792"/>
        <v>6.6364488304932502E-3</v>
      </c>
      <c r="BI424" s="62"/>
      <c r="BJ424" s="69">
        <v>0.107</v>
      </c>
      <c r="BK424" s="69">
        <v>0.57899999999999996</v>
      </c>
      <c r="BL424" s="69">
        <v>0</v>
      </c>
      <c r="BM424" s="69">
        <v>0.27700000000000002</v>
      </c>
      <c r="BN424" s="69">
        <v>3.7999999999999999E-2</v>
      </c>
      <c r="BO424" s="69">
        <v>0</v>
      </c>
      <c r="BP424" s="69">
        <v>0</v>
      </c>
      <c r="BQ424" s="69">
        <v>0</v>
      </c>
      <c r="BR424" s="62"/>
      <c r="BS424" s="72">
        <f t="shared" ref="BS424:BW424" si="1284">AP424-BJ424</f>
        <v>-3.1608411268575359E-2</v>
      </c>
      <c r="BT424" s="72">
        <f t="shared" si="1284"/>
        <v>-0.2349756727293591</v>
      </c>
      <c r="BU424" s="72">
        <f t="shared" si="1284"/>
        <v>9.841834490408706E-2</v>
      </c>
      <c r="BV424" s="72">
        <f t="shared" si="1284"/>
        <v>0.16213401036586528</v>
      </c>
      <c r="BW424" s="72">
        <f t="shared" si="1284"/>
        <v>-8.0881672308604421E-3</v>
      </c>
      <c r="BX424" s="72"/>
      <c r="BY424" s="72"/>
      <c r="BZ424" s="72">
        <f t="shared" si="794"/>
        <v>1.3119895958842553E-2</v>
      </c>
    </row>
    <row r="425" spans="1:78" ht="13.15">
      <c r="A425" s="73" t="s">
        <v>6</v>
      </c>
      <c r="B425" s="74" t="s">
        <v>893</v>
      </c>
      <c r="C425" s="75" t="s">
        <v>894</v>
      </c>
      <c r="D425" s="75" t="s">
        <v>53</v>
      </c>
      <c r="E425" s="76"/>
      <c r="F425" s="59"/>
      <c r="G425" s="60"/>
      <c r="H425" s="77">
        <v>17734</v>
      </c>
      <c r="I425" s="77">
        <v>13566</v>
      </c>
      <c r="J425" s="77">
        <v>8979</v>
      </c>
      <c r="K425" s="77">
        <v>2134</v>
      </c>
      <c r="L425" s="77">
        <v>1941</v>
      </c>
      <c r="M425" s="77"/>
      <c r="N425" s="77"/>
      <c r="O425" s="77">
        <v>1200</v>
      </c>
      <c r="P425" s="77"/>
      <c r="Q425" s="77"/>
      <c r="R425" s="77"/>
      <c r="S425" s="77"/>
      <c r="T425" s="77"/>
      <c r="U425" s="77"/>
      <c r="V425" s="77"/>
      <c r="W425" s="77"/>
      <c r="X425" s="77"/>
      <c r="Y425" s="77">
        <v>183</v>
      </c>
      <c r="Z425" s="77"/>
      <c r="AA425" s="77"/>
      <c r="AB425" s="77"/>
      <c r="AC425" s="77"/>
      <c r="AD425" s="77"/>
      <c r="AE425" s="62"/>
      <c r="AF425" s="63" t="b">
        <v>0</v>
      </c>
      <c r="AG425" s="63" t="b">
        <v>0</v>
      </c>
      <c r="AH425" s="62"/>
      <c r="AI425" s="64">
        <f t="shared" si="786"/>
        <v>45737</v>
      </c>
      <c r="AJ425" s="65" t="str">
        <f t="shared" si="1116"/>
        <v>LAB</v>
      </c>
      <c r="AK425" s="66" t="str">
        <f t="shared" si="787"/>
        <v>GAIN</v>
      </c>
      <c r="AL425" s="67" t="e">
        <f t="shared" ca="1" si="788"/>
        <v>#NAME?</v>
      </c>
      <c r="AM425" s="68">
        <f t="shared" si="637"/>
        <v>4168</v>
      </c>
      <c r="AN425" s="69">
        <f t="shared" si="638"/>
        <v>9.1129719920414576E-2</v>
      </c>
      <c r="AO425" s="62"/>
      <c r="AP425" s="70">
        <f t="shared" ref="AP425:AT425" si="1285">H425/$AI425</f>
        <v>0.38773859238690778</v>
      </c>
      <c r="AQ425" s="70">
        <f t="shared" si="1285"/>
        <v>0.2966088724664932</v>
      </c>
      <c r="AR425" s="70">
        <f t="shared" si="1285"/>
        <v>0.19631807945427115</v>
      </c>
      <c r="AS425" s="70">
        <f t="shared" si="1285"/>
        <v>4.6658066773072132E-2</v>
      </c>
      <c r="AT425" s="70">
        <f t="shared" si="1285"/>
        <v>4.2438288475413775E-2</v>
      </c>
      <c r="AU425" s="70"/>
      <c r="AV425" s="70"/>
      <c r="AW425" s="81">
        <f t="shared" si="790"/>
        <v>3.0238100443842009E-2</v>
      </c>
      <c r="AX425" s="70">
        <f t="shared" ref="AX425:BG425" si="1286">O425/$AI425</f>
        <v>2.6236963508756588E-2</v>
      </c>
      <c r="AY425" s="70">
        <f t="shared" si="1286"/>
        <v>0</v>
      </c>
      <c r="AZ425" s="70">
        <f t="shared" si="1286"/>
        <v>0</v>
      </c>
      <c r="BA425" s="70">
        <f t="shared" si="1286"/>
        <v>0</v>
      </c>
      <c r="BB425" s="70">
        <f t="shared" si="1286"/>
        <v>0</v>
      </c>
      <c r="BC425" s="70">
        <f t="shared" si="1286"/>
        <v>0</v>
      </c>
      <c r="BD425" s="70">
        <f t="shared" si="1286"/>
        <v>0</v>
      </c>
      <c r="BE425" s="70">
        <f t="shared" si="1286"/>
        <v>0</v>
      </c>
      <c r="BF425" s="70">
        <f t="shared" si="1286"/>
        <v>0</v>
      </c>
      <c r="BG425" s="70">
        <f t="shared" si="1286"/>
        <v>0</v>
      </c>
      <c r="BH425" s="70">
        <f t="shared" si="792"/>
        <v>4.0011369350854212E-3</v>
      </c>
      <c r="BI425" s="62"/>
      <c r="BJ425" s="69">
        <v>0.27200000000000002</v>
      </c>
      <c r="BK425" s="69">
        <v>0.621</v>
      </c>
      <c r="BL425" s="69">
        <v>0</v>
      </c>
      <c r="BM425" s="69">
        <v>7.2999999999999995E-2</v>
      </c>
      <c r="BN425" s="69">
        <v>3.4000000000000002E-2</v>
      </c>
      <c r="BO425" s="69">
        <v>0</v>
      </c>
      <c r="BP425" s="69">
        <v>0</v>
      </c>
      <c r="BQ425" s="69">
        <v>0</v>
      </c>
      <c r="BR425" s="62"/>
      <c r="BS425" s="72">
        <f t="shared" ref="BS425:BW425" si="1287">AP425-BJ425</f>
        <v>0.11573859238690776</v>
      </c>
      <c r="BT425" s="72">
        <f t="shared" si="1287"/>
        <v>-0.3243911275335068</v>
      </c>
      <c r="BU425" s="72">
        <f t="shared" si="1287"/>
        <v>0.19631807945427115</v>
      </c>
      <c r="BV425" s="72">
        <f t="shared" si="1287"/>
        <v>-2.6341933226927863E-2</v>
      </c>
      <c r="BW425" s="72">
        <f t="shared" si="1287"/>
        <v>8.438288475413773E-3</v>
      </c>
      <c r="BX425" s="72"/>
      <c r="BY425" s="72"/>
      <c r="BZ425" s="72">
        <f t="shared" si="794"/>
        <v>3.0238100443842009E-2</v>
      </c>
    </row>
    <row r="426" spans="1:78" ht="13.15">
      <c r="A426" s="73" t="s">
        <v>6</v>
      </c>
      <c r="B426" s="74" t="s">
        <v>895</v>
      </c>
      <c r="C426" s="75" t="s">
        <v>896</v>
      </c>
      <c r="D426" s="75" t="s">
        <v>85</v>
      </c>
      <c r="E426" s="76"/>
      <c r="F426" s="59"/>
      <c r="G426" s="60"/>
      <c r="H426" s="77">
        <v>3066</v>
      </c>
      <c r="I426" s="77">
        <v>15413</v>
      </c>
      <c r="J426" s="77">
        <v>6363</v>
      </c>
      <c r="K426" s="77">
        <v>22540</v>
      </c>
      <c r="L426" s="77">
        <v>1497</v>
      </c>
      <c r="M426" s="77"/>
      <c r="N426" s="77"/>
      <c r="O426" s="77"/>
      <c r="P426" s="77"/>
      <c r="Q426" s="77"/>
      <c r="R426" s="77"/>
      <c r="S426" s="77"/>
      <c r="T426" s="77"/>
      <c r="U426" s="77"/>
      <c r="V426" s="77"/>
      <c r="W426" s="77"/>
      <c r="X426" s="77"/>
      <c r="Y426" s="77">
        <v>125</v>
      </c>
      <c r="Z426" s="77"/>
      <c r="AA426" s="77"/>
      <c r="AB426" s="77"/>
      <c r="AC426" s="77"/>
      <c r="AD426" s="77"/>
      <c r="AE426" s="62"/>
      <c r="AF426" s="63" t="b">
        <v>0</v>
      </c>
      <c r="AG426" s="63" t="b">
        <v>0</v>
      </c>
      <c r="AH426" s="62"/>
      <c r="AI426" s="64">
        <f t="shared" si="786"/>
        <v>49004</v>
      </c>
      <c r="AJ426" s="65" t="str">
        <f t="shared" si="1116"/>
        <v>LDM</v>
      </c>
      <c r="AK426" s="66" t="str">
        <f t="shared" si="787"/>
        <v>GAIN</v>
      </c>
      <c r="AL426" s="67" t="e">
        <f t="shared" ca="1" si="788"/>
        <v>#NAME?</v>
      </c>
      <c r="AM426" s="68">
        <f t="shared" si="637"/>
        <v>7127</v>
      </c>
      <c r="AN426" s="69">
        <f t="shared" si="638"/>
        <v>0.14543710717492447</v>
      </c>
      <c r="AO426" s="62"/>
      <c r="AP426" s="70">
        <f t="shared" ref="AP426:AT426" si="1288">H426/$AI426</f>
        <v>6.2566321116643536E-2</v>
      </c>
      <c r="AQ426" s="70">
        <f t="shared" si="1288"/>
        <v>0.31452534486980654</v>
      </c>
      <c r="AR426" s="70">
        <f t="shared" si="1288"/>
        <v>0.12984654313933555</v>
      </c>
      <c r="AS426" s="70">
        <f t="shared" si="1288"/>
        <v>0.45996245204473102</v>
      </c>
      <c r="AT426" s="70">
        <f t="shared" si="1288"/>
        <v>3.0548526650885643E-2</v>
      </c>
      <c r="AU426" s="70"/>
      <c r="AV426" s="70"/>
      <c r="AW426" s="81">
        <f t="shared" si="790"/>
        <v>2.5508121785977611E-3</v>
      </c>
      <c r="AX426" s="70">
        <f t="shared" ref="AX426:BG426" si="1289">O426/$AI426</f>
        <v>0</v>
      </c>
      <c r="AY426" s="70">
        <f t="shared" si="1289"/>
        <v>0</v>
      </c>
      <c r="AZ426" s="70">
        <f t="shared" si="1289"/>
        <v>0</v>
      </c>
      <c r="BA426" s="70">
        <f t="shared" si="1289"/>
        <v>0</v>
      </c>
      <c r="BB426" s="70">
        <f t="shared" si="1289"/>
        <v>0</v>
      </c>
      <c r="BC426" s="70">
        <f t="shared" si="1289"/>
        <v>0</v>
      </c>
      <c r="BD426" s="70">
        <f t="shared" si="1289"/>
        <v>0</v>
      </c>
      <c r="BE426" s="70">
        <f t="shared" si="1289"/>
        <v>0</v>
      </c>
      <c r="BF426" s="70">
        <f t="shared" si="1289"/>
        <v>0</v>
      </c>
      <c r="BG426" s="70">
        <f t="shared" si="1289"/>
        <v>0</v>
      </c>
      <c r="BH426" s="70">
        <f t="shared" si="792"/>
        <v>2.5508121785977611E-3</v>
      </c>
      <c r="BI426" s="62"/>
      <c r="BJ426" s="69">
        <v>0.17</v>
      </c>
      <c r="BK426" s="69">
        <v>0.53600000000000003</v>
      </c>
      <c r="BL426" s="69">
        <v>0</v>
      </c>
      <c r="BM426" s="69">
        <v>0.28299999999999997</v>
      </c>
      <c r="BN426" s="69">
        <v>2E-3</v>
      </c>
      <c r="BO426" s="69">
        <v>0</v>
      </c>
      <c r="BP426" s="69">
        <v>0</v>
      </c>
      <c r="BQ426" s="69">
        <v>0.01</v>
      </c>
      <c r="BR426" s="62"/>
      <c r="BS426" s="72">
        <f t="shared" ref="BS426:BW426" si="1290">AP426-BJ426</f>
        <v>-0.10743367888335648</v>
      </c>
      <c r="BT426" s="72">
        <f t="shared" si="1290"/>
        <v>-0.22147465513019349</v>
      </c>
      <c r="BU426" s="72">
        <f t="shared" si="1290"/>
        <v>0.12984654313933555</v>
      </c>
      <c r="BV426" s="72">
        <f t="shared" si="1290"/>
        <v>0.17696245204473104</v>
      </c>
      <c r="BW426" s="72">
        <f t="shared" si="1290"/>
        <v>2.8548526650885642E-2</v>
      </c>
      <c r="BX426" s="72"/>
      <c r="BY426" s="72"/>
      <c r="BZ426" s="72">
        <f t="shared" si="794"/>
        <v>-7.4491878214022391E-3</v>
      </c>
    </row>
    <row r="427" spans="1:78" ht="13.15">
      <c r="A427" s="73" t="s">
        <v>6</v>
      </c>
      <c r="B427" s="74" t="s">
        <v>897</v>
      </c>
      <c r="C427" s="75" t="s">
        <v>898</v>
      </c>
      <c r="D427" s="75" t="s">
        <v>85</v>
      </c>
      <c r="E427" s="76"/>
      <c r="F427" s="59"/>
      <c r="G427" s="60"/>
      <c r="H427" s="77">
        <v>15650</v>
      </c>
      <c r="I427" s="77">
        <v>14611</v>
      </c>
      <c r="J427" s="77">
        <v>8168</v>
      </c>
      <c r="K427" s="77">
        <v>8017</v>
      </c>
      <c r="L427" s="77">
        <v>2153</v>
      </c>
      <c r="M427" s="77"/>
      <c r="N427" s="77"/>
      <c r="O427" s="77">
        <v>192</v>
      </c>
      <c r="P427" s="77"/>
      <c r="Q427" s="77"/>
      <c r="R427" s="77"/>
      <c r="S427" s="77"/>
      <c r="T427" s="77"/>
      <c r="U427" s="77"/>
      <c r="V427" s="77"/>
      <c r="W427" s="77"/>
      <c r="X427" s="77"/>
      <c r="Y427" s="77">
        <v>185</v>
      </c>
      <c r="Z427" s="77">
        <v>52</v>
      </c>
      <c r="AA427" s="77"/>
      <c r="AB427" s="77"/>
      <c r="AC427" s="77"/>
      <c r="AD427" s="77"/>
      <c r="AE427" s="62"/>
      <c r="AF427" s="63" t="b">
        <v>0</v>
      </c>
      <c r="AG427" s="63" t="b">
        <v>0</v>
      </c>
      <c r="AH427" s="62"/>
      <c r="AI427" s="64">
        <f t="shared" si="786"/>
        <v>49028</v>
      </c>
      <c r="AJ427" s="65" t="str">
        <f t="shared" si="1116"/>
        <v>LAB</v>
      </c>
      <c r="AK427" s="66" t="str">
        <f t="shared" si="787"/>
        <v>GAIN</v>
      </c>
      <c r="AL427" s="67" t="e">
        <f t="shared" ca="1" si="788"/>
        <v>#NAME?</v>
      </c>
      <c r="AM427" s="68">
        <f t="shared" si="637"/>
        <v>1039</v>
      </c>
      <c r="AN427" s="69">
        <f t="shared" si="638"/>
        <v>2.1191971934404863E-2</v>
      </c>
      <c r="AO427" s="62"/>
      <c r="AP427" s="70">
        <f t="shared" ref="AP427:AT427" si="1291">H427/$AI427</f>
        <v>0.31920535204373013</v>
      </c>
      <c r="AQ427" s="70">
        <f t="shared" si="1291"/>
        <v>0.29801338010932527</v>
      </c>
      <c r="AR427" s="70">
        <f t="shared" si="1291"/>
        <v>0.16659867830627398</v>
      </c>
      <c r="AS427" s="70">
        <f t="shared" si="1291"/>
        <v>0.16351880558048462</v>
      </c>
      <c r="AT427" s="70">
        <f t="shared" si="1291"/>
        <v>4.3913681977645426E-2</v>
      </c>
      <c r="AU427" s="70"/>
      <c r="AV427" s="70"/>
      <c r="AW427" s="81">
        <f t="shared" si="790"/>
        <v>8.7501019825406701E-3</v>
      </c>
      <c r="AX427" s="70">
        <f t="shared" ref="AX427:BG427" si="1292">O427/$AI427</f>
        <v>3.9161295586195646E-3</v>
      </c>
      <c r="AY427" s="70">
        <f t="shared" si="1292"/>
        <v>0</v>
      </c>
      <c r="AZ427" s="70">
        <f t="shared" si="1292"/>
        <v>0</v>
      </c>
      <c r="BA427" s="70">
        <f t="shared" si="1292"/>
        <v>0</v>
      </c>
      <c r="BB427" s="70">
        <f t="shared" si="1292"/>
        <v>0</v>
      </c>
      <c r="BC427" s="70">
        <f t="shared" si="1292"/>
        <v>0</v>
      </c>
      <c r="BD427" s="70">
        <f t="shared" si="1292"/>
        <v>0</v>
      </c>
      <c r="BE427" s="70">
        <f t="shared" si="1292"/>
        <v>0</v>
      </c>
      <c r="BF427" s="70">
        <f t="shared" si="1292"/>
        <v>0</v>
      </c>
      <c r="BG427" s="70">
        <f t="shared" si="1292"/>
        <v>0</v>
      </c>
      <c r="BH427" s="70">
        <f t="shared" si="792"/>
        <v>4.8339724239211054E-3</v>
      </c>
      <c r="BI427" s="62"/>
      <c r="BJ427" s="69">
        <v>0.248</v>
      </c>
      <c r="BK427" s="69">
        <v>0.59199999999999997</v>
      </c>
      <c r="BL427" s="69">
        <v>0</v>
      </c>
      <c r="BM427" s="69">
        <v>0.107</v>
      </c>
      <c r="BN427" s="69">
        <v>4.3999999999999997E-2</v>
      </c>
      <c r="BO427" s="69">
        <v>0</v>
      </c>
      <c r="BP427" s="69">
        <v>0</v>
      </c>
      <c r="BQ427" s="69">
        <v>8.9999999999999993E-3</v>
      </c>
      <c r="BR427" s="62"/>
      <c r="BS427" s="72">
        <f t="shared" ref="BS427:BW427" si="1293">AP427-BJ427</f>
        <v>7.120535204373013E-2</v>
      </c>
      <c r="BT427" s="72">
        <f t="shared" si="1293"/>
        <v>-0.29398661989067471</v>
      </c>
      <c r="BU427" s="72">
        <f t="shared" si="1293"/>
        <v>0.16659867830627398</v>
      </c>
      <c r="BV427" s="72">
        <f t="shared" si="1293"/>
        <v>5.6518805580484624E-2</v>
      </c>
      <c r="BW427" s="72">
        <f t="shared" si="1293"/>
        <v>-8.6318022354571478E-5</v>
      </c>
      <c r="BX427" s="72"/>
      <c r="BY427" s="72"/>
      <c r="BZ427" s="72">
        <f t="shared" si="794"/>
        <v>-2.4989801745932926E-4</v>
      </c>
    </row>
    <row r="428" spans="1:78" ht="13.15">
      <c r="A428" s="73" t="s">
        <v>6</v>
      </c>
      <c r="B428" s="74" t="s">
        <v>899</v>
      </c>
      <c r="C428" s="75" t="s">
        <v>900</v>
      </c>
      <c r="D428" s="75" t="s">
        <v>85</v>
      </c>
      <c r="E428" s="76"/>
      <c r="F428" s="59"/>
      <c r="G428" s="60"/>
      <c r="H428" s="77">
        <v>15670</v>
      </c>
      <c r="I428" s="77">
        <v>13759</v>
      </c>
      <c r="J428" s="77">
        <v>9311</v>
      </c>
      <c r="K428" s="77">
        <v>8284</v>
      </c>
      <c r="L428" s="77">
        <v>1999</v>
      </c>
      <c r="M428" s="77"/>
      <c r="N428" s="77"/>
      <c r="O428" s="77"/>
      <c r="P428" s="77"/>
      <c r="Q428" s="77"/>
      <c r="R428" s="77"/>
      <c r="S428" s="77"/>
      <c r="T428" s="77"/>
      <c r="U428" s="77"/>
      <c r="V428" s="77"/>
      <c r="W428" s="77"/>
      <c r="X428" s="77"/>
      <c r="Y428" s="77">
        <v>263</v>
      </c>
      <c r="Z428" s="77"/>
      <c r="AA428" s="77"/>
      <c r="AB428" s="77"/>
      <c r="AC428" s="77"/>
      <c r="AD428" s="77"/>
      <c r="AE428" s="62"/>
      <c r="AF428" s="63" t="b">
        <v>0</v>
      </c>
      <c r="AG428" s="63" t="b">
        <v>0</v>
      </c>
      <c r="AH428" s="62"/>
      <c r="AI428" s="64">
        <f t="shared" si="786"/>
        <v>49286</v>
      </c>
      <c r="AJ428" s="65" t="str">
        <f t="shared" si="1116"/>
        <v>LAB</v>
      </c>
      <c r="AK428" s="66" t="str">
        <f t="shared" si="787"/>
        <v>GAIN</v>
      </c>
      <c r="AL428" s="67" t="e">
        <f t="shared" ca="1" si="788"/>
        <v>#NAME?</v>
      </c>
      <c r="AM428" s="68">
        <f t="shared" si="637"/>
        <v>1911</v>
      </c>
      <c r="AN428" s="69">
        <f t="shared" si="638"/>
        <v>3.8773688268473772E-2</v>
      </c>
      <c r="AO428" s="62"/>
      <c r="AP428" s="70">
        <f t="shared" ref="AP428:AT428" si="1294">H428/$AI428</f>
        <v>0.31794018585399503</v>
      </c>
      <c r="AQ428" s="70">
        <f t="shared" si="1294"/>
        <v>0.27916649758552126</v>
      </c>
      <c r="AR428" s="70">
        <f t="shared" si="1294"/>
        <v>0.18891774540437448</v>
      </c>
      <c r="AS428" s="70">
        <f t="shared" si="1294"/>
        <v>0.16808018504240554</v>
      </c>
      <c r="AT428" s="70">
        <f t="shared" si="1294"/>
        <v>4.0559185164143974E-2</v>
      </c>
      <c r="AU428" s="70"/>
      <c r="AV428" s="70"/>
      <c r="AW428" s="81">
        <f t="shared" si="790"/>
        <v>5.3362009495598883E-3</v>
      </c>
      <c r="AX428" s="70">
        <f t="shared" ref="AX428:BG428" si="1295">O428/$AI428</f>
        <v>0</v>
      </c>
      <c r="AY428" s="70">
        <f t="shared" si="1295"/>
        <v>0</v>
      </c>
      <c r="AZ428" s="70">
        <f t="shared" si="1295"/>
        <v>0</v>
      </c>
      <c r="BA428" s="70">
        <f t="shared" si="1295"/>
        <v>0</v>
      </c>
      <c r="BB428" s="70">
        <f t="shared" si="1295"/>
        <v>0</v>
      </c>
      <c r="BC428" s="70">
        <f t="shared" si="1295"/>
        <v>0</v>
      </c>
      <c r="BD428" s="70">
        <f t="shared" si="1295"/>
        <v>0</v>
      </c>
      <c r="BE428" s="70">
        <f t="shared" si="1295"/>
        <v>0</v>
      </c>
      <c r="BF428" s="70">
        <f t="shared" si="1295"/>
        <v>0</v>
      </c>
      <c r="BG428" s="70">
        <f t="shared" si="1295"/>
        <v>0</v>
      </c>
      <c r="BH428" s="70">
        <f t="shared" si="792"/>
        <v>5.3362009495598883E-3</v>
      </c>
      <c r="BI428" s="62"/>
      <c r="BJ428" s="69">
        <v>0.20300000000000001</v>
      </c>
      <c r="BK428" s="69">
        <v>0.59</v>
      </c>
      <c r="BL428" s="69">
        <v>0</v>
      </c>
      <c r="BM428" s="69">
        <v>0.16300000000000001</v>
      </c>
      <c r="BN428" s="69">
        <v>2.7E-2</v>
      </c>
      <c r="BO428" s="69">
        <v>0</v>
      </c>
      <c r="BP428" s="69">
        <v>0</v>
      </c>
      <c r="BQ428" s="69">
        <v>1.7000000000000001E-2</v>
      </c>
      <c r="BR428" s="62"/>
      <c r="BS428" s="72">
        <f t="shared" ref="BS428:BW428" si="1296">AP428-BJ428</f>
        <v>0.11494018585399501</v>
      </c>
      <c r="BT428" s="72">
        <f t="shared" si="1296"/>
        <v>-0.31083350241447871</v>
      </c>
      <c r="BU428" s="72">
        <f t="shared" si="1296"/>
        <v>0.18891774540437448</v>
      </c>
      <c r="BV428" s="72">
        <f t="shared" si="1296"/>
        <v>5.0801850424055384E-3</v>
      </c>
      <c r="BW428" s="72">
        <f t="shared" si="1296"/>
        <v>1.3559185164143974E-2</v>
      </c>
      <c r="BX428" s="72"/>
      <c r="BY428" s="72"/>
      <c r="BZ428" s="72">
        <f t="shared" si="794"/>
        <v>-1.1663799050440113E-2</v>
      </c>
    </row>
    <row r="429" spans="1:78" ht="13.15">
      <c r="A429" s="73" t="s">
        <v>6</v>
      </c>
      <c r="B429" s="74" t="s">
        <v>901</v>
      </c>
      <c r="C429" s="75" t="s">
        <v>902</v>
      </c>
      <c r="D429" s="75" t="s">
        <v>53</v>
      </c>
      <c r="E429" s="76"/>
      <c r="F429" s="59"/>
      <c r="G429" s="60"/>
      <c r="H429" s="77">
        <v>9086</v>
      </c>
      <c r="I429" s="77">
        <v>17462</v>
      </c>
      <c r="J429" s="77">
        <v>10606</v>
      </c>
      <c r="K429" s="77">
        <v>1945</v>
      </c>
      <c r="L429" s="77">
        <v>1800</v>
      </c>
      <c r="M429" s="77"/>
      <c r="N429" s="77"/>
      <c r="O429" s="77">
        <v>5031</v>
      </c>
      <c r="P429" s="77"/>
      <c r="Q429" s="77"/>
      <c r="R429" s="77"/>
      <c r="S429" s="77"/>
      <c r="T429" s="77"/>
      <c r="U429" s="77"/>
      <c r="V429" s="77"/>
      <c r="W429" s="77"/>
      <c r="X429" s="77"/>
      <c r="Y429" s="77"/>
      <c r="Z429" s="77"/>
      <c r="AA429" s="77"/>
      <c r="AB429" s="77"/>
      <c r="AC429" s="77"/>
      <c r="AD429" s="77"/>
      <c r="AE429" s="62"/>
      <c r="AF429" s="63" t="b">
        <v>0</v>
      </c>
      <c r="AG429" s="63" t="b">
        <v>0</v>
      </c>
      <c r="AH429" s="62"/>
      <c r="AI429" s="64">
        <f t="shared" si="786"/>
        <v>45930</v>
      </c>
      <c r="AJ429" s="65" t="str">
        <f t="shared" si="1116"/>
        <v>CON</v>
      </c>
      <c r="AK429" s="66" t="str">
        <f t="shared" si="787"/>
        <v>HOLD</v>
      </c>
      <c r="AL429" s="67" t="e">
        <f t="shared" ca="1" si="788"/>
        <v>#NAME?</v>
      </c>
      <c r="AM429" s="68">
        <f t="shared" si="637"/>
        <v>6856</v>
      </c>
      <c r="AN429" s="69">
        <f t="shared" si="638"/>
        <v>0.14927062921837578</v>
      </c>
      <c r="AO429" s="62"/>
      <c r="AP429" s="70">
        <f t="shared" ref="AP429:AT429" si="1297">H429/$AI429</f>
        <v>0.19782277378619639</v>
      </c>
      <c r="AQ429" s="70">
        <f t="shared" si="1297"/>
        <v>0.38018724145438709</v>
      </c>
      <c r="AR429" s="70">
        <f t="shared" si="1297"/>
        <v>0.23091661223601131</v>
      </c>
      <c r="AS429" s="70">
        <f t="shared" si="1297"/>
        <v>4.2347049858480298E-2</v>
      </c>
      <c r="AT429" s="70">
        <f t="shared" si="1297"/>
        <v>3.9190071848465055E-2</v>
      </c>
      <c r="AU429" s="70"/>
      <c r="AV429" s="70"/>
      <c r="AW429" s="81">
        <f t="shared" si="790"/>
        <v>0.1095362508164599</v>
      </c>
      <c r="AX429" s="70">
        <f t="shared" ref="AX429:BG429" si="1298">O429/$AI429</f>
        <v>0.10953625081645983</v>
      </c>
      <c r="AY429" s="70">
        <f t="shared" si="1298"/>
        <v>0</v>
      </c>
      <c r="AZ429" s="70">
        <f t="shared" si="1298"/>
        <v>0</v>
      </c>
      <c r="BA429" s="70">
        <f t="shared" si="1298"/>
        <v>0</v>
      </c>
      <c r="BB429" s="70">
        <f t="shared" si="1298"/>
        <v>0</v>
      </c>
      <c r="BC429" s="70">
        <f t="shared" si="1298"/>
        <v>0</v>
      </c>
      <c r="BD429" s="70">
        <f t="shared" si="1298"/>
        <v>0</v>
      </c>
      <c r="BE429" s="70">
        <f t="shared" si="1298"/>
        <v>0</v>
      </c>
      <c r="BF429" s="70">
        <f t="shared" si="1298"/>
        <v>0</v>
      </c>
      <c r="BG429" s="70">
        <f t="shared" si="1298"/>
        <v>0</v>
      </c>
      <c r="BH429" s="70">
        <f t="shared" si="792"/>
        <v>0</v>
      </c>
      <c r="BI429" s="62"/>
      <c r="BJ429" s="69">
        <v>0.13200000000000001</v>
      </c>
      <c r="BK429" s="69">
        <v>0.75900000000000001</v>
      </c>
      <c r="BL429" s="69">
        <v>0</v>
      </c>
      <c r="BM429" s="69">
        <v>6.6000000000000003E-2</v>
      </c>
      <c r="BN429" s="69">
        <v>3.3000000000000002E-2</v>
      </c>
      <c r="BO429" s="69">
        <v>0</v>
      </c>
      <c r="BP429" s="69">
        <v>0</v>
      </c>
      <c r="BQ429" s="69">
        <v>0.01</v>
      </c>
      <c r="BR429" s="62"/>
      <c r="BS429" s="72">
        <f t="shared" ref="BS429:BW429" si="1299">AP429-BJ429</f>
        <v>6.5822773786196387E-2</v>
      </c>
      <c r="BT429" s="72">
        <f t="shared" si="1299"/>
        <v>-0.37881275854561292</v>
      </c>
      <c r="BU429" s="72">
        <f t="shared" si="1299"/>
        <v>0.23091661223601131</v>
      </c>
      <c r="BV429" s="72">
        <f t="shared" si="1299"/>
        <v>-2.3652950141519705E-2</v>
      </c>
      <c r="BW429" s="72">
        <f t="shared" si="1299"/>
        <v>6.1900718484650535E-3</v>
      </c>
      <c r="BX429" s="72"/>
      <c r="BY429" s="72"/>
      <c r="BZ429" s="72">
        <f t="shared" si="794"/>
        <v>9.9536250816459837E-2</v>
      </c>
    </row>
    <row r="430" spans="1:78" ht="13.15">
      <c r="A430" s="73" t="s">
        <v>6</v>
      </c>
      <c r="B430" s="74" t="s">
        <v>903</v>
      </c>
      <c r="C430" s="75" t="s">
        <v>904</v>
      </c>
      <c r="D430" s="75" t="s">
        <v>53</v>
      </c>
      <c r="E430" s="76"/>
      <c r="F430" s="59"/>
      <c r="G430" s="60"/>
      <c r="H430" s="77">
        <v>12758</v>
      </c>
      <c r="I430" s="77">
        <v>18264</v>
      </c>
      <c r="J430" s="77">
        <v>10235</v>
      </c>
      <c r="K430" s="77">
        <v>7621</v>
      </c>
      <c r="L430" s="77">
        <v>2481</v>
      </c>
      <c r="M430" s="77"/>
      <c r="N430" s="77"/>
      <c r="O430" s="77"/>
      <c r="P430" s="77"/>
      <c r="Q430" s="77"/>
      <c r="R430" s="77"/>
      <c r="S430" s="77"/>
      <c r="T430" s="77"/>
      <c r="U430" s="77"/>
      <c r="V430" s="77"/>
      <c r="W430" s="77"/>
      <c r="X430" s="77"/>
      <c r="Y430" s="77"/>
      <c r="Z430" s="77"/>
      <c r="AA430" s="77"/>
      <c r="AB430" s="77"/>
      <c r="AC430" s="77"/>
      <c r="AD430" s="77"/>
      <c r="AE430" s="62"/>
      <c r="AF430" s="63" t="b">
        <v>0</v>
      </c>
      <c r="AG430" s="63" t="b">
        <v>0</v>
      </c>
      <c r="AH430" s="62"/>
      <c r="AI430" s="64">
        <f t="shared" si="786"/>
        <v>51359</v>
      </c>
      <c r="AJ430" s="65" t="str">
        <f t="shared" si="1116"/>
        <v>CON</v>
      </c>
      <c r="AK430" s="66" t="str">
        <f t="shared" si="787"/>
        <v>HOLD</v>
      </c>
      <c r="AL430" s="67" t="e">
        <f t="shared" ca="1" si="788"/>
        <v>#NAME?</v>
      </c>
      <c r="AM430" s="68">
        <f t="shared" si="637"/>
        <v>5506</v>
      </c>
      <c r="AN430" s="69">
        <f t="shared" si="638"/>
        <v>0.10720613719114469</v>
      </c>
      <c r="AO430" s="62"/>
      <c r="AP430" s="70">
        <f t="shared" ref="AP430:AT430" si="1300">H430/$AI430</f>
        <v>0.24840826340076716</v>
      </c>
      <c r="AQ430" s="70">
        <f t="shared" si="1300"/>
        <v>0.35561440059191185</v>
      </c>
      <c r="AR430" s="70">
        <f t="shared" si="1300"/>
        <v>0.19928347514554412</v>
      </c>
      <c r="AS430" s="70">
        <f t="shared" si="1300"/>
        <v>0.14838684553826983</v>
      </c>
      <c r="AT430" s="70">
        <f t="shared" si="1300"/>
        <v>4.8307015323507077E-2</v>
      </c>
      <c r="AU430" s="70"/>
      <c r="AV430" s="70"/>
      <c r="AW430" s="81">
        <f t="shared" si="790"/>
        <v>0</v>
      </c>
      <c r="AX430" s="70">
        <f t="shared" ref="AX430:BG430" si="1301">O430/$AI430</f>
        <v>0</v>
      </c>
      <c r="AY430" s="70">
        <f t="shared" si="1301"/>
        <v>0</v>
      </c>
      <c r="AZ430" s="70">
        <f t="shared" si="1301"/>
        <v>0</v>
      </c>
      <c r="BA430" s="70">
        <f t="shared" si="1301"/>
        <v>0</v>
      </c>
      <c r="BB430" s="70">
        <f t="shared" si="1301"/>
        <v>0</v>
      </c>
      <c r="BC430" s="70">
        <f t="shared" si="1301"/>
        <v>0</v>
      </c>
      <c r="BD430" s="70">
        <f t="shared" si="1301"/>
        <v>0</v>
      </c>
      <c r="BE430" s="70">
        <f t="shared" si="1301"/>
        <v>0</v>
      </c>
      <c r="BF430" s="70">
        <f t="shared" si="1301"/>
        <v>0</v>
      </c>
      <c r="BG430" s="70">
        <f t="shared" si="1301"/>
        <v>0</v>
      </c>
      <c r="BH430" s="70">
        <f t="shared" si="792"/>
        <v>0</v>
      </c>
      <c r="BI430" s="62"/>
      <c r="BJ430" s="69">
        <v>0.19900000000000001</v>
      </c>
      <c r="BK430" s="69">
        <v>0.66500000000000004</v>
      </c>
      <c r="BL430" s="69">
        <v>0</v>
      </c>
      <c r="BM430" s="69">
        <v>9.6000000000000002E-2</v>
      </c>
      <c r="BN430" s="69">
        <v>0.04</v>
      </c>
      <c r="BO430" s="69">
        <v>0</v>
      </c>
      <c r="BP430" s="69">
        <v>0</v>
      </c>
      <c r="BQ430" s="69">
        <v>0</v>
      </c>
      <c r="BR430" s="62"/>
      <c r="BS430" s="72">
        <f t="shared" ref="BS430:BW430" si="1302">AP430-BJ430</f>
        <v>4.940826340076715E-2</v>
      </c>
      <c r="BT430" s="72">
        <f t="shared" si="1302"/>
        <v>-0.30938559940808819</v>
      </c>
      <c r="BU430" s="72">
        <f t="shared" si="1302"/>
        <v>0.19928347514554412</v>
      </c>
      <c r="BV430" s="72">
        <f t="shared" si="1302"/>
        <v>5.2386845538269833E-2</v>
      </c>
      <c r="BW430" s="72">
        <f t="shared" si="1302"/>
        <v>8.3070153235070762E-3</v>
      </c>
      <c r="BX430" s="72"/>
      <c r="BY430" s="72"/>
      <c r="BZ430" s="72">
        <f t="shared" si="794"/>
        <v>0</v>
      </c>
    </row>
    <row r="431" spans="1:78" ht="13.15">
      <c r="A431" s="73" t="s">
        <v>6</v>
      </c>
      <c r="B431" s="74" t="s">
        <v>905</v>
      </c>
      <c r="C431" s="75" t="s">
        <v>906</v>
      </c>
      <c r="D431" s="75" t="s">
        <v>78</v>
      </c>
      <c r="E431" s="76"/>
      <c r="F431" s="59"/>
      <c r="G431" s="60"/>
      <c r="H431" s="77">
        <v>17353</v>
      </c>
      <c r="I431" s="77">
        <v>14527</v>
      </c>
      <c r="J431" s="77">
        <v>7583</v>
      </c>
      <c r="K431" s="77">
        <v>5746</v>
      </c>
      <c r="L431" s="77">
        <v>3987</v>
      </c>
      <c r="M431" s="77"/>
      <c r="N431" s="77"/>
      <c r="O431" s="77">
        <v>254</v>
      </c>
      <c r="P431" s="77"/>
      <c r="Q431" s="77">
        <v>129</v>
      </c>
      <c r="R431" s="77"/>
      <c r="S431" s="77"/>
      <c r="T431" s="77"/>
      <c r="U431" s="77"/>
      <c r="V431" s="77"/>
      <c r="W431" s="77"/>
      <c r="X431" s="77"/>
      <c r="Y431" s="77"/>
      <c r="Z431" s="77"/>
      <c r="AA431" s="77"/>
      <c r="AB431" s="77"/>
      <c r="AC431" s="77"/>
      <c r="AD431" s="77"/>
      <c r="AE431" s="62"/>
      <c r="AF431" s="63" t="b">
        <v>0</v>
      </c>
      <c r="AG431" s="63" t="b">
        <v>0</v>
      </c>
      <c r="AH431" s="62"/>
      <c r="AI431" s="64">
        <f t="shared" si="786"/>
        <v>49579</v>
      </c>
      <c r="AJ431" s="65" t="str">
        <f t="shared" si="1116"/>
        <v>LAB</v>
      </c>
      <c r="AK431" s="66" t="str">
        <f t="shared" si="787"/>
        <v>GAIN</v>
      </c>
      <c r="AL431" s="67" t="e">
        <f t="shared" ca="1" si="788"/>
        <v>#NAME?</v>
      </c>
      <c r="AM431" s="68">
        <f t="shared" si="637"/>
        <v>2826</v>
      </c>
      <c r="AN431" s="69">
        <f t="shared" si="638"/>
        <v>5.6999939490510132E-2</v>
      </c>
      <c r="AO431" s="62"/>
      <c r="AP431" s="70">
        <f t="shared" ref="AP431:AT431" si="1303">H431/$AI431</f>
        <v>0.35000705944048893</v>
      </c>
      <c r="AQ431" s="70">
        <f t="shared" si="1303"/>
        <v>0.2930071199499788</v>
      </c>
      <c r="AR431" s="70">
        <f t="shared" si="1303"/>
        <v>0.15294782064987192</v>
      </c>
      <c r="AS431" s="70">
        <f t="shared" si="1303"/>
        <v>0.11589584299804352</v>
      </c>
      <c r="AT431" s="70">
        <f t="shared" si="1303"/>
        <v>8.0417112083745135E-2</v>
      </c>
      <c r="AU431" s="70"/>
      <c r="AV431" s="70"/>
      <c r="AW431" s="81">
        <f t="shared" si="790"/>
        <v>7.725044877871623E-3</v>
      </c>
      <c r="AX431" s="70">
        <f t="shared" ref="AX431:BG431" si="1304">O431/$AI431</f>
        <v>5.123136811956675E-3</v>
      </c>
      <c r="AY431" s="70">
        <f t="shared" si="1304"/>
        <v>0</v>
      </c>
      <c r="AZ431" s="70">
        <f t="shared" si="1304"/>
        <v>2.6019080659150044E-3</v>
      </c>
      <c r="BA431" s="70">
        <f t="shared" si="1304"/>
        <v>0</v>
      </c>
      <c r="BB431" s="70">
        <f t="shared" si="1304"/>
        <v>0</v>
      </c>
      <c r="BC431" s="70">
        <f t="shared" si="1304"/>
        <v>0</v>
      </c>
      <c r="BD431" s="70">
        <f t="shared" si="1304"/>
        <v>0</v>
      </c>
      <c r="BE431" s="70">
        <f t="shared" si="1304"/>
        <v>0</v>
      </c>
      <c r="BF431" s="70">
        <f t="shared" si="1304"/>
        <v>0</v>
      </c>
      <c r="BG431" s="70">
        <f t="shared" si="1304"/>
        <v>0</v>
      </c>
      <c r="BH431" s="70">
        <f t="shared" si="792"/>
        <v>-5.6378512969246231E-17</v>
      </c>
      <c r="BI431" s="62"/>
      <c r="BJ431" s="69">
        <v>0.23400000000000001</v>
      </c>
      <c r="BK431" s="69">
        <v>0.56499999999999995</v>
      </c>
      <c r="BL431" s="69">
        <v>0</v>
      </c>
      <c r="BM431" s="69">
        <v>0.17</v>
      </c>
      <c r="BN431" s="69">
        <v>3.2000000000000001E-2</v>
      </c>
      <c r="BO431" s="69">
        <v>0</v>
      </c>
      <c r="BP431" s="69">
        <v>0</v>
      </c>
      <c r="BQ431" s="69">
        <v>0</v>
      </c>
      <c r="BR431" s="62"/>
      <c r="BS431" s="72">
        <f t="shared" ref="BS431:BW431" si="1305">AP431-BJ431</f>
        <v>0.11600705944048892</v>
      </c>
      <c r="BT431" s="72">
        <f t="shared" si="1305"/>
        <v>-0.27199288005002115</v>
      </c>
      <c r="BU431" s="72">
        <f t="shared" si="1305"/>
        <v>0.15294782064987192</v>
      </c>
      <c r="BV431" s="72">
        <f t="shared" si="1305"/>
        <v>-5.410415700195649E-2</v>
      </c>
      <c r="BW431" s="72">
        <f t="shared" si="1305"/>
        <v>4.8417112083745134E-2</v>
      </c>
      <c r="BX431" s="72"/>
      <c r="BY431" s="72"/>
      <c r="BZ431" s="72">
        <f t="shared" si="794"/>
        <v>7.725044877871623E-3</v>
      </c>
    </row>
    <row r="432" spans="1:78" ht="13.15">
      <c r="A432" s="73" t="s">
        <v>6</v>
      </c>
      <c r="B432" s="74" t="s">
        <v>907</v>
      </c>
      <c r="C432" s="75" t="s">
        <v>908</v>
      </c>
      <c r="D432" s="75" t="s">
        <v>53</v>
      </c>
      <c r="E432" s="76"/>
      <c r="F432" s="59"/>
      <c r="G432" s="60"/>
      <c r="H432" s="77">
        <v>15504</v>
      </c>
      <c r="I432" s="77">
        <v>19191</v>
      </c>
      <c r="J432" s="77">
        <v>8962</v>
      </c>
      <c r="K432" s="77">
        <v>4989</v>
      </c>
      <c r="L432" s="77">
        <v>3040</v>
      </c>
      <c r="M432" s="77"/>
      <c r="N432" s="77"/>
      <c r="O432" s="77">
        <v>1556</v>
      </c>
      <c r="P432" s="77">
        <v>246</v>
      </c>
      <c r="Q432" s="77"/>
      <c r="R432" s="77"/>
      <c r="S432" s="77"/>
      <c r="T432" s="77"/>
      <c r="U432" s="77"/>
      <c r="V432" s="77"/>
      <c r="W432" s="77"/>
      <c r="X432" s="77"/>
      <c r="Y432" s="77">
        <v>209</v>
      </c>
      <c r="Z432" s="77"/>
      <c r="AA432" s="77"/>
      <c r="AB432" s="77"/>
      <c r="AC432" s="77"/>
      <c r="AD432" s="77"/>
      <c r="AE432" s="62"/>
      <c r="AF432" s="63" t="b">
        <v>0</v>
      </c>
      <c r="AG432" s="63" t="b">
        <v>0</v>
      </c>
      <c r="AH432" s="62"/>
      <c r="AI432" s="64">
        <f t="shared" si="786"/>
        <v>53697</v>
      </c>
      <c r="AJ432" s="65" t="str">
        <f t="shared" si="1116"/>
        <v>CON</v>
      </c>
      <c r="AK432" s="66" t="str">
        <f t="shared" si="787"/>
        <v>HOLD</v>
      </c>
      <c r="AL432" s="67" t="e">
        <f t="shared" ca="1" si="788"/>
        <v>#NAME?</v>
      </c>
      <c r="AM432" s="68">
        <f t="shared" si="637"/>
        <v>3687</v>
      </c>
      <c r="AN432" s="69">
        <f t="shared" si="638"/>
        <v>6.8663053801888418E-2</v>
      </c>
      <c r="AO432" s="62"/>
      <c r="AP432" s="70">
        <f t="shared" ref="AP432:AT432" si="1306">H432/$AI432</f>
        <v>0.28873121403430357</v>
      </c>
      <c r="AQ432" s="70">
        <f t="shared" si="1306"/>
        <v>0.35739426783619199</v>
      </c>
      <c r="AR432" s="70">
        <f t="shared" si="1306"/>
        <v>0.1668994543456804</v>
      </c>
      <c r="AS432" s="70">
        <f t="shared" si="1306"/>
        <v>9.2910218447957993E-2</v>
      </c>
      <c r="AT432" s="70">
        <f t="shared" si="1306"/>
        <v>5.6613963536137957E-2</v>
      </c>
      <c r="AU432" s="70"/>
      <c r="AV432" s="70"/>
      <c r="AW432" s="81">
        <f t="shared" si="790"/>
        <v>3.7450881799728108E-2</v>
      </c>
      <c r="AX432" s="70">
        <f t="shared" ref="AX432:BG432" si="1307">O432/$AI432</f>
        <v>2.8977410283628508E-2</v>
      </c>
      <c r="AY432" s="70">
        <f t="shared" si="1307"/>
        <v>4.581261522990111E-3</v>
      </c>
      <c r="AZ432" s="70">
        <f t="shared" si="1307"/>
        <v>0</v>
      </c>
      <c r="BA432" s="70">
        <f t="shared" si="1307"/>
        <v>0</v>
      </c>
      <c r="BB432" s="70">
        <f t="shared" si="1307"/>
        <v>0</v>
      </c>
      <c r="BC432" s="70">
        <f t="shared" si="1307"/>
        <v>0</v>
      </c>
      <c r="BD432" s="70">
        <f t="shared" si="1307"/>
        <v>0</v>
      </c>
      <c r="BE432" s="70">
        <f t="shared" si="1307"/>
        <v>0</v>
      </c>
      <c r="BF432" s="70">
        <f t="shared" si="1307"/>
        <v>0</v>
      </c>
      <c r="BG432" s="70">
        <f t="shared" si="1307"/>
        <v>0</v>
      </c>
      <c r="BH432" s="70">
        <f t="shared" si="792"/>
        <v>3.8922099931094911E-3</v>
      </c>
      <c r="BI432" s="62"/>
      <c r="BJ432" s="69">
        <v>0.20799999999999999</v>
      </c>
      <c r="BK432" s="69">
        <v>0.63200000000000001</v>
      </c>
      <c r="BL432" s="69">
        <v>0</v>
      </c>
      <c r="BM432" s="69">
        <v>0.111</v>
      </c>
      <c r="BN432" s="69">
        <v>3.7999999999999999E-2</v>
      </c>
      <c r="BO432" s="69">
        <v>0</v>
      </c>
      <c r="BP432" s="69">
        <v>0</v>
      </c>
      <c r="BQ432" s="69">
        <v>1.0999999999999999E-2</v>
      </c>
      <c r="BR432" s="62"/>
      <c r="BS432" s="72">
        <f t="shared" ref="BS432:BW432" si="1308">AP432-BJ432</f>
        <v>8.0731214034303583E-2</v>
      </c>
      <c r="BT432" s="72">
        <f t="shared" si="1308"/>
        <v>-0.27460573216380801</v>
      </c>
      <c r="BU432" s="72">
        <f t="shared" si="1308"/>
        <v>0.1668994543456804</v>
      </c>
      <c r="BV432" s="72">
        <f t="shared" si="1308"/>
        <v>-1.8089781552042009E-2</v>
      </c>
      <c r="BW432" s="72">
        <f t="shared" si="1308"/>
        <v>1.8613963536137958E-2</v>
      </c>
      <c r="BX432" s="72"/>
      <c r="BY432" s="72"/>
      <c r="BZ432" s="72">
        <f t="shared" si="794"/>
        <v>2.6450881799728109E-2</v>
      </c>
    </row>
    <row r="433" spans="1:78" ht="13.15">
      <c r="A433" s="73" t="s">
        <v>6</v>
      </c>
      <c r="B433" s="74" t="s">
        <v>909</v>
      </c>
      <c r="C433" s="75" t="s">
        <v>910</v>
      </c>
      <c r="D433" s="75" t="s">
        <v>50</v>
      </c>
      <c r="E433" s="76"/>
      <c r="F433" s="59"/>
      <c r="G433" s="60"/>
      <c r="H433" s="77">
        <v>19840</v>
      </c>
      <c r="I433" s="77">
        <v>13339</v>
      </c>
      <c r="J433" s="77">
        <v>8995</v>
      </c>
      <c r="K433" s="77">
        <v>2972</v>
      </c>
      <c r="L433" s="77">
        <v>1574</v>
      </c>
      <c r="M433" s="77"/>
      <c r="N433" s="77"/>
      <c r="O433" s="77"/>
      <c r="P433" s="77"/>
      <c r="Q433" s="77"/>
      <c r="R433" s="77"/>
      <c r="S433" s="77"/>
      <c r="T433" s="77"/>
      <c r="U433" s="77"/>
      <c r="V433" s="77"/>
      <c r="W433" s="77"/>
      <c r="X433" s="77"/>
      <c r="Y433" s="77"/>
      <c r="Z433" s="77"/>
      <c r="AA433" s="77"/>
      <c r="AB433" s="77"/>
      <c r="AC433" s="77"/>
      <c r="AD433" s="77"/>
      <c r="AE433" s="62"/>
      <c r="AF433" s="63" t="b">
        <v>0</v>
      </c>
      <c r="AG433" s="63" t="b">
        <v>0</v>
      </c>
      <c r="AH433" s="62"/>
      <c r="AI433" s="64">
        <f t="shared" si="786"/>
        <v>46720</v>
      </c>
      <c r="AJ433" s="65" t="str">
        <f t="shared" si="1116"/>
        <v>LAB</v>
      </c>
      <c r="AK433" s="66" t="str">
        <f t="shared" si="787"/>
        <v>GAIN</v>
      </c>
      <c r="AL433" s="67" t="e">
        <f t="shared" ca="1" si="788"/>
        <v>#NAME?</v>
      </c>
      <c r="AM433" s="68">
        <f t="shared" si="637"/>
        <v>6501</v>
      </c>
      <c r="AN433" s="69">
        <f t="shared" si="638"/>
        <v>0.13914811643835612</v>
      </c>
      <c r="AO433" s="62"/>
      <c r="AP433" s="70">
        <f t="shared" ref="AP433:AT433" si="1309">H433/$AI433</f>
        <v>0.42465753424657532</v>
      </c>
      <c r="AQ433" s="70">
        <f t="shared" si="1309"/>
        <v>0.2855094178082192</v>
      </c>
      <c r="AR433" s="70">
        <f t="shared" si="1309"/>
        <v>0.19252996575342465</v>
      </c>
      <c r="AS433" s="70">
        <f t="shared" si="1309"/>
        <v>6.3613013698630136E-2</v>
      </c>
      <c r="AT433" s="70">
        <f t="shared" si="1309"/>
        <v>3.3690068493150684E-2</v>
      </c>
      <c r="AU433" s="70"/>
      <c r="AV433" s="70"/>
      <c r="AW433" s="81">
        <f t="shared" si="790"/>
        <v>0</v>
      </c>
      <c r="AX433" s="70">
        <f t="shared" ref="AX433:BG433" si="1310">O433/$AI433</f>
        <v>0</v>
      </c>
      <c r="AY433" s="70">
        <f t="shared" si="1310"/>
        <v>0</v>
      </c>
      <c r="AZ433" s="70">
        <f t="shared" si="1310"/>
        <v>0</v>
      </c>
      <c r="BA433" s="70">
        <f t="shared" si="1310"/>
        <v>0</v>
      </c>
      <c r="BB433" s="70">
        <f t="shared" si="1310"/>
        <v>0</v>
      </c>
      <c r="BC433" s="70">
        <f t="shared" si="1310"/>
        <v>0</v>
      </c>
      <c r="BD433" s="70">
        <f t="shared" si="1310"/>
        <v>0</v>
      </c>
      <c r="BE433" s="70">
        <f t="shared" si="1310"/>
        <v>0</v>
      </c>
      <c r="BF433" s="70">
        <f t="shared" si="1310"/>
        <v>0</v>
      </c>
      <c r="BG433" s="70">
        <f t="shared" si="1310"/>
        <v>0</v>
      </c>
      <c r="BH433" s="70">
        <f t="shared" si="792"/>
        <v>0</v>
      </c>
      <c r="BI433" s="62"/>
      <c r="BJ433" s="69">
        <v>0.36199999999999999</v>
      </c>
      <c r="BK433" s="69">
        <v>0.53500000000000003</v>
      </c>
      <c r="BL433" s="69">
        <v>0</v>
      </c>
      <c r="BM433" s="69">
        <v>7.6999999999999999E-2</v>
      </c>
      <c r="BN433" s="69">
        <v>2.5000000000000001E-2</v>
      </c>
      <c r="BO433" s="69">
        <v>0</v>
      </c>
      <c r="BP433" s="69">
        <v>0</v>
      </c>
      <c r="BQ433" s="69">
        <v>0</v>
      </c>
      <c r="BR433" s="62"/>
      <c r="BS433" s="72">
        <f t="shared" ref="BS433:BW433" si="1311">AP433-BJ433</f>
        <v>6.265753424657533E-2</v>
      </c>
      <c r="BT433" s="72">
        <f t="shared" si="1311"/>
        <v>-0.24949058219178083</v>
      </c>
      <c r="BU433" s="72">
        <f t="shared" si="1311"/>
        <v>0.19252996575342465</v>
      </c>
      <c r="BV433" s="72">
        <f t="shared" si="1311"/>
        <v>-1.3386986301369863E-2</v>
      </c>
      <c r="BW433" s="72">
        <f t="shared" si="1311"/>
        <v>8.6900684931506822E-3</v>
      </c>
      <c r="BX433" s="72"/>
      <c r="BY433" s="72"/>
      <c r="BZ433" s="72">
        <f t="shared" si="794"/>
        <v>0</v>
      </c>
    </row>
    <row r="434" spans="1:78" ht="13.15">
      <c r="A434" s="78" t="s">
        <v>5</v>
      </c>
      <c r="B434" s="74" t="s">
        <v>911</v>
      </c>
      <c r="C434" s="75" t="s">
        <v>912</v>
      </c>
      <c r="D434" s="75" t="s">
        <v>129</v>
      </c>
      <c r="E434" s="76"/>
      <c r="F434" s="59">
        <v>0.52800000000000002</v>
      </c>
      <c r="G434" s="60"/>
      <c r="H434" s="77">
        <v>15122</v>
      </c>
      <c r="I434" s="77">
        <v>4128</v>
      </c>
      <c r="J434" s="77">
        <v>8469</v>
      </c>
      <c r="K434" s="77">
        <v>1402</v>
      </c>
      <c r="L434" s="77">
        <v>5433</v>
      </c>
      <c r="M434" s="77"/>
      <c r="N434" s="77"/>
      <c r="O434" s="77">
        <v>2270</v>
      </c>
      <c r="P434" s="77"/>
      <c r="Q434" s="77"/>
      <c r="R434" s="77"/>
      <c r="S434" s="77"/>
      <c r="T434" s="77"/>
      <c r="U434" s="77"/>
      <c r="V434" s="77"/>
      <c r="W434" s="77"/>
      <c r="X434" s="77"/>
      <c r="Y434" s="77"/>
      <c r="Z434" s="77"/>
      <c r="AA434" s="77"/>
      <c r="AB434" s="77"/>
      <c r="AC434" s="77"/>
      <c r="AD434" s="77"/>
      <c r="AE434" s="62"/>
      <c r="AF434" s="63" t="b">
        <v>0</v>
      </c>
      <c r="AG434" s="63" t="b">
        <v>0</v>
      </c>
      <c r="AH434" s="62"/>
      <c r="AI434" s="64">
        <f t="shared" si="786"/>
        <v>36824</v>
      </c>
      <c r="AJ434" s="65" t="str">
        <f t="shared" si="1116"/>
        <v>LAB</v>
      </c>
      <c r="AK434" s="66" t="str">
        <f t="shared" si="787"/>
        <v>HOLD</v>
      </c>
      <c r="AL434" s="67" t="e">
        <f t="shared" ca="1" si="788"/>
        <v>#NAME?</v>
      </c>
      <c r="AM434" s="68">
        <f t="shared" si="637"/>
        <v>6653</v>
      </c>
      <c r="AN434" s="69">
        <f t="shared" si="638"/>
        <v>0.18067021507712364</v>
      </c>
      <c r="AO434" s="62"/>
      <c r="AP434" s="70">
        <f t="shared" ref="AP434:AT434" si="1312">H434/$AI434</f>
        <v>0.41065609385183577</v>
      </c>
      <c r="AQ434" s="70">
        <f t="shared" si="1312"/>
        <v>0.1121008038235933</v>
      </c>
      <c r="AR434" s="70">
        <f t="shared" si="1312"/>
        <v>0.22998587877471213</v>
      </c>
      <c r="AS434" s="70">
        <f t="shared" si="1312"/>
        <v>3.8072995872257223E-2</v>
      </c>
      <c r="AT434" s="70">
        <f t="shared" si="1312"/>
        <v>0.1475396480556159</v>
      </c>
      <c r="AU434" s="70"/>
      <c r="AV434" s="70"/>
      <c r="AW434" s="81">
        <f t="shared" si="790"/>
        <v>6.1644579621985662E-2</v>
      </c>
      <c r="AX434" s="70">
        <f t="shared" ref="AX434:BG434" si="1313">O434/$AI434</f>
        <v>6.1644579621985662E-2</v>
      </c>
      <c r="AY434" s="70">
        <f t="shared" si="1313"/>
        <v>0</v>
      </c>
      <c r="AZ434" s="70">
        <f t="shared" si="1313"/>
        <v>0</v>
      </c>
      <c r="BA434" s="70">
        <f t="shared" si="1313"/>
        <v>0</v>
      </c>
      <c r="BB434" s="70">
        <f t="shared" si="1313"/>
        <v>0</v>
      </c>
      <c r="BC434" s="70">
        <f t="shared" si="1313"/>
        <v>0</v>
      </c>
      <c r="BD434" s="70">
        <f t="shared" si="1313"/>
        <v>0</v>
      </c>
      <c r="BE434" s="70">
        <f t="shared" si="1313"/>
        <v>0</v>
      </c>
      <c r="BF434" s="70">
        <f t="shared" si="1313"/>
        <v>0</v>
      </c>
      <c r="BG434" s="70">
        <f t="shared" si="1313"/>
        <v>0</v>
      </c>
      <c r="BH434" s="70">
        <f t="shared" si="792"/>
        <v>0</v>
      </c>
      <c r="BI434" s="62"/>
      <c r="BJ434" s="69">
        <v>0.441</v>
      </c>
      <c r="BK434" s="69">
        <v>0.25800000000000001</v>
      </c>
      <c r="BL434" s="69">
        <v>0.14699999999999999</v>
      </c>
      <c r="BM434" s="69">
        <v>3.5999999999999997E-2</v>
      </c>
      <c r="BN434" s="69">
        <v>3.2000000000000001E-2</v>
      </c>
      <c r="BO434" s="69">
        <v>0</v>
      </c>
      <c r="BP434" s="69">
        <v>0</v>
      </c>
      <c r="BQ434" s="69">
        <v>8.6999999999999994E-2</v>
      </c>
      <c r="BR434" s="62"/>
      <c r="BS434" s="72">
        <f t="shared" ref="BS434:BW434" si="1314">AP434-BJ434</f>
        <v>-3.0343906148164235E-2</v>
      </c>
      <c r="BT434" s="72">
        <f t="shared" si="1314"/>
        <v>-0.1458991961764067</v>
      </c>
      <c r="BU434" s="72">
        <f t="shared" si="1314"/>
        <v>8.2985878774712141E-2</v>
      </c>
      <c r="BV434" s="72">
        <f t="shared" si="1314"/>
        <v>2.0729958722572259E-3</v>
      </c>
      <c r="BW434" s="72">
        <f t="shared" si="1314"/>
        <v>0.1155396480556159</v>
      </c>
      <c r="BX434" s="72"/>
      <c r="BY434" s="72"/>
      <c r="BZ434" s="72">
        <f t="shared" si="794"/>
        <v>-2.5355420378014332E-2</v>
      </c>
    </row>
    <row r="435" spans="1:78" ht="13.15">
      <c r="A435" s="73" t="s">
        <v>6</v>
      </c>
      <c r="B435" s="74" t="s">
        <v>913</v>
      </c>
      <c r="C435" s="75" t="s">
        <v>914</v>
      </c>
      <c r="D435" s="75" t="s">
        <v>47</v>
      </c>
      <c r="E435" s="76"/>
      <c r="F435" s="59"/>
      <c r="G435" s="60"/>
      <c r="H435" s="77">
        <v>6939</v>
      </c>
      <c r="I435" s="77">
        <v>17628</v>
      </c>
      <c r="J435" s="77">
        <v>9171</v>
      </c>
      <c r="K435" s="77">
        <v>16004</v>
      </c>
      <c r="L435" s="77">
        <v>1911</v>
      </c>
      <c r="M435" s="77"/>
      <c r="N435" s="77"/>
      <c r="O435" s="77"/>
      <c r="P435" s="77"/>
      <c r="Q435" s="77"/>
      <c r="R435" s="77"/>
      <c r="S435" s="77"/>
      <c r="T435" s="77"/>
      <c r="U435" s="77"/>
      <c r="V435" s="77"/>
      <c r="W435" s="77"/>
      <c r="X435" s="77"/>
      <c r="Y435" s="77"/>
      <c r="Z435" s="77"/>
      <c r="AA435" s="77"/>
      <c r="AB435" s="77"/>
      <c r="AC435" s="77"/>
      <c r="AD435" s="77"/>
      <c r="AE435" s="62"/>
      <c r="AF435" s="63" t="b">
        <v>0</v>
      </c>
      <c r="AG435" s="63" t="b">
        <v>0</v>
      </c>
      <c r="AH435" s="62"/>
      <c r="AI435" s="64">
        <f t="shared" si="786"/>
        <v>51653</v>
      </c>
      <c r="AJ435" s="65" t="str">
        <f t="shared" si="1116"/>
        <v>CON</v>
      </c>
      <c r="AK435" s="66" t="str">
        <f t="shared" si="787"/>
        <v>HOLD</v>
      </c>
      <c r="AL435" s="67" t="e">
        <f t="shared" ca="1" si="788"/>
        <v>#NAME?</v>
      </c>
      <c r="AM435" s="68">
        <f t="shared" si="637"/>
        <v>1624</v>
      </c>
      <c r="AN435" s="69">
        <f t="shared" si="638"/>
        <v>3.1440574603604776E-2</v>
      </c>
      <c r="AO435" s="62"/>
      <c r="AP435" s="70">
        <f t="shared" ref="AP435:AT435" si="1315">H435/$AI435</f>
        <v>0.134338760575378</v>
      </c>
      <c r="AQ435" s="70">
        <f t="shared" si="1315"/>
        <v>0.34127737014307008</v>
      </c>
      <c r="AR435" s="70">
        <f t="shared" si="1315"/>
        <v>0.17755019069560335</v>
      </c>
      <c r="AS435" s="70">
        <f t="shared" si="1315"/>
        <v>0.3098367955394653</v>
      </c>
      <c r="AT435" s="70">
        <f t="shared" si="1315"/>
        <v>3.6996883046483263E-2</v>
      </c>
      <c r="AU435" s="70"/>
      <c r="AV435" s="70"/>
      <c r="AW435" s="81">
        <f t="shared" si="790"/>
        <v>0</v>
      </c>
      <c r="AX435" s="70">
        <f t="shared" ref="AX435:BG435" si="1316">O435/$AI435</f>
        <v>0</v>
      </c>
      <c r="AY435" s="70">
        <f t="shared" si="1316"/>
        <v>0</v>
      </c>
      <c r="AZ435" s="70">
        <f t="shared" si="1316"/>
        <v>0</v>
      </c>
      <c r="BA435" s="70">
        <f t="shared" si="1316"/>
        <v>0</v>
      </c>
      <c r="BB435" s="70">
        <f t="shared" si="1316"/>
        <v>0</v>
      </c>
      <c r="BC435" s="70">
        <f t="shared" si="1316"/>
        <v>0</v>
      </c>
      <c r="BD435" s="70">
        <f t="shared" si="1316"/>
        <v>0</v>
      </c>
      <c r="BE435" s="70">
        <f t="shared" si="1316"/>
        <v>0</v>
      </c>
      <c r="BF435" s="70">
        <f t="shared" si="1316"/>
        <v>0</v>
      </c>
      <c r="BG435" s="70">
        <f t="shared" si="1316"/>
        <v>0</v>
      </c>
      <c r="BH435" s="70">
        <f t="shared" si="792"/>
        <v>0</v>
      </c>
      <c r="BI435" s="62"/>
      <c r="BJ435" s="69">
        <v>0.158</v>
      </c>
      <c r="BK435" s="69">
        <v>0.65400000000000003</v>
      </c>
      <c r="BL435" s="69">
        <v>0</v>
      </c>
      <c r="BM435" s="69">
        <v>0.154</v>
      </c>
      <c r="BN435" s="69">
        <v>3.5000000000000003E-2</v>
      </c>
      <c r="BO435" s="69">
        <v>0</v>
      </c>
      <c r="BP435" s="69">
        <v>0</v>
      </c>
      <c r="BQ435" s="69">
        <v>0</v>
      </c>
      <c r="BR435" s="62"/>
      <c r="BS435" s="72">
        <f t="shared" ref="BS435:BW435" si="1317">AP435-BJ435</f>
        <v>-2.3661239424622005E-2</v>
      </c>
      <c r="BT435" s="72">
        <f t="shared" si="1317"/>
        <v>-0.31272262985692995</v>
      </c>
      <c r="BU435" s="72">
        <f t="shared" si="1317"/>
        <v>0.17755019069560335</v>
      </c>
      <c r="BV435" s="72">
        <f t="shared" si="1317"/>
        <v>0.15583679553946531</v>
      </c>
      <c r="BW435" s="72">
        <f t="shared" si="1317"/>
        <v>1.9968830464832596E-3</v>
      </c>
      <c r="BX435" s="72"/>
      <c r="BY435" s="72"/>
      <c r="BZ435" s="72">
        <f t="shared" si="794"/>
        <v>0</v>
      </c>
    </row>
    <row r="436" spans="1:78" ht="13.15">
      <c r="A436" s="73" t="s">
        <v>6</v>
      </c>
      <c r="B436" s="74" t="s">
        <v>915</v>
      </c>
      <c r="C436" s="75" t="s">
        <v>916</v>
      </c>
      <c r="D436" s="75" t="s">
        <v>78</v>
      </c>
      <c r="E436" s="76"/>
      <c r="F436" s="59"/>
      <c r="G436" s="60"/>
      <c r="H436" s="77">
        <v>13035</v>
      </c>
      <c r="I436" s="77">
        <v>16082</v>
      </c>
      <c r="J436" s="77">
        <v>9252</v>
      </c>
      <c r="K436" s="77">
        <v>6424</v>
      </c>
      <c r="L436" s="77">
        <v>4008</v>
      </c>
      <c r="M436" s="77"/>
      <c r="N436" s="77"/>
      <c r="O436" s="77"/>
      <c r="P436" s="77"/>
      <c r="Q436" s="77"/>
      <c r="R436" s="77"/>
      <c r="S436" s="77"/>
      <c r="T436" s="77"/>
      <c r="U436" s="77"/>
      <c r="V436" s="77"/>
      <c r="W436" s="77"/>
      <c r="X436" s="77"/>
      <c r="Y436" s="77"/>
      <c r="Z436" s="77"/>
      <c r="AA436" s="77"/>
      <c r="AB436" s="77"/>
      <c r="AC436" s="77"/>
      <c r="AD436" s="77"/>
      <c r="AE436" s="62"/>
      <c r="AF436" s="63" t="b">
        <v>0</v>
      </c>
      <c r="AG436" s="63" t="b">
        <v>0</v>
      </c>
      <c r="AH436" s="62"/>
      <c r="AI436" s="64">
        <f t="shared" si="786"/>
        <v>48801</v>
      </c>
      <c r="AJ436" s="65" t="str">
        <f t="shared" si="1116"/>
        <v>CON</v>
      </c>
      <c r="AK436" s="66" t="str">
        <f t="shared" si="787"/>
        <v>HOLD</v>
      </c>
      <c r="AL436" s="67" t="e">
        <f t="shared" ca="1" si="788"/>
        <v>#NAME?</v>
      </c>
      <c r="AM436" s="68">
        <f t="shared" si="637"/>
        <v>3047</v>
      </c>
      <c r="AN436" s="69">
        <f t="shared" si="638"/>
        <v>6.2437245138419306E-2</v>
      </c>
      <c r="AO436" s="62"/>
      <c r="AP436" s="70">
        <f t="shared" ref="AP436:AT436" si="1318">H436/$AI436</f>
        <v>0.26710518227085511</v>
      </c>
      <c r="AQ436" s="70">
        <f t="shared" si="1318"/>
        <v>0.32954242740927442</v>
      </c>
      <c r="AR436" s="70">
        <f t="shared" si="1318"/>
        <v>0.18958627896969324</v>
      </c>
      <c r="AS436" s="70">
        <f t="shared" si="1318"/>
        <v>0.13163664679002479</v>
      </c>
      <c r="AT436" s="70">
        <f t="shared" si="1318"/>
        <v>8.2129464560152451E-2</v>
      </c>
      <c r="AU436" s="70"/>
      <c r="AV436" s="70"/>
      <c r="AW436" s="81">
        <f t="shared" si="790"/>
        <v>0</v>
      </c>
      <c r="AX436" s="70">
        <f t="shared" ref="AX436:BG436" si="1319">O436/$AI436</f>
        <v>0</v>
      </c>
      <c r="AY436" s="70">
        <f t="shared" si="1319"/>
        <v>0</v>
      </c>
      <c r="AZ436" s="70">
        <f t="shared" si="1319"/>
        <v>0</v>
      </c>
      <c r="BA436" s="70">
        <f t="shared" si="1319"/>
        <v>0</v>
      </c>
      <c r="BB436" s="70">
        <f t="shared" si="1319"/>
        <v>0</v>
      </c>
      <c r="BC436" s="70">
        <f t="shared" si="1319"/>
        <v>0</v>
      </c>
      <c r="BD436" s="70">
        <f t="shared" si="1319"/>
        <v>0</v>
      </c>
      <c r="BE436" s="70">
        <f t="shared" si="1319"/>
        <v>0</v>
      </c>
      <c r="BF436" s="70">
        <f t="shared" si="1319"/>
        <v>0</v>
      </c>
      <c r="BG436" s="70">
        <f t="shared" si="1319"/>
        <v>0</v>
      </c>
      <c r="BH436" s="70">
        <f t="shared" si="792"/>
        <v>0</v>
      </c>
      <c r="BI436" s="62"/>
      <c r="BJ436" s="69">
        <v>0.192</v>
      </c>
      <c r="BK436" s="69">
        <v>0.621</v>
      </c>
      <c r="BL436" s="69">
        <v>0</v>
      </c>
      <c r="BM436" s="69">
        <v>0.127</v>
      </c>
      <c r="BN436" s="69">
        <v>6.0999999999999999E-2</v>
      </c>
      <c r="BO436" s="69">
        <v>0</v>
      </c>
      <c r="BP436" s="69">
        <v>0</v>
      </c>
      <c r="BQ436" s="69">
        <v>0</v>
      </c>
      <c r="BR436" s="62"/>
      <c r="BS436" s="72">
        <f t="shared" ref="BS436:BW436" si="1320">AP436-BJ436</f>
        <v>7.5105182270855109E-2</v>
      </c>
      <c r="BT436" s="72">
        <f t="shared" si="1320"/>
        <v>-0.29145757259072558</v>
      </c>
      <c r="BU436" s="72">
        <f t="shared" si="1320"/>
        <v>0.18958627896969324</v>
      </c>
      <c r="BV436" s="72">
        <f t="shared" si="1320"/>
        <v>4.6366467900247899E-3</v>
      </c>
      <c r="BW436" s="72">
        <f t="shared" si="1320"/>
        <v>2.1129464560152453E-2</v>
      </c>
      <c r="BX436" s="72"/>
      <c r="BY436" s="72"/>
      <c r="BZ436" s="72">
        <f t="shared" si="794"/>
        <v>0</v>
      </c>
    </row>
    <row r="437" spans="1:78" ht="13.15">
      <c r="A437" s="73" t="s">
        <v>6</v>
      </c>
      <c r="B437" s="74" t="s">
        <v>917</v>
      </c>
      <c r="C437" s="75" t="s">
        <v>918</v>
      </c>
      <c r="D437" s="75" t="s">
        <v>85</v>
      </c>
      <c r="E437" s="76"/>
      <c r="F437" s="59"/>
      <c r="G437" s="60"/>
      <c r="H437" s="77">
        <v>15804</v>
      </c>
      <c r="I437" s="77">
        <v>17916</v>
      </c>
      <c r="J437" s="77">
        <v>9361</v>
      </c>
      <c r="K437" s="77">
        <v>5551</v>
      </c>
      <c r="L437" s="77">
        <v>2925</v>
      </c>
      <c r="M437" s="77"/>
      <c r="N437" s="77"/>
      <c r="O437" s="77">
        <v>438</v>
      </c>
      <c r="P437" s="77"/>
      <c r="Q437" s="77"/>
      <c r="R437" s="77"/>
      <c r="S437" s="77"/>
      <c r="T437" s="77"/>
      <c r="U437" s="77"/>
      <c r="V437" s="77"/>
      <c r="W437" s="77"/>
      <c r="X437" s="77"/>
      <c r="Y437" s="77">
        <v>141</v>
      </c>
      <c r="Z437" s="77">
        <v>106</v>
      </c>
      <c r="AA437" s="77"/>
      <c r="AB437" s="77"/>
      <c r="AC437" s="77"/>
      <c r="AD437" s="77"/>
      <c r="AE437" s="62"/>
      <c r="AF437" s="63" t="b">
        <v>0</v>
      </c>
      <c r="AG437" s="63" t="b">
        <v>0</v>
      </c>
      <c r="AH437" s="62"/>
      <c r="AI437" s="64">
        <f t="shared" si="786"/>
        <v>52242</v>
      </c>
      <c r="AJ437" s="65" t="str">
        <f t="shared" si="1116"/>
        <v>CON</v>
      </c>
      <c r="AK437" s="66" t="str">
        <f t="shared" si="787"/>
        <v>HOLD</v>
      </c>
      <c r="AL437" s="67" t="e">
        <f t="shared" ca="1" si="788"/>
        <v>#NAME?</v>
      </c>
      <c r="AM437" s="68">
        <f t="shared" si="637"/>
        <v>2112</v>
      </c>
      <c r="AN437" s="69">
        <f t="shared" si="638"/>
        <v>4.0427242448604572E-2</v>
      </c>
      <c r="AO437" s="62"/>
      <c r="AP437" s="70">
        <f t="shared" ref="AP437:AT437" si="1321">H437/$AI437</f>
        <v>0.3025152176409785</v>
      </c>
      <c r="AQ437" s="70">
        <f t="shared" si="1321"/>
        <v>0.34294246008958307</v>
      </c>
      <c r="AR437" s="70">
        <f t="shared" si="1321"/>
        <v>0.17918532981126298</v>
      </c>
      <c r="AS437" s="70">
        <f t="shared" si="1321"/>
        <v>0.10625550323494506</v>
      </c>
      <c r="AT437" s="70">
        <f t="shared" si="1321"/>
        <v>5.5989433788905481E-2</v>
      </c>
      <c r="AU437" s="70"/>
      <c r="AV437" s="70"/>
      <c r="AW437" s="81">
        <f t="shared" si="790"/>
        <v>1.311205543432481E-2</v>
      </c>
      <c r="AX437" s="70">
        <f t="shared" ref="AX437:BG437" si="1322">O437/$AI437</f>
        <v>8.3840588032617434E-3</v>
      </c>
      <c r="AY437" s="70">
        <f t="shared" si="1322"/>
        <v>0</v>
      </c>
      <c r="AZ437" s="70">
        <f t="shared" si="1322"/>
        <v>0</v>
      </c>
      <c r="BA437" s="70">
        <f t="shared" si="1322"/>
        <v>0</v>
      </c>
      <c r="BB437" s="70">
        <f t="shared" si="1322"/>
        <v>0</v>
      </c>
      <c r="BC437" s="70">
        <f t="shared" si="1322"/>
        <v>0</v>
      </c>
      <c r="BD437" s="70">
        <f t="shared" si="1322"/>
        <v>0</v>
      </c>
      <c r="BE437" s="70">
        <f t="shared" si="1322"/>
        <v>0</v>
      </c>
      <c r="BF437" s="70">
        <f t="shared" si="1322"/>
        <v>0</v>
      </c>
      <c r="BG437" s="70">
        <f t="shared" si="1322"/>
        <v>0</v>
      </c>
      <c r="BH437" s="70">
        <f t="shared" si="792"/>
        <v>4.7279966310630663E-3</v>
      </c>
      <c r="BI437" s="62"/>
      <c r="BJ437" s="69">
        <v>0.214</v>
      </c>
      <c r="BK437" s="69">
        <v>0.626</v>
      </c>
      <c r="BL437" s="69">
        <v>0</v>
      </c>
      <c r="BM437" s="69">
        <v>0.121</v>
      </c>
      <c r="BN437" s="69">
        <v>3.9E-2</v>
      </c>
      <c r="BO437" s="69">
        <v>0</v>
      </c>
      <c r="BP437" s="69">
        <v>0</v>
      </c>
      <c r="BQ437" s="69">
        <v>0</v>
      </c>
      <c r="BR437" s="62"/>
      <c r="BS437" s="72">
        <f t="shared" ref="BS437:BW437" si="1323">AP437-BJ437</f>
        <v>8.85152176409785E-2</v>
      </c>
      <c r="BT437" s="72">
        <f t="shared" si="1323"/>
        <v>-0.28305753991041693</v>
      </c>
      <c r="BU437" s="72">
        <f t="shared" si="1323"/>
        <v>0.17918532981126298</v>
      </c>
      <c r="BV437" s="72">
        <f t="shared" si="1323"/>
        <v>-1.4744496765054932E-2</v>
      </c>
      <c r="BW437" s="72">
        <f t="shared" si="1323"/>
        <v>1.6989433788905481E-2</v>
      </c>
      <c r="BX437" s="72"/>
      <c r="BY437" s="72"/>
      <c r="BZ437" s="72">
        <f t="shared" si="794"/>
        <v>1.311205543432481E-2</v>
      </c>
    </row>
    <row r="438" spans="1:78" ht="13.15">
      <c r="A438" s="73" t="s">
        <v>6</v>
      </c>
      <c r="B438" s="74" t="s">
        <v>919</v>
      </c>
      <c r="C438" s="75" t="s">
        <v>920</v>
      </c>
      <c r="D438" s="75" t="s">
        <v>78</v>
      </c>
      <c r="E438" s="76"/>
      <c r="F438" s="59"/>
      <c r="G438" s="60"/>
      <c r="H438" s="77">
        <v>9637</v>
      </c>
      <c r="I438" s="77">
        <v>16458</v>
      </c>
      <c r="J438" s="77">
        <v>6790</v>
      </c>
      <c r="K438" s="77">
        <v>12002</v>
      </c>
      <c r="L438" s="77">
        <v>2532</v>
      </c>
      <c r="M438" s="77"/>
      <c r="N438" s="77"/>
      <c r="O438" s="77"/>
      <c r="P438" s="77"/>
      <c r="Q438" s="77">
        <v>158</v>
      </c>
      <c r="R438" s="77"/>
      <c r="S438" s="77"/>
      <c r="T438" s="77"/>
      <c r="U438" s="77"/>
      <c r="V438" s="77"/>
      <c r="W438" s="77"/>
      <c r="X438" s="77"/>
      <c r="Y438" s="77">
        <v>295</v>
      </c>
      <c r="Z438" s="77">
        <v>232</v>
      </c>
      <c r="AA438" s="77">
        <v>150</v>
      </c>
      <c r="AB438" s="77"/>
      <c r="AC438" s="77"/>
      <c r="AD438" s="77"/>
      <c r="AE438" s="62"/>
      <c r="AF438" s="63" t="b">
        <v>0</v>
      </c>
      <c r="AG438" s="63" t="b">
        <v>0</v>
      </c>
      <c r="AH438" s="62"/>
      <c r="AI438" s="64">
        <f t="shared" si="786"/>
        <v>48254</v>
      </c>
      <c r="AJ438" s="65" t="str">
        <f t="shared" si="1116"/>
        <v>CON</v>
      </c>
      <c r="AK438" s="66" t="str">
        <f t="shared" si="787"/>
        <v>HOLD</v>
      </c>
      <c r="AL438" s="67" t="e">
        <f t="shared" ca="1" si="788"/>
        <v>#NAME?</v>
      </c>
      <c r="AM438" s="68">
        <f t="shared" si="637"/>
        <v>4456</v>
      </c>
      <c r="AN438" s="69">
        <f t="shared" si="638"/>
        <v>9.2344676089028882E-2</v>
      </c>
      <c r="AO438" s="62"/>
      <c r="AP438" s="70">
        <f t="shared" ref="AP438:AT438" si="1324">H438/$AI438</f>
        <v>0.19971401334604386</v>
      </c>
      <c r="AQ438" s="70">
        <f t="shared" si="1324"/>
        <v>0.34107017034857212</v>
      </c>
      <c r="AR438" s="70">
        <f t="shared" si="1324"/>
        <v>0.14071372321465578</v>
      </c>
      <c r="AS438" s="70">
        <f t="shared" si="1324"/>
        <v>0.24872549425954324</v>
      </c>
      <c r="AT438" s="70">
        <f t="shared" si="1324"/>
        <v>5.247233389978033E-2</v>
      </c>
      <c r="AU438" s="70"/>
      <c r="AV438" s="70"/>
      <c r="AW438" s="81">
        <f t="shared" si="790"/>
        <v>1.7304264931404578E-2</v>
      </c>
      <c r="AX438" s="70">
        <f t="shared" ref="AX438:BG438" si="1325">O438/$AI438</f>
        <v>0</v>
      </c>
      <c r="AY438" s="70">
        <f t="shared" si="1325"/>
        <v>0</v>
      </c>
      <c r="AZ438" s="70">
        <f t="shared" si="1325"/>
        <v>3.2743399510921376E-3</v>
      </c>
      <c r="BA438" s="70">
        <f t="shared" si="1325"/>
        <v>0</v>
      </c>
      <c r="BB438" s="70">
        <f t="shared" si="1325"/>
        <v>0</v>
      </c>
      <c r="BC438" s="70">
        <f t="shared" si="1325"/>
        <v>0</v>
      </c>
      <c r="BD438" s="70">
        <f t="shared" si="1325"/>
        <v>0</v>
      </c>
      <c r="BE438" s="70">
        <f t="shared" si="1325"/>
        <v>0</v>
      </c>
      <c r="BF438" s="70">
        <f t="shared" si="1325"/>
        <v>0</v>
      </c>
      <c r="BG438" s="70">
        <f t="shared" si="1325"/>
        <v>0</v>
      </c>
      <c r="BH438" s="70">
        <f t="shared" si="792"/>
        <v>1.4029924980312442E-2</v>
      </c>
      <c r="BI438" s="62"/>
      <c r="BJ438" s="69">
        <v>0.161</v>
      </c>
      <c r="BK438" s="69">
        <v>0.52200000000000002</v>
      </c>
      <c r="BL438" s="69">
        <v>0</v>
      </c>
      <c r="BM438" s="69">
        <v>0.127</v>
      </c>
      <c r="BN438" s="69">
        <v>1.4999999999999999E-2</v>
      </c>
      <c r="BO438" s="69">
        <v>0</v>
      </c>
      <c r="BP438" s="69">
        <v>0</v>
      </c>
      <c r="BQ438" s="69">
        <v>0.17499999999999999</v>
      </c>
      <c r="BR438" s="62"/>
      <c r="BS438" s="72">
        <f t="shared" ref="BS438:BW438" si="1326">AP438-BJ438</f>
        <v>3.8714013346043852E-2</v>
      </c>
      <c r="BT438" s="72">
        <f t="shared" si="1326"/>
        <v>-0.1809298296514279</v>
      </c>
      <c r="BU438" s="72">
        <f t="shared" si="1326"/>
        <v>0.14071372321465578</v>
      </c>
      <c r="BV438" s="72">
        <f t="shared" si="1326"/>
        <v>0.12172549425954324</v>
      </c>
      <c r="BW438" s="72">
        <f t="shared" si="1326"/>
        <v>3.747233389978033E-2</v>
      </c>
      <c r="BX438" s="72"/>
      <c r="BY438" s="72"/>
      <c r="BZ438" s="72">
        <f t="shared" si="794"/>
        <v>-0.15769573506859541</v>
      </c>
    </row>
    <row r="439" spans="1:78" ht="13.15">
      <c r="A439" s="73" t="s">
        <v>6</v>
      </c>
      <c r="B439" s="74" t="s">
        <v>921</v>
      </c>
      <c r="C439" s="75" t="s">
        <v>922</v>
      </c>
      <c r="D439" s="75" t="s">
        <v>78</v>
      </c>
      <c r="E439" s="76"/>
      <c r="F439" s="59"/>
      <c r="G439" s="60"/>
      <c r="H439" s="77">
        <v>11847</v>
      </c>
      <c r="I439" s="77">
        <v>11217</v>
      </c>
      <c r="J439" s="77">
        <v>9958</v>
      </c>
      <c r="K439" s="77">
        <v>2618</v>
      </c>
      <c r="L439" s="77">
        <v>1838</v>
      </c>
      <c r="M439" s="77"/>
      <c r="N439" s="77"/>
      <c r="O439" s="77">
        <v>6282</v>
      </c>
      <c r="P439" s="77"/>
      <c r="Q439" s="77"/>
      <c r="R439" s="77"/>
      <c r="S439" s="77"/>
      <c r="T439" s="77"/>
      <c r="U439" s="77"/>
      <c r="V439" s="77"/>
      <c r="W439" s="77"/>
      <c r="X439" s="77"/>
      <c r="Y439" s="77">
        <v>160</v>
      </c>
      <c r="Z439" s="77">
        <v>77</v>
      </c>
      <c r="AA439" s="77">
        <v>338</v>
      </c>
      <c r="AB439" s="77"/>
      <c r="AC439" s="77"/>
      <c r="AD439" s="77"/>
      <c r="AE439" s="62"/>
      <c r="AF439" s="63" t="b">
        <v>0</v>
      </c>
      <c r="AG439" s="63" t="b">
        <v>0</v>
      </c>
      <c r="AH439" s="62"/>
      <c r="AI439" s="64">
        <f t="shared" si="786"/>
        <v>44335</v>
      </c>
      <c r="AJ439" s="65" t="str">
        <f t="shared" si="1116"/>
        <v>LAB</v>
      </c>
      <c r="AK439" s="66" t="str">
        <f t="shared" si="787"/>
        <v>GAIN</v>
      </c>
      <c r="AL439" s="67" t="e">
        <f t="shared" ca="1" si="788"/>
        <v>#NAME?</v>
      </c>
      <c r="AM439" s="68">
        <f t="shared" si="637"/>
        <v>630</v>
      </c>
      <c r="AN439" s="69">
        <f t="shared" si="638"/>
        <v>1.4209992105559954E-2</v>
      </c>
      <c r="AO439" s="62"/>
      <c r="AP439" s="70">
        <f t="shared" ref="AP439:AT439" si="1327">H439/$AI439</f>
        <v>0.26721551821360101</v>
      </c>
      <c r="AQ439" s="70">
        <f t="shared" si="1327"/>
        <v>0.25300552610804106</v>
      </c>
      <c r="AR439" s="70">
        <f t="shared" si="1327"/>
        <v>0.22460809743994586</v>
      </c>
      <c r="AS439" s="70">
        <f t="shared" si="1327"/>
        <v>5.9050411638660198E-2</v>
      </c>
      <c r="AT439" s="70">
        <f t="shared" si="1327"/>
        <v>4.1457088079395514E-2</v>
      </c>
      <c r="AU439" s="70"/>
      <c r="AV439" s="70"/>
      <c r="AW439" s="81">
        <f t="shared" si="790"/>
        <v>0.15466335852035629</v>
      </c>
      <c r="AX439" s="70">
        <f t="shared" ref="AX439:BG439" si="1328">O439/$AI439</f>
        <v>0.14169392128115485</v>
      </c>
      <c r="AY439" s="70">
        <f t="shared" si="1328"/>
        <v>0</v>
      </c>
      <c r="AZ439" s="70">
        <f t="shared" si="1328"/>
        <v>0</v>
      </c>
      <c r="BA439" s="70">
        <f t="shared" si="1328"/>
        <v>0</v>
      </c>
      <c r="BB439" s="70">
        <f t="shared" si="1328"/>
        <v>0</v>
      </c>
      <c r="BC439" s="70">
        <f t="shared" si="1328"/>
        <v>0</v>
      </c>
      <c r="BD439" s="70">
        <f t="shared" si="1328"/>
        <v>0</v>
      </c>
      <c r="BE439" s="70">
        <f t="shared" si="1328"/>
        <v>0</v>
      </c>
      <c r="BF439" s="70">
        <f t="shared" si="1328"/>
        <v>0</v>
      </c>
      <c r="BG439" s="70">
        <f t="shared" si="1328"/>
        <v>0</v>
      </c>
      <c r="BH439" s="70">
        <f t="shared" si="792"/>
        <v>1.2969437239201437E-2</v>
      </c>
      <c r="BI439" s="62"/>
      <c r="BJ439" s="69">
        <v>0.183</v>
      </c>
      <c r="BK439" s="69">
        <v>0.68700000000000006</v>
      </c>
      <c r="BL439" s="69">
        <v>0</v>
      </c>
      <c r="BM439" s="69">
        <v>8.3000000000000004E-2</v>
      </c>
      <c r="BN439" s="69">
        <v>0.03</v>
      </c>
      <c r="BO439" s="69">
        <v>0</v>
      </c>
      <c r="BP439" s="69">
        <v>0</v>
      </c>
      <c r="BQ439" s="69">
        <v>1.7000000000000001E-2</v>
      </c>
      <c r="BR439" s="62"/>
      <c r="BS439" s="72">
        <f t="shared" ref="BS439:BW439" si="1329">AP439-BJ439</f>
        <v>8.4215518213601015E-2</v>
      </c>
      <c r="BT439" s="72">
        <f t="shared" si="1329"/>
        <v>-0.433994473891959</v>
      </c>
      <c r="BU439" s="72">
        <f t="shared" si="1329"/>
        <v>0.22460809743994586</v>
      </c>
      <c r="BV439" s="72">
        <f t="shared" si="1329"/>
        <v>-2.3949588361339806E-2</v>
      </c>
      <c r="BW439" s="72">
        <f t="shared" si="1329"/>
        <v>1.1457088079395515E-2</v>
      </c>
      <c r="BX439" s="72"/>
      <c r="BY439" s="72"/>
      <c r="BZ439" s="72">
        <f t="shared" si="794"/>
        <v>0.13766335852035627</v>
      </c>
    </row>
    <row r="440" spans="1:78" ht="13.15">
      <c r="A440" s="73" t="s">
        <v>6</v>
      </c>
      <c r="B440" s="74" t="s">
        <v>923</v>
      </c>
      <c r="C440" s="75" t="s">
        <v>924</v>
      </c>
      <c r="D440" s="75" t="s">
        <v>85</v>
      </c>
      <c r="E440" s="76"/>
      <c r="F440" s="59"/>
      <c r="G440" s="60"/>
      <c r="H440" s="77">
        <v>12374</v>
      </c>
      <c r="I440" s="77">
        <v>15617</v>
      </c>
      <c r="J440" s="77">
        <v>7840</v>
      </c>
      <c r="K440" s="77">
        <v>7205</v>
      </c>
      <c r="L440" s="77">
        <v>2243</v>
      </c>
      <c r="M440" s="77"/>
      <c r="N440" s="77"/>
      <c r="O440" s="77">
        <v>448</v>
      </c>
      <c r="P440" s="77"/>
      <c r="Q440" s="77"/>
      <c r="R440" s="77"/>
      <c r="S440" s="77"/>
      <c r="T440" s="77"/>
      <c r="U440" s="77"/>
      <c r="V440" s="77"/>
      <c r="W440" s="77"/>
      <c r="X440" s="77"/>
      <c r="Y440" s="77">
        <v>441</v>
      </c>
      <c r="Z440" s="77"/>
      <c r="AA440" s="77"/>
      <c r="AB440" s="77"/>
      <c r="AC440" s="77"/>
      <c r="AD440" s="77"/>
      <c r="AE440" s="62"/>
      <c r="AF440" s="63" t="b">
        <v>0</v>
      </c>
      <c r="AG440" s="63" t="b">
        <v>0</v>
      </c>
      <c r="AH440" s="62"/>
      <c r="AI440" s="64">
        <f t="shared" si="786"/>
        <v>46168</v>
      </c>
      <c r="AJ440" s="65" t="str">
        <f t="shared" si="1116"/>
        <v>CON</v>
      </c>
      <c r="AK440" s="66" t="str">
        <f t="shared" si="787"/>
        <v>HOLD</v>
      </c>
      <c r="AL440" s="67" t="e">
        <f t="shared" ca="1" si="788"/>
        <v>#NAME?</v>
      </c>
      <c r="AM440" s="68">
        <f t="shared" si="637"/>
        <v>3243</v>
      </c>
      <c r="AN440" s="69">
        <f t="shared" si="638"/>
        <v>7.0243458672673731E-2</v>
      </c>
      <c r="AO440" s="62"/>
      <c r="AP440" s="70">
        <f t="shared" ref="AP440:AT440" si="1330">H440/$AI440</f>
        <v>0.26802114018367701</v>
      </c>
      <c r="AQ440" s="70">
        <f t="shared" si="1330"/>
        <v>0.33826459885635074</v>
      </c>
      <c r="AR440" s="70">
        <f t="shared" si="1330"/>
        <v>0.16981459019234102</v>
      </c>
      <c r="AS440" s="70">
        <f t="shared" si="1330"/>
        <v>0.15606047478773177</v>
      </c>
      <c r="AT440" s="70">
        <f t="shared" si="1330"/>
        <v>4.8583434413446543E-2</v>
      </c>
      <c r="AU440" s="70"/>
      <c r="AV440" s="70"/>
      <c r="AW440" s="81">
        <f t="shared" si="790"/>
        <v>1.9255761566452811E-2</v>
      </c>
      <c r="AX440" s="70">
        <f t="shared" ref="AX440:BG440" si="1331">O440/$AI440</f>
        <v>9.7036908681337724E-3</v>
      </c>
      <c r="AY440" s="70">
        <f t="shared" si="1331"/>
        <v>0</v>
      </c>
      <c r="AZ440" s="70">
        <f t="shared" si="1331"/>
        <v>0</v>
      </c>
      <c r="BA440" s="70">
        <f t="shared" si="1331"/>
        <v>0</v>
      </c>
      <c r="BB440" s="70">
        <f t="shared" si="1331"/>
        <v>0</v>
      </c>
      <c r="BC440" s="70">
        <f t="shared" si="1331"/>
        <v>0</v>
      </c>
      <c r="BD440" s="70">
        <f t="shared" si="1331"/>
        <v>0</v>
      </c>
      <c r="BE440" s="70">
        <f t="shared" si="1331"/>
        <v>0</v>
      </c>
      <c r="BF440" s="70">
        <f t="shared" si="1331"/>
        <v>0</v>
      </c>
      <c r="BG440" s="70">
        <f t="shared" si="1331"/>
        <v>0</v>
      </c>
      <c r="BH440" s="70">
        <f t="shared" si="792"/>
        <v>9.5520706983190391E-3</v>
      </c>
      <c r="BI440" s="62"/>
      <c r="BJ440" s="69">
        <v>0.215</v>
      </c>
      <c r="BK440" s="69">
        <v>0.58299999999999996</v>
      </c>
      <c r="BL440" s="69">
        <v>0</v>
      </c>
      <c r="BM440" s="69">
        <v>0.16500000000000001</v>
      </c>
      <c r="BN440" s="69">
        <v>3.6999999999999998E-2</v>
      </c>
      <c r="BO440" s="69">
        <v>0</v>
      </c>
      <c r="BP440" s="69">
        <v>0</v>
      </c>
      <c r="BQ440" s="69">
        <v>0</v>
      </c>
      <c r="BR440" s="62"/>
      <c r="BS440" s="72">
        <f t="shared" ref="BS440:BW440" si="1332">AP440-BJ440</f>
        <v>5.3021140183677012E-2</v>
      </c>
      <c r="BT440" s="72">
        <f t="shared" si="1332"/>
        <v>-0.24473540114364922</v>
      </c>
      <c r="BU440" s="72">
        <f t="shared" si="1332"/>
        <v>0.16981459019234102</v>
      </c>
      <c r="BV440" s="72">
        <f t="shared" si="1332"/>
        <v>-8.9395252122682345E-3</v>
      </c>
      <c r="BW440" s="72">
        <f t="shared" si="1332"/>
        <v>1.1583434413446544E-2</v>
      </c>
      <c r="BX440" s="72"/>
      <c r="BY440" s="72"/>
      <c r="BZ440" s="72">
        <f t="shared" si="794"/>
        <v>1.9255761566452811E-2</v>
      </c>
    </row>
    <row r="441" spans="1:78" ht="13.15">
      <c r="A441" s="73" t="s">
        <v>6</v>
      </c>
      <c r="B441" s="74" t="s">
        <v>925</v>
      </c>
      <c r="C441" s="75" t="s">
        <v>926</v>
      </c>
      <c r="D441" s="75" t="s">
        <v>44</v>
      </c>
      <c r="E441" s="76"/>
      <c r="F441" s="59"/>
      <c r="G441" s="60"/>
      <c r="H441" s="77">
        <v>15782</v>
      </c>
      <c r="I441" s="77">
        <v>8677</v>
      </c>
      <c r="J441" s="77">
        <v>6853</v>
      </c>
      <c r="K441" s="77">
        <v>2684</v>
      </c>
      <c r="L441" s="77">
        <v>2793</v>
      </c>
      <c r="M441" s="77"/>
      <c r="N441" s="77"/>
      <c r="O441" s="77"/>
      <c r="P441" s="77"/>
      <c r="Q441" s="77"/>
      <c r="R441" s="77"/>
      <c r="S441" s="77"/>
      <c r="T441" s="77"/>
      <c r="U441" s="77"/>
      <c r="V441" s="77"/>
      <c r="W441" s="77"/>
      <c r="X441" s="77"/>
      <c r="Y441" s="77">
        <v>264</v>
      </c>
      <c r="Z441" s="77"/>
      <c r="AA441" s="77"/>
      <c r="AB441" s="77"/>
      <c r="AC441" s="77"/>
      <c r="AD441" s="77"/>
      <c r="AE441" s="62"/>
      <c r="AF441" s="63" t="b">
        <v>0</v>
      </c>
      <c r="AG441" s="63" t="b">
        <v>0</v>
      </c>
      <c r="AH441" s="62"/>
      <c r="AI441" s="64">
        <f t="shared" si="786"/>
        <v>37053</v>
      </c>
      <c r="AJ441" s="65" t="str">
        <f t="shared" si="1116"/>
        <v>LAB</v>
      </c>
      <c r="AK441" s="66" t="str">
        <f t="shared" si="787"/>
        <v>GAIN</v>
      </c>
      <c r="AL441" s="67" t="e">
        <f t="shared" ca="1" si="788"/>
        <v>#NAME?</v>
      </c>
      <c r="AM441" s="68">
        <f t="shared" si="637"/>
        <v>7105</v>
      </c>
      <c r="AN441" s="69">
        <f t="shared" si="638"/>
        <v>0.19175235473510918</v>
      </c>
      <c r="AO441" s="62"/>
      <c r="AP441" s="70">
        <f t="shared" ref="AP441:AT441" si="1333">H441/$AI441</f>
        <v>0.4259304239872615</v>
      </c>
      <c r="AQ441" s="70">
        <f t="shared" si="1333"/>
        <v>0.23417806925215232</v>
      </c>
      <c r="AR441" s="70">
        <f t="shared" si="1333"/>
        <v>0.18495128599573585</v>
      </c>
      <c r="AS441" s="70">
        <f t="shared" si="1333"/>
        <v>7.2436779747928642E-2</v>
      </c>
      <c r="AT441" s="70">
        <f t="shared" si="1333"/>
        <v>7.5378511861387748E-2</v>
      </c>
      <c r="AU441" s="70"/>
      <c r="AV441" s="70"/>
      <c r="AW441" s="81">
        <f t="shared" si="790"/>
        <v>7.1249291555339767E-3</v>
      </c>
      <c r="AX441" s="70">
        <f t="shared" ref="AX441:BG441" si="1334">O441/$AI441</f>
        <v>0</v>
      </c>
      <c r="AY441" s="70">
        <f t="shared" si="1334"/>
        <v>0</v>
      </c>
      <c r="AZ441" s="70">
        <f t="shared" si="1334"/>
        <v>0</v>
      </c>
      <c r="BA441" s="70">
        <f t="shared" si="1334"/>
        <v>0</v>
      </c>
      <c r="BB441" s="70">
        <f t="shared" si="1334"/>
        <v>0</v>
      </c>
      <c r="BC441" s="70">
        <f t="shared" si="1334"/>
        <v>0</v>
      </c>
      <c r="BD441" s="70">
        <f t="shared" si="1334"/>
        <v>0</v>
      </c>
      <c r="BE441" s="70">
        <f t="shared" si="1334"/>
        <v>0</v>
      </c>
      <c r="BF441" s="70">
        <f t="shared" si="1334"/>
        <v>0</v>
      </c>
      <c r="BG441" s="70">
        <f t="shared" si="1334"/>
        <v>0</v>
      </c>
      <c r="BH441" s="70">
        <f t="shared" si="792"/>
        <v>7.1249291555339767E-3</v>
      </c>
      <c r="BI441" s="62"/>
      <c r="BJ441" s="69">
        <v>0.41</v>
      </c>
      <c r="BK441" s="69">
        <v>0.505</v>
      </c>
      <c r="BL441" s="69">
        <v>0</v>
      </c>
      <c r="BM441" s="69">
        <v>5.2999999999999999E-2</v>
      </c>
      <c r="BN441" s="69">
        <v>2.1999999999999999E-2</v>
      </c>
      <c r="BO441" s="69">
        <v>0</v>
      </c>
      <c r="BP441" s="69">
        <v>0</v>
      </c>
      <c r="BQ441" s="69">
        <v>0.01</v>
      </c>
      <c r="BR441" s="62"/>
      <c r="BS441" s="72">
        <f t="shared" ref="BS441:BW441" si="1335">AP441-BJ441</f>
        <v>1.5930423987261522E-2</v>
      </c>
      <c r="BT441" s="72">
        <f t="shared" si="1335"/>
        <v>-0.27082193074784766</v>
      </c>
      <c r="BU441" s="72">
        <f t="shared" si="1335"/>
        <v>0.18495128599573585</v>
      </c>
      <c r="BV441" s="72">
        <f t="shared" si="1335"/>
        <v>1.9436779747928644E-2</v>
      </c>
      <c r="BW441" s="72">
        <f t="shared" si="1335"/>
        <v>5.3378511861387749E-2</v>
      </c>
      <c r="BX441" s="72"/>
      <c r="BY441" s="72"/>
      <c r="BZ441" s="72">
        <f t="shared" si="794"/>
        <v>-2.8750708444660236E-3</v>
      </c>
    </row>
    <row r="442" spans="1:78" ht="13.15">
      <c r="A442" s="78" t="s">
        <v>5</v>
      </c>
      <c r="B442" s="74" t="s">
        <v>927</v>
      </c>
      <c r="C442" s="75" t="s">
        <v>928</v>
      </c>
      <c r="D442" s="75" t="s">
        <v>44</v>
      </c>
      <c r="E442" s="76"/>
      <c r="F442" s="59"/>
      <c r="G442" s="60"/>
      <c r="H442" s="77">
        <v>15945</v>
      </c>
      <c r="I442" s="77">
        <v>6612</v>
      </c>
      <c r="J442" s="77">
        <v>5261</v>
      </c>
      <c r="K442" s="77">
        <v>3252</v>
      </c>
      <c r="L442" s="77">
        <v>3594</v>
      </c>
      <c r="M442" s="77"/>
      <c r="N442" s="77"/>
      <c r="O442" s="77"/>
      <c r="P442" s="77">
        <v>775</v>
      </c>
      <c r="Q442" s="77"/>
      <c r="R442" s="77"/>
      <c r="S442" s="77"/>
      <c r="T442" s="77"/>
      <c r="U442" s="77"/>
      <c r="V442" s="77"/>
      <c r="W442" s="77"/>
      <c r="X442" s="77"/>
      <c r="Y442" s="77">
        <v>336</v>
      </c>
      <c r="Z442" s="77"/>
      <c r="AA442" s="77"/>
      <c r="AB442" s="77"/>
      <c r="AC442" s="77"/>
      <c r="AD442" s="77"/>
      <c r="AE442" s="62"/>
      <c r="AF442" s="63" t="b">
        <v>0</v>
      </c>
      <c r="AG442" s="63" t="b">
        <v>0</v>
      </c>
      <c r="AH442" s="62"/>
      <c r="AI442" s="64">
        <f t="shared" si="786"/>
        <v>35775</v>
      </c>
      <c r="AJ442" s="65" t="str">
        <f t="shared" si="1116"/>
        <v>LAB</v>
      </c>
      <c r="AK442" s="66" t="str">
        <f t="shared" si="787"/>
        <v>HOLD</v>
      </c>
      <c r="AL442" s="67" t="e">
        <f t="shared" ca="1" si="788"/>
        <v>#NAME?</v>
      </c>
      <c r="AM442" s="68">
        <f t="shared" si="637"/>
        <v>9333</v>
      </c>
      <c r="AN442" s="69">
        <f t="shared" si="638"/>
        <v>0.26088050314465405</v>
      </c>
      <c r="AO442" s="62"/>
      <c r="AP442" s="70">
        <f t="shared" ref="AP442:AT442" si="1336">H442/$AI442</f>
        <v>0.44570230607966455</v>
      </c>
      <c r="AQ442" s="70">
        <f t="shared" si="1336"/>
        <v>0.18482180293501049</v>
      </c>
      <c r="AR442" s="70">
        <f t="shared" si="1336"/>
        <v>0.14705800139762404</v>
      </c>
      <c r="AS442" s="70">
        <f t="shared" si="1336"/>
        <v>9.0901467505241085E-2</v>
      </c>
      <c r="AT442" s="70">
        <f t="shared" si="1336"/>
        <v>0.10046121593291404</v>
      </c>
      <c r="AU442" s="70"/>
      <c r="AV442" s="70"/>
      <c r="AW442" s="81">
        <f t="shared" si="790"/>
        <v>3.1055206149545822E-2</v>
      </c>
      <c r="AX442" s="70">
        <f t="shared" ref="AX442:BG442" si="1337">O442/$AI442</f>
        <v>0</v>
      </c>
      <c r="AY442" s="70">
        <f t="shared" si="1337"/>
        <v>2.1663172606568831E-2</v>
      </c>
      <c r="AZ442" s="70">
        <f t="shared" si="1337"/>
        <v>0</v>
      </c>
      <c r="BA442" s="70">
        <f t="shared" si="1337"/>
        <v>0</v>
      </c>
      <c r="BB442" s="70">
        <f t="shared" si="1337"/>
        <v>0</v>
      </c>
      <c r="BC442" s="70">
        <f t="shared" si="1337"/>
        <v>0</v>
      </c>
      <c r="BD442" s="70">
        <f t="shared" si="1337"/>
        <v>0</v>
      </c>
      <c r="BE442" s="70">
        <f t="shared" si="1337"/>
        <v>0</v>
      </c>
      <c r="BF442" s="70">
        <f t="shared" si="1337"/>
        <v>0</v>
      </c>
      <c r="BG442" s="70">
        <f t="shared" si="1337"/>
        <v>0</v>
      </c>
      <c r="BH442" s="70">
        <f t="shared" si="792"/>
        <v>9.3920335429769908E-3</v>
      </c>
      <c r="BI442" s="62"/>
      <c r="BJ442" s="69">
        <v>0.495</v>
      </c>
      <c r="BK442" s="69">
        <v>0.35699999999999998</v>
      </c>
      <c r="BL442" s="69">
        <v>3.5000000000000003E-2</v>
      </c>
      <c r="BM442" s="69">
        <v>7.6999999999999999E-2</v>
      </c>
      <c r="BN442" s="69">
        <v>3.2000000000000001E-2</v>
      </c>
      <c r="BO442" s="69">
        <v>0</v>
      </c>
      <c r="BP442" s="69">
        <v>0</v>
      </c>
      <c r="BQ442" s="69">
        <v>5.0000000000000001E-3</v>
      </c>
      <c r="BR442" s="62"/>
      <c r="BS442" s="72">
        <f t="shared" ref="BS442:BW442" si="1338">AP442-BJ442</f>
        <v>-4.929769392033545E-2</v>
      </c>
      <c r="BT442" s="72">
        <f t="shared" si="1338"/>
        <v>-0.17217819706498949</v>
      </c>
      <c r="BU442" s="72">
        <f t="shared" si="1338"/>
        <v>0.11205800139762404</v>
      </c>
      <c r="BV442" s="72">
        <f t="shared" si="1338"/>
        <v>1.3901467505241086E-2</v>
      </c>
      <c r="BW442" s="72">
        <f t="shared" si="1338"/>
        <v>6.8461215932914044E-2</v>
      </c>
      <c r="BX442" s="72"/>
      <c r="BY442" s="72"/>
      <c r="BZ442" s="72">
        <f t="shared" si="794"/>
        <v>2.6055206149545821E-2</v>
      </c>
    </row>
    <row r="443" spans="1:78" ht="13.15">
      <c r="A443" s="73" t="s">
        <v>6</v>
      </c>
      <c r="B443" s="74" t="s">
        <v>929</v>
      </c>
      <c r="C443" s="75" t="s">
        <v>930</v>
      </c>
      <c r="D443" s="75" t="s">
        <v>78</v>
      </c>
      <c r="E443" s="76"/>
      <c r="F443" s="59"/>
      <c r="G443" s="60"/>
      <c r="H443" s="77">
        <v>15395</v>
      </c>
      <c r="I443" s="77">
        <v>11316</v>
      </c>
      <c r="J443" s="77">
        <v>7214</v>
      </c>
      <c r="K443" s="77">
        <v>2269</v>
      </c>
      <c r="L443" s="77">
        <v>2716</v>
      </c>
      <c r="M443" s="77"/>
      <c r="N443" s="77"/>
      <c r="O443" s="77"/>
      <c r="P443" s="77"/>
      <c r="Q443" s="77"/>
      <c r="R443" s="77"/>
      <c r="S443" s="77"/>
      <c r="T443" s="77"/>
      <c r="U443" s="77"/>
      <c r="V443" s="77"/>
      <c r="W443" s="77"/>
      <c r="X443" s="77"/>
      <c r="Y443" s="77">
        <v>488</v>
      </c>
      <c r="Z443" s="77">
        <v>206</v>
      </c>
      <c r="AA443" s="77"/>
      <c r="AB443" s="77"/>
      <c r="AC443" s="77"/>
      <c r="AD443" s="77"/>
      <c r="AE443" s="62"/>
      <c r="AF443" s="63" t="b">
        <v>0</v>
      </c>
      <c r="AG443" s="63" t="b">
        <v>0</v>
      </c>
      <c r="AH443" s="62"/>
      <c r="AI443" s="64">
        <f t="shared" si="786"/>
        <v>39604</v>
      </c>
      <c r="AJ443" s="65" t="str">
        <f t="shared" si="1116"/>
        <v>LAB</v>
      </c>
      <c r="AK443" s="66" t="str">
        <f t="shared" si="787"/>
        <v>GAIN</v>
      </c>
      <c r="AL443" s="67" t="e">
        <f t="shared" ca="1" si="788"/>
        <v>#NAME?</v>
      </c>
      <c r="AM443" s="68">
        <f t="shared" si="637"/>
        <v>4079</v>
      </c>
      <c r="AN443" s="69">
        <f t="shared" si="638"/>
        <v>0.10299464700535299</v>
      </c>
      <c r="AO443" s="62"/>
      <c r="AP443" s="70">
        <f t="shared" ref="AP443:AT443" si="1339">H443/$AI443</f>
        <v>0.3887233612766387</v>
      </c>
      <c r="AQ443" s="70">
        <f t="shared" si="1339"/>
        <v>0.28572871427128571</v>
      </c>
      <c r="AR443" s="70">
        <f t="shared" si="1339"/>
        <v>0.18215331784668215</v>
      </c>
      <c r="AS443" s="70">
        <f t="shared" si="1339"/>
        <v>5.7292192707807291E-2</v>
      </c>
      <c r="AT443" s="70">
        <f t="shared" si="1339"/>
        <v>6.8578931421068579E-2</v>
      </c>
      <c r="AU443" s="70"/>
      <c r="AV443" s="70"/>
      <c r="AW443" s="81">
        <f t="shared" si="790"/>
        <v>1.7523482476517582E-2</v>
      </c>
      <c r="AX443" s="70">
        <f t="shared" ref="AX443:BG443" si="1340">O443/$AI443</f>
        <v>0</v>
      </c>
      <c r="AY443" s="70">
        <f t="shared" si="1340"/>
        <v>0</v>
      </c>
      <c r="AZ443" s="70">
        <f t="shared" si="1340"/>
        <v>0</v>
      </c>
      <c r="BA443" s="70">
        <f t="shared" si="1340"/>
        <v>0</v>
      </c>
      <c r="BB443" s="70">
        <f t="shared" si="1340"/>
        <v>0</v>
      </c>
      <c r="BC443" s="70">
        <f t="shared" si="1340"/>
        <v>0</v>
      </c>
      <c r="BD443" s="70">
        <f t="shared" si="1340"/>
        <v>0</v>
      </c>
      <c r="BE443" s="70">
        <f t="shared" si="1340"/>
        <v>0</v>
      </c>
      <c r="BF443" s="70">
        <f t="shared" si="1340"/>
        <v>0</v>
      </c>
      <c r="BG443" s="70">
        <f t="shared" si="1340"/>
        <v>0</v>
      </c>
      <c r="BH443" s="70">
        <f t="shared" si="792"/>
        <v>1.7523482476517582E-2</v>
      </c>
      <c r="BI443" s="62"/>
      <c r="BJ443" s="69">
        <v>0.313</v>
      </c>
      <c r="BK443" s="69">
        <v>0.59</v>
      </c>
      <c r="BL443" s="69">
        <v>0</v>
      </c>
      <c r="BM443" s="69">
        <v>6.4000000000000001E-2</v>
      </c>
      <c r="BN443" s="69">
        <v>1E-3</v>
      </c>
      <c r="BO443" s="69">
        <v>0</v>
      </c>
      <c r="BP443" s="69">
        <v>0</v>
      </c>
      <c r="BQ443" s="69">
        <v>3.1E-2</v>
      </c>
      <c r="BR443" s="62"/>
      <c r="BS443" s="72">
        <f t="shared" ref="BS443:BW443" si="1341">AP443-BJ443</f>
        <v>7.5723361276638701E-2</v>
      </c>
      <c r="BT443" s="72">
        <f t="shared" si="1341"/>
        <v>-0.30427128572871426</v>
      </c>
      <c r="BU443" s="72">
        <f t="shared" si="1341"/>
        <v>0.18215331784668215</v>
      </c>
      <c r="BV443" s="72">
        <f t="shared" si="1341"/>
        <v>-6.7078072921927107E-3</v>
      </c>
      <c r="BW443" s="72">
        <f t="shared" si="1341"/>
        <v>6.7578931421068578E-2</v>
      </c>
      <c r="BX443" s="72"/>
      <c r="BY443" s="72"/>
      <c r="BZ443" s="72">
        <f t="shared" si="794"/>
        <v>-1.3476517523482417E-2</v>
      </c>
    </row>
    <row r="444" spans="1:78" ht="13.15">
      <c r="A444" s="73" t="s">
        <v>6</v>
      </c>
      <c r="B444" s="74" t="s">
        <v>931</v>
      </c>
      <c r="C444" s="75" t="s">
        <v>932</v>
      </c>
      <c r="D444" s="75" t="s">
        <v>78</v>
      </c>
      <c r="E444" s="76"/>
      <c r="F444" s="59"/>
      <c r="G444" s="60"/>
      <c r="H444" s="77">
        <v>16739</v>
      </c>
      <c r="I444" s="77">
        <v>14790</v>
      </c>
      <c r="J444" s="77">
        <v>8273</v>
      </c>
      <c r="K444" s="77">
        <v>3174</v>
      </c>
      <c r="L444" s="77">
        <v>3262</v>
      </c>
      <c r="M444" s="77"/>
      <c r="N444" s="77"/>
      <c r="O444" s="77">
        <v>172</v>
      </c>
      <c r="P444" s="77"/>
      <c r="Q444" s="77"/>
      <c r="R444" s="77"/>
      <c r="S444" s="77"/>
      <c r="T444" s="77"/>
      <c r="U444" s="77"/>
      <c r="V444" s="77"/>
      <c r="W444" s="77"/>
      <c r="X444" s="77"/>
      <c r="Y444" s="77">
        <v>262</v>
      </c>
      <c r="Z444" s="77">
        <v>99</v>
      </c>
      <c r="AA444" s="77">
        <v>99</v>
      </c>
      <c r="AB444" s="77">
        <v>98</v>
      </c>
      <c r="AC444" s="77"/>
      <c r="AD444" s="77"/>
      <c r="AE444" s="62"/>
      <c r="AF444" s="63" t="b">
        <v>0</v>
      </c>
      <c r="AG444" s="63" t="b">
        <v>0</v>
      </c>
      <c r="AH444" s="62"/>
      <c r="AI444" s="64">
        <f t="shared" si="786"/>
        <v>46968</v>
      </c>
      <c r="AJ444" s="65" t="str">
        <f t="shared" si="1116"/>
        <v>LAB</v>
      </c>
      <c r="AK444" s="66" t="str">
        <f t="shared" si="787"/>
        <v>GAIN</v>
      </c>
      <c r="AL444" s="67" t="e">
        <f t="shared" ca="1" si="788"/>
        <v>#NAME?</v>
      </c>
      <c r="AM444" s="68">
        <f t="shared" si="637"/>
        <v>1949</v>
      </c>
      <c r="AN444" s="69">
        <f t="shared" si="638"/>
        <v>4.1496337932209193E-2</v>
      </c>
      <c r="AO444" s="62"/>
      <c r="AP444" s="70">
        <f t="shared" ref="AP444:AT444" si="1342">H444/$AI444</f>
        <v>0.35639158576051783</v>
      </c>
      <c r="AQ444" s="70">
        <f t="shared" si="1342"/>
        <v>0.31489524782830863</v>
      </c>
      <c r="AR444" s="70">
        <f t="shared" si="1342"/>
        <v>0.17614120252086526</v>
      </c>
      <c r="AS444" s="70">
        <f t="shared" si="1342"/>
        <v>6.7577925396014302E-2</v>
      </c>
      <c r="AT444" s="70">
        <f t="shared" si="1342"/>
        <v>6.9451541475046841E-2</v>
      </c>
      <c r="AU444" s="70"/>
      <c r="AV444" s="70"/>
      <c r="AW444" s="81">
        <f t="shared" si="790"/>
        <v>1.5542497019247148E-2</v>
      </c>
      <c r="AX444" s="70">
        <f t="shared" ref="AX444:BG444" si="1343">O444/$AI444</f>
        <v>3.6620677908363142E-3</v>
      </c>
      <c r="AY444" s="70">
        <f t="shared" si="1343"/>
        <v>0</v>
      </c>
      <c r="AZ444" s="70">
        <f t="shared" si="1343"/>
        <v>0</v>
      </c>
      <c r="BA444" s="70">
        <f t="shared" si="1343"/>
        <v>0</v>
      </c>
      <c r="BB444" s="70">
        <f t="shared" si="1343"/>
        <v>0</v>
      </c>
      <c r="BC444" s="70">
        <f t="shared" si="1343"/>
        <v>0</v>
      </c>
      <c r="BD444" s="70">
        <f t="shared" si="1343"/>
        <v>0</v>
      </c>
      <c r="BE444" s="70">
        <f t="shared" si="1343"/>
        <v>0</v>
      </c>
      <c r="BF444" s="70">
        <f t="shared" si="1343"/>
        <v>0</v>
      </c>
      <c r="BG444" s="70">
        <f t="shared" si="1343"/>
        <v>0</v>
      </c>
      <c r="BH444" s="70">
        <f t="shared" si="792"/>
        <v>1.1880429228410833E-2</v>
      </c>
      <c r="BI444" s="62"/>
      <c r="BJ444" s="69">
        <v>0.28999999999999998</v>
      </c>
      <c r="BK444" s="69">
        <v>0.59099999999999997</v>
      </c>
      <c r="BL444" s="69">
        <v>0</v>
      </c>
      <c r="BM444" s="69">
        <v>0.106</v>
      </c>
      <c r="BN444" s="69">
        <v>0</v>
      </c>
      <c r="BO444" s="69">
        <v>0</v>
      </c>
      <c r="BP444" s="69">
        <v>0</v>
      </c>
      <c r="BQ444" s="69">
        <v>1.4E-2</v>
      </c>
      <c r="BR444" s="62"/>
      <c r="BS444" s="72">
        <f t="shared" ref="BS444:BW444" si="1344">AP444-BJ444</f>
        <v>6.6391585760517846E-2</v>
      </c>
      <c r="BT444" s="72">
        <f t="shared" si="1344"/>
        <v>-0.27610475217169134</v>
      </c>
      <c r="BU444" s="72">
        <f t="shared" si="1344"/>
        <v>0.17614120252086526</v>
      </c>
      <c r="BV444" s="72">
        <f t="shared" si="1344"/>
        <v>-3.8422074603985695E-2</v>
      </c>
      <c r="BW444" s="72">
        <f t="shared" si="1344"/>
        <v>6.9451541475046841E-2</v>
      </c>
      <c r="BX444" s="72"/>
      <c r="BY444" s="72"/>
      <c r="BZ444" s="72">
        <f t="shared" si="794"/>
        <v>1.5424970192471476E-3</v>
      </c>
    </row>
    <row r="445" spans="1:78" ht="13.15">
      <c r="A445" s="78" t="s">
        <v>5</v>
      </c>
      <c r="B445" s="74" t="s">
        <v>933</v>
      </c>
      <c r="C445" s="75" t="s">
        <v>934</v>
      </c>
      <c r="D445" s="75" t="s">
        <v>68</v>
      </c>
      <c r="E445" s="76"/>
      <c r="F445" s="59"/>
      <c r="G445" s="60"/>
      <c r="H445" s="77">
        <v>23337</v>
      </c>
      <c r="I445" s="77">
        <v>8037</v>
      </c>
      <c r="J445" s="77">
        <v>3147</v>
      </c>
      <c r="K445" s="77">
        <v>3925</v>
      </c>
      <c r="L445" s="77">
        <v>5607</v>
      </c>
      <c r="M445" s="77"/>
      <c r="N445" s="77"/>
      <c r="O445" s="77"/>
      <c r="P445" s="77">
        <v>833</v>
      </c>
      <c r="Q445" s="77"/>
      <c r="R445" s="77"/>
      <c r="S445" s="77"/>
      <c r="T445" s="77"/>
      <c r="U445" s="77"/>
      <c r="V445" s="77"/>
      <c r="W445" s="77"/>
      <c r="X445" s="77"/>
      <c r="Y445" s="77">
        <v>785</v>
      </c>
      <c r="Z445" s="77"/>
      <c r="AA445" s="77"/>
      <c r="AB445" s="77"/>
      <c r="AC445" s="77"/>
      <c r="AD445" s="77"/>
      <c r="AE445" s="62"/>
      <c r="AF445" s="63" t="b">
        <v>0</v>
      </c>
      <c r="AG445" s="63" t="b">
        <v>0</v>
      </c>
      <c r="AH445" s="62"/>
      <c r="AI445" s="64">
        <f t="shared" si="786"/>
        <v>45671</v>
      </c>
      <c r="AJ445" s="65" t="str">
        <f t="shared" si="1116"/>
        <v>LAB</v>
      </c>
      <c r="AK445" s="66" t="str">
        <f t="shared" si="787"/>
        <v>HOLD</v>
      </c>
      <c r="AL445" s="67" t="e">
        <f t="shared" ca="1" si="788"/>
        <v>#NAME?</v>
      </c>
      <c r="AM445" s="68">
        <f t="shared" si="637"/>
        <v>15300</v>
      </c>
      <c r="AN445" s="69">
        <f t="shared" si="638"/>
        <v>0.33500470758249223</v>
      </c>
      <c r="AO445" s="62"/>
      <c r="AP445" s="70">
        <f t="shared" ref="AP445:AT445" si="1345">H445/$AI445</f>
        <v>0.51098070985964839</v>
      </c>
      <c r="AQ445" s="70">
        <f t="shared" si="1345"/>
        <v>0.17597600227715618</v>
      </c>
      <c r="AR445" s="70">
        <f t="shared" si="1345"/>
        <v>6.8905870245889081E-2</v>
      </c>
      <c r="AS445" s="70">
        <f t="shared" si="1345"/>
        <v>8.5940750147796188E-2</v>
      </c>
      <c r="AT445" s="70">
        <f t="shared" si="1345"/>
        <v>0.1227693722493486</v>
      </c>
      <c r="AU445" s="70"/>
      <c r="AV445" s="70"/>
      <c r="AW445" s="81">
        <f t="shared" si="790"/>
        <v>3.5427295220161525E-2</v>
      </c>
      <c r="AX445" s="70">
        <f t="shared" ref="AX445:BG445" si="1346">O445/$AI445</f>
        <v>0</v>
      </c>
      <c r="AY445" s="70">
        <f t="shared" si="1346"/>
        <v>1.8239145190602352E-2</v>
      </c>
      <c r="AZ445" s="70">
        <f t="shared" si="1346"/>
        <v>0</v>
      </c>
      <c r="BA445" s="70">
        <f t="shared" si="1346"/>
        <v>0</v>
      </c>
      <c r="BB445" s="70">
        <f t="shared" si="1346"/>
        <v>0</v>
      </c>
      <c r="BC445" s="70">
        <f t="shared" si="1346"/>
        <v>0</v>
      </c>
      <c r="BD445" s="70">
        <f t="shared" si="1346"/>
        <v>0</v>
      </c>
      <c r="BE445" s="70">
        <f t="shared" si="1346"/>
        <v>0</v>
      </c>
      <c r="BF445" s="70">
        <f t="shared" si="1346"/>
        <v>0</v>
      </c>
      <c r="BG445" s="70">
        <f t="shared" si="1346"/>
        <v>0</v>
      </c>
      <c r="BH445" s="70">
        <f t="shared" si="792"/>
        <v>1.7188150029559174E-2</v>
      </c>
      <c r="BI445" s="62"/>
      <c r="BJ445" s="69">
        <v>0.57799999999999996</v>
      </c>
      <c r="BK445" s="69">
        <v>0.28599999999999998</v>
      </c>
      <c r="BL445" s="69">
        <v>1.2999999999999999E-2</v>
      </c>
      <c r="BM445" s="69">
        <v>9.9000000000000005E-2</v>
      </c>
      <c r="BN445" s="69">
        <v>2.5000000000000001E-2</v>
      </c>
      <c r="BO445" s="69">
        <v>0</v>
      </c>
      <c r="BP445" s="69">
        <v>0</v>
      </c>
      <c r="BQ445" s="69">
        <v>0</v>
      </c>
      <c r="BR445" s="62"/>
      <c r="BS445" s="72">
        <f t="shared" ref="BS445:BW445" si="1347">AP445-BJ445</f>
        <v>-6.7019290140351573E-2</v>
      </c>
      <c r="BT445" s="72">
        <f t="shared" si="1347"/>
        <v>-0.1100239977228438</v>
      </c>
      <c r="BU445" s="72">
        <f t="shared" si="1347"/>
        <v>5.5905870245889083E-2</v>
      </c>
      <c r="BV445" s="72">
        <f t="shared" si="1347"/>
        <v>-1.3059249852203816E-2</v>
      </c>
      <c r="BW445" s="72">
        <f t="shared" si="1347"/>
        <v>9.7769372249348591E-2</v>
      </c>
      <c r="BX445" s="72"/>
      <c r="BY445" s="72"/>
      <c r="BZ445" s="72">
        <f t="shared" si="794"/>
        <v>3.5427295220161525E-2</v>
      </c>
    </row>
    <row r="446" spans="1:78" ht="13.15">
      <c r="A446" s="73" t="s">
        <v>6</v>
      </c>
      <c r="B446" s="74" t="s">
        <v>935</v>
      </c>
      <c r="C446" s="75" t="s">
        <v>936</v>
      </c>
      <c r="D446" s="75" t="s">
        <v>50</v>
      </c>
      <c r="E446" s="76"/>
      <c r="F446" s="59"/>
      <c r="G446" s="60"/>
      <c r="H446" s="77">
        <v>17252</v>
      </c>
      <c r="I446" s="77">
        <v>11463</v>
      </c>
      <c r="J446" s="77">
        <v>7395</v>
      </c>
      <c r="K446" s="77">
        <v>5868</v>
      </c>
      <c r="L446" s="77">
        <v>2159</v>
      </c>
      <c r="M446" s="77"/>
      <c r="N446" s="77"/>
      <c r="O446" s="77">
        <v>922</v>
      </c>
      <c r="P446" s="77"/>
      <c r="Q446" s="77"/>
      <c r="R446" s="77"/>
      <c r="S446" s="77"/>
      <c r="T446" s="77"/>
      <c r="U446" s="77"/>
      <c r="V446" s="77"/>
      <c r="W446" s="77"/>
      <c r="X446" s="77"/>
      <c r="Y446" s="77"/>
      <c r="Z446" s="77"/>
      <c r="AA446" s="77"/>
      <c r="AB446" s="77"/>
      <c r="AC446" s="77"/>
      <c r="AD446" s="77"/>
      <c r="AE446" s="62"/>
      <c r="AF446" s="63" t="b">
        <v>0</v>
      </c>
      <c r="AG446" s="63" t="b">
        <v>0</v>
      </c>
      <c r="AH446" s="62"/>
      <c r="AI446" s="64">
        <f t="shared" si="786"/>
        <v>45059</v>
      </c>
      <c r="AJ446" s="65" t="str">
        <f t="shared" si="1116"/>
        <v>LAB</v>
      </c>
      <c r="AK446" s="66" t="str">
        <f t="shared" si="787"/>
        <v>GAIN</v>
      </c>
      <c r="AL446" s="67" t="e">
        <f t="shared" ca="1" si="788"/>
        <v>#NAME?</v>
      </c>
      <c r="AM446" s="68">
        <f t="shared" si="637"/>
        <v>5789</v>
      </c>
      <c r="AN446" s="69">
        <f t="shared" si="638"/>
        <v>0.12847599813577754</v>
      </c>
      <c r="AO446" s="62"/>
      <c r="AP446" s="70">
        <f t="shared" ref="AP446:AT446" si="1348">H446/$AI446</f>
        <v>0.38287578508178166</v>
      </c>
      <c r="AQ446" s="70">
        <f t="shared" si="1348"/>
        <v>0.25439978694600413</v>
      </c>
      <c r="AR446" s="70">
        <f t="shared" si="1348"/>
        <v>0.16411815619521072</v>
      </c>
      <c r="AS446" s="70">
        <f t="shared" si="1348"/>
        <v>0.13022925497680818</v>
      </c>
      <c r="AT446" s="70">
        <f t="shared" si="1348"/>
        <v>4.7914955946647728E-2</v>
      </c>
      <c r="AU446" s="70"/>
      <c r="AV446" s="70"/>
      <c r="AW446" s="81">
        <f t="shared" si="790"/>
        <v>2.0462060853547515E-2</v>
      </c>
      <c r="AX446" s="70">
        <f t="shared" ref="AX446:BG446" si="1349">O446/$AI446</f>
        <v>2.046206085354757E-2</v>
      </c>
      <c r="AY446" s="70">
        <f t="shared" si="1349"/>
        <v>0</v>
      </c>
      <c r="AZ446" s="70">
        <f t="shared" si="1349"/>
        <v>0</v>
      </c>
      <c r="BA446" s="70">
        <f t="shared" si="1349"/>
        <v>0</v>
      </c>
      <c r="BB446" s="70">
        <f t="shared" si="1349"/>
        <v>0</v>
      </c>
      <c r="BC446" s="70">
        <f t="shared" si="1349"/>
        <v>0</v>
      </c>
      <c r="BD446" s="70">
        <f t="shared" si="1349"/>
        <v>0</v>
      </c>
      <c r="BE446" s="70">
        <f t="shared" si="1349"/>
        <v>0</v>
      </c>
      <c r="BF446" s="70">
        <f t="shared" si="1349"/>
        <v>0</v>
      </c>
      <c r="BG446" s="70">
        <f t="shared" si="1349"/>
        <v>0</v>
      </c>
      <c r="BH446" s="70">
        <f t="shared" si="792"/>
        <v>-5.5511151231257827E-17</v>
      </c>
      <c r="BI446" s="62"/>
      <c r="BJ446" s="69">
        <v>0.36799999999999999</v>
      </c>
      <c r="BK446" s="69">
        <v>0.504</v>
      </c>
      <c r="BL446" s="69">
        <v>0</v>
      </c>
      <c r="BM446" s="69">
        <v>0.125</v>
      </c>
      <c r="BN446" s="69">
        <v>4.0000000000000001E-3</v>
      </c>
      <c r="BO446" s="69">
        <v>0</v>
      </c>
      <c r="BP446" s="69">
        <v>0</v>
      </c>
      <c r="BQ446" s="69">
        <v>0</v>
      </c>
      <c r="BR446" s="62"/>
      <c r="BS446" s="72">
        <f t="shared" ref="BS446:BW446" si="1350">AP446-BJ446</f>
        <v>1.4875785081781667E-2</v>
      </c>
      <c r="BT446" s="72">
        <f t="shared" si="1350"/>
        <v>-0.24960021305399588</v>
      </c>
      <c r="BU446" s="72">
        <f t="shared" si="1350"/>
        <v>0.16411815619521072</v>
      </c>
      <c r="BV446" s="72">
        <f t="shared" si="1350"/>
        <v>5.2292549768081786E-3</v>
      </c>
      <c r="BW446" s="72">
        <f t="shared" si="1350"/>
        <v>4.3914955946647724E-2</v>
      </c>
      <c r="BX446" s="72"/>
      <c r="BY446" s="72"/>
      <c r="BZ446" s="72">
        <f t="shared" si="794"/>
        <v>2.0462060853547515E-2</v>
      </c>
    </row>
    <row r="447" spans="1:78" ht="13.15">
      <c r="A447" s="73" t="s">
        <v>6</v>
      </c>
      <c r="B447" s="74" t="s">
        <v>937</v>
      </c>
      <c r="C447" s="75" t="s">
        <v>938</v>
      </c>
      <c r="D447" s="75" t="s">
        <v>44</v>
      </c>
      <c r="E447" s="76"/>
      <c r="F447" s="59"/>
      <c r="G447" s="60"/>
      <c r="H447" s="77">
        <v>12448</v>
      </c>
      <c r="I447" s="77">
        <v>14038</v>
      </c>
      <c r="J447" s="77">
        <v>8284</v>
      </c>
      <c r="K447" s="77">
        <v>8710</v>
      </c>
      <c r="L447" s="77">
        <v>2413</v>
      </c>
      <c r="M447" s="77"/>
      <c r="N447" s="77"/>
      <c r="O447" s="77"/>
      <c r="P447" s="77"/>
      <c r="Q447" s="77">
        <v>273</v>
      </c>
      <c r="R447" s="77"/>
      <c r="S447" s="77"/>
      <c r="T447" s="77"/>
      <c r="U447" s="77"/>
      <c r="V447" s="77"/>
      <c r="W447" s="77"/>
      <c r="X447" s="77"/>
      <c r="Y447" s="77"/>
      <c r="Z447" s="77"/>
      <c r="AA447" s="77"/>
      <c r="AB447" s="77"/>
      <c r="AC447" s="77"/>
      <c r="AD447" s="77"/>
      <c r="AE447" s="62"/>
      <c r="AF447" s="63" t="b">
        <v>0</v>
      </c>
      <c r="AG447" s="63" t="b">
        <v>0</v>
      </c>
      <c r="AH447" s="62"/>
      <c r="AI447" s="64">
        <f t="shared" si="786"/>
        <v>46166</v>
      </c>
      <c r="AJ447" s="65" t="str">
        <f t="shared" si="1116"/>
        <v>CON</v>
      </c>
      <c r="AK447" s="66" t="str">
        <f t="shared" si="787"/>
        <v>HOLD</v>
      </c>
      <c r="AL447" s="67" t="e">
        <f t="shared" ca="1" si="788"/>
        <v>#NAME?</v>
      </c>
      <c r="AM447" s="68">
        <f t="shared" si="637"/>
        <v>1590</v>
      </c>
      <c r="AN447" s="69">
        <f t="shared" si="638"/>
        <v>3.4440930554953841E-2</v>
      </c>
      <c r="AO447" s="62"/>
      <c r="AP447" s="70">
        <f t="shared" ref="AP447:AT447" si="1351">H447/$AI447</f>
        <v>0.26963566260884636</v>
      </c>
      <c r="AQ447" s="70">
        <f t="shared" si="1351"/>
        <v>0.3040765931638002</v>
      </c>
      <c r="AR447" s="70">
        <f t="shared" si="1351"/>
        <v>0.17943941428757093</v>
      </c>
      <c r="AS447" s="70">
        <f t="shared" si="1351"/>
        <v>0.188666984360785</v>
      </c>
      <c r="AT447" s="70">
        <f t="shared" si="1351"/>
        <v>5.2267902785599792E-2</v>
      </c>
      <c r="AU447" s="70"/>
      <c r="AV447" s="70"/>
      <c r="AW447" s="81">
        <f t="shared" si="790"/>
        <v>5.9134427933976719E-3</v>
      </c>
      <c r="AX447" s="70">
        <f t="shared" ref="AX447:BG447" si="1352">O447/$AI447</f>
        <v>0</v>
      </c>
      <c r="AY447" s="70">
        <f t="shared" si="1352"/>
        <v>0</v>
      </c>
      <c r="AZ447" s="70">
        <f t="shared" si="1352"/>
        <v>5.9134427933977387E-3</v>
      </c>
      <c r="BA447" s="70">
        <f t="shared" si="1352"/>
        <v>0</v>
      </c>
      <c r="BB447" s="70">
        <f t="shared" si="1352"/>
        <v>0</v>
      </c>
      <c r="BC447" s="70">
        <f t="shared" si="1352"/>
        <v>0</v>
      </c>
      <c r="BD447" s="70">
        <f t="shared" si="1352"/>
        <v>0</v>
      </c>
      <c r="BE447" s="70">
        <f t="shared" si="1352"/>
        <v>0</v>
      </c>
      <c r="BF447" s="70">
        <f t="shared" si="1352"/>
        <v>0</v>
      </c>
      <c r="BG447" s="70">
        <f t="shared" si="1352"/>
        <v>0</v>
      </c>
      <c r="BH447" s="70">
        <f t="shared" si="792"/>
        <v>-6.6786853825107073E-17</v>
      </c>
      <c r="BI447" s="62"/>
      <c r="BJ447" s="69">
        <v>0.217</v>
      </c>
      <c r="BK447" s="69">
        <v>0.58899999999999997</v>
      </c>
      <c r="BL447" s="69">
        <v>0</v>
      </c>
      <c r="BM447" s="69">
        <v>0.152</v>
      </c>
      <c r="BN447" s="69">
        <v>4.2999999999999997E-2</v>
      </c>
      <c r="BO447" s="69">
        <v>0</v>
      </c>
      <c r="BP447" s="69">
        <v>0</v>
      </c>
      <c r="BQ447" s="69">
        <v>0</v>
      </c>
      <c r="BR447" s="62"/>
      <c r="BS447" s="72">
        <f t="shared" ref="BS447:BW447" si="1353">AP447-BJ447</f>
        <v>5.2635662608846362E-2</v>
      </c>
      <c r="BT447" s="72">
        <f t="shared" si="1353"/>
        <v>-0.28492340683619977</v>
      </c>
      <c r="BU447" s="72">
        <f t="shared" si="1353"/>
        <v>0.17943941428757093</v>
      </c>
      <c r="BV447" s="72">
        <f t="shared" si="1353"/>
        <v>3.6666984360784999E-2</v>
      </c>
      <c r="BW447" s="72">
        <f t="shared" si="1353"/>
        <v>9.267902785599795E-3</v>
      </c>
      <c r="BX447" s="72"/>
      <c r="BY447" s="72"/>
      <c r="BZ447" s="72">
        <f t="shared" si="794"/>
        <v>5.9134427933976719E-3</v>
      </c>
    </row>
    <row r="448" spans="1:78" ht="13.15">
      <c r="A448" s="73" t="s">
        <v>6</v>
      </c>
      <c r="B448" s="74" t="s">
        <v>939</v>
      </c>
      <c r="C448" s="75" t="s">
        <v>940</v>
      </c>
      <c r="D448" s="75" t="s">
        <v>71</v>
      </c>
      <c r="E448" s="76"/>
      <c r="F448" s="59"/>
      <c r="G448" s="60"/>
      <c r="H448" s="77">
        <v>16076</v>
      </c>
      <c r="I448" s="77">
        <v>9859</v>
      </c>
      <c r="J448" s="77">
        <v>9888</v>
      </c>
      <c r="K448" s="77">
        <v>1425</v>
      </c>
      <c r="L448" s="77">
        <v>2284</v>
      </c>
      <c r="M448" s="77"/>
      <c r="N448" s="77"/>
      <c r="O448" s="77">
        <v>1526</v>
      </c>
      <c r="P448" s="77"/>
      <c r="Q448" s="77"/>
      <c r="R448" s="77"/>
      <c r="S448" s="77"/>
      <c r="T448" s="77"/>
      <c r="U448" s="77"/>
      <c r="V448" s="77"/>
      <c r="W448" s="77"/>
      <c r="X448" s="77"/>
      <c r="Y448" s="77"/>
      <c r="Z448" s="77"/>
      <c r="AA448" s="77"/>
      <c r="AB448" s="77"/>
      <c r="AC448" s="77"/>
      <c r="AD448" s="77"/>
      <c r="AE448" s="62"/>
      <c r="AF448" s="63" t="b">
        <v>0</v>
      </c>
      <c r="AG448" s="63" t="b">
        <v>0</v>
      </c>
      <c r="AH448" s="62"/>
      <c r="AI448" s="64">
        <f t="shared" si="786"/>
        <v>41058</v>
      </c>
      <c r="AJ448" s="65" t="str">
        <f t="shared" si="1116"/>
        <v>LAB</v>
      </c>
      <c r="AK448" s="66" t="str">
        <f t="shared" si="787"/>
        <v>GAIN</v>
      </c>
      <c r="AL448" s="67" t="e">
        <f t="shared" ca="1" si="788"/>
        <v>#NAME?</v>
      </c>
      <c r="AM448" s="68">
        <f t="shared" si="637"/>
        <v>6188</v>
      </c>
      <c r="AN448" s="69">
        <f t="shared" si="638"/>
        <v>0.15071362462857421</v>
      </c>
      <c r="AO448" s="62"/>
      <c r="AP448" s="70">
        <f t="shared" ref="AP448:AT448" si="1354">H448/$AI448</f>
        <v>0.39154366993034245</v>
      </c>
      <c r="AQ448" s="70">
        <f t="shared" si="1354"/>
        <v>0.24012372741000537</v>
      </c>
      <c r="AR448" s="70">
        <f t="shared" si="1354"/>
        <v>0.24083004530176824</v>
      </c>
      <c r="AS448" s="70">
        <f t="shared" si="1354"/>
        <v>3.4706999853865265E-2</v>
      </c>
      <c r="AT448" s="70">
        <f t="shared" si="1354"/>
        <v>5.5628622923668956E-2</v>
      </c>
      <c r="AU448" s="70"/>
      <c r="AV448" s="70"/>
      <c r="AW448" s="81">
        <f t="shared" si="790"/>
        <v>3.7166934580349698E-2</v>
      </c>
      <c r="AX448" s="70">
        <f t="shared" ref="AX448:BG448" si="1355">O448/$AI448</f>
        <v>3.7166934580349746E-2</v>
      </c>
      <c r="AY448" s="70">
        <f t="shared" si="1355"/>
        <v>0</v>
      </c>
      <c r="AZ448" s="70">
        <f t="shared" si="1355"/>
        <v>0</v>
      </c>
      <c r="BA448" s="70">
        <f t="shared" si="1355"/>
        <v>0</v>
      </c>
      <c r="BB448" s="70">
        <f t="shared" si="1355"/>
        <v>0</v>
      </c>
      <c r="BC448" s="70">
        <f t="shared" si="1355"/>
        <v>0</v>
      </c>
      <c r="BD448" s="70">
        <f t="shared" si="1355"/>
        <v>0</v>
      </c>
      <c r="BE448" s="70">
        <f t="shared" si="1355"/>
        <v>0</v>
      </c>
      <c r="BF448" s="70">
        <f t="shared" si="1355"/>
        <v>0</v>
      </c>
      <c r="BG448" s="70">
        <f t="shared" si="1355"/>
        <v>0</v>
      </c>
      <c r="BH448" s="70">
        <f t="shared" si="792"/>
        <v>0</v>
      </c>
      <c r="BI448" s="62"/>
      <c r="BJ448" s="69">
        <v>0.33500000000000002</v>
      </c>
      <c r="BK448" s="69">
        <v>0.46400000000000002</v>
      </c>
      <c r="BL448" s="69">
        <v>3.5000000000000003E-2</v>
      </c>
      <c r="BM448" s="69">
        <v>5.8000000000000003E-2</v>
      </c>
      <c r="BN448" s="69">
        <v>1.7999999999999999E-2</v>
      </c>
      <c r="BO448" s="69">
        <v>0</v>
      </c>
      <c r="BP448" s="69">
        <v>0</v>
      </c>
      <c r="BQ448" s="69">
        <v>9.0999999999999998E-2</v>
      </c>
      <c r="BR448" s="62"/>
      <c r="BS448" s="72">
        <f t="shared" ref="BS448:BW448" si="1356">AP448-BJ448</f>
        <v>5.6543669930342433E-2</v>
      </c>
      <c r="BT448" s="72">
        <f t="shared" si="1356"/>
        <v>-0.22387627258999465</v>
      </c>
      <c r="BU448" s="72">
        <f t="shared" si="1356"/>
        <v>0.20583004530176824</v>
      </c>
      <c r="BV448" s="72">
        <f t="shared" si="1356"/>
        <v>-2.3293000146134737E-2</v>
      </c>
      <c r="BW448" s="72">
        <f t="shared" si="1356"/>
        <v>3.7628622923668961E-2</v>
      </c>
      <c r="BX448" s="72"/>
      <c r="BY448" s="72"/>
      <c r="BZ448" s="72">
        <f t="shared" si="794"/>
        <v>-5.3833065419650251E-2</v>
      </c>
    </row>
    <row r="449" spans="1:78" ht="13.15">
      <c r="A449" s="79" t="s">
        <v>8</v>
      </c>
      <c r="B449" s="74" t="s">
        <v>941</v>
      </c>
      <c r="C449" s="75" t="s">
        <v>942</v>
      </c>
      <c r="D449" s="75" t="s">
        <v>78</v>
      </c>
      <c r="E449" s="76"/>
      <c r="F449" s="59">
        <v>0.72799999999999998</v>
      </c>
      <c r="G449" s="60"/>
      <c r="H449" s="77">
        <v>5189</v>
      </c>
      <c r="I449" s="77">
        <v>9388</v>
      </c>
      <c r="J449" s="77">
        <v>4336</v>
      </c>
      <c r="K449" s="77">
        <v>29222</v>
      </c>
      <c r="L449" s="77">
        <v>3273</v>
      </c>
      <c r="M449" s="77"/>
      <c r="N449" s="77"/>
      <c r="O449" s="77"/>
      <c r="P449" s="77"/>
      <c r="Q449" s="77">
        <v>103</v>
      </c>
      <c r="R449" s="77"/>
      <c r="S449" s="77"/>
      <c r="T449" s="77"/>
      <c r="U449" s="77"/>
      <c r="V449" s="77"/>
      <c r="W449" s="77"/>
      <c r="X449" s="77"/>
      <c r="Y449" s="77">
        <v>104</v>
      </c>
      <c r="Z449" s="77"/>
      <c r="AA449" s="77"/>
      <c r="AB449" s="77"/>
      <c r="AC449" s="77"/>
      <c r="AD449" s="77"/>
      <c r="AE449" s="62"/>
      <c r="AF449" s="63" t="b">
        <v>0</v>
      </c>
      <c r="AG449" s="63" t="b">
        <v>0</v>
      </c>
      <c r="AH449" s="62"/>
      <c r="AI449" s="64">
        <f t="shared" si="786"/>
        <v>51615</v>
      </c>
      <c r="AJ449" s="65" t="str">
        <f t="shared" si="1116"/>
        <v>LDM</v>
      </c>
      <c r="AK449" s="66" t="str">
        <f t="shared" si="787"/>
        <v>HOLD</v>
      </c>
      <c r="AL449" s="67" t="e">
        <f t="shared" ca="1" si="788"/>
        <v>#NAME?</v>
      </c>
      <c r="AM449" s="68">
        <f t="shared" si="637"/>
        <v>19834</v>
      </c>
      <c r="AN449" s="69">
        <f t="shared" si="638"/>
        <v>0.38426813910684882</v>
      </c>
      <c r="AO449" s="62"/>
      <c r="AP449" s="70">
        <f t="shared" ref="AP449:AT449" si="1357">H449/$AI449</f>
        <v>0.10053279085537151</v>
      </c>
      <c r="AQ449" s="70">
        <f t="shared" si="1357"/>
        <v>0.18188511091736898</v>
      </c>
      <c r="AR449" s="70">
        <f t="shared" si="1357"/>
        <v>8.4006587232393681E-2</v>
      </c>
      <c r="AS449" s="70">
        <f t="shared" si="1357"/>
        <v>0.56615325002421779</v>
      </c>
      <c r="AT449" s="70">
        <f t="shared" si="1357"/>
        <v>6.3411798895669863E-2</v>
      </c>
      <c r="AU449" s="70"/>
      <c r="AV449" s="70"/>
      <c r="AW449" s="81">
        <f t="shared" si="790"/>
        <v>4.0104620749782383E-3</v>
      </c>
      <c r="AX449" s="70">
        <f t="shared" ref="AX449:BG449" si="1358">O449/$AI449</f>
        <v>0</v>
      </c>
      <c r="AY449" s="70">
        <f t="shared" si="1358"/>
        <v>0</v>
      </c>
      <c r="AZ449" s="70">
        <f t="shared" si="1358"/>
        <v>1.995543931027802E-3</v>
      </c>
      <c r="BA449" s="70">
        <f t="shared" si="1358"/>
        <v>0</v>
      </c>
      <c r="BB449" s="70">
        <f t="shared" si="1358"/>
        <v>0</v>
      </c>
      <c r="BC449" s="70">
        <f t="shared" si="1358"/>
        <v>0</v>
      </c>
      <c r="BD449" s="70">
        <f t="shared" si="1358"/>
        <v>0</v>
      </c>
      <c r="BE449" s="70">
        <f t="shared" si="1358"/>
        <v>0</v>
      </c>
      <c r="BF449" s="70">
        <f t="shared" si="1358"/>
        <v>0</v>
      </c>
      <c r="BG449" s="70">
        <f t="shared" si="1358"/>
        <v>0</v>
      </c>
      <c r="BH449" s="70">
        <f t="shared" si="792"/>
        <v>2.0149181439504363E-3</v>
      </c>
      <c r="BI449" s="62"/>
      <c r="BJ449" s="69">
        <v>8.7999999999999995E-2</v>
      </c>
      <c r="BK449" s="69">
        <v>0.39300000000000002</v>
      </c>
      <c r="BL449" s="69">
        <v>0</v>
      </c>
      <c r="BM449" s="69">
        <v>0.499</v>
      </c>
      <c r="BN449" s="69">
        <v>1.7000000000000001E-2</v>
      </c>
      <c r="BO449" s="69">
        <v>0</v>
      </c>
      <c r="BP449" s="69">
        <v>0</v>
      </c>
      <c r="BQ449" s="69">
        <v>3.0000000000000001E-3</v>
      </c>
      <c r="BR449" s="62"/>
      <c r="BS449" s="72">
        <f t="shared" ref="BS449:BW449" si="1359">AP449-BJ449</f>
        <v>1.2532790855371512E-2</v>
      </c>
      <c r="BT449" s="72">
        <f t="shared" si="1359"/>
        <v>-0.21111488908263104</v>
      </c>
      <c r="BU449" s="72">
        <f t="shared" si="1359"/>
        <v>8.4006587232393681E-2</v>
      </c>
      <c r="BV449" s="72">
        <f t="shared" si="1359"/>
        <v>6.7153250024217792E-2</v>
      </c>
      <c r="BW449" s="72">
        <f t="shared" si="1359"/>
        <v>4.6411798895669862E-2</v>
      </c>
      <c r="BX449" s="72"/>
      <c r="BY449" s="72"/>
      <c r="BZ449" s="72">
        <f t="shared" si="794"/>
        <v>1.0104620749782382E-3</v>
      </c>
    </row>
    <row r="450" spans="1:78" ht="13.15">
      <c r="A450" s="73" t="s">
        <v>6</v>
      </c>
      <c r="B450" s="74" t="s">
        <v>943</v>
      </c>
      <c r="C450" s="75" t="s">
        <v>944</v>
      </c>
      <c r="D450" s="75" t="s">
        <v>85</v>
      </c>
      <c r="E450" s="76"/>
      <c r="F450" s="59"/>
      <c r="G450" s="60"/>
      <c r="H450" s="77">
        <v>15958</v>
      </c>
      <c r="I450" s="77">
        <v>13488</v>
      </c>
      <c r="J450" s="77">
        <v>9212</v>
      </c>
      <c r="K450" s="77">
        <v>4805</v>
      </c>
      <c r="L450" s="77">
        <v>2337</v>
      </c>
      <c r="M450" s="77"/>
      <c r="N450" s="77"/>
      <c r="O450" s="77">
        <v>442</v>
      </c>
      <c r="P450" s="77"/>
      <c r="Q450" s="77"/>
      <c r="R450" s="77"/>
      <c r="S450" s="77"/>
      <c r="T450" s="77"/>
      <c r="U450" s="77"/>
      <c r="V450" s="77"/>
      <c r="W450" s="77"/>
      <c r="X450" s="77"/>
      <c r="Y450" s="77">
        <v>490</v>
      </c>
      <c r="Z450" s="77"/>
      <c r="AA450" s="77"/>
      <c r="AB450" s="77"/>
      <c r="AC450" s="77"/>
      <c r="AD450" s="77"/>
      <c r="AE450" s="62"/>
      <c r="AF450" s="63" t="b">
        <v>0</v>
      </c>
      <c r="AG450" s="63" t="b">
        <v>0</v>
      </c>
      <c r="AH450" s="62"/>
      <c r="AI450" s="64">
        <f t="shared" si="786"/>
        <v>46732</v>
      </c>
      <c r="AJ450" s="65" t="str">
        <f t="shared" si="1116"/>
        <v>LAB</v>
      </c>
      <c r="AK450" s="66" t="str">
        <f t="shared" si="787"/>
        <v>GAIN</v>
      </c>
      <c r="AL450" s="67" t="e">
        <f t="shared" ca="1" si="788"/>
        <v>#NAME?</v>
      </c>
      <c r="AM450" s="68">
        <f t="shared" si="637"/>
        <v>2470</v>
      </c>
      <c r="AN450" s="69">
        <f t="shared" si="638"/>
        <v>5.2854575023538464E-2</v>
      </c>
      <c r="AO450" s="62"/>
      <c r="AP450" s="70">
        <f t="shared" ref="AP450:AT450" si="1360">H450/$AI450</f>
        <v>0.34147907215612427</v>
      </c>
      <c r="AQ450" s="70">
        <f t="shared" si="1360"/>
        <v>0.28862449713258581</v>
      </c>
      <c r="AR450" s="70">
        <f t="shared" si="1360"/>
        <v>0.19712402636309168</v>
      </c>
      <c r="AS450" s="70">
        <f t="shared" si="1360"/>
        <v>0.1028203372421467</v>
      </c>
      <c r="AT450" s="70">
        <f t="shared" si="1360"/>
        <v>5.000855944534794E-2</v>
      </c>
      <c r="AU450" s="70"/>
      <c r="AV450" s="70"/>
      <c r="AW450" s="81">
        <f t="shared" si="790"/>
        <v>1.994350766070363E-2</v>
      </c>
      <c r="AX450" s="70">
        <f t="shared" ref="AX450:BG450" si="1361">O450/$AI450</f>
        <v>9.4581871094753054E-3</v>
      </c>
      <c r="AY450" s="70">
        <f t="shared" si="1361"/>
        <v>0</v>
      </c>
      <c r="AZ450" s="70">
        <f t="shared" si="1361"/>
        <v>0</v>
      </c>
      <c r="BA450" s="70">
        <f t="shared" si="1361"/>
        <v>0</v>
      </c>
      <c r="BB450" s="70">
        <f t="shared" si="1361"/>
        <v>0</v>
      </c>
      <c r="BC450" s="70">
        <f t="shared" si="1361"/>
        <v>0</v>
      </c>
      <c r="BD450" s="70">
        <f t="shared" si="1361"/>
        <v>0</v>
      </c>
      <c r="BE450" s="70">
        <f t="shared" si="1361"/>
        <v>0</v>
      </c>
      <c r="BF450" s="70">
        <f t="shared" si="1361"/>
        <v>0</v>
      </c>
      <c r="BG450" s="70">
        <f t="shared" si="1361"/>
        <v>0</v>
      </c>
      <c r="BH450" s="70">
        <f t="shared" si="792"/>
        <v>1.0485320551228325E-2</v>
      </c>
      <c r="BI450" s="62"/>
      <c r="BJ450" s="69">
        <v>0.26600000000000001</v>
      </c>
      <c r="BK450" s="69">
        <v>0.55600000000000005</v>
      </c>
      <c r="BL450" s="69">
        <v>0</v>
      </c>
      <c r="BM450" s="69">
        <v>0.108</v>
      </c>
      <c r="BN450" s="69">
        <v>3.1E-2</v>
      </c>
      <c r="BO450" s="69">
        <v>0</v>
      </c>
      <c r="BP450" s="69">
        <v>0</v>
      </c>
      <c r="BQ450" s="69">
        <v>3.9E-2</v>
      </c>
      <c r="BR450" s="62"/>
      <c r="BS450" s="72">
        <f t="shared" ref="BS450:BW450" si="1362">AP450-BJ450</f>
        <v>7.5479072156124261E-2</v>
      </c>
      <c r="BT450" s="72">
        <f t="shared" si="1362"/>
        <v>-0.26737550286741424</v>
      </c>
      <c r="BU450" s="72">
        <f t="shared" si="1362"/>
        <v>0.19712402636309168</v>
      </c>
      <c r="BV450" s="72">
        <f t="shared" si="1362"/>
        <v>-5.1796627578532956E-3</v>
      </c>
      <c r="BW450" s="72">
        <f t="shared" si="1362"/>
        <v>1.900855944534794E-2</v>
      </c>
      <c r="BX450" s="72"/>
      <c r="BY450" s="72"/>
      <c r="BZ450" s="72">
        <f t="shared" si="794"/>
        <v>-1.905649233929637E-2</v>
      </c>
    </row>
    <row r="451" spans="1:78" ht="13.15">
      <c r="A451" s="78" t="s">
        <v>5</v>
      </c>
      <c r="B451" s="74" t="s">
        <v>945</v>
      </c>
      <c r="C451" s="75" t="s">
        <v>946</v>
      </c>
      <c r="D451" s="75" t="s">
        <v>50</v>
      </c>
      <c r="E451" s="76"/>
      <c r="F451" s="59"/>
      <c r="G451" s="60"/>
      <c r="H451" s="77">
        <v>21284</v>
      </c>
      <c r="I451" s="77">
        <v>4507</v>
      </c>
      <c r="J451" s="77">
        <v>9115</v>
      </c>
      <c r="K451" s="77">
        <v>1799</v>
      </c>
      <c r="L451" s="77">
        <v>3495</v>
      </c>
      <c r="M451" s="77"/>
      <c r="N451" s="77"/>
      <c r="O451" s="77"/>
      <c r="P451" s="77"/>
      <c r="Q451" s="77"/>
      <c r="R451" s="77"/>
      <c r="S451" s="77"/>
      <c r="T451" s="77"/>
      <c r="U451" s="77"/>
      <c r="V451" s="77"/>
      <c r="W451" s="77"/>
      <c r="X451" s="77"/>
      <c r="Y451" s="77">
        <v>274</v>
      </c>
      <c r="Z451" s="77"/>
      <c r="AA451" s="77"/>
      <c r="AB451" s="77"/>
      <c r="AC451" s="77"/>
      <c r="AD451" s="77"/>
      <c r="AE451" s="62"/>
      <c r="AF451" s="63" t="b">
        <v>0</v>
      </c>
      <c r="AG451" s="63" t="b">
        <v>0</v>
      </c>
      <c r="AH451" s="62"/>
      <c r="AI451" s="64">
        <f t="shared" si="786"/>
        <v>40474</v>
      </c>
      <c r="AJ451" s="65" t="str">
        <f t="shared" si="1116"/>
        <v>LAB</v>
      </c>
      <c r="AK451" s="66" t="str">
        <f t="shared" si="787"/>
        <v>HOLD</v>
      </c>
      <c r="AL451" s="67" t="e">
        <f t="shared" ca="1" si="788"/>
        <v>#NAME?</v>
      </c>
      <c r="AM451" s="68">
        <f t="shared" si="637"/>
        <v>12169</v>
      </c>
      <c r="AN451" s="69">
        <f t="shared" si="638"/>
        <v>0.30066215348124725</v>
      </c>
      <c r="AO451" s="62"/>
      <c r="AP451" s="70">
        <f t="shared" ref="AP451:AT451" si="1363">H451/$AI451</f>
        <v>0.52586845876365074</v>
      </c>
      <c r="AQ451" s="70">
        <f t="shared" si="1363"/>
        <v>0.11135543805900085</v>
      </c>
      <c r="AR451" s="70">
        <f t="shared" si="1363"/>
        <v>0.22520630528240351</v>
      </c>
      <c r="AS451" s="70">
        <f t="shared" si="1363"/>
        <v>4.4448287789692148E-2</v>
      </c>
      <c r="AT451" s="70">
        <f t="shared" si="1363"/>
        <v>8.635173197608341E-2</v>
      </c>
      <c r="AU451" s="70"/>
      <c r="AV451" s="70"/>
      <c r="AW451" s="81">
        <f t="shared" si="790"/>
        <v>6.769778129169457E-3</v>
      </c>
      <c r="AX451" s="70">
        <f t="shared" ref="AX451:BG451" si="1364">O451/$AI451</f>
        <v>0</v>
      </c>
      <c r="AY451" s="70">
        <f t="shared" si="1364"/>
        <v>0</v>
      </c>
      <c r="AZ451" s="70">
        <f t="shared" si="1364"/>
        <v>0</v>
      </c>
      <c r="BA451" s="70">
        <f t="shared" si="1364"/>
        <v>0</v>
      </c>
      <c r="BB451" s="70">
        <f t="shared" si="1364"/>
        <v>0</v>
      </c>
      <c r="BC451" s="70">
        <f t="shared" si="1364"/>
        <v>0</v>
      </c>
      <c r="BD451" s="70">
        <f t="shared" si="1364"/>
        <v>0</v>
      </c>
      <c r="BE451" s="70">
        <f t="shared" si="1364"/>
        <v>0</v>
      </c>
      <c r="BF451" s="70">
        <f t="shared" si="1364"/>
        <v>0</v>
      </c>
      <c r="BG451" s="70">
        <f t="shared" si="1364"/>
        <v>0</v>
      </c>
      <c r="BH451" s="70">
        <f t="shared" si="792"/>
        <v>6.769778129169457E-3</v>
      </c>
      <c r="BI451" s="62"/>
      <c r="BJ451" s="69">
        <v>0.52300000000000002</v>
      </c>
      <c r="BK451" s="69">
        <v>0.26600000000000001</v>
      </c>
      <c r="BL451" s="69">
        <v>0.114</v>
      </c>
      <c r="BM451" s="69">
        <v>5.6000000000000001E-2</v>
      </c>
      <c r="BN451" s="69">
        <v>4.1000000000000002E-2</v>
      </c>
      <c r="BO451" s="69">
        <v>0</v>
      </c>
      <c r="BP451" s="69">
        <v>0</v>
      </c>
      <c r="BQ451" s="69">
        <v>0</v>
      </c>
      <c r="BR451" s="62"/>
      <c r="BS451" s="72">
        <f t="shared" ref="BS451:BW451" si="1365">AP451-BJ451</f>
        <v>2.8684587636507164E-3</v>
      </c>
      <c r="BT451" s="72">
        <f t="shared" si="1365"/>
        <v>-0.15464456194099918</v>
      </c>
      <c r="BU451" s="72">
        <f t="shared" si="1365"/>
        <v>0.11120630528240351</v>
      </c>
      <c r="BV451" s="72">
        <f t="shared" si="1365"/>
        <v>-1.1551712210307853E-2</v>
      </c>
      <c r="BW451" s="72">
        <f t="shared" si="1365"/>
        <v>4.5351731976083408E-2</v>
      </c>
      <c r="BX451" s="72"/>
      <c r="BY451" s="72"/>
      <c r="BZ451" s="72">
        <f t="shared" si="794"/>
        <v>6.769778129169457E-3</v>
      </c>
    </row>
    <row r="452" spans="1:78" ht="13.15">
      <c r="A452" s="78" t="s">
        <v>5</v>
      </c>
      <c r="B452" s="74" t="s">
        <v>947</v>
      </c>
      <c r="C452" s="75" t="s">
        <v>948</v>
      </c>
      <c r="D452" s="75" t="s">
        <v>50</v>
      </c>
      <c r="E452" s="76"/>
      <c r="F452" s="59"/>
      <c r="G452" s="60"/>
      <c r="H452" s="77">
        <v>18919</v>
      </c>
      <c r="I452" s="77">
        <v>3057</v>
      </c>
      <c r="J452" s="77">
        <v>6974</v>
      </c>
      <c r="K452" s="77">
        <v>2199</v>
      </c>
      <c r="L452" s="77">
        <v>2642</v>
      </c>
      <c r="M452" s="77"/>
      <c r="N452" s="77"/>
      <c r="O452" s="77">
        <v>4244</v>
      </c>
      <c r="P452" s="77"/>
      <c r="Q452" s="77"/>
      <c r="R452" s="77"/>
      <c r="S452" s="77"/>
      <c r="T452" s="77"/>
      <c r="U452" s="77"/>
      <c r="V452" s="77"/>
      <c r="W452" s="77"/>
      <c r="X452" s="77"/>
      <c r="Y452" s="77"/>
      <c r="Z452" s="77"/>
      <c r="AA452" s="77"/>
      <c r="AB452" s="77"/>
      <c r="AC452" s="77"/>
      <c r="AD452" s="77"/>
      <c r="AE452" s="62"/>
      <c r="AF452" s="63" t="b">
        <v>0</v>
      </c>
      <c r="AG452" s="63" t="b">
        <v>0</v>
      </c>
      <c r="AH452" s="62"/>
      <c r="AI452" s="64">
        <f t="shared" si="786"/>
        <v>38035</v>
      </c>
      <c r="AJ452" s="65" t="str">
        <f t="shared" si="1116"/>
        <v>LAB</v>
      </c>
      <c r="AK452" s="66" t="str">
        <f t="shared" si="787"/>
        <v>HOLD</v>
      </c>
      <c r="AL452" s="67" t="e">
        <f t="shared" ca="1" si="788"/>
        <v>#NAME?</v>
      </c>
      <c r="AM452" s="68">
        <f t="shared" si="637"/>
        <v>11945</v>
      </c>
      <c r="AN452" s="69">
        <f t="shared" si="638"/>
        <v>0.3140528460628369</v>
      </c>
      <c r="AO452" s="62"/>
      <c r="AP452" s="70">
        <f t="shared" ref="AP452:AT452" si="1366">H452/$AI452</f>
        <v>0.49741028000525833</v>
      </c>
      <c r="AQ452" s="70">
        <f t="shared" si="1366"/>
        <v>8.0373340344419619E-2</v>
      </c>
      <c r="AR452" s="70">
        <f t="shared" si="1366"/>
        <v>0.18335743394242146</v>
      </c>
      <c r="AS452" s="70">
        <f t="shared" si="1366"/>
        <v>5.7815170237938737E-2</v>
      </c>
      <c r="AT452" s="70">
        <f t="shared" si="1366"/>
        <v>6.9462337320888662E-2</v>
      </c>
      <c r="AU452" s="70"/>
      <c r="AV452" s="70"/>
      <c r="AW452" s="81">
        <f t="shared" si="790"/>
        <v>0.11158143814907318</v>
      </c>
      <c r="AX452" s="70">
        <f t="shared" ref="AX452:BG452" si="1367">O452/$AI452</f>
        <v>0.11158143814907322</v>
      </c>
      <c r="AY452" s="70">
        <f t="shared" si="1367"/>
        <v>0</v>
      </c>
      <c r="AZ452" s="70">
        <f t="shared" si="1367"/>
        <v>0</v>
      </c>
      <c r="BA452" s="70">
        <f t="shared" si="1367"/>
        <v>0</v>
      </c>
      <c r="BB452" s="70">
        <f t="shared" si="1367"/>
        <v>0</v>
      </c>
      <c r="BC452" s="70">
        <f t="shared" si="1367"/>
        <v>0</v>
      </c>
      <c r="BD452" s="70">
        <f t="shared" si="1367"/>
        <v>0</v>
      </c>
      <c r="BE452" s="70">
        <f t="shared" si="1367"/>
        <v>0</v>
      </c>
      <c r="BF452" s="70">
        <f t="shared" si="1367"/>
        <v>0</v>
      </c>
      <c r="BG452" s="70">
        <f t="shared" si="1367"/>
        <v>0</v>
      </c>
      <c r="BH452" s="70">
        <f t="shared" si="792"/>
        <v>0</v>
      </c>
      <c r="BI452" s="62"/>
      <c r="BJ452" s="69">
        <v>0.58099999999999996</v>
      </c>
      <c r="BK452" s="69">
        <v>0.21299999999999999</v>
      </c>
      <c r="BL452" s="69">
        <v>0.106</v>
      </c>
      <c r="BM452" s="69">
        <v>5.7000000000000002E-2</v>
      </c>
      <c r="BN452" s="69">
        <v>4.2999999999999997E-2</v>
      </c>
      <c r="BO452" s="69">
        <v>0</v>
      </c>
      <c r="BP452" s="69">
        <v>0</v>
      </c>
      <c r="BQ452" s="69">
        <v>0</v>
      </c>
      <c r="BR452" s="62"/>
      <c r="BS452" s="72">
        <f t="shared" ref="BS452:BW452" si="1368">AP452-BJ452</f>
        <v>-8.3589719994741629E-2</v>
      </c>
      <c r="BT452" s="72">
        <f t="shared" si="1368"/>
        <v>-0.13262665965558038</v>
      </c>
      <c r="BU452" s="72">
        <f t="shared" si="1368"/>
        <v>7.7357433942421464E-2</v>
      </c>
      <c r="BV452" s="72">
        <f t="shared" si="1368"/>
        <v>8.1517023793873516E-4</v>
      </c>
      <c r="BW452" s="72">
        <f t="shared" si="1368"/>
        <v>2.6462337320888665E-2</v>
      </c>
      <c r="BX452" s="72"/>
      <c r="BY452" s="72"/>
      <c r="BZ452" s="72">
        <f t="shared" si="794"/>
        <v>0.11158143814907322</v>
      </c>
    </row>
    <row r="453" spans="1:78" ht="13.15">
      <c r="A453" s="73" t="s">
        <v>6</v>
      </c>
      <c r="B453" s="74" t="s">
        <v>949</v>
      </c>
      <c r="C453" s="75" t="s">
        <v>950</v>
      </c>
      <c r="D453" s="75" t="s">
        <v>85</v>
      </c>
      <c r="E453" s="76"/>
      <c r="F453" s="59"/>
      <c r="G453" s="60"/>
      <c r="H453" s="77">
        <v>2788</v>
      </c>
      <c r="I453" s="77">
        <v>11247</v>
      </c>
      <c r="J453" s="77">
        <v>6492</v>
      </c>
      <c r="K453" s="77">
        <v>25033</v>
      </c>
      <c r="L453" s="77">
        <v>1797</v>
      </c>
      <c r="M453" s="77"/>
      <c r="N453" s="77"/>
      <c r="O453" s="77">
        <v>360</v>
      </c>
      <c r="P453" s="77"/>
      <c r="Q453" s="77"/>
      <c r="R453" s="77"/>
      <c r="S453" s="77"/>
      <c r="T453" s="77"/>
      <c r="U453" s="77"/>
      <c r="V453" s="77"/>
      <c r="W453" s="77"/>
      <c r="X453" s="77"/>
      <c r="Y453" s="77">
        <v>187</v>
      </c>
      <c r="Z453" s="77">
        <v>111</v>
      </c>
      <c r="AA453" s="77">
        <v>91</v>
      </c>
      <c r="AB453" s="77"/>
      <c r="AC453" s="77"/>
      <c r="AD453" s="77"/>
      <c r="AE453" s="62"/>
      <c r="AF453" s="63" t="b">
        <v>0</v>
      </c>
      <c r="AG453" s="63" t="b">
        <v>0</v>
      </c>
      <c r="AH453" s="62"/>
      <c r="AI453" s="64">
        <f t="shared" si="786"/>
        <v>48106</v>
      </c>
      <c r="AJ453" s="65" t="str">
        <f t="shared" si="1116"/>
        <v>LDM</v>
      </c>
      <c r="AK453" s="66" t="str">
        <f t="shared" si="787"/>
        <v>GAIN</v>
      </c>
      <c r="AL453" s="67" t="e">
        <f t="shared" ca="1" si="788"/>
        <v>#NAME?</v>
      </c>
      <c r="AM453" s="68">
        <f t="shared" si="637"/>
        <v>13786</v>
      </c>
      <c r="AN453" s="69">
        <f t="shared" si="638"/>
        <v>0.28657547915020998</v>
      </c>
      <c r="AO453" s="62"/>
      <c r="AP453" s="70">
        <f t="shared" ref="AP453:AT453" si="1369">H453/$AI453</f>
        <v>5.7955348605163597E-2</v>
      </c>
      <c r="AQ453" s="70">
        <f t="shared" si="1369"/>
        <v>0.23379620005820478</v>
      </c>
      <c r="AR453" s="70">
        <f t="shared" si="1369"/>
        <v>0.13495198104186587</v>
      </c>
      <c r="AS453" s="70">
        <f t="shared" si="1369"/>
        <v>0.52037167920841476</v>
      </c>
      <c r="AT453" s="70">
        <f t="shared" si="1369"/>
        <v>3.7355007691348273E-2</v>
      </c>
      <c r="AU453" s="70"/>
      <c r="AV453" s="70"/>
      <c r="AW453" s="81">
        <f t="shared" si="790"/>
        <v>1.5569783395002701E-2</v>
      </c>
      <c r="AX453" s="70">
        <f t="shared" ref="AX453:BG453" si="1370">O453/$AI453</f>
        <v>7.4834739949278676E-3</v>
      </c>
      <c r="AY453" s="70">
        <f t="shared" si="1370"/>
        <v>0</v>
      </c>
      <c r="AZ453" s="70">
        <f t="shared" si="1370"/>
        <v>0</v>
      </c>
      <c r="BA453" s="70">
        <f t="shared" si="1370"/>
        <v>0</v>
      </c>
      <c r="BB453" s="70">
        <f t="shared" si="1370"/>
        <v>0</v>
      </c>
      <c r="BC453" s="70">
        <f t="shared" si="1370"/>
        <v>0</v>
      </c>
      <c r="BD453" s="70">
        <f t="shared" si="1370"/>
        <v>0</v>
      </c>
      <c r="BE453" s="70">
        <f t="shared" si="1370"/>
        <v>0</v>
      </c>
      <c r="BF453" s="70">
        <f t="shared" si="1370"/>
        <v>0</v>
      </c>
      <c r="BG453" s="70">
        <f t="shared" si="1370"/>
        <v>0</v>
      </c>
      <c r="BH453" s="70">
        <f t="shared" si="792"/>
        <v>8.0863094000748342E-3</v>
      </c>
      <c r="BI453" s="62"/>
      <c r="BJ453" s="69">
        <v>9.0999999999999998E-2</v>
      </c>
      <c r="BK453" s="69">
        <v>0.49</v>
      </c>
      <c r="BL453" s="69">
        <v>0</v>
      </c>
      <c r="BM453" s="69">
        <v>0.39300000000000002</v>
      </c>
      <c r="BN453" s="69">
        <v>1.7999999999999999E-2</v>
      </c>
      <c r="BO453" s="69">
        <v>0</v>
      </c>
      <c r="BP453" s="69">
        <v>0</v>
      </c>
      <c r="BQ453" s="69">
        <v>8.0000000000000002E-3</v>
      </c>
      <c r="BR453" s="62"/>
      <c r="BS453" s="72">
        <f t="shared" ref="BS453:BW453" si="1371">AP453-BJ453</f>
        <v>-3.3044651394836401E-2</v>
      </c>
      <c r="BT453" s="72">
        <f t="shared" si="1371"/>
        <v>-0.25620379994179521</v>
      </c>
      <c r="BU453" s="72">
        <f t="shared" si="1371"/>
        <v>0.13495198104186587</v>
      </c>
      <c r="BV453" s="72">
        <f t="shared" si="1371"/>
        <v>0.12737167920841475</v>
      </c>
      <c r="BW453" s="72">
        <f t="shared" si="1371"/>
        <v>1.9355007691348274E-2</v>
      </c>
      <c r="BX453" s="72"/>
      <c r="BY453" s="72"/>
      <c r="BZ453" s="72">
        <f t="shared" si="794"/>
        <v>7.5697833950027008E-3</v>
      </c>
    </row>
    <row r="454" spans="1:78" ht="13.15">
      <c r="A454" s="73" t="s">
        <v>6</v>
      </c>
      <c r="B454" s="74" t="s">
        <v>951</v>
      </c>
      <c r="C454" s="75" t="s">
        <v>952</v>
      </c>
      <c r="D454" s="75" t="s">
        <v>78</v>
      </c>
      <c r="E454" s="76"/>
      <c r="F454" s="59"/>
      <c r="G454" s="60"/>
      <c r="H454" s="77">
        <v>6918</v>
      </c>
      <c r="I454" s="77">
        <v>14896</v>
      </c>
      <c r="J454" s="77">
        <v>5673</v>
      </c>
      <c r="K454" s="77">
        <v>19517</v>
      </c>
      <c r="L454" s="77">
        <v>2663</v>
      </c>
      <c r="M454" s="77"/>
      <c r="N454" s="77"/>
      <c r="O454" s="77">
        <v>2941</v>
      </c>
      <c r="P454" s="77"/>
      <c r="Q454" s="77"/>
      <c r="R454" s="77"/>
      <c r="S454" s="77"/>
      <c r="T454" s="77"/>
      <c r="U454" s="77"/>
      <c r="V454" s="77"/>
      <c r="W454" s="77"/>
      <c r="X454" s="77"/>
      <c r="Y454" s="77">
        <v>274</v>
      </c>
      <c r="Z454" s="77"/>
      <c r="AA454" s="77"/>
      <c r="AB454" s="77"/>
      <c r="AC454" s="77"/>
      <c r="AD454" s="77"/>
      <c r="AE454" s="62"/>
      <c r="AF454" s="63" t="b">
        <v>0</v>
      </c>
      <c r="AG454" s="63" t="b">
        <v>0</v>
      </c>
      <c r="AH454" s="62"/>
      <c r="AI454" s="64">
        <f t="shared" si="786"/>
        <v>52882</v>
      </c>
      <c r="AJ454" s="65" t="str">
        <f t="shared" si="1116"/>
        <v>LDM</v>
      </c>
      <c r="AK454" s="66" t="str">
        <f t="shared" si="787"/>
        <v>GAIN</v>
      </c>
      <c r="AL454" s="67" t="e">
        <f t="shared" ca="1" si="788"/>
        <v>#NAME?</v>
      </c>
      <c r="AM454" s="68">
        <f t="shared" si="637"/>
        <v>4621</v>
      </c>
      <c r="AN454" s="69">
        <f t="shared" si="638"/>
        <v>8.7383230588858218E-2</v>
      </c>
      <c r="AO454" s="62"/>
      <c r="AP454" s="70">
        <f t="shared" ref="AP454:AT454" si="1372">H454/$AI454</f>
        <v>0.13081956053099353</v>
      </c>
      <c r="AQ454" s="70">
        <f t="shared" si="1372"/>
        <v>0.28168374872357321</v>
      </c>
      <c r="AR454" s="70">
        <f t="shared" si="1372"/>
        <v>0.1072765780416777</v>
      </c>
      <c r="AS454" s="70">
        <f t="shared" si="1372"/>
        <v>0.36906697931243143</v>
      </c>
      <c r="AT454" s="70">
        <f t="shared" si="1372"/>
        <v>5.0357399493211302E-2</v>
      </c>
      <c r="AU454" s="70"/>
      <c r="AV454" s="70"/>
      <c r="AW454" s="81">
        <f t="shared" si="790"/>
        <v>6.0795733898112769E-2</v>
      </c>
      <c r="AX454" s="70">
        <f t="shared" ref="AX454:BG454" si="1373">O454/$AI454</f>
        <v>5.5614386747853711E-2</v>
      </c>
      <c r="AY454" s="70">
        <f t="shared" si="1373"/>
        <v>0</v>
      </c>
      <c r="AZ454" s="70">
        <f t="shared" si="1373"/>
        <v>0</v>
      </c>
      <c r="BA454" s="70">
        <f t="shared" si="1373"/>
        <v>0</v>
      </c>
      <c r="BB454" s="70">
        <f t="shared" si="1373"/>
        <v>0</v>
      </c>
      <c r="BC454" s="70">
        <f t="shared" si="1373"/>
        <v>0</v>
      </c>
      <c r="BD454" s="70">
        <f t="shared" si="1373"/>
        <v>0</v>
      </c>
      <c r="BE454" s="70">
        <f t="shared" si="1373"/>
        <v>0</v>
      </c>
      <c r="BF454" s="70">
        <f t="shared" si="1373"/>
        <v>0</v>
      </c>
      <c r="BG454" s="70">
        <f t="shared" si="1373"/>
        <v>0</v>
      </c>
      <c r="BH454" s="70">
        <f t="shared" si="792"/>
        <v>5.181347150259058E-3</v>
      </c>
      <c r="BI454" s="62"/>
      <c r="BJ454" s="69">
        <v>0.188</v>
      </c>
      <c r="BK454" s="69">
        <v>0.51300000000000001</v>
      </c>
      <c r="BL454" s="69">
        <v>0</v>
      </c>
      <c r="BM454" s="69">
        <v>0.26800000000000002</v>
      </c>
      <c r="BN454" s="69">
        <v>1.7000000000000001E-2</v>
      </c>
      <c r="BO454" s="69">
        <v>0</v>
      </c>
      <c r="BP454" s="69">
        <v>0</v>
      </c>
      <c r="BQ454" s="69">
        <v>1.4E-2</v>
      </c>
      <c r="BR454" s="62"/>
      <c r="BS454" s="72">
        <f t="shared" ref="BS454:BW454" si="1374">AP454-BJ454</f>
        <v>-5.7180439469006472E-2</v>
      </c>
      <c r="BT454" s="72">
        <f t="shared" si="1374"/>
        <v>-0.2313162512764268</v>
      </c>
      <c r="BU454" s="72">
        <f t="shared" si="1374"/>
        <v>0.1072765780416777</v>
      </c>
      <c r="BV454" s="72">
        <f t="shared" si="1374"/>
        <v>0.10106697931243142</v>
      </c>
      <c r="BW454" s="72">
        <f t="shared" si="1374"/>
        <v>3.3357399493211301E-2</v>
      </c>
      <c r="BX454" s="72"/>
      <c r="BY454" s="72"/>
      <c r="BZ454" s="72">
        <f t="shared" si="794"/>
        <v>4.6795733898112771E-2</v>
      </c>
    </row>
    <row r="455" spans="1:78" ht="13.15">
      <c r="A455" s="73" t="s">
        <v>6</v>
      </c>
      <c r="B455" s="74" t="s">
        <v>953</v>
      </c>
      <c r="C455" s="75" t="s">
        <v>954</v>
      </c>
      <c r="D455" s="75" t="s">
        <v>47</v>
      </c>
      <c r="E455" s="76"/>
      <c r="F455" s="59">
        <v>0.66800000000000004</v>
      </c>
      <c r="G455" s="60"/>
      <c r="H455" s="77">
        <v>18531</v>
      </c>
      <c r="I455" s="77">
        <v>13936</v>
      </c>
      <c r="J455" s="77">
        <v>8612</v>
      </c>
      <c r="K455" s="77">
        <v>1676</v>
      </c>
      <c r="L455" s="77">
        <v>2856</v>
      </c>
      <c r="M455" s="77"/>
      <c r="N455" s="77"/>
      <c r="O455" s="77"/>
      <c r="P455" s="77"/>
      <c r="Q455" s="77"/>
      <c r="R455" s="77"/>
      <c r="S455" s="77"/>
      <c r="T455" s="77"/>
      <c r="U455" s="77"/>
      <c r="V455" s="77"/>
      <c r="W455" s="77"/>
      <c r="X455" s="77"/>
      <c r="Y455" s="77">
        <v>307</v>
      </c>
      <c r="Z455" s="77">
        <v>91</v>
      </c>
      <c r="AA455" s="77"/>
      <c r="AB455" s="77"/>
      <c r="AC455" s="77"/>
      <c r="AD455" s="77"/>
      <c r="AE455" s="62"/>
      <c r="AF455" s="63" t="b">
        <v>1</v>
      </c>
      <c r="AG455" s="63" t="b">
        <v>0</v>
      </c>
      <c r="AH455" s="62"/>
      <c r="AI455" s="64">
        <f t="shared" si="786"/>
        <v>46009</v>
      </c>
      <c r="AJ455" s="65" t="str">
        <f t="shared" si="1116"/>
        <v>LAB</v>
      </c>
      <c r="AK455" s="66" t="str">
        <f t="shared" si="787"/>
        <v>GAIN</v>
      </c>
      <c r="AL455" s="67" t="e">
        <f t="shared" ca="1" si="788"/>
        <v>#NAME?</v>
      </c>
      <c r="AM455" s="68">
        <f t="shared" si="637"/>
        <v>4595</v>
      </c>
      <c r="AN455" s="69">
        <f t="shared" si="638"/>
        <v>9.9871764220043902E-2</v>
      </c>
      <c r="AO455" s="62"/>
      <c r="AP455" s="70">
        <f t="shared" ref="AP455:AT455" si="1375">H455/$AI455</f>
        <v>0.40276902345193333</v>
      </c>
      <c r="AQ455" s="70">
        <f t="shared" si="1375"/>
        <v>0.30289725923188943</v>
      </c>
      <c r="AR455" s="70">
        <f t="shared" si="1375"/>
        <v>0.18718076897998218</v>
      </c>
      <c r="AS455" s="70">
        <f t="shared" si="1375"/>
        <v>3.6427655458714597E-2</v>
      </c>
      <c r="AT455" s="70">
        <f t="shared" si="1375"/>
        <v>6.2074811449933709E-2</v>
      </c>
      <c r="AU455" s="70"/>
      <c r="AV455" s="70"/>
      <c r="AW455" s="81">
        <f t="shared" si="790"/>
        <v>8.6504814275467634E-3</v>
      </c>
      <c r="AX455" s="70">
        <f t="shared" ref="AX455:BG455" si="1376">O455/$AI455</f>
        <v>0</v>
      </c>
      <c r="AY455" s="70">
        <f t="shared" si="1376"/>
        <v>0</v>
      </c>
      <c r="AZ455" s="70">
        <f t="shared" si="1376"/>
        <v>0</v>
      </c>
      <c r="BA455" s="70">
        <f t="shared" si="1376"/>
        <v>0</v>
      </c>
      <c r="BB455" s="70">
        <f t="shared" si="1376"/>
        <v>0</v>
      </c>
      <c r="BC455" s="70">
        <f t="shared" si="1376"/>
        <v>0</v>
      </c>
      <c r="BD455" s="70">
        <f t="shared" si="1376"/>
        <v>0</v>
      </c>
      <c r="BE455" s="70">
        <f t="shared" si="1376"/>
        <v>0</v>
      </c>
      <c r="BF455" s="70">
        <f t="shared" si="1376"/>
        <v>0</v>
      </c>
      <c r="BG455" s="70">
        <f t="shared" si="1376"/>
        <v>0</v>
      </c>
      <c r="BH455" s="70">
        <f t="shared" si="792"/>
        <v>8.6504814275467634E-3</v>
      </c>
      <c r="BI455" s="62"/>
      <c r="BJ455" s="69">
        <v>0.312</v>
      </c>
      <c r="BK455" s="69">
        <v>0.57899999999999996</v>
      </c>
      <c r="BL455" s="69">
        <v>0</v>
      </c>
      <c r="BM455" s="69">
        <v>6.4000000000000001E-2</v>
      </c>
      <c r="BN455" s="69">
        <v>4.4999999999999998E-2</v>
      </c>
      <c r="BO455" s="69">
        <v>0</v>
      </c>
      <c r="BP455" s="69">
        <v>0</v>
      </c>
      <c r="BQ455" s="69">
        <v>0</v>
      </c>
      <c r="BR455" s="62"/>
      <c r="BS455" s="72">
        <f t="shared" ref="BS455:BW455" si="1377">AP455-BJ455</f>
        <v>9.0769023451933328E-2</v>
      </c>
      <c r="BT455" s="72">
        <f t="shared" si="1377"/>
        <v>-0.27610274076811053</v>
      </c>
      <c r="BU455" s="72">
        <f t="shared" si="1377"/>
        <v>0.18718076897998218</v>
      </c>
      <c r="BV455" s="72">
        <f t="shared" si="1377"/>
        <v>-2.7572344541285404E-2</v>
      </c>
      <c r="BW455" s="72">
        <f t="shared" si="1377"/>
        <v>1.7074811449933711E-2</v>
      </c>
      <c r="BX455" s="72"/>
      <c r="BY455" s="72"/>
      <c r="BZ455" s="72">
        <f t="shared" si="794"/>
        <v>8.6504814275467634E-3</v>
      </c>
    </row>
    <row r="456" spans="1:78" ht="13.15">
      <c r="A456" s="73" t="s">
        <v>6</v>
      </c>
      <c r="B456" s="74" t="s">
        <v>955</v>
      </c>
      <c r="C456" s="75" t="s">
        <v>956</v>
      </c>
      <c r="D456" s="75" t="s">
        <v>47</v>
      </c>
      <c r="E456" s="76"/>
      <c r="F456" s="59"/>
      <c r="G456" s="60"/>
      <c r="H456" s="77">
        <v>14135</v>
      </c>
      <c r="I456" s="77">
        <v>15310</v>
      </c>
      <c r="J456" s="77">
        <v>10065</v>
      </c>
      <c r="K456" s="77">
        <v>1499</v>
      </c>
      <c r="L456" s="77">
        <v>2293</v>
      </c>
      <c r="M456" s="77"/>
      <c r="N456" s="77"/>
      <c r="O456" s="77"/>
      <c r="P456" s="77"/>
      <c r="Q456" s="77"/>
      <c r="R456" s="77"/>
      <c r="S456" s="77"/>
      <c r="T456" s="77"/>
      <c r="U456" s="77"/>
      <c r="V456" s="77"/>
      <c r="W456" s="77"/>
      <c r="X456" s="77"/>
      <c r="Y456" s="77"/>
      <c r="Z456" s="77"/>
      <c r="AA456" s="77"/>
      <c r="AB456" s="77"/>
      <c r="AC456" s="77"/>
      <c r="AD456" s="77"/>
      <c r="AE456" s="62"/>
      <c r="AF456" s="63" t="b">
        <v>0</v>
      </c>
      <c r="AG456" s="63" t="b">
        <v>0</v>
      </c>
      <c r="AH456" s="62"/>
      <c r="AI456" s="64">
        <f t="shared" si="786"/>
        <v>43302</v>
      </c>
      <c r="AJ456" s="65" t="str">
        <f t="shared" si="1116"/>
        <v>CON</v>
      </c>
      <c r="AK456" s="66" t="str">
        <f t="shared" si="787"/>
        <v>HOLD</v>
      </c>
      <c r="AL456" s="67" t="e">
        <f t="shared" ca="1" si="788"/>
        <v>#NAME?</v>
      </c>
      <c r="AM456" s="68">
        <f t="shared" si="637"/>
        <v>1175</v>
      </c>
      <c r="AN456" s="69">
        <f t="shared" si="638"/>
        <v>2.7135005311532956E-2</v>
      </c>
      <c r="AO456" s="62"/>
      <c r="AP456" s="70">
        <f t="shared" ref="AP456:AT456" si="1378">H456/$AI456</f>
        <v>0.32642834049235603</v>
      </c>
      <c r="AQ456" s="70">
        <f t="shared" si="1378"/>
        <v>0.35356334580388898</v>
      </c>
      <c r="AR456" s="70">
        <f t="shared" si="1378"/>
        <v>0.23243730081751421</v>
      </c>
      <c r="AS456" s="70">
        <f t="shared" si="1378"/>
        <v>3.4617338691053531E-2</v>
      </c>
      <c r="AT456" s="70">
        <f t="shared" si="1378"/>
        <v>5.2953674195187289E-2</v>
      </c>
      <c r="AU456" s="70"/>
      <c r="AV456" s="70"/>
      <c r="AW456" s="81">
        <f t="shared" si="790"/>
        <v>0</v>
      </c>
      <c r="AX456" s="70">
        <f t="shared" ref="AX456:BG456" si="1379">O456/$AI456</f>
        <v>0</v>
      </c>
      <c r="AY456" s="70">
        <f t="shared" si="1379"/>
        <v>0</v>
      </c>
      <c r="AZ456" s="70">
        <f t="shared" si="1379"/>
        <v>0</v>
      </c>
      <c r="BA456" s="70">
        <f t="shared" si="1379"/>
        <v>0</v>
      </c>
      <c r="BB456" s="70">
        <f t="shared" si="1379"/>
        <v>0</v>
      </c>
      <c r="BC456" s="70">
        <f t="shared" si="1379"/>
        <v>0</v>
      </c>
      <c r="BD456" s="70">
        <f t="shared" si="1379"/>
        <v>0</v>
      </c>
      <c r="BE456" s="70">
        <f t="shared" si="1379"/>
        <v>0</v>
      </c>
      <c r="BF456" s="70">
        <f t="shared" si="1379"/>
        <v>0</v>
      </c>
      <c r="BG456" s="70">
        <f t="shared" si="1379"/>
        <v>0</v>
      </c>
      <c r="BH456" s="70">
        <f t="shared" si="792"/>
        <v>0</v>
      </c>
      <c r="BI456" s="62"/>
      <c r="BJ456" s="69">
        <v>0.26700000000000002</v>
      </c>
      <c r="BK456" s="69">
        <v>0.64100000000000001</v>
      </c>
      <c r="BL456" s="69">
        <v>0</v>
      </c>
      <c r="BM456" s="69">
        <v>6.0999999999999999E-2</v>
      </c>
      <c r="BN456" s="69">
        <v>3.1E-2</v>
      </c>
      <c r="BO456" s="69">
        <v>0</v>
      </c>
      <c r="BP456" s="69">
        <v>0</v>
      </c>
      <c r="BQ456" s="69">
        <v>0</v>
      </c>
      <c r="BR456" s="62"/>
      <c r="BS456" s="72">
        <f t="shared" ref="BS456:BW456" si="1380">AP456-BJ456</f>
        <v>5.9428340492356013E-2</v>
      </c>
      <c r="BT456" s="72">
        <f t="shared" si="1380"/>
        <v>-0.28743665419611103</v>
      </c>
      <c r="BU456" s="72">
        <f t="shared" si="1380"/>
        <v>0.23243730081751421</v>
      </c>
      <c r="BV456" s="72">
        <f t="shared" si="1380"/>
        <v>-2.6382661308946467E-2</v>
      </c>
      <c r="BW456" s="72">
        <f t="shared" si="1380"/>
        <v>2.1953674195187289E-2</v>
      </c>
      <c r="BX456" s="72"/>
      <c r="BY456" s="72"/>
      <c r="BZ456" s="72">
        <f t="shared" si="794"/>
        <v>0</v>
      </c>
    </row>
    <row r="457" spans="1:78" ht="13.15">
      <c r="A457" s="78" t="s">
        <v>5</v>
      </c>
      <c r="B457" s="74" t="s">
        <v>957</v>
      </c>
      <c r="C457" s="75" t="s">
        <v>958</v>
      </c>
      <c r="D457" s="75" t="s">
        <v>50</v>
      </c>
      <c r="E457" s="76"/>
      <c r="F457" s="59">
        <v>0.504</v>
      </c>
      <c r="G457" s="60"/>
      <c r="H457" s="77">
        <v>16320</v>
      </c>
      <c r="I457" s="77">
        <v>6872</v>
      </c>
      <c r="J457" s="77">
        <v>7781</v>
      </c>
      <c r="K457" s="77">
        <v>1080</v>
      </c>
      <c r="L457" s="77">
        <v>2745</v>
      </c>
      <c r="M457" s="77"/>
      <c r="N457" s="77"/>
      <c r="O457" s="77">
        <v>1214</v>
      </c>
      <c r="P457" s="77">
        <v>1227</v>
      </c>
      <c r="Q457" s="77"/>
      <c r="R457" s="77"/>
      <c r="S457" s="77"/>
      <c r="T457" s="77"/>
      <c r="U457" s="77"/>
      <c r="V457" s="77"/>
      <c r="W457" s="77"/>
      <c r="X457" s="77"/>
      <c r="Y457" s="77"/>
      <c r="Z457" s="77"/>
      <c r="AA457" s="77"/>
      <c r="AB457" s="77"/>
      <c r="AC457" s="77"/>
      <c r="AD457" s="77"/>
      <c r="AE457" s="62"/>
      <c r="AF457" s="63" t="b">
        <v>1</v>
      </c>
      <c r="AG457" s="63" t="b">
        <v>0</v>
      </c>
      <c r="AH457" s="62"/>
      <c r="AI457" s="64">
        <f t="shared" si="786"/>
        <v>37239</v>
      </c>
      <c r="AJ457" s="65" t="str">
        <f t="shared" si="1116"/>
        <v>LAB</v>
      </c>
      <c r="AK457" s="66" t="str">
        <f t="shared" si="787"/>
        <v>HOLD</v>
      </c>
      <c r="AL457" s="67" t="e">
        <f t="shared" ca="1" si="788"/>
        <v>#NAME?</v>
      </c>
      <c r="AM457" s="68">
        <f t="shared" si="637"/>
        <v>8539</v>
      </c>
      <c r="AN457" s="69">
        <f t="shared" si="638"/>
        <v>0.22930261285211739</v>
      </c>
      <c r="AO457" s="62"/>
      <c r="AP457" s="70">
        <f t="shared" ref="AP457:AT457" si="1381">H457/$AI457</f>
        <v>0.43825022154193183</v>
      </c>
      <c r="AQ457" s="70">
        <f t="shared" si="1381"/>
        <v>0.18453771583554876</v>
      </c>
      <c r="AR457" s="70">
        <f t="shared" si="1381"/>
        <v>0.20894760868981443</v>
      </c>
      <c r="AS457" s="70">
        <f t="shared" si="1381"/>
        <v>2.9001852896157254E-2</v>
      </c>
      <c r="AT457" s="70">
        <f t="shared" si="1381"/>
        <v>7.3713042777733023E-2</v>
      </c>
      <c r="AU457" s="70"/>
      <c r="AV457" s="70"/>
      <c r="AW457" s="81">
        <f t="shared" si="790"/>
        <v>6.5549558258814589E-2</v>
      </c>
      <c r="AX457" s="70">
        <f t="shared" ref="AX457:BG457" si="1382">O457/$AI457</f>
        <v>3.2600230940680472E-2</v>
      </c>
      <c r="AY457" s="70">
        <f t="shared" si="1382"/>
        <v>3.2949327318134214E-2</v>
      </c>
      <c r="AZ457" s="70">
        <f t="shared" si="1382"/>
        <v>0</v>
      </c>
      <c r="BA457" s="70">
        <f t="shared" si="1382"/>
        <v>0</v>
      </c>
      <c r="BB457" s="70">
        <f t="shared" si="1382"/>
        <v>0</v>
      </c>
      <c r="BC457" s="70">
        <f t="shared" si="1382"/>
        <v>0</v>
      </c>
      <c r="BD457" s="70">
        <f t="shared" si="1382"/>
        <v>0</v>
      </c>
      <c r="BE457" s="70">
        <f t="shared" si="1382"/>
        <v>0</v>
      </c>
      <c r="BF457" s="70">
        <f t="shared" si="1382"/>
        <v>0</v>
      </c>
      <c r="BG457" s="70">
        <f t="shared" si="1382"/>
        <v>0</v>
      </c>
      <c r="BH457" s="70">
        <f t="shared" si="792"/>
        <v>0</v>
      </c>
      <c r="BI457" s="62"/>
      <c r="BJ457" s="69">
        <v>0.44900000000000001</v>
      </c>
      <c r="BK457" s="69">
        <v>0.38</v>
      </c>
      <c r="BL457" s="69">
        <v>8.5000000000000006E-2</v>
      </c>
      <c r="BM457" s="69">
        <v>4.2999999999999997E-2</v>
      </c>
      <c r="BN457" s="69">
        <v>3.3000000000000002E-2</v>
      </c>
      <c r="BO457" s="69">
        <v>0</v>
      </c>
      <c r="BP457" s="69">
        <v>0</v>
      </c>
      <c r="BQ457" s="69">
        <v>0.01</v>
      </c>
      <c r="BR457" s="62"/>
      <c r="BS457" s="72">
        <f t="shared" ref="BS457:BW457" si="1383">AP457-BJ457</f>
        <v>-1.0749778458068182E-2</v>
      </c>
      <c r="BT457" s="72">
        <f t="shared" si="1383"/>
        <v>-0.19546228416445124</v>
      </c>
      <c r="BU457" s="72">
        <f t="shared" si="1383"/>
        <v>0.12394760868981443</v>
      </c>
      <c r="BV457" s="72">
        <f t="shared" si="1383"/>
        <v>-1.3998147103842742E-2</v>
      </c>
      <c r="BW457" s="72">
        <f t="shared" si="1383"/>
        <v>4.0713042777733022E-2</v>
      </c>
      <c r="BX457" s="72"/>
      <c r="BY457" s="72"/>
      <c r="BZ457" s="72">
        <f t="shared" si="794"/>
        <v>5.5549558258814684E-2</v>
      </c>
    </row>
    <row r="458" spans="1:78" ht="13.15">
      <c r="A458" s="73" t="s">
        <v>6</v>
      </c>
      <c r="B458" s="74" t="s">
        <v>959</v>
      </c>
      <c r="C458" s="75" t="s">
        <v>960</v>
      </c>
      <c r="D458" s="75" t="s">
        <v>78</v>
      </c>
      <c r="E458" s="76"/>
      <c r="F458" s="59"/>
      <c r="G458" s="60"/>
      <c r="H458" s="77">
        <v>17698</v>
      </c>
      <c r="I458" s="77">
        <v>11080</v>
      </c>
      <c r="J458" s="77">
        <v>7667</v>
      </c>
      <c r="K458" s="77">
        <v>3467</v>
      </c>
      <c r="L458" s="77">
        <v>2655</v>
      </c>
      <c r="M458" s="77"/>
      <c r="N458" s="77"/>
      <c r="O458" s="77"/>
      <c r="P458" s="77"/>
      <c r="Q458" s="77"/>
      <c r="R458" s="77"/>
      <c r="S458" s="77"/>
      <c r="T458" s="77"/>
      <c r="U458" s="77"/>
      <c r="V458" s="77"/>
      <c r="W458" s="77"/>
      <c r="X458" s="77"/>
      <c r="Y458" s="77">
        <v>148</v>
      </c>
      <c r="Z458" s="77"/>
      <c r="AA458" s="77"/>
      <c r="AB458" s="77"/>
      <c r="AC458" s="77"/>
      <c r="AD458" s="77"/>
      <c r="AE458" s="62"/>
      <c r="AF458" s="63" t="b">
        <v>0</v>
      </c>
      <c r="AG458" s="63" t="b">
        <v>0</v>
      </c>
      <c r="AH458" s="62"/>
      <c r="AI458" s="64">
        <f t="shared" si="786"/>
        <v>42715</v>
      </c>
      <c r="AJ458" s="65" t="str">
        <f t="shared" si="1116"/>
        <v>LAB</v>
      </c>
      <c r="AK458" s="66" t="str">
        <f t="shared" si="787"/>
        <v>GAIN</v>
      </c>
      <c r="AL458" s="67" t="e">
        <f t="shared" ca="1" si="788"/>
        <v>#NAME?</v>
      </c>
      <c r="AM458" s="68">
        <f t="shared" si="637"/>
        <v>6618</v>
      </c>
      <c r="AN458" s="69">
        <f t="shared" si="638"/>
        <v>0.15493386398220765</v>
      </c>
      <c r="AO458" s="62"/>
      <c r="AP458" s="70">
        <f t="shared" ref="AP458:AT458" si="1384">H458/$AI458</f>
        <v>0.41432751960669556</v>
      </c>
      <c r="AQ458" s="70">
        <f t="shared" si="1384"/>
        <v>0.25939365562448791</v>
      </c>
      <c r="AR458" s="70">
        <f t="shared" si="1384"/>
        <v>0.17949198173943579</v>
      </c>
      <c r="AS458" s="70">
        <f t="shared" si="1384"/>
        <v>8.1165866791525224E-2</v>
      </c>
      <c r="AT458" s="70">
        <f t="shared" si="1384"/>
        <v>6.215615123492918E-2</v>
      </c>
      <c r="AU458" s="70"/>
      <c r="AV458" s="70"/>
      <c r="AW458" s="81">
        <f t="shared" si="790"/>
        <v>3.4648250029263306E-3</v>
      </c>
      <c r="AX458" s="70">
        <f t="shared" ref="AX458:BG458" si="1385">O458/$AI458</f>
        <v>0</v>
      </c>
      <c r="AY458" s="70">
        <f t="shared" si="1385"/>
        <v>0</v>
      </c>
      <c r="AZ458" s="70">
        <f t="shared" si="1385"/>
        <v>0</v>
      </c>
      <c r="BA458" s="70">
        <f t="shared" si="1385"/>
        <v>0</v>
      </c>
      <c r="BB458" s="70">
        <f t="shared" si="1385"/>
        <v>0</v>
      </c>
      <c r="BC458" s="70">
        <f t="shared" si="1385"/>
        <v>0</v>
      </c>
      <c r="BD458" s="70">
        <f t="shared" si="1385"/>
        <v>0</v>
      </c>
      <c r="BE458" s="70">
        <f t="shared" si="1385"/>
        <v>0</v>
      </c>
      <c r="BF458" s="70">
        <f t="shared" si="1385"/>
        <v>0</v>
      </c>
      <c r="BG458" s="70">
        <f t="shared" si="1385"/>
        <v>0</v>
      </c>
      <c r="BH458" s="70">
        <f t="shared" si="792"/>
        <v>3.4648250029263306E-3</v>
      </c>
      <c r="BI458" s="62"/>
      <c r="BJ458" s="69">
        <v>0.35199999999999998</v>
      </c>
      <c r="BK458" s="69">
        <v>0.53100000000000003</v>
      </c>
      <c r="BL458" s="69">
        <v>0</v>
      </c>
      <c r="BM458" s="69">
        <v>8.6999999999999994E-2</v>
      </c>
      <c r="BN458" s="69">
        <v>3.1E-2</v>
      </c>
      <c r="BO458" s="69">
        <v>0</v>
      </c>
      <c r="BP458" s="69">
        <v>0</v>
      </c>
      <c r="BQ458" s="69">
        <v>0</v>
      </c>
      <c r="BR458" s="62"/>
      <c r="BS458" s="72">
        <f t="shared" ref="BS458:BW458" si="1386">AP458-BJ458</f>
        <v>6.2327519606695581E-2</v>
      </c>
      <c r="BT458" s="72">
        <f t="shared" si="1386"/>
        <v>-0.27160634437551212</v>
      </c>
      <c r="BU458" s="72">
        <f t="shared" si="1386"/>
        <v>0.17949198173943579</v>
      </c>
      <c r="BV458" s="72">
        <f t="shared" si="1386"/>
        <v>-5.8341332084747705E-3</v>
      </c>
      <c r="BW458" s="72">
        <f t="shared" si="1386"/>
        <v>3.115615123492918E-2</v>
      </c>
      <c r="BX458" s="72"/>
      <c r="BY458" s="72"/>
      <c r="BZ458" s="72">
        <f t="shared" si="794"/>
        <v>3.4648250029263306E-3</v>
      </c>
    </row>
    <row r="459" spans="1:78" ht="13.15">
      <c r="A459" s="78" t="s">
        <v>5</v>
      </c>
      <c r="B459" s="74" t="s">
        <v>961</v>
      </c>
      <c r="C459" s="75" t="s">
        <v>962</v>
      </c>
      <c r="D459" s="75" t="s">
        <v>50</v>
      </c>
      <c r="E459" s="76"/>
      <c r="F459" s="59"/>
      <c r="G459" s="60"/>
      <c r="H459" s="77">
        <v>21787</v>
      </c>
      <c r="I459" s="77">
        <v>4967</v>
      </c>
      <c r="J459" s="77">
        <v>6517</v>
      </c>
      <c r="K459" s="77">
        <v>3724</v>
      </c>
      <c r="L459" s="77">
        <v>4865</v>
      </c>
      <c r="M459" s="77"/>
      <c r="N459" s="77"/>
      <c r="O459" s="77"/>
      <c r="P459" s="77">
        <v>1630</v>
      </c>
      <c r="Q459" s="77"/>
      <c r="R459" s="77">
        <v>193</v>
      </c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62"/>
      <c r="AF459" s="63" t="b">
        <v>0</v>
      </c>
      <c r="AG459" s="63" t="b">
        <v>0</v>
      </c>
      <c r="AH459" s="62"/>
      <c r="AI459" s="64">
        <f t="shared" si="786"/>
        <v>43683</v>
      </c>
      <c r="AJ459" s="65" t="str">
        <f t="shared" si="1116"/>
        <v>LAB</v>
      </c>
      <c r="AK459" s="66" t="str">
        <f t="shared" si="787"/>
        <v>HOLD</v>
      </c>
      <c r="AL459" s="67" t="e">
        <f t="shared" ca="1" si="788"/>
        <v>#NAME?</v>
      </c>
      <c r="AM459" s="68">
        <f t="shared" si="637"/>
        <v>15270</v>
      </c>
      <c r="AN459" s="69">
        <f t="shared" si="638"/>
        <v>0.34956390357805101</v>
      </c>
      <c r="AO459" s="62"/>
      <c r="AP459" s="70">
        <f t="shared" ref="AP459:AT459" si="1387">H459/$AI459</f>
        <v>0.4987523750658151</v>
      </c>
      <c r="AQ459" s="70">
        <f t="shared" si="1387"/>
        <v>0.11370556051553236</v>
      </c>
      <c r="AR459" s="70">
        <f t="shared" si="1387"/>
        <v>0.14918847148776412</v>
      </c>
      <c r="AS459" s="70">
        <f t="shared" si="1387"/>
        <v>8.5250555135865214E-2</v>
      </c>
      <c r="AT459" s="70">
        <f t="shared" si="1387"/>
        <v>0.11137055605155323</v>
      </c>
      <c r="AU459" s="70"/>
      <c r="AV459" s="70"/>
      <c r="AW459" s="81">
        <f t="shared" si="790"/>
        <v>4.1732481743469996E-2</v>
      </c>
      <c r="AX459" s="70">
        <f t="shared" ref="AX459:BG459" si="1388">O459/$AI459</f>
        <v>0</v>
      </c>
      <c r="AY459" s="70">
        <f t="shared" si="1388"/>
        <v>3.7314287022411463E-2</v>
      </c>
      <c r="AZ459" s="70">
        <f t="shared" si="1388"/>
        <v>0</v>
      </c>
      <c r="BA459" s="70">
        <f t="shared" si="1388"/>
        <v>4.4181947210585352E-3</v>
      </c>
      <c r="BB459" s="70">
        <f t="shared" si="1388"/>
        <v>0</v>
      </c>
      <c r="BC459" s="70">
        <f t="shared" si="1388"/>
        <v>0</v>
      </c>
      <c r="BD459" s="70">
        <f t="shared" si="1388"/>
        <v>0</v>
      </c>
      <c r="BE459" s="70">
        <f t="shared" si="1388"/>
        <v>0</v>
      </c>
      <c r="BF459" s="70">
        <f t="shared" si="1388"/>
        <v>0</v>
      </c>
      <c r="BG459" s="70">
        <f t="shared" si="1388"/>
        <v>0</v>
      </c>
      <c r="BH459" s="70">
        <f t="shared" si="792"/>
        <v>0</v>
      </c>
      <c r="BI459" s="62"/>
      <c r="BJ459" s="69">
        <v>0.54300000000000004</v>
      </c>
      <c r="BK459" s="69">
        <v>0.28199999999999997</v>
      </c>
      <c r="BL459" s="69">
        <v>5.2999999999999999E-2</v>
      </c>
      <c r="BM459" s="69">
        <v>8.6999999999999994E-2</v>
      </c>
      <c r="BN459" s="69">
        <v>3.5999999999999997E-2</v>
      </c>
      <c r="BO459" s="69">
        <v>0</v>
      </c>
      <c r="BP459" s="69">
        <v>0</v>
      </c>
      <c r="BQ459" s="69">
        <v>0</v>
      </c>
      <c r="BR459" s="62"/>
      <c r="BS459" s="72">
        <f t="shared" ref="BS459:BW459" si="1389">AP459-BJ459</f>
        <v>-4.4247624934184937E-2</v>
      </c>
      <c r="BT459" s="72">
        <f t="shared" si="1389"/>
        <v>-0.1682944394844676</v>
      </c>
      <c r="BU459" s="72">
        <f t="shared" si="1389"/>
        <v>9.6188471487764132E-2</v>
      </c>
      <c r="BV459" s="72">
        <f t="shared" si="1389"/>
        <v>-1.7494448641347804E-3</v>
      </c>
      <c r="BW459" s="72">
        <f t="shared" si="1389"/>
        <v>7.5370556051553239E-2</v>
      </c>
      <c r="BX459" s="72"/>
      <c r="BY459" s="72"/>
      <c r="BZ459" s="72">
        <f t="shared" si="794"/>
        <v>4.1732481743469996E-2</v>
      </c>
    </row>
    <row r="460" spans="1:78" ht="13.15">
      <c r="A460" s="78" t="s">
        <v>5</v>
      </c>
      <c r="B460" s="74" t="s">
        <v>963</v>
      </c>
      <c r="C460" s="75" t="s">
        <v>964</v>
      </c>
      <c r="D460" s="75" t="s">
        <v>129</v>
      </c>
      <c r="E460" s="76"/>
      <c r="F460" s="59"/>
      <c r="G460" s="60"/>
      <c r="H460" s="77">
        <v>17128</v>
      </c>
      <c r="I460" s="77">
        <v>8028</v>
      </c>
      <c r="J460" s="77">
        <v>9189</v>
      </c>
      <c r="K460" s="77">
        <v>1133</v>
      </c>
      <c r="L460" s="77">
        <v>1923</v>
      </c>
      <c r="M460" s="77"/>
      <c r="N460" s="77"/>
      <c r="O460" s="77"/>
      <c r="P460" s="77"/>
      <c r="Q460" s="77"/>
      <c r="R460" s="77"/>
      <c r="S460" s="77"/>
      <c r="T460" s="77"/>
      <c r="U460" s="77"/>
      <c r="V460" s="77"/>
      <c r="W460" s="77"/>
      <c r="X460" s="77"/>
      <c r="Y460" s="77"/>
      <c r="Z460" s="77"/>
      <c r="AA460" s="77"/>
      <c r="AB460" s="77"/>
      <c r="AC460" s="77"/>
      <c r="AD460" s="77"/>
      <c r="AE460" s="62"/>
      <c r="AF460" s="63" t="b">
        <v>0</v>
      </c>
      <c r="AG460" s="63" t="b">
        <v>0</v>
      </c>
      <c r="AH460" s="62"/>
      <c r="AI460" s="64">
        <f t="shared" si="786"/>
        <v>37401</v>
      </c>
      <c r="AJ460" s="65" t="str">
        <f t="shared" si="1116"/>
        <v>LAB</v>
      </c>
      <c r="AK460" s="66" t="str">
        <f t="shared" si="787"/>
        <v>HOLD</v>
      </c>
      <c r="AL460" s="67" t="e">
        <f t="shared" ca="1" si="788"/>
        <v>#NAME?</v>
      </c>
      <c r="AM460" s="68">
        <f t="shared" si="637"/>
        <v>7939</v>
      </c>
      <c r="AN460" s="69">
        <f t="shared" si="638"/>
        <v>0.21226705168311005</v>
      </c>
      <c r="AO460" s="62"/>
      <c r="AP460" s="70">
        <f t="shared" ref="AP460:AT460" si="1390">H460/$AI460</f>
        <v>0.45795566963450174</v>
      </c>
      <c r="AQ460" s="70">
        <f t="shared" si="1390"/>
        <v>0.21464666720141173</v>
      </c>
      <c r="AR460" s="70">
        <f t="shared" si="1390"/>
        <v>0.24568861795139169</v>
      </c>
      <c r="AS460" s="70">
        <f t="shared" si="1390"/>
        <v>3.0293307665570441E-2</v>
      </c>
      <c r="AT460" s="70">
        <f t="shared" si="1390"/>
        <v>5.1415737547124411E-2</v>
      </c>
      <c r="AU460" s="70"/>
      <c r="AV460" s="70"/>
      <c r="AW460" s="81">
        <f t="shared" si="790"/>
        <v>0</v>
      </c>
      <c r="AX460" s="70">
        <f t="shared" ref="AX460:BG460" si="1391">O460/$AI460</f>
        <v>0</v>
      </c>
      <c r="AY460" s="70">
        <f t="shared" si="1391"/>
        <v>0</v>
      </c>
      <c r="AZ460" s="70">
        <f t="shared" si="1391"/>
        <v>0</v>
      </c>
      <c r="BA460" s="70">
        <f t="shared" si="1391"/>
        <v>0</v>
      </c>
      <c r="BB460" s="70">
        <f t="shared" si="1391"/>
        <v>0</v>
      </c>
      <c r="BC460" s="70">
        <f t="shared" si="1391"/>
        <v>0</v>
      </c>
      <c r="BD460" s="70">
        <f t="shared" si="1391"/>
        <v>0</v>
      </c>
      <c r="BE460" s="70">
        <f t="shared" si="1391"/>
        <v>0</v>
      </c>
      <c r="BF460" s="70">
        <f t="shared" si="1391"/>
        <v>0</v>
      </c>
      <c r="BG460" s="70">
        <f t="shared" si="1391"/>
        <v>0</v>
      </c>
      <c r="BH460" s="70">
        <f t="shared" si="792"/>
        <v>-2.2204460492503131E-16</v>
      </c>
      <c r="BI460" s="62"/>
      <c r="BJ460" s="69">
        <v>0.46700000000000003</v>
      </c>
      <c r="BK460" s="69">
        <v>0.375</v>
      </c>
      <c r="BL460" s="69">
        <v>0.09</v>
      </c>
      <c r="BM460" s="69">
        <v>0.04</v>
      </c>
      <c r="BN460" s="69">
        <v>0</v>
      </c>
      <c r="BO460" s="69">
        <v>0</v>
      </c>
      <c r="BP460" s="69">
        <v>0</v>
      </c>
      <c r="BQ460" s="69">
        <v>2.8000000000000001E-2</v>
      </c>
      <c r="BR460" s="62"/>
      <c r="BS460" s="72">
        <f t="shared" ref="BS460:BW460" si="1392">AP460-BJ460</f>
        <v>-9.0443303654982876E-3</v>
      </c>
      <c r="BT460" s="72">
        <f t="shared" si="1392"/>
        <v>-0.16035333279858827</v>
      </c>
      <c r="BU460" s="72">
        <f t="shared" si="1392"/>
        <v>0.15568861795139169</v>
      </c>
      <c r="BV460" s="72">
        <f t="shared" si="1392"/>
        <v>-9.7066923344295598E-3</v>
      </c>
      <c r="BW460" s="72">
        <f t="shared" si="1392"/>
        <v>5.1415737547124411E-2</v>
      </c>
      <c r="BX460" s="72"/>
      <c r="BY460" s="72"/>
      <c r="BZ460" s="72">
        <f t="shared" si="794"/>
        <v>-2.8000000000000223E-2</v>
      </c>
    </row>
    <row r="461" spans="1:78" ht="13.15">
      <c r="A461" s="73" t="s">
        <v>6</v>
      </c>
      <c r="B461" s="74" t="s">
        <v>965</v>
      </c>
      <c r="C461" s="75" t="s">
        <v>966</v>
      </c>
      <c r="D461" s="75" t="s">
        <v>129</v>
      </c>
      <c r="E461" s="76"/>
      <c r="F461" s="59"/>
      <c r="G461" s="60"/>
      <c r="H461" s="77">
        <v>18233</v>
      </c>
      <c r="I461" s="77">
        <v>20372</v>
      </c>
      <c r="J461" s="77">
        <v>6833</v>
      </c>
      <c r="K461" s="77">
        <v>1203</v>
      </c>
      <c r="L461" s="77">
        <v>1477</v>
      </c>
      <c r="M461" s="77"/>
      <c r="N461" s="77"/>
      <c r="O461" s="77">
        <v>263</v>
      </c>
      <c r="P461" s="77"/>
      <c r="Q461" s="77"/>
      <c r="R461" s="77"/>
      <c r="S461" s="77"/>
      <c r="T461" s="77"/>
      <c r="U461" s="77"/>
      <c r="V461" s="77"/>
      <c r="W461" s="77"/>
      <c r="X461" s="77"/>
      <c r="Y461" s="77">
        <v>106</v>
      </c>
      <c r="Z461" s="77">
        <v>106</v>
      </c>
      <c r="AA461" s="77">
        <v>45</v>
      </c>
      <c r="AB461" s="77"/>
      <c r="AC461" s="77"/>
      <c r="AD461" s="77"/>
      <c r="AE461" s="62"/>
      <c r="AF461" s="63" t="b">
        <v>0</v>
      </c>
      <c r="AG461" s="63" t="b">
        <v>0</v>
      </c>
      <c r="AH461" s="62"/>
      <c r="AI461" s="64">
        <f t="shared" si="786"/>
        <v>48638</v>
      </c>
      <c r="AJ461" s="65" t="str">
        <f t="shared" si="1116"/>
        <v>CON</v>
      </c>
      <c r="AK461" s="66" t="str">
        <f t="shared" si="787"/>
        <v>HOLD</v>
      </c>
      <c r="AL461" s="67" t="e">
        <f t="shared" ca="1" si="788"/>
        <v>#NAME?</v>
      </c>
      <c r="AM461" s="68">
        <f t="shared" si="637"/>
        <v>2139</v>
      </c>
      <c r="AN461" s="69">
        <f t="shared" si="638"/>
        <v>4.3977959620050133E-2</v>
      </c>
      <c r="AO461" s="62"/>
      <c r="AP461" s="70">
        <f t="shared" ref="AP461:AT461" si="1393">H461/$AI461</f>
        <v>0.37487149965047906</v>
      </c>
      <c r="AQ461" s="70">
        <f t="shared" si="1393"/>
        <v>0.41884945927052919</v>
      </c>
      <c r="AR461" s="70">
        <f t="shared" si="1393"/>
        <v>0.14048686212426498</v>
      </c>
      <c r="AS461" s="70">
        <f t="shared" si="1393"/>
        <v>2.4733747275792591E-2</v>
      </c>
      <c r="AT461" s="70">
        <f t="shared" si="1393"/>
        <v>3.0367202598791068E-2</v>
      </c>
      <c r="AU461" s="70"/>
      <c r="AV461" s="70"/>
      <c r="AW461" s="81">
        <f t="shared" si="790"/>
        <v>1.0691229080143083E-2</v>
      </c>
      <c r="AX461" s="70">
        <f t="shared" ref="AX461:BG461" si="1394">O461/$AI461</f>
        <v>5.4072947078416056E-3</v>
      </c>
      <c r="AY461" s="70">
        <f t="shared" si="1394"/>
        <v>0</v>
      </c>
      <c r="AZ461" s="70">
        <f t="shared" si="1394"/>
        <v>0</v>
      </c>
      <c r="BA461" s="70">
        <f t="shared" si="1394"/>
        <v>0</v>
      </c>
      <c r="BB461" s="70">
        <f t="shared" si="1394"/>
        <v>0</v>
      </c>
      <c r="BC461" s="70">
        <f t="shared" si="1394"/>
        <v>0</v>
      </c>
      <c r="BD461" s="70">
        <f t="shared" si="1394"/>
        <v>0</v>
      </c>
      <c r="BE461" s="70">
        <f t="shared" si="1394"/>
        <v>0</v>
      </c>
      <c r="BF461" s="70">
        <f t="shared" si="1394"/>
        <v>0</v>
      </c>
      <c r="BG461" s="70">
        <f t="shared" si="1394"/>
        <v>0</v>
      </c>
      <c r="BH461" s="70">
        <f t="shared" si="792"/>
        <v>5.2839343723014775E-3</v>
      </c>
      <c r="BI461" s="62"/>
      <c r="BJ461" s="69">
        <v>0.33900000000000002</v>
      </c>
      <c r="BK461" s="69">
        <v>0.56499999999999995</v>
      </c>
      <c r="BL461" s="69">
        <v>4.7E-2</v>
      </c>
      <c r="BM461" s="69">
        <v>4.4999999999999998E-2</v>
      </c>
      <c r="BN461" s="69">
        <v>5.0000000000000001E-3</v>
      </c>
      <c r="BO461" s="69">
        <v>0</v>
      </c>
      <c r="BP461" s="69">
        <v>0</v>
      </c>
      <c r="BQ461" s="69">
        <v>0</v>
      </c>
      <c r="BR461" s="62"/>
      <c r="BS461" s="72">
        <f t="shared" ref="BS461:BW461" si="1395">AP461-BJ461</f>
        <v>3.5871499650479033E-2</v>
      </c>
      <c r="BT461" s="72">
        <f t="shared" si="1395"/>
        <v>-0.14615054072947076</v>
      </c>
      <c r="BU461" s="72">
        <f t="shared" si="1395"/>
        <v>9.3486862124264977E-2</v>
      </c>
      <c r="BV461" s="72">
        <f t="shared" si="1395"/>
        <v>-2.0266252724207408E-2</v>
      </c>
      <c r="BW461" s="72">
        <f t="shared" si="1395"/>
        <v>2.5367202598791067E-2</v>
      </c>
      <c r="BX461" s="72"/>
      <c r="BY461" s="72"/>
      <c r="BZ461" s="72">
        <f t="shared" si="794"/>
        <v>1.0691229080143083E-2</v>
      </c>
    </row>
    <row r="462" spans="1:78" ht="13.15">
      <c r="A462" s="73" t="s">
        <v>6</v>
      </c>
      <c r="B462" s="74" t="s">
        <v>967</v>
      </c>
      <c r="C462" s="75" t="s">
        <v>968</v>
      </c>
      <c r="D462" s="75" t="s">
        <v>47</v>
      </c>
      <c r="E462" s="76"/>
      <c r="F462" s="59">
        <v>0.47899999999999998</v>
      </c>
      <c r="G462" s="60"/>
      <c r="H462" s="77">
        <v>14950</v>
      </c>
      <c r="I462" s="77">
        <v>6221</v>
      </c>
      <c r="J462" s="77">
        <v>8541</v>
      </c>
      <c r="K462" s="77">
        <v>999</v>
      </c>
      <c r="L462" s="77">
        <v>1703</v>
      </c>
      <c r="M462" s="77"/>
      <c r="N462" s="77"/>
      <c r="O462" s="77">
        <v>2281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7"/>
      <c r="AB462" s="77"/>
      <c r="AC462" s="77"/>
      <c r="AD462" s="77"/>
      <c r="AE462" s="62"/>
      <c r="AF462" s="63" t="b">
        <v>0</v>
      </c>
      <c r="AG462" s="63" t="b">
        <v>0</v>
      </c>
      <c r="AH462" s="62"/>
      <c r="AI462" s="64">
        <f t="shared" si="786"/>
        <v>34695</v>
      </c>
      <c r="AJ462" s="65" t="str">
        <f t="shared" si="1116"/>
        <v>LAB</v>
      </c>
      <c r="AK462" s="66" t="str">
        <f t="shared" si="787"/>
        <v>GAIN</v>
      </c>
      <c r="AL462" s="67" t="e">
        <f t="shared" ca="1" si="788"/>
        <v>#NAME?</v>
      </c>
      <c r="AM462" s="68">
        <f t="shared" si="637"/>
        <v>6409</v>
      </c>
      <c r="AN462" s="69">
        <f t="shared" si="638"/>
        <v>0.18472402363452944</v>
      </c>
      <c r="AO462" s="62"/>
      <c r="AP462" s="70">
        <f t="shared" ref="AP462:AT462" si="1396">H462/$AI462</f>
        <v>0.43089782389393283</v>
      </c>
      <c r="AQ462" s="70">
        <f t="shared" si="1396"/>
        <v>0.17930537541432484</v>
      </c>
      <c r="AR462" s="70">
        <f t="shared" si="1396"/>
        <v>0.24617380025940339</v>
      </c>
      <c r="AS462" s="70">
        <f t="shared" si="1396"/>
        <v>2.8793774319066146E-2</v>
      </c>
      <c r="AT462" s="70">
        <f t="shared" si="1396"/>
        <v>4.9084882547917569E-2</v>
      </c>
      <c r="AU462" s="70"/>
      <c r="AV462" s="70"/>
      <c r="AW462" s="81">
        <f t="shared" si="790"/>
        <v>6.574434356535519E-2</v>
      </c>
      <c r="AX462" s="70">
        <f t="shared" ref="AX462:BG462" si="1397">O462/$AI462</f>
        <v>6.5744343565355232E-2</v>
      </c>
      <c r="AY462" s="70">
        <f t="shared" si="1397"/>
        <v>0</v>
      </c>
      <c r="AZ462" s="70">
        <f t="shared" si="1397"/>
        <v>0</v>
      </c>
      <c r="BA462" s="70">
        <f t="shared" si="1397"/>
        <v>0</v>
      </c>
      <c r="BB462" s="70">
        <f t="shared" si="1397"/>
        <v>0</v>
      </c>
      <c r="BC462" s="70">
        <f t="shared" si="1397"/>
        <v>0</v>
      </c>
      <c r="BD462" s="70">
        <f t="shared" si="1397"/>
        <v>0</v>
      </c>
      <c r="BE462" s="70">
        <f t="shared" si="1397"/>
        <v>0</v>
      </c>
      <c r="BF462" s="70">
        <f t="shared" si="1397"/>
        <v>0</v>
      </c>
      <c r="BG462" s="70">
        <f t="shared" si="1397"/>
        <v>0</v>
      </c>
      <c r="BH462" s="70">
        <f t="shared" si="792"/>
        <v>0</v>
      </c>
      <c r="BI462" s="62"/>
      <c r="BJ462" s="69">
        <v>0.42899999999999999</v>
      </c>
      <c r="BK462" s="69">
        <v>0.47099999999999997</v>
      </c>
      <c r="BL462" s="69">
        <v>4.2999999999999997E-2</v>
      </c>
      <c r="BM462" s="69">
        <v>3.7999999999999999E-2</v>
      </c>
      <c r="BN462" s="69">
        <v>0.02</v>
      </c>
      <c r="BO462" s="69">
        <v>0</v>
      </c>
      <c r="BP462" s="69">
        <v>0</v>
      </c>
      <c r="BQ462" s="69">
        <v>0</v>
      </c>
      <c r="BR462" s="62"/>
      <c r="BS462" s="72">
        <f t="shared" ref="BS462:BW462" si="1398">AP462-BJ462</f>
        <v>1.8978238939328373E-3</v>
      </c>
      <c r="BT462" s="72">
        <f t="shared" si="1398"/>
        <v>-0.29169462458567513</v>
      </c>
      <c r="BU462" s="72">
        <f t="shared" si="1398"/>
        <v>0.2031738002594034</v>
      </c>
      <c r="BV462" s="72">
        <f t="shared" si="1398"/>
        <v>-9.2062256809338529E-3</v>
      </c>
      <c r="BW462" s="72">
        <f t="shared" si="1398"/>
        <v>2.9084882547917568E-2</v>
      </c>
      <c r="BX462" s="72"/>
      <c r="BY462" s="72"/>
      <c r="BZ462" s="72">
        <f t="shared" si="794"/>
        <v>6.5744343565355232E-2</v>
      </c>
    </row>
    <row r="463" spans="1:78" ht="13.15">
      <c r="A463" s="73" t="s">
        <v>6</v>
      </c>
      <c r="B463" s="74" t="s">
        <v>969</v>
      </c>
      <c r="C463" s="75" t="s">
        <v>970</v>
      </c>
      <c r="D463" s="75" t="s">
        <v>47</v>
      </c>
      <c r="E463" s="76"/>
      <c r="F463" s="59">
        <v>0.52300000000000002</v>
      </c>
      <c r="G463" s="60"/>
      <c r="H463" s="77">
        <v>14979</v>
      </c>
      <c r="I463" s="77">
        <v>9497</v>
      </c>
      <c r="J463" s="77">
        <v>8824</v>
      </c>
      <c r="K463" s="77">
        <v>911</v>
      </c>
      <c r="L463" s="77">
        <v>1236</v>
      </c>
      <c r="M463" s="77"/>
      <c r="N463" s="77"/>
      <c r="O463" s="77">
        <v>1103</v>
      </c>
      <c r="P463" s="77"/>
      <c r="Q463" s="77"/>
      <c r="R463" s="77"/>
      <c r="S463" s="77"/>
      <c r="T463" s="77"/>
      <c r="U463" s="77"/>
      <c r="V463" s="77"/>
      <c r="W463" s="77"/>
      <c r="X463" s="77"/>
      <c r="Y463" s="77"/>
      <c r="Z463" s="77"/>
      <c r="AA463" s="77"/>
      <c r="AB463" s="77"/>
      <c r="AC463" s="77"/>
      <c r="AD463" s="77"/>
      <c r="AE463" s="62"/>
      <c r="AF463" s="63" t="b">
        <v>0</v>
      </c>
      <c r="AG463" s="63" t="b">
        <v>0</v>
      </c>
      <c r="AH463" s="62"/>
      <c r="AI463" s="64">
        <f t="shared" si="786"/>
        <v>36550</v>
      </c>
      <c r="AJ463" s="65" t="str">
        <f t="shared" si="1116"/>
        <v>LAB</v>
      </c>
      <c r="AK463" s="66" t="str">
        <f t="shared" si="787"/>
        <v>GAIN</v>
      </c>
      <c r="AL463" s="67" t="e">
        <f t="shared" ca="1" si="788"/>
        <v>#NAME?</v>
      </c>
      <c r="AM463" s="68">
        <f t="shared" si="637"/>
        <v>5482</v>
      </c>
      <c r="AN463" s="69">
        <f t="shared" si="638"/>
        <v>0.14998632010943913</v>
      </c>
      <c r="AO463" s="62"/>
      <c r="AP463" s="70">
        <f t="shared" ref="AP463:AT463" si="1399">H463/$AI463</f>
        <v>0.40982216142270861</v>
      </c>
      <c r="AQ463" s="70">
        <f t="shared" si="1399"/>
        <v>0.25983584131326948</v>
      </c>
      <c r="AR463" s="70">
        <f t="shared" si="1399"/>
        <v>0.24142270861833107</v>
      </c>
      <c r="AS463" s="70">
        <f t="shared" si="1399"/>
        <v>2.4924760601915185E-2</v>
      </c>
      <c r="AT463" s="70">
        <f t="shared" si="1399"/>
        <v>3.3816689466484265E-2</v>
      </c>
      <c r="AU463" s="70"/>
      <c r="AV463" s="70"/>
      <c r="AW463" s="81">
        <f t="shared" si="790"/>
        <v>3.0177838577291394E-2</v>
      </c>
      <c r="AX463" s="70">
        <f t="shared" ref="AX463:BG463" si="1400">O463/$AI463</f>
        <v>3.0177838577291383E-2</v>
      </c>
      <c r="AY463" s="70">
        <f t="shared" si="1400"/>
        <v>0</v>
      </c>
      <c r="AZ463" s="70">
        <f t="shared" si="1400"/>
        <v>0</v>
      </c>
      <c r="BA463" s="70">
        <f t="shared" si="1400"/>
        <v>0</v>
      </c>
      <c r="BB463" s="70">
        <f t="shared" si="1400"/>
        <v>0</v>
      </c>
      <c r="BC463" s="70">
        <f t="shared" si="1400"/>
        <v>0</v>
      </c>
      <c r="BD463" s="70">
        <f t="shared" si="1400"/>
        <v>0</v>
      </c>
      <c r="BE463" s="70">
        <f t="shared" si="1400"/>
        <v>0</v>
      </c>
      <c r="BF463" s="70">
        <f t="shared" si="1400"/>
        <v>0</v>
      </c>
      <c r="BG463" s="70">
        <f t="shared" si="1400"/>
        <v>0</v>
      </c>
      <c r="BH463" s="70">
        <f t="shared" si="792"/>
        <v>0</v>
      </c>
      <c r="BI463" s="62"/>
      <c r="BJ463" s="69">
        <v>0.34799999999999998</v>
      </c>
      <c r="BK463" s="69">
        <v>0.54100000000000004</v>
      </c>
      <c r="BL463" s="69">
        <v>5.6000000000000001E-2</v>
      </c>
      <c r="BM463" s="69">
        <v>3.3000000000000002E-2</v>
      </c>
      <c r="BN463" s="69">
        <v>1.4E-2</v>
      </c>
      <c r="BO463" s="69">
        <v>0</v>
      </c>
      <c r="BP463" s="69">
        <v>0</v>
      </c>
      <c r="BQ463" s="69">
        <v>8.0000000000000002E-3</v>
      </c>
      <c r="BR463" s="62"/>
      <c r="BS463" s="72">
        <f t="shared" ref="BS463:BW463" si="1401">AP463-BJ463</f>
        <v>6.1822161422708632E-2</v>
      </c>
      <c r="BT463" s="72">
        <f t="shared" si="1401"/>
        <v>-0.28116415868673056</v>
      </c>
      <c r="BU463" s="72">
        <f t="shared" si="1401"/>
        <v>0.18542270861833107</v>
      </c>
      <c r="BV463" s="72">
        <f t="shared" si="1401"/>
        <v>-8.0752393980848165E-3</v>
      </c>
      <c r="BW463" s="72">
        <f t="shared" si="1401"/>
        <v>1.9816689466484266E-2</v>
      </c>
      <c r="BX463" s="72"/>
      <c r="BY463" s="72"/>
      <c r="BZ463" s="72">
        <f t="shared" si="794"/>
        <v>2.2177838577291383E-2</v>
      </c>
    </row>
    <row r="464" spans="1:78" ht="13.15">
      <c r="A464" s="73" t="s">
        <v>6</v>
      </c>
      <c r="B464" s="74" t="s">
        <v>971</v>
      </c>
      <c r="C464" s="75" t="s">
        <v>972</v>
      </c>
      <c r="D464" s="75" t="s">
        <v>47</v>
      </c>
      <c r="E464" s="76"/>
      <c r="F464" s="59">
        <v>0.59899999999999998</v>
      </c>
      <c r="G464" s="60"/>
      <c r="H464" s="77">
        <v>14221</v>
      </c>
      <c r="I464" s="77">
        <v>13594</v>
      </c>
      <c r="J464" s="77">
        <v>8851</v>
      </c>
      <c r="K464" s="77">
        <v>1577</v>
      </c>
      <c r="L464" s="77">
        <v>1207</v>
      </c>
      <c r="M464" s="77"/>
      <c r="N464" s="77"/>
      <c r="O464" s="77">
        <v>1372</v>
      </c>
      <c r="P464" s="77"/>
      <c r="Q464" s="77"/>
      <c r="R464" s="77"/>
      <c r="S464" s="77"/>
      <c r="T464" s="77"/>
      <c r="U464" s="77"/>
      <c r="V464" s="77"/>
      <c r="W464" s="77"/>
      <c r="X464" s="77"/>
      <c r="Y464" s="77"/>
      <c r="Z464" s="77"/>
      <c r="AA464" s="77"/>
      <c r="AB464" s="77"/>
      <c r="AC464" s="77"/>
      <c r="AD464" s="77"/>
      <c r="AE464" s="62"/>
      <c r="AF464" s="63" t="b">
        <v>0</v>
      </c>
      <c r="AG464" s="63" t="b">
        <v>0</v>
      </c>
      <c r="AH464" s="62"/>
      <c r="AI464" s="64">
        <f t="shared" si="786"/>
        <v>40822</v>
      </c>
      <c r="AJ464" s="65" t="str">
        <f t="shared" si="1116"/>
        <v>LAB</v>
      </c>
      <c r="AK464" s="66" t="str">
        <f t="shared" si="787"/>
        <v>GAIN</v>
      </c>
      <c r="AL464" s="67" t="e">
        <f t="shared" ca="1" si="788"/>
        <v>#NAME?</v>
      </c>
      <c r="AM464" s="68">
        <f t="shared" si="637"/>
        <v>627</v>
      </c>
      <c r="AN464" s="69">
        <f t="shared" si="638"/>
        <v>1.53593650482583E-2</v>
      </c>
      <c r="AO464" s="62"/>
      <c r="AP464" s="70">
        <f t="shared" ref="AP464:AT464" si="1402">H464/$AI464</f>
        <v>0.348366077115281</v>
      </c>
      <c r="AQ464" s="70">
        <f t="shared" si="1402"/>
        <v>0.3330067120670227</v>
      </c>
      <c r="AR464" s="70">
        <f t="shared" si="1402"/>
        <v>0.2168193621086669</v>
      </c>
      <c r="AS464" s="70">
        <f t="shared" si="1402"/>
        <v>3.863113027289207E-2</v>
      </c>
      <c r="AT464" s="70">
        <f t="shared" si="1402"/>
        <v>2.9567390132771546E-2</v>
      </c>
      <c r="AU464" s="70"/>
      <c r="AV464" s="70"/>
      <c r="AW464" s="81">
        <f t="shared" si="790"/>
        <v>3.3609328303365715E-2</v>
      </c>
      <c r="AX464" s="70">
        <f t="shared" ref="AX464:BG464" si="1403">O464/$AI464</f>
        <v>3.3609328303365833E-2</v>
      </c>
      <c r="AY464" s="70">
        <f t="shared" si="1403"/>
        <v>0</v>
      </c>
      <c r="AZ464" s="70">
        <f t="shared" si="1403"/>
        <v>0</v>
      </c>
      <c r="BA464" s="70">
        <f t="shared" si="1403"/>
        <v>0</v>
      </c>
      <c r="BB464" s="70">
        <f t="shared" si="1403"/>
        <v>0</v>
      </c>
      <c r="BC464" s="70">
        <f t="shared" si="1403"/>
        <v>0</v>
      </c>
      <c r="BD464" s="70">
        <f t="shared" si="1403"/>
        <v>0</v>
      </c>
      <c r="BE464" s="70">
        <f t="shared" si="1403"/>
        <v>0</v>
      </c>
      <c r="BF464" s="70">
        <f t="shared" si="1403"/>
        <v>0</v>
      </c>
      <c r="BG464" s="70">
        <f t="shared" si="1403"/>
        <v>0</v>
      </c>
      <c r="BH464" s="70">
        <f t="shared" si="792"/>
        <v>-1.1796119636642288E-16</v>
      </c>
      <c r="BI464" s="62"/>
      <c r="BJ464" s="69">
        <v>0.29599999999999999</v>
      </c>
      <c r="BK464" s="69">
        <v>0.625</v>
      </c>
      <c r="BL464" s="69">
        <v>0</v>
      </c>
      <c r="BM464" s="69">
        <v>6.2E-2</v>
      </c>
      <c r="BN464" s="69">
        <v>1.6E-2</v>
      </c>
      <c r="BO464" s="69">
        <v>0</v>
      </c>
      <c r="BP464" s="69">
        <v>0</v>
      </c>
      <c r="BQ464" s="69">
        <v>0</v>
      </c>
      <c r="BR464" s="62"/>
      <c r="BS464" s="72">
        <f t="shared" ref="BS464:BW464" si="1404">AP464-BJ464</f>
        <v>5.2366077115281018E-2</v>
      </c>
      <c r="BT464" s="72">
        <f t="shared" si="1404"/>
        <v>-0.2919932879329773</v>
      </c>
      <c r="BU464" s="72">
        <f t="shared" si="1404"/>
        <v>0.2168193621086669</v>
      </c>
      <c r="BV464" s="72">
        <f t="shared" si="1404"/>
        <v>-2.336886972710793E-2</v>
      </c>
      <c r="BW464" s="72">
        <f t="shared" si="1404"/>
        <v>1.3567390132771546E-2</v>
      </c>
      <c r="BX464" s="72"/>
      <c r="BY464" s="72"/>
      <c r="BZ464" s="72">
        <f t="shared" si="794"/>
        <v>3.3609328303365715E-2</v>
      </c>
    </row>
    <row r="465" spans="1:78" ht="13.15">
      <c r="A465" s="73" t="s">
        <v>6</v>
      </c>
      <c r="B465" s="74" t="s">
        <v>973</v>
      </c>
      <c r="C465" s="75" t="s">
        <v>974</v>
      </c>
      <c r="D465" s="75" t="s">
        <v>47</v>
      </c>
      <c r="E465" s="76">
        <v>69378</v>
      </c>
      <c r="F465" s="59">
        <v>0.61599999999999999</v>
      </c>
      <c r="G465" s="60"/>
      <c r="H465" s="77">
        <v>14414</v>
      </c>
      <c r="I465" s="77">
        <v>19880</v>
      </c>
      <c r="J465" s="77"/>
      <c r="K465" s="77">
        <v>2952</v>
      </c>
      <c r="L465" s="77">
        <v>2236</v>
      </c>
      <c r="M465" s="77"/>
      <c r="N465" s="77"/>
      <c r="O465" s="77"/>
      <c r="P465" s="77"/>
      <c r="Q465" s="77">
        <v>650</v>
      </c>
      <c r="R465" s="77"/>
      <c r="S465" s="77"/>
      <c r="T465" s="77"/>
      <c r="U465" s="77"/>
      <c r="V465" s="77"/>
      <c r="W465" s="77"/>
      <c r="X465" s="77"/>
      <c r="Y465" s="77">
        <v>2638</v>
      </c>
      <c r="Z465" s="77"/>
      <c r="AA465" s="77"/>
      <c r="AB465" s="77"/>
      <c r="AC465" s="77"/>
      <c r="AD465" s="77"/>
      <c r="AE465" s="62"/>
      <c r="AF465" s="63" t="b">
        <v>0</v>
      </c>
      <c r="AG465" s="63" t="b">
        <v>0</v>
      </c>
      <c r="AH465" s="62"/>
      <c r="AI465" s="64">
        <f t="shared" si="786"/>
        <v>42770</v>
      </c>
      <c r="AJ465" s="65" t="str">
        <f t="shared" si="1116"/>
        <v>CON</v>
      </c>
      <c r="AK465" s="66" t="str">
        <f t="shared" si="787"/>
        <v>HOLD</v>
      </c>
      <c r="AL465" s="67" t="e">
        <f t="shared" ca="1" si="788"/>
        <v>#NAME?</v>
      </c>
      <c r="AM465" s="68">
        <f t="shared" si="637"/>
        <v>5466</v>
      </c>
      <c r="AN465" s="69">
        <f t="shared" si="638"/>
        <v>0.12779985971475333</v>
      </c>
      <c r="AO465" s="62"/>
      <c r="AP465" s="70">
        <f t="shared" ref="AP465:AT465" si="1405">H465/$AI465</f>
        <v>0.33701192424596682</v>
      </c>
      <c r="AQ465" s="70">
        <f t="shared" si="1405"/>
        <v>0.46481178396072015</v>
      </c>
      <c r="AR465" s="70">
        <f t="shared" si="1405"/>
        <v>0</v>
      </c>
      <c r="AS465" s="70">
        <f t="shared" si="1405"/>
        <v>6.9020341360766888E-2</v>
      </c>
      <c r="AT465" s="70">
        <f t="shared" si="1405"/>
        <v>5.2279635258358666E-2</v>
      </c>
      <c r="AU465" s="70"/>
      <c r="AV465" s="70"/>
      <c r="AW465" s="81">
        <f t="shared" si="790"/>
        <v>7.6876315174187471E-2</v>
      </c>
      <c r="AX465" s="70">
        <f t="shared" ref="AX465:BG465" si="1406">O465/$AI465</f>
        <v>0</v>
      </c>
      <c r="AY465" s="70">
        <f t="shared" si="1406"/>
        <v>0</v>
      </c>
      <c r="AZ465" s="70">
        <f t="shared" si="1406"/>
        <v>1.5197568389057751E-2</v>
      </c>
      <c r="BA465" s="70">
        <f t="shared" si="1406"/>
        <v>0</v>
      </c>
      <c r="BB465" s="70">
        <f t="shared" si="1406"/>
        <v>0</v>
      </c>
      <c r="BC465" s="70">
        <f t="shared" si="1406"/>
        <v>0</v>
      </c>
      <c r="BD465" s="70">
        <f t="shared" si="1406"/>
        <v>0</v>
      </c>
      <c r="BE465" s="70">
        <f t="shared" si="1406"/>
        <v>0</v>
      </c>
      <c r="BF465" s="70">
        <f t="shared" si="1406"/>
        <v>0</v>
      </c>
      <c r="BG465" s="70">
        <f t="shared" si="1406"/>
        <v>0</v>
      </c>
      <c r="BH465" s="70">
        <f t="shared" si="792"/>
        <v>6.1678746785129718E-2</v>
      </c>
      <c r="BI465" s="62"/>
      <c r="BJ465" s="69">
        <v>0.216</v>
      </c>
      <c r="BK465" s="69">
        <v>0.68500000000000005</v>
      </c>
      <c r="BL465" s="69">
        <v>0</v>
      </c>
      <c r="BM465" s="69">
        <v>6.5000000000000002E-2</v>
      </c>
      <c r="BN465" s="69">
        <v>3.4000000000000002E-2</v>
      </c>
      <c r="BO465" s="69">
        <v>0</v>
      </c>
      <c r="BP465" s="69">
        <v>0</v>
      </c>
      <c r="BQ465" s="69">
        <v>0</v>
      </c>
      <c r="BR465" s="62"/>
      <c r="BS465" s="72">
        <f t="shared" ref="BS465:BW465" si="1407">AP465-BJ465</f>
        <v>0.12101192424596682</v>
      </c>
      <c r="BT465" s="72">
        <f t="shared" si="1407"/>
        <v>-0.2201882160392799</v>
      </c>
      <c r="BU465" s="72">
        <f t="shared" si="1407"/>
        <v>0</v>
      </c>
      <c r="BV465" s="72">
        <f t="shared" si="1407"/>
        <v>4.0203413607668853E-3</v>
      </c>
      <c r="BW465" s="72">
        <f t="shared" si="1407"/>
        <v>1.8279635258358663E-2</v>
      </c>
      <c r="BX465" s="72"/>
      <c r="BY465" s="72"/>
      <c r="BZ465" s="72">
        <f t="shared" si="794"/>
        <v>7.6876315174187471E-2</v>
      </c>
    </row>
    <row r="466" spans="1:78" ht="13.15">
      <c r="A466" s="73" t="s">
        <v>6</v>
      </c>
      <c r="B466" s="74" t="s">
        <v>975</v>
      </c>
      <c r="C466" s="75" t="s">
        <v>976</v>
      </c>
      <c r="D466" s="75" t="s">
        <v>47</v>
      </c>
      <c r="E466" s="76">
        <v>69891</v>
      </c>
      <c r="F466" s="59">
        <v>0.57099999999999995</v>
      </c>
      <c r="G466" s="60"/>
      <c r="H466" s="77">
        <v>15338</v>
      </c>
      <c r="I466" s="77">
        <v>12265</v>
      </c>
      <c r="J466" s="77">
        <v>7869</v>
      </c>
      <c r="K466" s="77">
        <v>1607</v>
      </c>
      <c r="L466" s="77">
        <v>1732</v>
      </c>
      <c r="M466" s="77"/>
      <c r="N466" s="77"/>
      <c r="O466" s="77"/>
      <c r="P466" s="77">
        <v>1067</v>
      </c>
      <c r="Q466" s="77"/>
      <c r="R466" s="77"/>
      <c r="S466" s="77"/>
      <c r="T466" s="77"/>
      <c r="U466" s="77"/>
      <c r="V466" s="77"/>
      <c r="W466" s="77"/>
      <c r="X466" s="77"/>
      <c r="Y466" s="77"/>
      <c r="Z466" s="77"/>
      <c r="AA466" s="77"/>
      <c r="AB466" s="77"/>
      <c r="AC466" s="77"/>
      <c r="AD466" s="77"/>
      <c r="AE466" s="62"/>
      <c r="AF466" s="63" t="b">
        <v>0</v>
      </c>
      <c r="AG466" s="63" t="b">
        <v>0</v>
      </c>
      <c r="AH466" s="62"/>
      <c r="AI466" s="64">
        <f t="shared" si="786"/>
        <v>39878</v>
      </c>
      <c r="AJ466" s="65" t="str">
        <f t="shared" si="1116"/>
        <v>LAB</v>
      </c>
      <c r="AK466" s="66" t="str">
        <f t="shared" si="787"/>
        <v>GAIN</v>
      </c>
      <c r="AL466" s="67" t="e">
        <f t="shared" ca="1" si="788"/>
        <v>#NAME?</v>
      </c>
      <c r="AM466" s="68">
        <f t="shared" ref="AM466:AM654" si="1408">LARGE(H466:X466,1)-LARGE(H466:X466,2)</f>
        <v>3073</v>
      </c>
      <c r="AN466" s="69">
        <f t="shared" ref="AN466:AN654" si="1409">(LARGE(H466:X466,1)/AI466)-(LARGE(H466:X466,2)/AI466)</f>
        <v>7.7060033100957881E-2</v>
      </c>
      <c r="AO466" s="62"/>
      <c r="AP466" s="70">
        <f t="shared" ref="AP466:AT466" si="1410">H466/$AI466</f>
        <v>0.38462310045639198</v>
      </c>
      <c r="AQ466" s="70">
        <f t="shared" si="1410"/>
        <v>0.30756306735543409</v>
      </c>
      <c r="AR466" s="70">
        <f t="shared" si="1410"/>
        <v>0.19732684688299312</v>
      </c>
      <c r="AS466" s="70">
        <f t="shared" si="1410"/>
        <v>4.0297908621294946E-2</v>
      </c>
      <c r="AT466" s="70">
        <f t="shared" si="1410"/>
        <v>4.343246903054316E-2</v>
      </c>
      <c r="AU466" s="70"/>
      <c r="AV466" s="70"/>
      <c r="AW466" s="81">
        <f t="shared" si="790"/>
        <v>2.6756607653342757E-2</v>
      </c>
      <c r="AX466" s="70">
        <f t="shared" ref="AX466:BG466" si="1411">O466/$AI466</f>
        <v>0</v>
      </c>
      <c r="AY466" s="70">
        <f t="shared" si="1411"/>
        <v>2.6756607653342694E-2</v>
      </c>
      <c r="AZ466" s="70">
        <f t="shared" si="1411"/>
        <v>0</v>
      </c>
      <c r="BA466" s="70">
        <f t="shared" si="1411"/>
        <v>0</v>
      </c>
      <c r="BB466" s="70">
        <f t="shared" si="1411"/>
        <v>0</v>
      </c>
      <c r="BC466" s="70">
        <f t="shared" si="1411"/>
        <v>0</v>
      </c>
      <c r="BD466" s="70">
        <f t="shared" si="1411"/>
        <v>0</v>
      </c>
      <c r="BE466" s="70">
        <f t="shared" si="1411"/>
        <v>0</v>
      </c>
      <c r="BF466" s="70">
        <f t="shared" si="1411"/>
        <v>0</v>
      </c>
      <c r="BG466" s="70">
        <f t="shared" si="1411"/>
        <v>0</v>
      </c>
      <c r="BH466" s="70">
        <f t="shared" si="792"/>
        <v>6.2450045135165055E-17</v>
      </c>
      <c r="BI466" s="62"/>
      <c r="BJ466" s="69">
        <v>0.29099999999999998</v>
      </c>
      <c r="BK466" s="69">
        <v>0.61799999999999999</v>
      </c>
      <c r="BL466" s="69">
        <v>0</v>
      </c>
      <c r="BM466" s="69">
        <v>5.8000000000000003E-2</v>
      </c>
      <c r="BN466" s="69">
        <v>0.02</v>
      </c>
      <c r="BO466" s="69">
        <v>0</v>
      </c>
      <c r="BP466" s="69">
        <v>0</v>
      </c>
      <c r="BQ466" s="69">
        <v>1.2999999999999999E-2</v>
      </c>
      <c r="BR466" s="62"/>
      <c r="BS466" s="72">
        <f t="shared" ref="BS466:BW466" si="1412">AP466-BJ466</f>
        <v>9.3623100456391994E-2</v>
      </c>
      <c r="BT466" s="72">
        <f t="shared" si="1412"/>
        <v>-0.3104369326445659</v>
      </c>
      <c r="BU466" s="72">
        <f t="shared" si="1412"/>
        <v>0.19732684688299312</v>
      </c>
      <c r="BV466" s="72">
        <f t="shared" si="1412"/>
        <v>-1.7702091378705057E-2</v>
      </c>
      <c r="BW466" s="72">
        <f t="shared" si="1412"/>
        <v>2.3432469030543159E-2</v>
      </c>
      <c r="BX466" s="72"/>
      <c r="BY466" s="72"/>
      <c r="BZ466" s="72">
        <f t="shared" si="794"/>
        <v>1.3756607653342757E-2</v>
      </c>
    </row>
    <row r="467" spans="1:78" ht="13.15">
      <c r="A467" s="78" t="s">
        <v>5</v>
      </c>
      <c r="B467" s="74" t="s">
        <v>977</v>
      </c>
      <c r="C467" s="75" t="s">
        <v>978</v>
      </c>
      <c r="D467" s="75" t="s">
        <v>68</v>
      </c>
      <c r="E467" s="76"/>
      <c r="F467" s="59"/>
      <c r="G467" s="60"/>
      <c r="H467" s="77">
        <v>19145</v>
      </c>
      <c r="I467" s="77">
        <v>3114</v>
      </c>
      <c r="J467" s="77">
        <v>2093</v>
      </c>
      <c r="K467" s="77">
        <v>1926</v>
      </c>
      <c r="L467" s="77">
        <v>7511</v>
      </c>
      <c r="M467" s="77"/>
      <c r="N467" s="77"/>
      <c r="O467" s="77">
        <v>2380</v>
      </c>
      <c r="P467" s="77">
        <v>3274</v>
      </c>
      <c r="Q467" s="77"/>
      <c r="R467" s="77"/>
      <c r="S467" s="77"/>
      <c r="T467" s="77"/>
      <c r="U467" s="77"/>
      <c r="V467" s="77"/>
      <c r="W467" s="77"/>
      <c r="X467" s="77"/>
      <c r="Y467" s="77">
        <v>1826</v>
      </c>
      <c r="Z467" s="77">
        <v>1791</v>
      </c>
      <c r="AA467" s="77">
        <v>375</v>
      </c>
      <c r="AB467" s="77"/>
      <c r="AC467" s="77"/>
      <c r="AD467" s="77"/>
      <c r="AE467" s="62"/>
      <c r="AF467" s="63" t="b">
        <v>0</v>
      </c>
      <c r="AG467" s="63" t="b">
        <v>0</v>
      </c>
      <c r="AH467" s="62"/>
      <c r="AI467" s="64">
        <f t="shared" si="786"/>
        <v>43435</v>
      </c>
      <c r="AJ467" s="65" t="str">
        <f t="shared" si="1116"/>
        <v>LAB</v>
      </c>
      <c r="AK467" s="66" t="str">
        <f t="shared" si="787"/>
        <v>HOLD</v>
      </c>
      <c r="AL467" s="67" t="e">
        <f t="shared" ca="1" si="788"/>
        <v>#NAME?</v>
      </c>
      <c r="AM467" s="68">
        <f t="shared" si="1408"/>
        <v>11634</v>
      </c>
      <c r="AN467" s="69">
        <f t="shared" si="1409"/>
        <v>0.26784850926672038</v>
      </c>
      <c r="AO467" s="62"/>
      <c r="AP467" s="70">
        <f t="shared" ref="AP467:AT467" si="1413">H467/$AI467</f>
        <v>0.44077356970185333</v>
      </c>
      <c r="AQ467" s="70">
        <f t="shared" si="1413"/>
        <v>7.1693334868193848E-2</v>
      </c>
      <c r="AR467" s="70">
        <f t="shared" si="1413"/>
        <v>4.8186946011281227E-2</v>
      </c>
      <c r="AS467" s="70">
        <f t="shared" si="1413"/>
        <v>4.4342120409807756E-2</v>
      </c>
      <c r="AT467" s="70">
        <f t="shared" si="1413"/>
        <v>0.17292506043513295</v>
      </c>
      <c r="AU467" s="70"/>
      <c r="AV467" s="70"/>
      <c r="AW467" s="81">
        <f t="shared" si="790"/>
        <v>0.22207896857373077</v>
      </c>
      <c r="AX467" s="70">
        <f t="shared" ref="AX467:BG467" si="1414">O467/$AI467</f>
        <v>5.4794520547945202E-2</v>
      </c>
      <c r="AY467" s="70">
        <f t="shared" si="1414"/>
        <v>7.5377000115114542E-2</v>
      </c>
      <c r="AZ467" s="70">
        <f t="shared" si="1414"/>
        <v>0</v>
      </c>
      <c r="BA467" s="70">
        <f t="shared" si="1414"/>
        <v>0</v>
      </c>
      <c r="BB467" s="70">
        <f t="shared" si="1414"/>
        <v>0</v>
      </c>
      <c r="BC467" s="70">
        <f t="shared" si="1414"/>
        <v>0</v>
      </c>
      <c r="BD467" s="70">
        <f t="shared" si="1414"/>
        <v>0</v>
      </c>
      <c r="BE467" s="70">
        <f t="shared" si="1414"/>
        <v>0</v>
      </c>
      <c r="BF467" s="70">
        <f t="shared" si="1414"/>
        <v>0</v>
      </c>
      <c r="BG467" s="70">
        <f t="shared" si="1414"/>
        <v>0</v>
      </c>
      <c r="BH467" s="70">
        <f t="shared" si="792"/>
        <v>9.1907447910671014E-2</v>
      </c>
      <c r="BI467" s="62"/>
      <c r="BJ467" s="69">
        <v>0.70399999999999996</v>
      </c>
      <c r="BK467" s="69">
        <v>0.14499999999999999</v>
      </c>
      <c r="BL467" s="69">
        <v>2.3E-2</v>
      </c>
      <c r="BM467" s="69">
        <v>0.09</v>
      </c>
      <c r="BN467" s="69">
        <v>3.6999999999999998E-2</v>
      </c>
      <c r="BO467" s="69">
        <v>0</v>
      </c>
      <c r="BP467" s="69">
        <v>0</v>
      </c>
      <c r="BQ467" s="69">
        <v>0</v>
      </c>
      <c r="BR467" s="62"/>
      <c r="BS467" s="72">
        <f t="shared" ref="BS467:BW467" si="1415">AP467-BJ467</f>
        <v>-0.26322643029814663</v>
      </c>
      <c r="BT467" s="72">
        <f t="shared" si="1415"/>
        <v>-7.3306665131806142E-2</v>
      </c>
      <c r="BU467" s="72">
        <f t="shared" si="1415"/>
        <v>2.5186946011281228E-2</v>
      </c>
      <c r="BV467" s="72">
        <f t="shared" si="1415"/>
        <v>-4.5657879590192241E-2</v>
      </c>
      <c r="BW467" s="72">
        <f t="shared" si="1415"/>
        <v>0.13592506043513294</v>
      </c>
      <c r="BX467" s="72"/>
      <c r="BY467" s="72"/>
      <c r="BZ467" s="72">
        <f t="shared" si="794"/>
        <v>0.22207896857373077</v>
      </c>
    </row>
    <row r="468" spans="1:78" ht="13.15">
      <c r="A468" s="73" t="s">
        <v>6</v>
      </c>
      <c r="B468" s="74" t="s">
        <v>979</v>
      </c>
      <c r="C468" s="75" t="s">
        <v>980</v>
      </c>
      <c r="D468" s="75" t="s">
        <v>47</v>
      </c>
      <c r="E468" s="76">
        <v>75725</v>
      </c>
      <c r="F468" s="59">
        <v>0.69899999999999995</v>
      </c>
      <c r="G468" s="60"/>
      <c r="H468" s="77">
        <v>3753</v>
      </c>
      <c r="I468" s="77">
        <v>16328</v>
      </c>
      <c r="J468" s="77">
        <v>7753</v>
      </c>
      <c r="K468" s="77">
        <v>23450</v>
      </c>
      <c r="L468" s="77">
        <v>1197</v>
      </c>
      <c r="M468" s="77"/>
      <c r="N468" s="77"/>
      <c r="O468" s="77">
        <v>292</v>
      </c>
      <c r="P468" s="77"/>
      <c r="Q468" s="77"/>
      <c r="R468" s="77"/>
      <c r="S468" s="77"/>
      <c r="T468" s="77"/>
      <c r="U468" s="77"/>
      <c r="V468" s="77"/>
      <c r="W468" s="77"/>
      <c r="X468" s="77"/>
      <c r="Y468" s="77">
        <v>166</v>
      </c>
      <c r="Z468" s="77"/>
      <c r="AA468" s="77"/>
      <c r="AB468" s="77"/>
      <c r="AC468" s="77"/>
      <c r="AD468" s="77"/>
      <c r="AE468" s="62"/>
      <c r="AF468" s="63" t="b">
        <v>0</v>
      </c>
      <c r="AG468" s="63" t="b">
        <v>0</v>
      </c>
      <c r="AH468" s="62"/>
      <c r="AI468" s="64">
        <f t="shared" si="786"/>
        <v>52939</v>
      </c>
      <c r="AJ468" s="65" t="str">
        <f t="shared" si="1116"/>
        <v>LDM</v>
      </c>
      <c r="AK468" s="66" t="str">
        <f t="shared" si="787"/>
        <v>GAIN</v>
      </c>
      <c r="AL468" s="67" t="e">
        <f t="shared" ca="1" si="788"/>
        <v>#NAME?</v>
      </c>
      <c r="AM468" s="68">
        <f t="shared" si="1408"/>
        <v>7122</v>
      </c>
      <c r="AN468" s="69">
        <f t="shared" si="1409"/>
        <v>0.1345321974347834</v>
      </c>
      <c r="AO468" s="62"/>
      <c r="AP468" s="70">
        <f t="shared" ref="AP468:AT468" si="1416">H468/$AI468</f>
        <v>7.0892914486484451E-2</v>
      </c>
      <c r="AQ468" s="70">
        <f t="shared" si="1416"/>
        <v>0.30843045769659422</v>
      </c>
      <c r="AR468" s="70">
        <f t="shared" si="1416"/>
        <v>0.14645157634258296</v>
      </c>
      <c r="AS468" s="70">
        <f t="shared" si="1416"/>
        <v>0.44296265513137761</v>
      </c>
      <c r="AT468" s="70">
        <f t="shared" si="1416"/>
        <v>2.2610929560437483E-2</v>
      </c>
      <c r="AU468" s="70"/>
      <c r="AV468" s="70"/>
      <c r="AW468" s="81">
        <f t="shared" si="790"/>
        <v>8.651466782523265E-3</v>
      </c>
      <c r="AX468" s="70">
        <f t="shared" ref="AX468:BG468" si="1417">O468/$AI468</f>
        <v>5.5157823154951928E-3</v>
      </c>
      <c r="AY468" s="70">
        <f t="shared" si="1417"/>
        <v>0</v>
      </c>
      <c r="AZ468" s="70">
        <f t="shared" si="1417"/>
        <v>0</v>
      </c>
      <c r="BA468" s="70">
        <f t="shared" si="1417"/>
        <v>0</v>
      </c>
      <c r="BB468" s="70">
        <f t="shared" si="1417"/>
        <v>0</v>
      </c>
      <c r="BC468" s="70">
        <f t="shared" si="1417"/>
        <v>0</v>
      </c>
      <c r="BD468" s="70">
        <f t="shared" si="1417"/>
        <v>0</v>
      </c>
      <c r="BE468" s="70">
        <f t="shared" si="1417"/>
        <v>0</v>
      </c>
      <c r="BF468" s="70">
        <f t="shared" si="1417"/>
        <v>0</v>
      </c>
      <c r="BG468" s="70">
        <f t="shared" si="1417"/>
        <v>0</v>
      </c>
      <c r="BH468" s="70">
        <f t="shared" si="792"/>
        <v>3.1356844670280722E-3</v>
      </c>
      <c r="BI468" s="62"/>
      <c r="BJ468" s="69">
        <v>0.113</v>
      </c>
      <c r="BK468" s="69">
        <v>0.60199999999999998</v>
      </c>
      <c r="BL468" s="69">
        <v>0</v>
      </c>
      <c r="BM468" s="69">
        <v>0.247</v>
      </c>
      <c r="BN468" s="69">
        <v>3.7999999999999999E-2</v>
      </c>
      <c r="BO468" s="69">
        <v>0</v>
      </c>
      <c r="BP468" s="69">
        <v>0</v>
      </c>
      <c r="BQ468" s="69">
        <v>0</v>
      </c>
      <c r="BR468" s="62"/>
      <c r="BS468" s="72">
        <f t="shared" ref="BS468:BW468" si="1418">AP468-BJ468</f>
        <v>-4.2107085513515552E-2</v>
      </c>
      <c r="BT468" s="72">
        <f t="shared" si="1418"/>
        <v>-0.29356954230340576</v>
      </c>
      <c r="BU468" s="72">
        <f t="shared" si="1418"/>
        <v>0.14645157634258296</v>
      </c>
      <c r="BV468" s="72">
        <f t="shared" si="1418"/>
        <v>0.19596265513137762</v>
      </c>
      <c r="BW468" s="72">
        <f t="shared" si="1418"/>
        <v>-1.5389070439562516E-2</v>
      </c>
      <c r="BX468" s="72"/>
      <c r="BY468" s="72"/>
      <c r="BZ468" s="72">
        <f t="shared" si="794"/>
        <v>8.651466782523265E-3</v>
      </c>
    </row>
    <row r="469" spans="1:78" ht="13.15">
      <c r="A469" s="78" t="s">
        <v>5</v>
      </c>
      <c r="B469" s="74" t="s">
        <v>981</v>
      </c>
      <c r="C469" s="75" t="s">
        <v>982</v>
      </c>
      <c r="D469" s="75" t="s">
        <v>68</v>
      </c>
      <c r="E469" s="76"/>
      <c r="F469" s="59"/>
      <c r="G469" s="60"/>
      <c r="H469" s="77">
        <v>23232</v>
      </c>
      <c r="I469" s="77">
        <v>5328</v>
      </c>
      <c r="J469" s="77">
        <v>1994</v>
      </c>
      <c r="K469" s="77">
        <v>5031</v>
      </c>
      <c r="L469" s="77">
        <v>7629</v>
      </c>
      <c r="M469" s="77"/>
      <c r="N469" s="77"/>
      <c r="O469" s="77"/>
      <c r="P469" s="77">
        <v>910</v>
      </c>
      <c r="Q469" s="77">
        <v>139</v>
      </c>
      <c r="R469" s="77"/>
      <c r="S469" s="77"/>
      <c r="T469" s="77"/>
      <c r="U469" s="77"/>
      <c r="V469" s="77"/>
      <c r="W469" s="77"/>
      <c r="X469" s="77"/>
      <c r="Y469" s="77">
        <v>290</v>
      </c>
      <c r="Z469" s="77"/>
      <c r="AA469" s="77"/>
      <c r="AB469" s="77"/>
      <c r="AC469" s="77"/>
      <c r="AD469" s="77"/>
      <c r="AE469" s="62"/>
      <c r="AF469" s="63" t="b">
        <v>0</v>
      </c>
      <c r="AG469" s="63" t="b">
        <v>0</v>
      </c>
      <c r="AH469" s="62"/>
      <c r="AI469" s="64">
        <f t="shared" si="786"/>
        <v>44553</v>
      </c>
      <c r="AJ469" s="65" t="str">
        <f t="shared" si="1116"/>
        <v>LAB</v>
      </c>
      <c r="AK469" s="66" t="str">
        <f t="shared" si="787"/>
        <v>HOLD</v>
      </c>
      <c r="AL469" s="67" t="e">
        <f t="shared" ca="1" si="788"/>
        <v>#NAME?</v>
      </c>
      <c r="AM469" s="68">
        <f t="shared" si="1408"/>
        <v>15603</v>
      </c>
      <c r="AN469" s="69">
        <f t="shared" si="1409"/>
        <v>0.35021210692882632</v>
      </c>
      <c r="AO469" s="62"/>
      <c r="AP469" s="70">
        <f t="shared" ref="AP469:AT469" si="1419">H469/$AI469</f>
        <v>0.52144636724799676</v>
      </c>
      <c r="AQ469" s="70">
        <f t="shared" si="1419"/>
        <v>0.11958790653828025</v>
      </c>
      <c r="AR469" s="70">
        <f t="shared" si="1419"/>
        <v>4.4755684241240767E-2</v>
      </c>
      <c r="AS469" s="70">
        <f t="shared" si="1419"/>
        <v>0.11292168877516666</v>
      </c>
      <c r="AT469" s="70">
        <f t="shared" si="1419"/>
        <v>0.17123426031917044</v>
      </c>
      <c r="AU469" s="70"/>
      <c r="AV469" s="70"/>
      <c r="AW469" s="81">
        <f t="shared" si="790"/>
        <v>3.00540928781452E-2</v>
      </c>
      <c r="AX469" s="70">
        <f t="shared" ref="AX469:BG469" si="1420">O469/$AI469</f>
        <v>0</v>
      </c>
      <c r="AY469" s="70">
        <f t="shared" si="1420"/>
        <v>2.0425111664758827E-2</v>
      </c>
      <c r="AZ469" s="70">
        <f t="shared" si="1420"/>
        <v>3.1198796938477769E-3</v>
      </c>
      <c r="BA469" s="70">
        <f t="shared" si="1420"/>
        <v>0</v>
      </c>
      <c r="BB469" s="70">
        <f t="shared" si="1420"/>
        <v>0</v>
      </c>
      <c r="BC469" s="70">
        <f t="shared" si="1420"/>
        <v>0</v>
      </c>
      <c r="BD469" s="70">
        <f t="shared" si="1420"/>
        <v>0</v>
      </c>
      <c r="BE469" s="70">
        <f t="shared" si="1420"/>
        <v>0</v>
      </c>
      <c r="BF469" s="70">
        <f t="shared" si="1420"/>
        <v>0</v>
      </c>
      <c r="BG469" s="70">
        <f t="shared" si="1420"/>
        <v>0</v>
      </c>
      <c r="BH469" s="70">
        <f t="shared" si="792"/>
        <v>6.5091015195385959E-3</v>
      </c>
      <c r="BI469" s="62"/>
      <c r="BJ469" s="69">
        <v>0.57899999999999996</v>
      </c>
      <c r="BK469" s="69">
        <v>0.188</v>
      </c>
      <c r="BL469" s="69">
        <v>1.2999999999999999E-2</v>
      </c>
      <c r="BM469" s="69">
        <v>0.17599999999999999</v>
      </c>
      <c r="BN469" s="69">
        <v>4.3999999999999997E-2</v>
      </c>
      <c r="BO469" s="69">
        <v>0</v>
      </c>
      <c r="BP469" s="69">
        <v>0</v>
      </c>
      <c r="BQ469" s="69">
        <v>0</v>
      </c>
      <c r="BR469" s="62"/>
      <c r="BS469" s="72">
        <f t="shared" ref="BS469:BW469" si="1421">AP469-BJ469</f>
        <v>-5.7553632752003203E-2</v>
      </c>
      <c r="BT469" s="72">
        <f t="shared" si="1421"/>
        <v>-6.8412093461719753E-2</v>
      </c>
      <c r="BU469" s="72">
        <f t="shared" si="1421"/>
        <v>3.175568424124077E-2</v>
      </c>
      <c r="BV469" s="72">
        <f t="shared" si="1421"/>
        <v>-6.3078311224833331E-2</v>
      </c>
      <c r="BW469" s="72">
        <f t="shared" si="1421"/>
        <v>0.12723426031917046</v>
      </c>
      <c r="BX469" s="72"/>
      <c r="BY469" s="72"/>
      <c r="BZ469" s="72">
        <f t="shared" si="794"/>
        <v>3.00540928781452E-2</v>
      </c>
    </row>
    <row r="470" spans="1:78" ht="13.15">
      <c r="A470" s="78" t="s">
        <v>5</v>
      </c>
      <c r="B470" s="74" t="s">
        <v>983</v>
      </c>
      <c r="C470" s="75" t="s">
        <v>984</v>
      </c>
      <c r="D470" s="75" t="s">
        <v>50</v>
      </c>
      <c r="E470" s="76"/>
      <c r="F470" s="59"/>
      <c r="G470" s="60"/>
      <c r="H470" s="77">
        <v>22642</v>
      </c>
      <c r="I470" s="77">
        <v>6492</v>
      </c>
      <c r="J470" s="77">
        <v>5485</v>
      </c>
      <c r="K470" s="77">
        <v>2216</v>
      </c>
      <c r="L470" s="77">
        <v>4398</v>
      </c>
      <c r="M470" s="77"/>
      <c r="N470" s="77"/>
      <c r="O470" s="77"/>
      <c r="P470" s="77">
        <v>4461</v>
      </c>
      <c r="Q470" s="77"/>
      <c r="R470" s="77"/>
      <c r="S470" s="77"/>
      <c r="T470" s="77"/>
      <c r="U470" s="77"/>
      <c r="V470" s="77"/>
      <c r="W470" s="77"/>
      <c r="X470" s="77"/>
      <c r="Y470" s="77">
        <v>308</v>
      </c>
      <c r="Z470" s="77"/>
      <c r="AA470" s="77"/>
      <c r="AB470" s="77"/>
      <c r="AC470" s="77"/>
      <c r="AD470" s="77"/>
      <c r="AE470" s="62"/>
      <c r="AF470" s="63" t="b">
        <v>0</v>
      </c>
      <c r="AG470" s="63" t="b">
        <v>0</v>
      </c>
      <c r="AH470" s="62"/>
      <c r="AI470" s="64">
        <f t="shared" si="786"/>
        <v>46002</v>
      </c>
      <c r="AJ470" s="65" t="str">
        <f t="shared" si="1116"/>
        <v>LAB</v>
      </c>
      <c r="AK470" s="66" t="str">
        <f t="shared" si="787"/>
        <v>HOLD</v>
      </c>
      <c r="AL470" s="67" t="e">
        <f t="shared" ca="1" si="788"/>
        <v>#NAME?</v>
      </c>
      <c r="AM470" s="68">
        <f t="shared" si="1408"/>
        <v>16150</v>
      </c>
      <c r="AN470" s="69">
        <f t="shared" si="1409"/>
        <v>0.35107169253510717</v>
      </c>
      <c r="AO470" s="62"/>
      <c r="AP470" s="70">
        <f t="shared" ref="AP470:AT470" si="1422">H470/$AI470</f>
        <v>0.49219599147863136</v>
      </c>
      <c r="AQ470" s="70">
        <f t="shared" si="1422"/>
        <v>0.14112429894352418</v>
      </c>
      <c r="AR470" s="70">
        <f t="shared" si="1422"/>
        <v>0.11923394635015869</v>
      </c>
      <c r="AS470" s="70">
        <f t="shared" si="1422"/>
        <v>4.8171818616581888E-2</v>
      </c>
      <c r="AT470" s="70">
        <f t="shared" si="1422"/>
        <v>9.5604538933089872E-2</v>
      </c>
      <c r="AU470" s="70"/>
      <c r="AV470" s="70"/>
      <c r="AW470" s="81">
        <f t="shared" si="790"/>
        <v>0.10366940567801397</v>
      </c>
      <c r="AX470" s="70">
        <f t="shared" ref="AX470:BG470" si="1423">O470/$AI470</f>
        <v>0</v>
      </c>
      <c r="AY470" s="70">
        <f t="shared" si="1423"/>
        <v>9.6974044606756224E-2</v>
      </c>
      <c r="AZ470" s="70">
        <f t="shared" si="1423"/>
        <v>0</v>
      </c>
      <c r="BA470" s="70">
        <f t="shared" si="1423"/>
        <v>0</v>
      </c>
      <c r="BB470" s="70">
        <f t="shared" si="1423"/>
        <v>0</v>
      </c>
      <c r="BC470" s="70">
        <f t="shared" si="1423"/>
        <v>0</v>
      </c>
      <c r="BD470" s="70">
        <f t="shared" si="1423"/>
        <v>0</v>
      </c>
      <c r="BE470" s="70">
        <f t="shared" si="1423"/>
        <v>0</v>
      </c>
      <c r="BF470" s="70">
        <f t="shared" si="1423"/>
        <v>0</v>
      </c>
      <c r="BG470" s="70">
        <f t="shared" si="1423"/>
        <v>0</v>
      </c>
      <c r="BH470" s="70">
        <f t="shared" si="792"/>
        <v>6.6953610712577466E-3</v>
      </c>
      <c r="BI470" s="62"/>
      <c r="BJ470" s="69">
        <v>0.60299999999999998</v>
      </c>
      <c r="BK470" s="69">
        <v>0.27500000000000002</v>
      </c>
      <c r="BL470" s="69">
        <v>3.5000000000000003E-2</v>
      </c>
      <c r="BM470" s="69">
        <v>5.8999999999999997E-2</v>
      </c>
      <c r="BN470" s="69">
        <v>2.7E-2</v>
      </c>
      <c r="BO470" s="69">
        <v>0</v>
      </c>
      <c r="BP470" s="69">
        <v>0</v>
      </c>
      <c r="BQ470" s="69">
        <v>0</v>
      </c>
      <c r="BR470" s="62"/>
      <c r="BS470" s="72">
        <f t="shared" ref="BS470:BW470" si="1424">AP470-BJ470</f>
        <v>-0.11080400852136862</v>
      </c>
      <c r="BT470" s="72">
        <f t="shared" si="1424"/>
        <v>-0.13387570105647584</v>
      </c>
      <c r="BU470" s="72">
        <f t="shared" si="1424"/>
        <v>8.4233946350158684E-2</v>
      </c>
      <c r="BV470" s="72">
        <f t="shared" si="1424"/>
        <v>-1.0828181383418109E-2</v>
      </c>
      <c r="BW470" s="72">
        <f t="shared" si="1424"/>
        <v>6.8604538933089876E-2</v>
      </c>
      <c r="BX470" s="72"/>
      <c r="BY470" s="72"/>
      <c r="BZ470" s="72">
        <f t="shared" si="794"/>
        <v>0.10366940567801397</v>
      </c>
    </row>
    <row r="471" spans="1:78" ht="13.15">
      <c r="A471" s="73" t="s">
        <v>6</v>
      </c>
      <c r="B471" s="74" t="s">
        <v>985</v>
      </c>
      <c r="C471" s="75" t="s">
        <v>986</v>
      </c>
      <c r="D471" s="75" t="s">
        <v>85</v>
      </c>
      <c r="E471" s="76">
        <v>77920</v>
      </c>
      <c r="F471" s="59">
        <v>0.70899999999999996</v>
      </c>
      <c r="G471" s="60"/>
      <c r="H471" s="77">
        <v>25630</v>
      </c>
      <c r="I471" s="77">
        <v>14219</v>
      </c>
      <c r="J471" s="77">
        <v>6329</v>
      </c>
      <c r="K471" s="77">
        <v>2913</v>
      </c>
      <c r="L471" s="77">
        <v>5729</v>
      </c>
      <c r="M471" s="77"/>
      <c r="N471" s="77"/>
      <c r="O471" s="77">
        <v>261</v>
      </c>
      <c r="P471" s="77"/>
      <c r="Q471" s="77"/>
      <c r="R471" s="77"/>
      <c r="S471" s="77"/>
      <c r="T471" s="77"/>
      <c r="U471" s="77"/>
      <c r="V471" s="77"/>
      <c r="W471" s="77"/>
      <c r="X471" s="77"/>
      <c r="Y471" s="77">
        <v>163</v>
      </c>
      <c r="Z471" s="77"/>
      <c r="AA471" s="77"/>
      <c r="AB471" s="77"/>
      <c r="AC471" s="77"/>
      <c r="AD471" s="77"/>
      <c r="AE471" s="62"/>
      <c r="AF471" s="63" t="b">
        <v>0</v>
      </c>
      <c r="AG471" s="63" t="b">
        <v>0</v>
      </c>
      <c r="AH471" s="62"/>
      <c r="AI471" s="64">
        <f t="shared" si="786"/>
        <v>55244</v>
      </c>
      <c r="AJ471" s="65" t="str">
        <f t="shared" si="1116"/>
        <v>LAB</v>
      </c>
      <c r="AK471" s="66" t="str">
        <f t="shared" si="787"/>
        <v>GAIN</v>
      </c>
      <c r="AL471" s="67" t="e">
        <f t="shared" ca="1" si="788"/>
        <v>#NAME?</v>
      </c>
      <c r="AM471" s="68">
        <f t="shared" si="1408"/>
        <v>11411</v>
      </c>
      <c r="AN471" s="69">
        <f t="shared" si="1409"/>
        <v>0.20655636811237421</v>
      </c>
      <c r="AO471" s="62"/>
      <c r="AP471" s="70">
        <f t="shared" ref="AP471:AT471" si="1425">H471/$AI471</f>
        <v>0.46394178553327059</v>
      </c>
      <c r="AQ471" s="70">
        <f t="shared" si="1425"/>
        <v>0.25738541742089638</v>
      </c>
      <c r="AR471" s="70">
        <f t="shared" si="1425"/>
        <v>0.11456447759032655</v>
      </c>
      <c r="AS471" s="70">
        <f t="shared" si="1425"/>
        <v>5.272970820360582E-2</v>
      </c>
      <c r="AT471" s="70">
        <f t="shared" si="1425"/>
        <v>0.1037035696184201</v>
      </c>
      <c r="AU471" s="70"/>
      <c r="AV471" s="70"/>
      <c r="AW471" s="81">
        <f t="shared" si="790"/>
        <v>7.6750416334806504E-3</v>
      </c>
      <c r="AX471" s="70">
        <f t="shared" ref="AX471:BG471" si="1426">O471/$AI471</f>
        <v>4.7244949677793064E-3</v>
      </c>
      <c r="AY471" s="70">
        <f t="shared" si="1426"/>
        <v>0</v>
      </c>
      <c r="AZ471" s="70">
        <f t="shared" si="1426"/>
        <v>0</v>
      </c>
      <c r="BA471" s="70">
        <f t="shared" si="1426"/>
        <v>0</v>
      </c>
      <c r="BB471" s="70">
        <f t="shared" si="1426"/>
        <v>0</v>
      </c>
      <c r="BC471" s="70">
        <f t="shared" si="1426"/>
        <v>0</v>
      </c>
      <c r="BD471" s="70">
        <f t="shared" si="1426"/>
        <v>0</v>
      </c>
      <c r="BE471" s="70">
        <f t="shared" si="1426"/>
        <v>0</v>
      </c>
      <c r="BF471" s="70">
        <f t="shared" si="1426"/>
        <v>0</v>
      </c>
      <c r="BG471" s="70">
        <f t="shared" si="1426"/>
        <v>0</v>
      </c>
      <c r="BH471" s="70">
        <f t="shared" si="792"/>
        <v>2.9505466657013439E-3</v>
      </c>
      <c r="BI471" s="62"/>
      <c r="BJ471" s="69">
        <v>0.41599999999999998</v>
      </c>
      <c r="BK471" s="69">
        <v>0.45700000000000002</v>
      </c>
      <c r="BL471" s="69">
        <v>1.4999999999999999E-2</v>
      </c>
      <c r="BM471" s="69">
        <v>2.1999999999999999E-2</v>
      </c>
      <c r="BN471" s="69">
        <v>0.08</v>
      </c>
      <c r="BO471" s="69">
        <v>0</v>
      </c>
      <c r="BP471" s="69">
        <v>0</v>
      </c>
      <c r="BQ471" s="69">
        <v>8.9999999999999993E-3</v>
      </c>
      <c r="BR471" s="62"/>
      <c r="BS471" s="72">
        <f t="shared" ref="BS471:BW471" si="1427">AP471-BJ471</f>
        <v>4.7941785533270609E-2</v>
      </c>
      <c r="BT471" s="72">
        <f t="shared" si="1427"/>
        <v>-0.19961458257910364</v>
      </c>
      <c r="BU471" s="72">
        <f t="shared" si="1427"/>
        <v>9.956447759032655E-2</v>
      </c>
      <c r="BV471" s="72">
        <f t="shared" si="1427"/>
        <v>3.0729708203605821E-2</v>
      </c>
      <c r="BW471" s="72">
        <f t="shared" si="1427"/>
        <v>2.3703569618420101E-2</v>
      </c>
      <c r="BX471" s="72"/>
      <c r="BY471" s="72"/>
      <c r="BZ471" s="72">
        <f t="shared" si="794"/>
        <v>-1.3249583665193489E-3</v>
      </c>
    </row>
    <row r="472" spans="1:78" ht="13.15">
      <c r="A472" s="73" t="s">
        <v>6</v>
      </c>
      <c r="B472" s="74" t="s">
        <v>987</v>
      </c>
      <c r="C472" s="75" t="s">
        <v>988</v>
      </c>
      <c r="D472" s="75" t="s">
        <v>78</v>
      </c>
      <c r="E472" s="76"/>
      <c r="F472" s="59"/>
      <c r="G472" s="60"/>
      <c r="H472" s="77">
        <v>15672</v>
      </c>
      <c r="I472" s="77">
        <v>14602</v>
      </c>
      <c r="J472" s="77">
        <v>7850</v>
      </c>
      <c r="K472" s="77">
        <v>6947</v>
      </c>
      <c r="L472" s="77">
        <v>4380</v>
      </c>
      <c r="M472" s="77"/>
      <c r="N472" s="77"/>
      <c r="O472" s="77"/>
      <c r="P472" s="77"/>
      <c r="Q472" s="77"/>
      <c r="R472" s="77"/>
      <c r="S472" s="77"/>
      <c r="T472" s="77"/>
      <c r="U472" s="77"/>
      <c r="V472" s="77"/>
      <c r="W472" s="77"/>
      <c r="X472" s="77"/>
      <c r="Y472" s="77"/>
      <c r="Z472" s="77"/>
      <c r="AA472" s="77"/>
      <c r="AB472" s="77"/>
      <c r="AC472" s="77"/>
      <c r="AD472" s="77"/>
      <c r="AE472" s="62"/>
      <c r="AF472" s="63" t="b">
        <v>0</v>
      </c>
      <c r="AG472" s="63" t="b">
        <v>0</v>
      </c>
      <c r="AH472" s="62"/>
      <c r="AI472" s="64">
        <f t="shared" si="786"/>
        <v>49451</v>
      </c>
      <c r="AJ472" s="65" t="str">
        <f t="shared" si="1116"/>
        <v>LAB</v>
      </c>
      <c r="AK472" s="66" t="str">
        <f t="shared" si="787"/>
        <v>GAIN</v>
      </c>
      <c r="AL472" s="67" t="e">
        <f t="shared" ca="1" si="788"/>
        <v>#NAME?</v>
      </c>
      <c r="AM472" s="68">
        <f t="shared" si="1408"/>
        <v>1070</v>
      </c>
      <c r="AN472" s="69">
        <f t="shared" si="1409"/>
        <v>2.1637580635376463E-2</v>
      </c>
      <c r="AO472" s="62"/>
      <c r="AP472" s="70">
        <f t="shared" ref="AP472:AT472" si="1428">H472/$AI472</f>
        <v>0.31691977917534531</v>
      </c>
      <c r="AQ472" s="70">
        <f t="shared" si="1428"/>
        <v>0.29528219853996884</v>
      </c>
      <c r="AR472" s="70">
        <f t="shared" si="1428"/>
        <v>0.15874299811935047</v>
      </c>
      <c r="AS472" s="70">
        <f t="shared" si="1428"/>
        <v>0.14048249782613093</v>
      </c>
      <c r="AT472" s="70">
        <f t="shared" si="1428"/>
        <v>8.8572526339204469E-2</v>
      </c>
      <c r="AU472" s="70"/>
      <c r="AV472" s="70"/>
      <c r="AW472" s="81">
        <f t="shared" si="790"/>
        <v>0</v>
      </c>
      <c r="AX472" s="70">
        <f t="shared" ref="AX472:BG472" si="1429">O472/$AI472</f>
        <v>0</v>
      </c>
      <c r="AY472" s="70">
        <f t="shared" si="1429"/>
        <v>0</v>
      </c>
      <c r="AZ472" s="70">
        <f t="shared" si="1429"/>
        <v>0</v>
      </c>
      <c r="BA472" s="70">
        <f t="shared" si="1429"/>
        <v>0</v>
      </c>
      <c r="BB472" s="70">
        <f t="shared" si="1429"/>
        <v>0</v>
      </c>
      <c r="BC472" s="70">
        <f t="shared" si="1429"/>
        <v>0</v>
      </c>
      <c r="BD472" s="70">
        <f t="shared" si="1429"/>
        <v>0</v>
      </c>
      <c r="BE472" s="70">
        <f t="shared" si="1429"/>
        <v>0</v>
      </c>
      <c r="BF472" s="70">
        <f t="shared" si="1429"/>
        <v>0</v>
      </c>
      <c r="BG472" s="70">
        <f t="shared" si="1429"/>
        <v>0</v>
      </c>
      <c r="BH472" s="70">
        <f t="shared" si="792"/>
        <v>1.1102230246251565E-16</v>
      </c>
      <c r="BI472" s="62"/>
      <c r="BJ472" s="69">
        <v>0.214</v>
      </c>
      <c r="BK472" s="69">
        <v>0.56499999999999995</v>
      </c>
      <c r="BL472" s="69">
        <v>0</v>
      </c>
      <c r="BM472" s="69">
        <v>0.151</v>
      </c>
      <c r="BN472" s="69">
        <v>4.3999999999999997E-2</v>
      </c>
      <c r="BO472" s="69">
        <v>0</v>
      </c>
      <c r="BP472" s="69">
        <v>0</v>
      </c>
      <c r="BQ472" s="69">
        <v>2.5999999999999999E-2</v>
      </c>
      <c r="BR472" s="62"/>
      <c r="BS472" s="72">
        <f t="shared" ref="BS472:BW472" si="1430">AP472-BJ472</f>
        <v>0.10291977917534531</v>
      </c>
      <c r="BT472" s="72">
        <f t="shared" si="1430"/>
        <v>-0.2697178014600311</v>
      </c>
      <c r="BU472" s="72">
        <f t="shared" si="1430"/>
        <v>0.15874299811935047</v>
      </c>
      <c r="BV472" s="72">
        <f t="shared" si="1430"/>
        <v>-1.051750217386907E-2</v>
      </c>
      <c r="BW472" s="72">
        <f t="shared" si="1430"/>
        <v>4.4572526339204471E-2</v>
      </c>
      <c r="BX472" s="72"/>
      <c r="BY472" s="72"/>
      <c r="BZ472" s="72">
        <f t="shared" si="794"/>
        <v>-2.5999999999999888E-2</v>
      </c>
    </row>
    <row r="473" spans="1:78" ht="13.15">
      <c r="A473" s="78" t="s">
        <v>5</v>
      </c>
      <c r="B473" s="74" t="s">
        <v>989</v>
      </c>
      <c r="C473" s="75" t="s">
        <v>990</v>
      </c>
      <c r="D473" s="75" t="s">
        <v>129</v>
      </c>
      <c r="E473" s="76"/>
      <c r="F473" s="59">
        <v>0.52600000000000002</v>
      </c>
      <c r="G473" s="60"/>
      <c r="H473" s="77">
        <v>16852</v>
      </c>
      <c r="I473" s="77">
        <v>5731</v>
      </c>
      <c r="J473" s="77">
        <v>10779</v>
      </c>
      <c r="K473" s="77">
        <v>3602</v>
      </c>
      <c r="L473" s="77">
        <v>2993</v>
      </c>
      <c r="M473" s="77"/>
      <c r="N473" s="77"/>
      <c r="O473" s="77"/>
      <c r="P473" s="77"/>
      <c r="Q473" s="77"/>
      <c r="R473" s="77"/>
      <c r="S473" s="77"/>
      <c r="T473" s="77"/>
      <c r="U473" s="77"/>
      <c r="V473" s="77"/>
      <c r="W473" s="77"/>
      <c r="X473" s="77"/>
      <c r="Y473" s="77"/>
      <c r="Z473" s="77"/>
      <c r="AA473" s="77"/>
      <c r="AB473" s="77"/>
      <c r="AC473" s="77"/>
      <c r="AD473" s="77"/>
      <c r="AE473" s="62"/>
      <c r="AF473" s="63" t="b">
        <v>0</v>
      </c>
      <c r="AG473" s="63" t="b">
        <v>0</v>
      </c>
      <c r="AH473" s="62"/>
      <c r="AI473" s="64">
        <f t="shared" si="786"/>
        <v>39957</v>
      </c>
      <c r="AJ473" s="65" t="str">
        <f t="shared" si="1116"/>
        <v>LAB</v>
      </c>
      <c r="AK473" s="66" t="str">
        <f t="shared" si="787"/>
        <v>HOLD</v>
      </c>
      <c r="AL473" s="67" t="e">
        <f t="shared" ca="1" si="788"/>
        <v>#NAME?</v>
      </c>
      <c r="AM473" s="68">
        <f t="shared" si="1408"/>
        <v>6073</v>
      </c>
      <c r="AN473" s="69">
        <f t="shared" si="1409"/>
        <v>0.15198838751658034</v>
      </c>
      <c r="AO473" s="62"/>
      <c r="AP473" s="70">
        <f t="shared" ref="AP473:AT473" si="1431">H473/$AI473</f>
        <v>0.42175338488875541</v>
      </c>
      <c r="AQ473" s="70">
        <f t="shared" si="1431"/>
        <v>0.14342918637535351</v>
      </c>
      <c r="AR473" s="70">
        <f t="shared" si="1431"/>
        <v>0.26976499737217507</v>
      </c>
      <c r="AS473" s="70">
        <f t="shared" si="1431"/>
        <v>9.0146907926020467E-2</v>
      </c>
      <c r="AT473" s="70">
        <f t="shared" si="1431"/>
        <v>7.490552343769552E-2</v>
      </c>
      <c r="AU473" s="70"/>
      <c r="AV473" s="70"/>
      <c r="AW473" s="81">
        <f t="shared" si="790"/>
        <v>0</v>
      </c>
      <c r="AX473" s="70">
        <f t="shared" ref="AX473:BG473" si="1432">O473/$AI473</f>
        <v>0</v>
      </c>
      <c r="AY473" s="70">
        <f t="shared" si="1432"/>
        <v>0</v>
      </c>
      <c r="AZ473" s="70">
        <f t="shared" si="1432"/>
        <v>0</v>
      </c>
      <c r="BA473" s="70">
        <f t="shared" si="1432"/>
        <v>0</v>
      </c>
      <c r="BB473" s="70">
        <f t="shared" si="1432"/>
        <v>0</v>
      </c>
      <c r="BC473" s="70">
        <f t="shared" si="1432"/>
        <v>0</v>
      </c>
      <c r="BD473" s="70">
        <f t="shared" si="1432"/>
        <v>0</v>
      </c>
      <c r="BE473" s="70">
        <f t="shared" si="1432"/>
        <v>0</v>
      </c>
      <c r="BF473" s="70">
        <f t="shared" si="1432"/>
        <v>0</v>
      </c>
      <c r="BG473" s="70">
        <f t="shared" si="1432"/>
        <v>0</v>
      </c>
      <c r="BH473" s="70">
        <f t="shared" si="792"/>
        <v>0</v>
      </c>
      <c r="BI473" s="62"/>
      <c r="BJ473" s="69">
        <v>0.42199999999999999</v>
      </c>
      <c r="BK473" s="69">
        <v>0.35399999999999998</v>
      </c>
      <c r="BL473" s="69">
        <v>0.11600000000000001</v>
      </c>
      <c r="BM473" s="69">
        <v>7.0000000000000007E-2</v>
      </c>
      <c r="BN473" s="69">
        <v>2.8000000000000001E-2</v>
      </c>
      <c r="BO473" s="69">
        <v>0</v>
      </c>
      <c r="BP473" s="69">
        <v>0</v>
      </c>
      <c r="BQ473" s="69">
        <v>1.0999999999999999E-2</v>
      </c>
      <c r="BR473" s="62"/>
      <c r="BS473" s="72">
        <f t="shared" ref="BS473:BW473" si="1433">AP473-BJ473</f>
        <v>-2.4661511124457469E-4</v>
      </c>
      <c r="BT473" s="72">
        <f t="shared" si="1433"/>
        <v>-0.21057081362464647</v>
      </c>
      <c r="BU473" s="72">
        <f t="shared" si="1433"/>
        <v>0.15376499737217508</v>
      </c>
      <c r="BV473" s="72">
        <f t="shared" si="1433"/>
        <v>2.014690792602046E-2</v>
      </c>
      <c r="BW473" s="72">
        <f t="shared" si="1433"/>
        <v>4.6905523437695523E-2</v>
      </c>
      <c r="BX473" s="72"/>
      <c r="BY473" s="72"/>
      <c r="BZ473" s="72">
        <f t="shared" si="794"/>
        <v>-1.0999999999999999E-2</v>
      </c>
    </row>
    <row r="474" spans="1:78" ht="13.15">
      <c r="A474" s="73" t="s">
        <v>6</v>
      </c>
      <c r="B474" s="74" t="s">
        <v>991</v>
      </c>
      <c r="C474" s="75" t="s">
        <v>992</v>
      </c>
      <c r="D474" s="75" t="s">
        <v>44</v>
      </c>
      <c r="E474" s="76"/>
      <c r="F474" s="59"/>
      <c r="G474" s="60"/>
      <c r="H474" s="77">
        <v>3148</v>
      </c>
      <c r="I474" s="77">
        <v>15747</v>
      </c>
      <c r="J474" s="77">
        <v>6252</v>
      </c>
      <c r="K474" s="77">
        <v>21387</v>
      </c>
      <c r="L474" s="77">
        <v>1162</v>
      </c>
      <c r="M474" s="77"/>
      <c r="N474" s="77"/>
      <c r="O474" s="77"/>
      <c r="P474" s="77"/>
      <c r="Q474" s="77"/>
      <c r="R474" s="77"/>
      <c r="S474" s="77"/>
      <c r="T474" s="77"/>
      <c r="U474" s="77"/>
      <c r="V474" s="77"/>
      <c r="W474" s="77"/>
      <c r="X474" s="77"/>
      <c r="Y474" s="77">
        <v>92</v>
      </c>
      <c r="Z474" s="77"/>
      <c r="AA474" s="77"/>
      <c r="AB474" s="77"/>
      <c r="AC474" s="77"/>
      <c r="AD474" s="77"/>
      <c r="AE474" s="62"/>
      <c r="AF474" s="63" t="b">
        <v>0</v>
      </c>
      <c r="AG474" s="63" t="b">
        <v>0</v>
      </c>
      <c r="AH474" s="62"/>
      <c r="AI474" s="64">
        <f t="shared" si="786"/>
        <v>47788</v>
      </c>
      <c r="AJ474" s="65" t="str">
        <f t="shared" si="1116"/>
        <v>LDM</v>
      </c>
      <c r="AK474" s="66" t="str">
        <f t="shared" si="787"/>
        <v>GAIN</v>
      </c>
      <c r="AL474" s="67" t="e">
        <f t="shared" ca="1" si="788"/>
        <v>#NAME?</v>
      </c>
      <c r="AM474" s="68">
        <f t="shared" si="1408"/>
        <v>5640</v>
      </c>
      <c r="AN474" s="69">
        <f t="shared" si="1409"/>
        <v>0.1180212605675065</v>
      </c>
      <c r="AO474" s="62"/>
      <c r="AP474" s="70">
        <f t="shared" ref="AP474:AT474" si="1434">H474/$AI474</f>
        <v>6.5874278061438016E-2</v>
      </c>
      <c r="AQ474" s="70">
        <f t="shared" si="1434"/>
        <v>0.32951787059512849</v>
      </c>
      <c r="AR474" s="70">
        <f t="shared" si="1434"/>
        <v>0.13082782288440611</v>
      </c>
      <c r="AS474" s="70">
        <f t="shared" si="1434"/>
        <v>0.447539131162635</v>
      </c>
      <c r="AT474" s="70">
        <f t="shared" si="1434"/>
        <v>2.4315727797773499E-2</v>
      </c>
      <c r="AU474" s="70"/>
      <c r="AV474" s="70"/>
      <c r="AW474" s="81">
        <f t="shared" si="790"/>
        <v>1.9251694986188728E-3</v>
      </c>
      <c r="AX474" s="70">
        <f t="shared" ref="AX474:BG474" si="1435">O474/$AI474</f>
        <v>0</v>
      </c>
      <c r="AY474" s="70">
        <f t="shared" si="1435"/>
        <v>0</v>
      </c>
      <c r="AZ474" s="70">
        <f t="shared" si="1435"/>
        <v>0</v>
      </c>
      <c r="BA474" s="70">
        <f t="shared" si="1435"/>
        <v>0</v>
      </c>
      <c r="BB474" s="70">
        <f t="shared" si="1435"/>
        <v>0</v>
      </c>
      <c r="BC474" s="70">
        <f t="shared" si="1435"/>
        <v>0</v>
      </c>
      <c r="BD474" s="70">
        <f t="shared" si="1435"/>
        <v>0</v>
      </c>
      <c r="BE474" s="70">
        <f t="shared" si="1435"/>
        <v>0</v>
      </c>
      <c r="BF474" s="70">
        <f t="shared" si="1435"/>
        <v>0</v>
      </c>
      <c r="BG474" s="70">
        <f t="shared" si="1435"/>
        <v>0</v>
      </c>
      <c r="BH474" s="70">
        <f t="shared" si="792"/>
        <v>1.9251694986188728E-3</v>
      </c>
      <c r="BI474" s="62"/>
      <c r="BJ474" s="69">
        <v>9.4E-2</v>
      </c>
      <c r="BK474" s="69">
        <v>0.57899999999999996</v>
      </c>
      <c r="BL474" s="69">
        <v>0</v>
      </c>
      <c r="BM474" s="69">
        <v>0.28000000000000003</v>
      </c>
      <c r="BN474" s="69">
        <v>3.5000000000000003E-2</v>
      </c>
      <c r="BO474" s="69">
        <v>0</v>
      </c>
      <c r="BP474" s="69">
        <v>0</v>
      </c>
      <c r="BQ474" s="69">
        <v>1.2E-2</v>
      </c>
      <c r="BR474" s="62"/>
      <c r="BS474" s="72">
        <f t="shared" ref="BS474:BW474" si="1436">AP474-BJ474</f>
        <v>-2.8125721938561984E-2</v>
      </c>
      <c r="BT474" s="72">
        <f t="shared" si="1436"/>
        <v>-0.24948212940487147</v>
      </c>
      <c r="BU474" s="72">
        <f t="shared" si="1436"/>
        <v>0.13082782288440611</v>
      </c>
      <c r="BV474" s="72">
        <f t="shared" si="1436"/>
        <v>0.16753913116263497</v>
      </c>
      <c r="BW474" s="72">
        <f t="shared" si="1436"/>
        <v>-1.0684272202226505E-2</v>
      </c>
      <c r="BX474" s="72"/>
      <c r="BY474" s="72"/>
      <c r="BZ474" s="72">
        <f t="shared" si="794"/>
        <v>-1.0074830501381127E-2</v>
      </c>
    </row>
    <row r="475" spans="1:78" ht="13.15">
      <c r="A475" s="73" t="s">
        <v>6</v>
      </c>
      <c r="B475" s="74" t="s">
        <v>993</v>
      </c>
      <c r="C475" s="75" t="s">
        <v>994</v>
      </c>
      <c r="D475" s="75" t="s">
        <v>44</v>
      </c>
      <c r="E475" s="76"/>
      <c r="F475" s="59"/>
      <c r="G475" s="60"/>
      <c r="H475" s="77">
        <v>8239</v>
      </c>
      <c r="I475" s="77">
        <v>16758</v>
      </c>
      <c r="J475" s="77">
        <v>8920</v>
      </c>
      <c r="K475" s="77">
        <v>9916</v>
      </c>
      <c r="L475" s="77">
        <v>3762</v>
      </c>
      <c r="M475" s="77"/>
      <c r="N475" s="77"/>
      <c r="O475" s="77">
        <v>953</v>
      </c>
      <c r="P475" s="77"/>
      <c r="Q475" s="77">
        <v>319</v>
      </c>
      <c r="R475" s="77"/>
      <c r="S475" s="77"/>
      <c r="T475" s="77"/>
      <c r="U475" s="77"/>
      <c r="V475" s="77"/>
      <c r="W475" s="77"/>
      <c r="X475" s="77"/>
      <c r="Y475" s="77">
        <v>156</v>
      </c>
      <c r="Z475" s="77">
        <v>152</v>
      </c>
      <c r="AA475" s="77"/>
      <c r="AB475" s="77"/>
      <c r="AC475" s="77"/>
      <c r="AD475" s="77"/>
      <c r="AE475" s="62"/>
      <c r="AF475" s="63" t="b">
        <v>0</v>
      </c>
      <c r="AG475" s="63" t="b">
        <v>0</v>
      </c>
      <c r="AH475" s="62"/>
      <c r="AI475" s="64">
        <f t="shared" si="786"/>
        <v>49175</v>
      </c>
      <c r="AJ475" s="65" t="str">
        <f t="shared" si="1116"/>
        <v>CON</v>
      </c>
      <c r="AK475" s="66" t="str">
        <f t="shared" si="787"/>
        <v>HOLD</v>
      </c>
      <c r="AL475" s="67" t="e">
        <f t="shared" ca="1" si="788"/>
        <v>#NAME?</v>
      </c>
      <c r="AM475" s="68">
        <f t="shared" si="1408"/>
        <v>6842</v>
      </c>
      <c r="AN475" s="69">
        <f t="shared" si="1409"/>
        <v>0.13913573970513474</v>
      </c>
      <c r="AO475" s="62"/>
      <c r="AP475" s="70">
        <f t="shared" ref="AP475:AT475" si="1437">H475/$AI475</f>
        <v>0.16754448398576513</v>
      </c>
      <c r="AQ475" s="70">
        <f t="shared" si="1437"/>
        <v>0.34078291814946621</v>
      </c>
      <c r="AR475" s="70">
        <f t="shared" si="1437"/>
        <v>0.18139298423995934</v>
      </c>
      <c r="AS475" s="70">
        <f t="shared" si="1437"/>
        <v>0.20164717844433147</v>
      </c>
      <c r="AT475" s="70">
        <f t="shared" si="1437"/>
        <v>7.6502287747839348E-2</v>
      </c>
      <c r="AU475" s="70"/>
      <c r="AV475" s="70"/>
      <c r="AW475" s="81">
        <f t="shared" si="790"/>
        <v>3.2130147432638534E-2</v>
      </c>
      <c r="AX475" s="70">
        <f t="shared" ref="AX475:BG475" si="1438">O475/$AI475</f>
        <v>1.9379766141331977E-2</v>
      </c>
      <c r="AY475" s="70">
        <f t="shared" si="1438"/>
        <v>0</v>
      </c>
      <c r="AZ475" s="70">
        <f t="shared" si="1438"/>
        <v>6.487036095577021E-3</v>
      </c>
      <c r="BA475" s="70">
        <f t="shared" si="1438"/>
        <v>0</v>
      </c>
      <c r="BB475" s="70">
        <f t="shared" si="1438"/>
        <v>0</v>
      </c>
      <c r="BC475" s="70">
        <f t="shared" si="1438"/>
        <v>0</v>
      </c>
      <c r="BD475" s="70">
        <f t="shared" si="1438"/>
        <v>0</v>
      </c>
      <c r="BE475" s="70">
        <f t="shared" si="1438"/>
        <v>0</v>
      </c>
      <c r="BF475" s="70">
        <f t="shared" si="1438"/>
        <v>0</v>
      </c>
      <c r="BG475" s="70">
        <f t="shared" si="1438"/>
        <v>0</v>
      </c>
      <c r="BH475" s="70">
        <f t="shared" si="792"/>
        <v>6.2633451957295368E-3</v>
      </c>
      <c r="BI475" s="62"/>
      <c r="BJ475" s="69">
        <v>0.14899999999999999</v>
      </c>
      <c r="BK475" s="69">
        <v>0.63700000000000001</v>
      </c>
      <c r="BL475" s="69">
        <v>0</v>
      </c>
      <c r="BM475" s="69">
        <v>0.16800000000000001</v>
      </c>
      <c r="BN475" s="69">
        <v>4.5999999999999999E-2</v>
      </c>
      <c r="BO475" s="69">
        <v>0</v>
      </c>
      <c r="BP475" s="69">
        <v>0</v>
      </c>
      <c r="BQ475" s="69">
        <v>0</v>
      </c>
      <c r="BR475" s="62"/>
      <c r="BS475" s="72">
        <f t="shared" ref="BS475:BW475" si="1439">AP475-BJ475</f>
        <v>1.8544483985765137E-2</v>
      </c>
      <c r="BT475" s="72">
        <f t="shared" si="1439"/>
        <v>-0.2962170818505338</v>
      </c>
      <c r="BU475" s="72">
        <f t="shared" si="1439"/>
        <v>0.18139298423995934</v>
      </c>
      <c r="BV475" s="72">
        <f t="shared" si="1439"/>
        <v>3.364717844433146E-2</v>
      </c>
      <c r="BW475" s="72">
        <f t="shared" si="1439"/>
        <v>3.0502287747839349E-2</v>
      </c>
      <c r="BX475" s="72"/>
      <c r="BY475" s="72"/>
      <c r="BZ475" s="72">
        <f t="shared" si="794"/>
        <v>3.2130147432638534E-2</v>
      </c>
    </row>
    <row r="476" spans="1:78" ht="13.15">
      <c r="A476" s="73" t="s">
        <v>6</v>
      </c>
      <c r="B476" s="74" t="s">
        <v>995</v>
      </c>
      <c r="C476" s="75" t="s">
        <v>996</v>
      </c>
      <c r="D476" s="75" t="s">
        <v>68</v>
      </c>
      <c r="E476" s="76"/>
      <c r="F476" s="59"/>
      <c r="G476" s="60"/>
      <c r="H476" s="77">
        <v>8430</v>
      </c>
      <c r="I476" s="77">
        <v>13775</v>
      </c>
      <c r="J476" s="77">
        <v>5787</v>
      </c>
      <c r="K476" s="77">
        <v>17576</v>
      </c>
      <c r="L476" s="77">
        <v>1721</v>
      </c>
      <c r="M476" s="77"/>
      <c r="N476" s="77"/>
      <c r="O476" s="77">
        <v>317</v>
      </c>
      <c r="P476" s="77"/>
      <c r="Q476" s="77"/>
      <c r="R476" s="77"/>
      <c r="S476" s="77"/>
      <c r="T476" s="77"/>
      <c r="U476" s="77"/>
      <c r="V476" s="77"/>
      <c r="W476" s="77"/>
      <c r="X476" s="77"/>
      <c r="Y476" s="77"/>
      <c r="Z476" s="77"/>
      <c r="AA476" s="77"/>
      <c r="AB476" s="77"/>
      <c r="AC476" s="77"/>
      <c r="AD476" s="77"/>
      <c r="AE476" s="62"/>
      <c r="AF476" s="63" t="b">
        <v>0</v>
      </c>
      <c r="AG476" s="63" t="b">
        <v>0</v>
      </c>
      <c r="AH476" s="62"/>
      <c r="AI476" s="64">
        <f t="shared" si="786"/>
        <v>47606</v>
      </c>
      <c r="AJ476" s="65" t="str">
        <f t="shared" si="1116"/>
        <v>LDM</v>
      </c>
      <c r="AK476" s="66" t="str">
        <f t="shared" si="787"/>
        <v>GAIN</v>
      </c>
      <c r="AL476" s="67" t="e">
        <f t="shared" ca="1" si="788"/>
        <v>#NAME?</v>
      </c>
      <c r="AM476" s="68">
        <f t="shared" si="1408"/>
        <v>3801</v>
      </c>
      <c r="AN476" s="69">
        <f t="shared" si="1409"/>
        <v>7.9842876948283847E-2</v>
      </c>
      <c r="AO476" s="62"/>
      <c r="AP476" s="70">
        <f t="shared" ref="AP476:AT476" si="1440">H476/$AI476</f>
        <v>0.17707851951434694</v>
      </c>
      <c r="AQ476" s="70">
        <f t="shared" si="1440"/>
        <v>0.28935428307356215</v>
      </c>
      <c r="AR476" s="70">
        <f t="shared" si="1440"/>
        <v>0.12156030752426165</v>
      </c>
      <c r="AS476" s="70">
        <f t="shared" si="1440"/>
        <v>0.36919716002184599</v>
      </c>
      <c r="AT476" s="70">
        <f t="shared" si="1440"/>
        <v>3.6150905348065372E-2</v>
      </c>
      <c r="AU476" s="70"/>
      <c r="AV476" s="70"/>
      <c r="AW476" s="81">
        <f t="shared" si="790"/>
        <v>6.6588245179178829E-3</v>
      </c>
      <c r="AX476" s="70">
        <f t="shared" ref="AX476:BG476" si="1441">O476/$AI476</f>
        <v>6.6588245179179098E-3</v>
      </c>
      <c r="AY476" s="70">
        <f t="shared" si="1441"/>
        <v>0</v>
      </c>
      <c r="AZ476" s="70">
        <f t="shared" si="1441"/>
        <v>0</v>
      </c>
      <c r="BA476" s="70">
        <f t="shared" si="1441"/>
        <v>0</v>
      </c>
      <c r="BB476" s="70">
        <f t="shared" si="1441"/>
        <v>0</v>
      </c>
      <c r="BC476" s="70">
        <f t="shared" si="1441"/>
        <v>0</v>
      </c>
      <c r="BD476" s="70">
        <f t="shared" si="1441"/>
        <v>0</v>
      </c>
      <c r="BE476" s="70">
        <f t="shared" si="1441"/>
        <v>0</v>
      </c>
      <c r="BF476" s="70">
        <f t="shared" si="1441"/>
        <v>0</v>
      </c>
      <c r="BG476" s="70">
        <f t="shared" si="1441"/>
        <v>0</v>
      </c>
      <c r="BH476" s="70">
        <f t="shared" si="792"/>
        <v>-2.688821387764051E-17</v>
      </c>
      <c r="BI476" s="62"/>
      <c r="BJ476" s="69">
        <v>0.14299999999999999</v>
      </c>
      <c r="BK476" s="69">
        <v>0.5</v>
      </c>
      <c r="BL476" s="69">
        <v>0</v>
      </c>
      <c r="BM476" s="69">
        <v>0.33400000000000002</v>
      </c>
      <c r="BN476" s="69">
        <v>2.3E-2</v>
      </c>
      <c r="BO476" s="69">
        <v>0</v>
      </c>
      <c r="BP476" s="69">
        <v>0</v>
      </c>
      <c r="BQ476" s="69">
        <v>0</v>
      </c>
      <c r="BR476" s="62"/>
      <c r="BS476" s="72">
        <f t="shared" ref="BS476:BW476" si="1442">AP476-BJ476</f>
        <v>3.4078519514346955E-2</v>
      </c>
      <c r="BT476" s="72">
        <f t="shared" si="1442"/>
        <v>-0.21064571692643785</v>
      </c>
      <c r="BU476" s="72">
        <f t="shared" si="1442"/>
        <v>0.12156030752426165</v>
      </c>
      <c r="BV476" s="72">
        <f t="shared" si="1442"/>
        <v>3.5197160021845975E-2</v>
      </c>
      <c r="BW476" s="72">
        <f t="shared" si="1442"/>
        <v>1.3150905348065373E-2</v>
      </c>
      <c r="BX476" s="72"/>
      <c r="BY476" s="72"/>
      <c r="BZ476" s="72">
        <f t="shared" si="794"/>
        <v>6.6588245179178829E-3</v>
      </c>
    </row>
    <row r="477" spans="1:78" ht="13.15">
      <c r="A477" s="73" t="s">
        <v>6</v>
      </c>
      <c r="B477" s="74" t="s">
        <v>997</v>
      </c>
      <c r="C477" s="75" t="s">
        <v>998</v>
      </c>
      <c r="D477" s="75" t="s">
        <v>47</v>
      </c>
      <c r="E477" s="76"/>
      <c r="F477" s="59"/>
      <c r="G477" s="60"/>
      <c r="H477" s="77">
        <v>15959</v>
      </c>
      <c r="I477" s="77">
        <v>18502</v>
      </c>
      <c r="J477" s="77">
        <v>8213</v>
      </c>
      <c r="K477" s="77">
        <v>2587</v>
      </c>
      <c r="L477" s="77">
        <v>2419</v>
      </c>
      <c r="M477" s="77"/>
      <c r="N477" s="77"/>
      <c r="O477" s="77"/>
      <c r="P477" s="77">
        <v>653</v>
      </c>
      <c r="Q477" s="77"/>
      <c r="R477" s="77"/>
      <c r="S477" s="77"/>
      <c r="T477" s="77"/>
      <c r="U477" s="77"/>
      <c r="V477" s="77"/>
      <c r="W477" s="77"/>
      <c r="X477" s="77"/>
      <c r="Y477" s="77"/>
      <c r="Z477" s="77"/>
      <c r="AA477" s="77"/>
      <c r="AB477" s="77"/>
      <c r="AC477" s="77"/>
      <c r="AD477" s="77"/>
      <c r="AE477" s="62"/>
      <c r="AF477" s="63" t="b">
        <v>0</v>
      </c>
      <c r="AG477" s="63" t="b">
        <v>0</v>
      </c>
      <c r="AH477" s="62"/>
      <c r="AI477" s="64">
        <f t="shared" si="786"/>
        <v>48333</v>
      </c>
      <c r="AJ477" s="65" t="str">
        <f t="shared" si="1116"/>
        <v>CON</v>
      </c>
      <c r="AK477" s="66" t="str">
        <f t="shared" si="787"/>
        <v>HOLD</v>
      </c>
      <c r="AL477" s="67" t="e">
        <f t="shared" ca="1" si="788"/>
        <v>#NAME?</v>
      </c>
      <c r="AM477" s="68">
        <f t="shared" si="1408"/>
        <v>2543</v>
      </c>
      <c r="AN477" s="69">
        <f t="shared" si="1409"/>
        <v>5.2614155959696263E-2</v>
      </c>
      <c r="AO477" s="62"/>
      <c r="AP477" s="70">
        <f t="shared" ref="AP477:AT477" si="1443">H477/$AI477</f>
        <v>0.33018848405851076</v>
      </c>
      <c r="AQ477" s="70">
        <f t="shared" si="1443"/>
        <v>0.38280264001820702</v>
      </c>
      <c r="AR477" s="70">
        <f t="shared" si="1443"/>
        <v>0.16992530982972295</v>
      </c>
      <c r="AS477" s="70">
        <f t="shared" si="1443"/>
        <v>5.3524507065565968E-2</v>
      </c>
      <c r="AT477" s="70">
        <f t="shared" si="1443"/>
        <v>5.0048621024972588E-2</v>
      </c>
      <c r="AU477" s="70"/>
      <c r="AV477" s="70"/>
      <c r="AW477" s="81">
        <f t="shared" si="790"/>
        <v>1.3510438003020764E-2</v>
      </c>
      <c r="AX477" s="70">
        <f t="shared" ref="AX477:BG477" si="1444">O477/$AI477</f>
        <v>0</v>
      </c>
      <c r="AY477" s="70">
        <f t="shared" si="1444"/>
        <v>1.351043800302071E-2</v>
      </c>
      <c r="AZ477" s="70">
        <f t="shared" si="1444"/>
        <v>0</v>
      </c>
      <c r="BA477" s="70">
        <f t="shared" si="1444"/>
        <v>0</v>
      </c>
      <c r="BB477" s="70">
        <f t="shared" si="1444"/>
        <v>0</v>
      </c>
      <c r="BC477" s="70">
        <f t="shared" si="1444"/>
        <v>0</v>
      </c>
      <c r="BD477" s="70">
        <f t="shared" si="1444"/>
        <v>0</v>
      </c>
      <c r="BE477" s="70">
        <f t="shared" si="1444"/>
        <v>0</v>
      </c>
      <c r="BF477" s="70">
        <f t="shared" si="1444"/>
        <v>0</v>
      </c>
      <c r="BG477" s="70">
        <f t="shared" si="1444"/>
        <v>0</v>
      </c>
      <c r="BH477" s="70">
        <f t="shared" si="792"/>
        <v>5.377642775528102E-17</v>
      </c>
      <c r="BI477" s="62"/>
      <c r="BJ477" s="69">
        <v>0.23599999999999999</v>
      </c>
      <c r="BK477" s="69">
        <v>0.60399999999999998</v>
      </c>
      <c r="BL477" s="69">
        <v>0</v>
      </c>
      <c r="BM477" s="69">
        <v>0.122</v>
      </c>
      <c r="BN477" s="69">
        <v>3.9E-2</v>
      </c>
      <c r="BO477" s="69">
        <v>0</v>
      </c>
      <c r="BP477" s="69">
        <v>0</v>
      </c>
      <c r="BQ477" s="69">
        <v>0</v>
      </c>
      <c r="BR477" s="62"/>
      <c r="BS477" s="72">
        <f t="shared" ref="BS477:BW477" si="1445">AP477-BJ477</f>
        <v>9.4188484058510769E-2</v>
      </c>
      <c r="BT477" s="72">
        <f t="shared" si="1445"/>
        <v>-0.22119735998179296</v>
      </c>
      <c r="BU477" s="72">
        <f t="shared" si="1445"/>
        <v>0.16992530982972295</v>
      </c>
      <c r="BV477" s="72">
        <f t="shared" si="1445"/>
        <v>-6.8475492934434029E-2</v>
      </c>
      <c r="BW477" s="72">
        <f t="shared" si="1445"/>
        <v>1.1048621024972588E-2</v>
      </c>
      <c r="BX477" s="72"/>
      <c r="BY477" s="72"/>
      <c r="BZ477" s="72">
        <f t="shared" si="794"/>
        <v>1.3510438003020764E-2</v>
      </c>
    </row>
    <row r="478" spans="1:78" ht="13.15">
      <c r="A478" s="73" t="s">
        <v>6</v>
      </c>
      <c r="B478" s="74" t="s">
        <v>999</v>
      </c>
      <c r="C478" s="75" t="s">
        <v>1000</v>
      </c>
      <c r="D478" s="75" t="s">
        <v>85</v>
      </c>
      <c r="E478" s="76">
        <v>72163</v>
      </c>
      <c r="F478" s="59">
        <v>0.61199999999999999</v>
      </c>
      <c r="G478" s="60"/>
      <c r="H478" s="77">
        <v>17930</v>
      </c>
      <c r="I478" s="77">
        <v>13827</v>
      </c>
      <c r="J478" s="77">
        <v>7557</v>
      </c>
      <c r="K478" s="77">
        <v>2086</v>
      </c>
      <c r="L478" s="77">
        <v>2366</v>
      </c>
      <c r="M478" s="77"/>
      <c r="N478" s="77"/>
      <c r="O478" s="77">
        <v>260</v>
      </c>
      <c r="P478" s="77"/>
      <c r="Q478" s="77"/>
      <c r="R478" s="77"/>
      <c r="S478" s="77"/>
      <c r="T478" s="77"/>
      <c r="U478" s="77"/>
      <c r="V478" s="77"/>
      <c r="W478" s="77"/>
      <c r="X478" s="77"/>
      <c r="Y478" s="77">
        <v>139</v>
      </c>
      <c r="Z478" s="77"/>
      <c r="AA478" s="77"/>
      <c r="AB478" s="77"/>
      <c r="AC478" s="77"/>
      <c r="AD478" s="77"/>
      <c r="AE478" s="62"/>
      <c r="AF478" s="63" t="b">
        <v>0</v>
      </c>
      <c r="AG478" s="63" t="b">
        <v>0</v>
      </c>
      <c r="AH478" s="62"/>
      <c r="AI478" s="64">
        <f t="shared" si="786"/>
        <v>44165</v>
      </c>
      <c r="AJ478" s="65" t="str">
        <f t="shared" si="1116"/>
        <v>LAB</v>
      </c>
      <c r="AK478" s="66" t="str">
        <f t="shared" si="787"/>
        <v>GAIN</v>
      </c>
      <c r="AL478" s="67" t="e">
        <f t="shared" ca="1" si="788"/>
        <v>#NAME?</v>
      </c>
      <c r="AM478" s="68">
        <f t="shared" si="1408"/>
        <v>4103</v>
      </c>
      <c r="AN478" s="69">
        <f t="shared" si="1409"/>
        <v>9.2901618929016216E-2</v>
      </c>
      <c r="AO478" s="62"/>
      <c r="AP478" s="70">
        <f t="shared" ref="AP478:AT478" si="1446">H478/$AI478</f>
        <v>0.40597758405977585</v>
      </c>
      <c r="AQ478" s="70">
        <f t="shared" si="1446"/>
        <v>0.31307596513075964</v>
      </c>
      <c r="AR478" s="70">
        <f t="shared" si="1446"/>
        <v>0.17110834371108344</v>
      </c>
      <c r="AS478" s="70">
        <f t="shared" si="1446"/>
        <v>4.7231971017774259E-2</v>
      </c>
      <c r="AT478" s="70">
        <f t="shared" si="1446"/>
        <v>5.3571832899354695E-2</v>
      </c>
      <c r="AU478" s="70"/>
      <c r="AV478" s="70"/>
      <c r="AW478" s="81">
        <f t="shared" si="790"/>
        <v>9.0343031812522012E-3</v>
      </c>
      <c r="AX478" s="70">
        <f t="shared" ref="AX478:BG478" si="1447">O478/$AI478</f>
        <v>5.8870146043246913E-3</v>
      </c>
      <c r="AY478" s="70">
        <f t="shared" si="1447"/>
        <v>0</v>
      </c>
      <c r="AZ478" s="70">
        <f t="shared" si="1447"/>
        <v>0</v>
      </c>
      <c r="BA478" s="70">
        <f t="shared" si="1447"/>
        <v>0</v>
      </c>
      <c r="BB478" s="70">
        <f t="shared" si="1447"/>
        <v>0</v>
      </c>
      <c r="BC478" s="70">
        <f t="shared" si="1447"/>
        <v>0</v>
      </c>
      <c r="BD478" s="70">
        <f t="shared" si="1447"/>
        <v>0</v>
      </c>
      <c r="BE478" s="70">
        <f t="shared" si="1447"/>
        <v>0</v>
      </c>
      <c r="BF478" s="70">
        <f t="shared" si="1447"/>
        <v>0</v>
      </c>
      <c r="BG478" s="70">
        <f t="shared" si="1447"/>
        <v>0</v>
      </c>
      <c r="BH478" s="70">
        <f t="shared" si="792"/>
        <v>3.1472885769275099E-3</v>
      </c>
      <c r="BI478" s="62"/>
      <c r="BJ478" s="69">
        <v>0.30499999999999999</v>
      </c>
      <c r="BK478" s="69">
        <v>0.58499999999999996</v>
      </c>
      <c r="BL478" s="69">
        <v>0</v>
      </c>
      <c r="BM478" s="69">
        <v>7.9000000000000001E-2</v>
      </c>
      <c r="BN478" s="69">
        <v>3.1E-2</v>
      </c>
      <c r="BO478" s="69">
        <v>0</v>
      </c>
      <c r="BP478" s="69">
        <v>0</v>
      </c>
      <c r="BQ478" s="69">
        <v>0</v>
      </c>
      <c r="BR478" s="62"/>
      <c r="BS478" s="72">
        <f t="shared" ref="BS478:BW478" si="1448">AP478-BJ478</f>
        <v>0.10097758405977586</v>
      </c>
      <c r="BT478" s="72">
        <f t="shared" si="1448"/>
        <v>-0.27192403486924033</v>
      </c>
      <c r="BU478" s="72">
        <f t="shared" si="1448"/>
        <v>0.17110834371108344</v>
      </c>
      <c r="BV478" s="72">
        <f t="shared" si="1448"/>
        <v>-3.1768028982225742E-2</v>
      </c>
      <c r="BW478" s="72">
        <f t="shared" si="1448"/>
        <v>2.2571832899354695E-2</v>
      </c>
      <c r="BX478" s="72"/>
      <c r="BY478" s="72"/>
      <c r="BZ478" s="72">
        <f t="shared" si="794"/>
        <v>9.0343031812522012E-3</v>
      </c>
    </row>
    <row r="479" spans="1:78" ht="13.15">
      <c r="A479" s="73" t="s">
        <v>6</v>
      </c>
      <c r="B479" s="74" t="s">
        <v>1001</v>
      </c>
      <c r="C479" s="75" t="s">
        <v>1002</v>
      </c>
      <c r="D479" s="75" t="s">
        <v>85</v>
      </c>
      <c r="E479" s="76"/>
      <c r="F479" s="59">
        <v>0.62</v>
      </c>
      <c r="G479" s="60"/>
      <c r="H479" s="77">
        <v>21676</v>
      </c>
      <c r="I479" s="77">
        <v>12070</v>
      </c>
      <c r="J479" s="77">
        <v>6194</v>
      </c>
      <c r="K479" s="77">
        <v>1843</v>
      </c>
      <c r="L479" s="77">
        <v>2539</v>
      </c>
      <c r="M479" s="77"/>
      <c r="N479" s="77"/>
      <c r="O479" s="77">
        <v>472</v>
      </c>
      <c r="P479" s="77"/>
      <c r="Q479" s="77"/>
      <c r="R479" s="77"/>
      <c r="S479" s="77"/>
      <c r="T479" s="77"/>
      <c r="U479" s="77"/>
      <c r="V479" s="77"/>
      <c r="W479" s="77"/>
      <c r="X479" s="77"/>
      <c r="Y479" s="77"/>
      <c r="Z479" s="77"/>
      <c r="AA479" s="77"/>
      <c r="AB479" s="77"/>
      <c r="AC479" s="77"/>
      <c r="AD479" s="77"/>
      <c r="AE479" s="62"/>
      <c r="AF479" s="63" t="b">
        <v>0</v>
      </c>
      <c r="AG479" s="63" t="b">
        <v>0</v>
      </c>
      <c r="AH479" s="62"/>
      <c r="AI479" s="64">
        <f t="shared" si="786"/>
        <v>44794</v>
      </c>
      <c r="AJ479" s="65" t="str">
        <f t="shared" si="1116"/>
        <v>LAB</v>
      </c>
      <c r="AK479" s="66" t="str">
        <f t="shared" si="787"/>
        <v>GAIN</v>
      </c>
      <c r="AL479" s="67" t="e">
        <f t="shared" ca="1" si="788"/>
        <v>#NAME?</v>
      </c>
      <c r="AM479" s="68">
        <f t="shared" si="1408"/>
        <v>9606</v>
      </c>
      <c r="AN479" s="69">
        <f t="shared" si="1409"/>
        <v>0.2144483636201277</v>
      </c>
      <c r="AO479" s="62"/>
      <c r="AP479" s="70">
        <f t="shared" ref="AP479:AT479" si="1449">H479/$AI479</f>
        <v>0.48390409429834352</v>
      </c>
      <c r="AQ479" s="70">
        <f t="shared" si="1449"/>
        <v>0.26945573067821582</v>
      </c>
      <c r="AR479" s="70">
        <f t="shared" si="1449"/>
        <v>0.13827744787248292</v>
      </c>
      <c r="AS479" s="70">
        <f t="shared" si="1449"/>
        <v>4.1143903201321608E-2</v>
      </c>
      <c r="AT479" s="70">
        <f t="shared" si="1449"/>
        <v>5.6681698441755593E-2</v>
      </c>
      <c r="AU479" s="70"/>
      <c r="AV479" s="70"/>
      <c r="AW479" s="81">
        <f t="shared" si="790"/>
        <v>1.053712550788044E-2</v>
      </c>
      <c r="AX479" s="70">
        <f t="shared" ref="AX479:BG479" si="1450">O479/$AI479</f>
        <v>1.053712550788052E-2</v>
      </c>
      <c r="AY479" s="70">
        <f t="shared" si="1450"/>
        <v>0</v>
      </c>
      <c r="AZ479" s="70">
        <f t="shared" si="1450"/>
        <v>0</v>
      </c>
      <c r="BA479" s="70">
        <f t="shared" si="1450"/>
        <v>0</v>
      </c>
      <c r="BB479" s="70">
        <f t="shared" si="1450"/>
        <v>0</v>
      </c>
      <c r="BC479" s="70">
        <f t="shared" si="1450"/>
        <v>0</v>
      </c>
      <c r="BD479" s="70">
        <f t="shared" si="1450"/>
        <v>0</v>
      </c>
      <c r="BE479" s="70">
        <f t="shared" si="1450"/>
        <v>0</v>
      </c>
      <c r="BF479" s="70">
        <f t="shared" si="1450"/>
        <v>0</v>
      </c>
      <c r="BG479" s="70">
        <f t="shared" si="1450"/>
        <v>0</v>
      </c>
      <c r="BH479" s="70">
        <f t="shared" si="792"/>
        <v>-7.9797279894933126E-17</v>
      </c>
      <c r="BI479" s="62"/>
      <c r="BJ479" s="69">
        <v>0.40200000000000002</v>
      </c>
      <c r="BK479" s="69">
        <v>0.51600000000000001</v>
      </c>
      <c r="BL479" s="69">
        <v>0</v>
      </c>
      <c r="BM479" s="69">
        <v>7.6999999999999999E-2</v>
      </c>
      <c r="BN479" s="69">
        <v>5.0000000000000001E-3</v>
      </c>
      <c r="BO479" s="69">
        <v>0</v>
      </c>
      <c r="BP479" s="69">
        <v>0</v>
      </c>
      <c r="BQ479" s="69">
        <v>0</v>
      </c>
      <c r="BR479" s="62"/>
      <c r="BS479" s="72">
        <f t="shared" ref="BS479:BW479" si="1451">AP479-BJ479</f>
        <v>8.1904094298343499E-2</v>
      </c>
      <c r="BT479" s="72">
        <f t="shared" si="1451"/>
        <v>-0.24654426932178419</v>
      </c>
      <c r="BU479" s="72">
        <f t="shared" si="1451"/>
        <v>0.13827744787248292</v>
      </c>
      <c r="BV479" s="72">
        <f t="shared" si="1451"/>
        <v>-3.5856096798678391E-2</v>
      </c>
      <c r="BW479" s="72">
        <f t="shared" si="1451"/>
        <v>5.1681698441755596E-2</v>
      </c>
      <c r="BX479" s="72"/>
      <c r="BY479" s="72"/>
      <c r="BZ479" s="72">
        <f t="shared" si="794"/>
        <v>1.053712550788044E-2</v>
      </c>
    </row>
    <row r="480" spans="1:78" ht="13.15">
      <c r="A480" s="73" t="s">
        <v>6</v>
      </c>
      <c r="B480" s="74" t="s">
        <v>1003</v>
      </c>
      <c r="C480" s="75" t="s">
        <v>1004</v>
      </c>
      <c r="D480" s="75" t="s">
        <v>47</v>
      </c>
      <c r="E480" s="76"/>
      <c r="F480" s="59"/>
      <c r="G480" s="60"/>
      <c r="H480" s="77">
        <v>15338</v>
      </c>
      <c r="I480" s="77">
        <v>13956</v>
      </c>
      <c r="J480" s="77">
        <v>1104</v>
      </c>
      <c r="K480" s="77">
        <v>1451</v>
      </c>
      <c r="L480" s="77">
        <v>1579</v>
      </c>
      <c r="M480" s="77"/>
      <c r="N480" s="77"/>
      <c r="O480" s="77"/>
      <c r="P480" s="77">
        <v>170</v>
      </c>
      <c r="Q480" s="77"/>
      <c r="R480" s="77"/>
      <c r="S480" s="77"/>
      <c r="T480" s="77"/>
      <c r="U480" s="77"/>
      <c r="V480" s="77"/>
      <c r="W480" s="77"/>
      <c r="X480" s="77"/>
      <c r="Y480" s="77">
        <v>290</v>
      </c>
      <c r="Z480" s="77"/>
      <c r="AA480" s="77"/>
      <c r="AB480" s="77"/>
      <c r="AC480" s="77"/>
      <c r="AD480" s="77"/>
      <c r="AE480" s="62"/>
      <c r="AF480" s="63" t="b">
        <v>0</v>
      </c>
      <c r="AG480" s="63" t="b">
        <v>0</v>
      </c>
      <c r="AH480" s="62"/>
      <c r="AI480" s="64">
        <f t="shared" si="786"/>
        <v>33888</v>
      </c>
      <c r="AJ480" s="65" t="str">
        <f t="shared" si="1116"/>
        <v>LAB</v>
      </c>
      <c r="AK480" s="66" t="str">
        <f t="shared" si="787"/>
        <v>GAIN</v>
      </c>
      <c r="AL480" s="67" t="e">
        <f t="shared" ca="1" si="788"/>
        <v>#NAME?</v>
      </c>
      <c r="AM480" s="68">
        <f t="shared" si="1408"/>
        <v>1382</v>
      </c>
      <c r="AN480" s="69">
        <f t="shared" si="1409"/>
        <v>4.0781397544853659E-2</v>
      </c>
      <c r="AO480" s="62"/>
      <c r="AP480" s="70">
        <f t="shared" ref="AP480:AT480" si="1452">H480/$AI480</f>
        <v>0.45260859301227574</v>
      </c>
      <c r="AQ480" s="70">
        <f t="shared" si="1452"/>
        <v>0.41182719546742208</v>
      </c>
      <c r="AR480" s="70">
        <f t="shared" si="1452"/>
        <v>3.2577903682719546E-2</v>
      </c>
      <c r="AS480" s="70">
        <f t="shared" si="1452"/>
        <v>4.2817516525023608E-2</v>
      </c>
      <c r="AT480" s="70">
        <f t="shared" si="1452"/>
        <v>4.6594664778092543E-2</v>
      </c>
      <c r="AU480" s="70"/>
      <c r="AV480" s="70"/>
      <c r="AW480" s="81">
        <f t="shared" si="790"/>
        <v>1.3574126534466435E-2</v>
      </c>
      <c r="AX480" s="70">
        <f t="shared" ref="AX480:BG480" si="1453">O480/$AI480</f>
        <v>0</v>
      </c>
      <c r="AY480" s="70">
        <f t="shared" si="1453"/>
        <v>5.016525023607177E-3</v>
      </c>
      <c r="AZ480" s="70">
        <f t="shared" si="1453"/>
        <v>0</v>
      </c>
      <c r="BA480" s="70">
        <f t="shared" si="1453"/>
        <v>0</v>
      </c>
      <c r="BB480" s="70">
        <f t="shared" si="1453"/>
        <v>0</v>
      </c>
      <c r="BC480" s="70">
        <f t="shared" si="1453"/>
        <v>0</v>
      </c>
      <c r="BD480" s="70">
        <f t="shared" si="1453"/>
        <v>0</v>
      </c>
      <c r="BE480" s="70">
        <f t="shared" si="1453"/>
        <v>0</v>
      </c>
      <c r="BF480" s="70">
        <f t="shared" si="1453"/>
        <v>0</v>
      </c>
      <c r="BG480" s="70">
        <f t="shared" si="1453"/>
        <v>0</v>
      </c>
      <c r="BH480" s="70">
        <f t="shared" si="792"/>
        <v>8.5576015108592592E-3</v>
      </c>
      <c r="BI480" s="62"/>
      <c r="BJ480" s="69">
        <v>0.23300000000000001</v>
      </c>
      <c r="BK480" s="69">
        <v>0.66700000000000004</v>
      </c>
      <c r="BL480" s="69">
        <v>0</v>
      </c>
      <c r="BM480" s="69">
        <v>5.2999999999999999E-2</v>
      </c>
      <c r="BN480" s="69">
        <v>2.1000000000000001E-2</v>
      </c>
      <c r="BO480" s="69">
        <v>0</v>
      </c>
      <c r="BP480" s="69">
        <v>0</v>
      </c>
      <c r="BQ480" s="69">
        <v>2.5999999999999999E-2</v>
      </c>
      <c r="BR480" s="62"/>
      <c r="BS480" s="72">
        <f t="shared" ref="BS480:BW480" si="1454">AP480-BJ480</f>
        <v>0.21960859301227573</v>
      </c>
      <c r="BT480" s="72">
        <f t="shared" si="1454"/>
        <v>-0.25517280453257796</v>
      </c>
      <c r="BU480" s="72">
        <f t="shared" si="1454"/>
        <v>3.2577903682719546E-2</v>
      </c>
      <c r="BV480" s="72">
        <f t="shared" si="1454"/>
        <v>-1.0182483474976391E-2</v>
      </c>
      <c r="BW480" s="72">
        <f t="shared" si="1454"/>
        <v>2.5594664778092541E-2</v>
      </c>
      <c r="BX480" s="72"/>
      <c r="BY480" s="72"/>
      <c r="BZ480" s="72">
        <f t="shared" si="794"/>
        <v>-1.2425873465533564E-2</v>
      </c>
    </row>
    <row r="481" spans="1:78" ht="13.15">
      <c r="A481" s="73" t="s">
        <v>6</v>
      </c>
      <c r="B481" s="74" t="s">
        <v>1005</v>
      </c>
      <c r="C481" s="75" t="s">
        <v>1006</v>
      </c>
      <c r="D481" s="75" t="s">
        <v>50</v>
      </c>
      <c r="E481" s="76"/>
      <c r="F481" s="59"/>
      <c r="G481" s="60"/>
      <c r="H481" s="77">
        <v>18820</v>
      </c>
      <c r="I481" s="77">
        <v>19956</v>
      </c>
      <c r="J481" s="77">
        <v>5948</v>
      </c>
      <c r="K481" s="77">
        <v>4614</v>
      </c>
      <c r="L481" s="77">
        <v>2571</v>
      </c>
      <c r="M481" s="77"/>
      <c r="N481" s="77"/>
      <c r="O481" s="77"/>
      <c r="P481" s="77"/>
      <c r="Q481" s="77"/>
      <c r="R481" s="77"/>
      <c r="S481" s="77"/>
      <c r="T481" s="77"/>
      <c r="U481" s="77"/>
      <c r="V481" s="77"/>
      <c r="W481" s="77"/>
      <c r="X481" s="77"/>
      <c r="Y481" s="77"/>
      <c r="Z481" s="77"/>
      <c r="AA481" s="77"/>
      <c r="AB481" s="77"/>
      <c r="AC481" s="77"/>
      <c r="AD481" s="77"/>
      <c r="AE481" s="62"/>
      <c r="AF481" s="63" t="b">
        <v>0</v>
      </c>
      <c r="AG481" s="63" t="b">
        <v>0</v>
      </c>
      <c r="AH481" s="62"/>
      <c r="AI481" s="64">
        <f t="shared" si="786"/>
        <v>51909</v>
      </c>
      <c r="AJ481" s="65" t="str">
        <f t="shared" si="1116"/>
        <v>CON</v>
      </c>
      <c r="AK481" s="66" t="str">
        <f t="shared" si="787"/>
        <v>HOLD</v>
      </c>
      <c r="AL481" s="67" t="e">
        <f t="shared" ca="1" si="788"/>
        <v>#NAME?</v>
      </c>
      <c r="AM481" s="68">
        <f t="shared" si="1408"/>
        <v>1136</v>
      </c>
      <c r="AN481" s="69">
        <f t="shared" si="1409"/>
        <v>2.1884451636517754E-2</v>
      </c>
      <c r="AO481" s="62"/>
      <c r="AP481" s="70">
        <f t="shared" ref="AP481:AT481" si="1455">H481/$AI481</f>
        <v>0.36255755264019729</v>
      </c>
      <c r="AQ481" s="70">
        <f t="shared" si="1455"/>
        <v>0.38444200427671504</v>
      </c>
      <c r="AR481" s="70">
        <f t="shared" si="1455"/>
        <v>0.11458513937852781</v>
      </c>
      <c r="AS481" s="70">
        <f t="shared" si="1455"/>
        <v>8.8886320291278964E-2</v>
      </c>
      <c r="AT481" s="70">
        <f t="shared" si="1455"/>
        <v>4.9528983413280936E-2</v>
      </c>
      <c r="AU481" s="70"/>
      <c r="AV481" s="70"/>
      <c r="AW481" s="81">
        <f t="shared" si="790"/>
        <v>0</v>
      </c>
      <c r="AX481" s="70">
        <f t="shared" ref="AX481:BG481" si="1456">O481/$AI481</f>
        <v>0</v>
      </c>
      <c r="AY481" s="70">
        <f t="shared" si="1456"/>
        <v>0</v>
      </c>
      <c r="AZ481" s="70">
        <f t="shared" si="1456"/>
        <v>0</v>
      </c>
      <c r="BA481" s="70">
        <f t="shared" si="1456"/>
        <v>0</v>
      </c>
      <c r="BB481" s="70">
        <f t="shared" si="1456"/>
        <v>0</v>
      </c>
      <c r="BC481" s="70">
        <f t="shared" si="1456"/>
        <v>0</v>
      </c>
      <c r="BD481" s="70">
        <f t="shared" si="1456"/>
        <v>0</v>
      </c>
      <c r="BE481" s="70">
        <f t="shared" si="1456"/>
        <v>0</v>
      </c>
      <c r="BF481" s="70">
        <f t="shared" si="1456"/>
        <v>0</v>
      </c>
      <c r="BG481" s="70">
        <f t="shared" si="1456"/>
        <v>0</v>
      </c>
      <c r="BH481" s="70">
        <f t="shared" si="792"/>
        <v>0</v>
      </c>
      <c r="BI481" s="62"/>
      <c r="BJ481" s="69">
        <v>0.22500000000000001</v>
      </c>
      <c r="BK481" s="69">
        <v>0.57299999999999995</v>
      </c>
      <c r="BL481" s="69">
        <v>4.0000000000000001E-3</v>
      </c>
      <c r="BM481" s="69">
        <v>0.16200000000000001</v>
      </c>
      <c r="BN481" s="69">
        <v>3.6999999999999998E-2</v>
      </c>
      <c r="BO481" s="69">
        <v>0</v>
      </c>
      <c r="BP481" s="69">
        <v>0</v>
      </c>
      <c r="BQ481" s="69">
        <v>0</v>
      </c>
      <c r="BR481" s="62"/>
      <c r="BS481" s="72">
        <f t="shared" ref="BS481:BW481" si="1457">AP481-BJ481</f>
        <v>0.13755755264019728</v>
      </c>
      <c r="BT481" s="72">
        <f t="shared" si="1457"/>
        <v>-0.18855799572328491</v>
      </c>
      <c r="BU481" s="72">
        <f t="shared" si="1457"/>
        <v>0.11058513937852781</v>
      </c>
      <c r="BV481" s="72">
        <f t="shared" si="1457"/>
        <v>-7.3113679708721041E-2</v>
      </c>
      <c r="BW481" s="72">
        <f t="shared" si="1457"/>
        <v>1.2528983413280938E-2</v>
      </c>
      <c r="BX481" s="72"/>
      <c r="BY481" s="72"/>
      <c r="BZ481" s="72">
        <f t="shared" si="794"/>
        <v>0</v>
      </c>
    </row>
    <row r="482" spans="1:78" ht="13.15">
      <c r="A482" s="73" t="s">
        <v>6</v>
      </c>
      <c r="B482" s="74" t="s">
        <v>1007</v>
      </c>
      <c r="C482" s="75" t="s">
        <v>1008</v>
      </c>
      <c r="D482" s="75" t="s">
        <v>85</v>
      </c>
      <c r="E482" s="76"/>
      <c r="F482" s="59"/>
      <c r="G482" s="60"/>
      <c r="H482" s="77">
        <v>3552</v>
      </c>
      <c r="I482" s="77">
        <v>12392</v>
      </c>
      <c r="J482" s="77">
        <v>8053</v>
      </c>
      <c r="K482" s="77">
        <v>24331</v>
      </c>
      <c r="L482" s="77">
        <v>1832</v>
      </c>
      <c r="M482" s="77"/>
      <c r="N482" s="77"/>
      <c r="O482" s="77"/>
      <c r="P482" s="77"/>
      <c r="Q482" s="77"/>
      <c r="R482" s="77"/>
      <c r="S482" s="77"/>
      <c r="T482" s="77"/>
      <c r="U482" s="77"/>
      <c r="V482" s="77"/>
      <c r="W482" s="77"/>
      <c r="X482" s="77"/>
      <c r="Y482" s="77">
        <v>134</v>
      </c>
      <c r="Z482" s="77"/>
      <c r="AA482" s="77"/>
      <c r="AB482" s="77"/>
      <c r="AC482" s="77"/>
      <c r="AD482" s="77"/>
      <c r="AE482" s="62"/>
      <c r="AF482" s="63" t="b">
        <v>0</v>
      </c>
      <c r="AG482" s="63" t="b">
        <v>0</v>
      </c>
      <c r="AH482" s="62"/>
      <c r="AI482" s="64">
        <f t="shared" si="786"/>
        <v>50294</v>
      </c>
      <c r="AJ482" s="65" t="str">
        <f t="shared" si="1116"/>
        <v>LDM</v>
      </c>
      <c r="AK482" s="66" t="str">
        <f t="shared" si="787"/>
        <v>GAIN</v>
      </c>
      <c r="AL482" s="67" t="e">
        <f t="shared" ca="1" si="788"/>
        <v>#NAME?</v>
      </c>
      <c r="AM482" s="68">
        <f t="shared" si="1408"/>
        <v>11939</v>
      </c>
      <c r="AN482" s="69">
        <f t="shared" si="1409"/>
        <v>0.23738418101562811</v>
      </c>
      <c r="AO482" s="62"/>
      <c r="AP482" s="70">
        <f t="shared" ref="AP482:AT482" si="1458">H482/$AI482</f>
        <v>7.0624726607547622E-2</v>
      </c>
      <c r="AQ482" s="70">
        <f t="shared" si="1458"/>
        <v>0.24639121962858393</v>
      </c>
      <c r="AR482" s="70">
        <f t="shared" si="1458"/>
        <v>0.16011850320117707</v>
      </c>
      <c r="AS482" s="70">
        <f t="shared" si="1458"/>
        <v>0.48377540064421204</v>
      </c>
      <c r="AT482" s="70">
        <f t="shared" si="1458"/>
        <v>3.6425816200739654E-2</v>
      </c>
      <c r="AU482" s="70"/>
      <c r="AV482" s="70"/>
      <c r="AW482" s="81">
        <f t="shared" si="790"/>
        <v>2.6643337177395532E-3</v>
      </c>
      <c r="AX482" s="70">
        <f t="shared" ref="AX482:BG482" si="1459">O482/$AI482</f>
        <v>0</v>
      </c>
      <c r="AY482" s="70">
        <f t="shared" si="1459"/>
        <v>0</v>
      </c>
      <c r="AZ482" s="70">
        <f t="shared" si="1459"/>
        <v>0</v>
      </c>
      <c r="BA482" s="70">
        <f t="shared" si="1459"/>
        <v>0</v>
      </c>
      <c r="BB482" s="70">
        <f t="shared" si="1459"/>
        <v>0</v>
      </c>
      <c r="BC482" s="70">
        <f t="shared" si="1459"/>
        <v>0</v>
      </c>
      <c r="BD482" s="70">
        <f t="shared" si="1459"/>
        <v>0</v>
      </c>
      <c r="BE482" s="70">
        <f t="shared" si="1459"/>
        <v>0</v>
      </c>
      <c r="BF482" s="70">
        <f t="shared" si="1459"/>
        <v>0</v>
      </c>
      <c r="BG482" s="70">
        <f t="shared" si="1459"/>
        <v>0</v>
      </c>
      <c r="BH482" s="70">
        <f t="shared" si="792"/>
        <v>2.6643337177395532E-3</v>
      </c>
      <c r="BI482" s="62"/>
      <c r="BJ482" s="69">
        <v>7.9000000000000001E-2</v>
      </c>
      <c r="BK482" s="69">
        <v>0.52</v>
      </c>
      <c r="BL482" s="69">
        <v>0</v>
      </c>
      <c r="BM482" s="69">
        <v>0.36299999999999999</v>
      </c>
      <c r="BN482" s="69">
        <v>0</v>
      </c>
      <c r="BO482" s="69">
        <v>0</v>
      </c>
      <c r="BP482" s="69">
        <v>0</v>
      </c>
      <c r="BQ482" s="69">
        <v>3.7999999999999999E-2</v>
      </c>
      <c r="BR482" s="62"/>
      <c r="BS482" s="72">
        <f t="shared" ref="BS482:BW482" si="1460">AP482-BJ482</f>
        <v>-8.3752733924523787E-3</v>
      </c>
      <c r="BT482" s="72">
        <f t="shared" si="1460"/>
        <v>-0.27360878037141612</v>
      </c>
      <c r="BU482" s="72">
        <f t="shared" si="1460"/>
        <v>0.16011850320117707</v>
      </c>
      <c r="BV482" s="72">
        <f t="shared" si="1460"/>
        <v>0.12077540064421205</v>
      </c>
      <c r="BW482" s="72">
        <f t="shared" si="1460"/>
        <v>3.6425816200739654E-2</v>
      </c>
      <c r="BX482" s="72"/>
      <c r="BY482" s="72"/>
      <c r="BZ482" s="72">
        <f t="shared" si="794"/>
        <v>-3.5335666282260446E-2</v>
      </c>
    </row>
    <row r="483" spans="1:78" ht="13.15">
      <c r="A483" s="73" t="s">
        <v>6</v>
      </c>
      <c r="B483" s="74" t="s">
        <v>1009</v>
      </c>
      <c r="C483" s="75" t="s">
        <v>1010</v>
      </c>
      <c r="D483" s="75" t="s">
        <v>47</v>
      </c>
      <c r="E483" s="76">
        <v>73808</v>
      </c>
      <c r="F483" s="59">
        <v>0.55200000000000005</v>
      </c>
      <c r="G483" s="60"/>
      <c r="H483" s="77">
        <v>18212</v>
      </c>
      <c r="I483" s="77">
        <v>8728</v>
      </c>
      <c r="J483" s="77">
        <v>10110</v>
      </c>
      <c r="K483" s="77">
        <v>1560</v>
      </c>
      <c r="L483" s="77">
        <v>2120</v>
      </c>
      <c r="M483" s="77"/>
      <c r="N483" s="77"/>
      <c r="O483" s="77"/>
      <c r="P483" s="77"/>
      <c r="Q483" s="77"/>
      <c r="R483" s="77"/>
      <c r="S483" s="77"/>
      <c r="T483" s="77"/>
      <c r="U483" s="77"/>
      <c r="V483" s="77"/>
      <c r="W483" s="77"/>
      <c r="X483" s="77"/>
      <c r="Y483" s="77"/>
      <c r="Z483" s="77"/>
      <c r="AA483" s="77"/>
      <c r="AB483" s="77"/>
      <c r="AC483" s="77"/>
      <c r="AD483" s="77"/>
      <c r="AE483" s="62"/>
      <c r="AF483" s="63" t="b">
        <v>0</v>
      </c>
      <c r="AG483" s="63" t="b">
        <v>0</v>
      </c>
      <c r="AH483" s="62"/>
      <c r="AI483" s="64">
        <f t="shared" si="786"/>
        <v>40730</v>
      </c>
      <c r="AJ483" s="65" t="str">
        <f t="shared" si="1116"/>
        <v>LAB</v>
      </c>
      <c r="AK483" s="66" t="str">
        <f t="shared" si="787"/>
        <v>GAIN</v>
      </c>
      <c r="AL483" s="67" t="e">
        <f t="shared" ca="1" si="788"/>
        <v>#NAME?</v>
      </c>
      <c r="AM483" s="68">
        <f t="shared" si="1408"/>
        <v>8102</v>
      </c>
      <c r="AN483" s="69">
        <f t="shared" si="1409"/>
        <v>0.19891971519764301</v>
      </c>
      <c r="AO483" s="62"/>
      <c r="AP483" s="70">
        <f t="shared" ref="AP483:AT483" si="1461">H483/$AI483</f>
        <v>0.4471397004664866</v>
      </c>
      <c r="AQ483" s="70">
        <f t="shared" si="1461"/>
        <v>0.21428922170390374</v>
      </c>
      <c r="AR483" s="70">
        <f t="shared" si="1461"/>
        <v>0.24821998526884359</v>
      </c>
      <c r="AS483" s="70">
        <f t="shared" si="1461"/>
        <v>3.8301006629020376E-2</v>
      </c>
      <c r="AT483" s="70">
        <f t="shared" si="1461"/>
        <v>5.2050085931745642E-2</v>
      </c>
      <c r="AU483" s="70"/>
      <c r="AV483" s="70"/>
      <c r="AW483" s="81">
        <f t="shared" si="790"/>
        <v>0</v>
      </c>
      <c r="AX483" s="70">
        <f t="shared" ref="AX483:BG483" si="1462">O483/$AI483</f>
        <v>0</v>
      </c>
      <c r="AY483" s="70">
        <f t="shared" si="1462"/>
        <v>0</v>
      </c>
      <c r="AZ483" s="70">
        <f t="shared" si="1462"/>
        <v>0</v>
      </c>
      <c r="BA483" s="70">
        <f t="shared" si="1462"/>
        <v>0</v>
      </c>
      <c r="BB483" s="70">
        <f t="shared" si="1462"/>
        <v>0</v>
      </c>
      <c r="BC483" s="70">
        <f t="shared" si="1462"/>
        <v>0</v>
      </c>
      <c r="BD483" s="70">
        <f t="shared" si="1462"/>
        <v>0</v>
      </c>
      <c r="BE483" s="70">
        <f t="shared" si="1462"/>
        <v>0</v>
      </c>
      <c r="BF483" s="70">
        <f t="shared" si="1462"/>
        <v>0</v>
      </c>
      <c r="BG483" s="70">
        <f t="shared" si="1462"/>
        <v>0</v>
      </c>
      <c r="BH483" s="70">
        <f t="shared" si="792"/>
        <v>0</v>
      </c>
      <c r="BI483" s="62"/>
      <c r="BJ483" s="69">
        <v>0.34300000000000003</v>
      </c>
      <c r="BK483" s="69">
        <v>0.59399999999999997</v>
      </c>
      <c r="BL483" s="69">
        <v>0</v>
      </c>
      <c r="BM483" s="69">
        <v>6.2E-2</v>
      </c>
      <c r="BN483" s="69">
        <v>1E-3</v>
      </c>
      <c r="BO483" s="69">
        <v>0</v>
      </c>
      <c r="BP483" s="69">
        <v>0</v>
      </c>
      <c r="BQ483" s="69">
        <v>0</v>
      </c>
      <c r="BR483" s="62"/>
      <c r="BS483" s="72">
        <f t="shared" ref="BS483:BW483" si="1463">AP483-BJ483</f>
        <v>0.10413970046648657</v>
      </c>
      <c r="BT483" s="72">
        <f t="shared" si="1463"/>
        <v>-0.37971077829609623</v>
      </c>
      <c r="BU483" s="72">
        <f t="shared" si="1463"/>
        <v>0.24821998526884359</v>
      </c>
      <c r="BV483" s="72">
        <f t="shared" si="1463"/>
        <v>-2.3698993370979624E-2</v>
      </c>
      <c r="BW483" s="72">
        <f t="shared" si="1463"/>
        <v>5.1050085931745641E-2</v>
      </c>
      <c r="BX483" s="72"/>
      <c r="BY483" s="72"/>
      <c r="BZ483" s="72">
        <f t="shared" si="794"/>
        <v>0</v>
      </c>
    </row>
    <row r="484" spans="1:78" ht="13.15">
      <c r="A484" s="73" t="s">
        <v>6</v>
      </c>
      <c r="B484" s="74" t="s">
        <v>1011</v>
      </c>
      <c r="C484" s="75" t="s">
        <v>1012</v>
      </c>
      <c r="D484" s="75" t="s">
        <v>85</v>
      </c>
      <c r="E484" s="76"/>
      <c r="F484" s="59"/>
      <c r="G484" s="60"/>
      <c r="H484" s="77">
        <v>4298</v>
      </c>
      <c r="I484" s="77">
        <v>14468</v>
      </c>
      <c r="J484" s="77">
        <v>6000</v>
      </c>
      <c r="K484" s="77">
        <v>20730</v>
      </c>
      <c r="L484" s="77">
        <v>2873</v>
      </c>
      <c r="M484" s="77"/>
      <c r="N484" s="77"/>
      <c r="O484" s="77"/>
      <c r="P484" s="77"/>
      <c r="Q484" s="77"/>
      <c r="R484" s="77"/>
      <c r="S484" s="77"/>
      <c r="T484" s="77"/>
      <c r="U484" s="77"/>
      <c r="V484" s="77"/>
      <c r="W484" s="77"/>
      <c r="X484" s="77"/>
      <c r="Y484" s="77">
        <v>170</v>
      </c>
      <c r="Z484" s="77"/>
      <c r="AA484" s="77"/>
      <c r="AB484" s="77"/>
      <c r="AC484" s="77"/>
      <c r="AD484" s="77"/>
      <c r="AE484" s="62"/>
      <c r="AF484" s="63" t="b">
        <v>0</v>
      </c>
      <c r="AG484" s="63" t="b">
        <v>0</v>
      </c>
      <c r="AH484" s="62"/>
      <c r="AI484" s="64">
        <f t="shared" si="786"/>
        <v>48539</v>
      </c>
      <c r="AJ484" s="65" t="str">
        <f t="shared" si="1116"/>
        <v>LDM</v>
      </c>
      <c r="AK484" s="66" t="str">
        <f t="shared" si="787"/>
        <v>GAIN</v>
      </c>
      <c r="AL484" s="67" t="e">
        <f t="shared" ca="1" si="788"/>
        <v>#NAME?</v>
      </c>
      <c r="AM484" s="68">
        <f t="shared" si="1408"/>
        <v>6262</v>
      </c>
      <c r="AN484" s="69">
        <f t="shared" si="1409"/>
        <v>0.1290096623333814</v>
      </c>
      <c r="AO484" s="62"/>
      <c r="AP484" s="70">
        <f t="shared" ref="AP484:AT484" si="1464">H484/$AI484</f>
        <v>8.8547353674364948E-2</v>
      </c>
      <c r="AQ484" s="70">
        <f t="shared" si="1464"/>
        <v>0.29806959352273432</v>
      </c>
      <c r="AR484" s="70">
        <f t="shared" si="1464"/>
        <v>0.12361194091349224</v>
      </c>
      <c r="AS484" s="70">
        <f t="shared" si="1464"/>
        <v>0.42707925585611572</v>
      </c>
      <c r="AT484" s="70">
        <f t="shared" si="1464"/>
        <v>5.9189517707410537E-2</v>
      </c>
      <c r="AU484" s="70"/>
      <c r="AV484" s="70"/>
      <c r="AW484" s="81">
        <f t="shared" si="790"/>
        <v>3.5023383258822038E-3</v>
      </c>
      <c r="AX484" s="70">
        <f t="shared" ref="AX484:BG484" si="1465">O484/$AI484</f>
        <v>0</v>
      </c>
      <c r="AY484" s="70">
        <f t="shared" si="1465"/>
        <v>0</v>
      </c>
      <c r="AZ484" s="70">
        <f t="shared" si="1465"/>
        <v>0</v>
      </c>
      <c r="BA484" s="70">
        <f t="shared" si="1465"/>
        <v>0</v>
      </c>
      <c r="BB484" s="70">
        <f t="shared" si="1465"/>
        <v>0</v>
      </c>
      <c r="BC484" s="70">
        <f t="shared" si="1465"/>
        <v>0</v>
      </c>
      <c r="BD484" s="70">
        <f t="shared" si="1465"/>
        <v>0</v>
      </c>
      <c r="BE484" s="70">
        <f t="shared" si="1465"/>
        <v>0</v>
      </c>
      <c r="BF484" s="70">
        <f t="shared" si="1465"/>
        <v>0</v>
      </c>
      <c r="BG484" s="70">
        <f t="shared" si="1465"/>
        <v>0</v>
      </c>
      <c r="BH484" s="70">
        <f t="shared" si="792"/>
        <v>3.5023383258822038E-3</v>
      </c>
      <c r="BI484" s="62"/>
      <c r="BJ484" s="69">
        <v>0.157</v>
      </c>
      <c r="BK484" s="69">
        <v>0.58099999999999996</v>
      </c>
      <c r="BL484" s="69">
        <v>0</v>
      </c>
      <c r="BM484" s="69">
        <v>0.22</v>
      </c>
      <c r="BN484" s="69">
        <v>4.2000000000000003E-2</v>
      </c>
      <c r="BO484" s="69">
        <v>0</v>
      </c>
      <c r="BP484" s="69">
        <v>0</v>
      </c>
      <c r="BQ484" s="69">
        <v>0</v>
      </c>
      <c r="BR484" s="62"/>
      <c r="BS484" s="72">
        <f t="shared" ref="BS484:BW484" si="1466">AP484-BJ484</f>
        <v>-6.8452646325635053E-2</v>
      </c>
      <c r="BT484" s="72">
        <f t="shared" si="1466"/>
        <v>-0.28293040647726564</v>
      </c>
      <c r="BU484" s="72">
        <f t="shared" si="1466"/>
        <v>0.12361194091349224</v>
      </c>
      <c r="BV484" s="72">
        <f t="shared" si="1466"/>
        <v>0.20707925585611572</v>
      </c>
      <c r="BW484" s="72">
        <f t="shared" si="1466"/>
        <v>1.7189517707410534E-2</v>
      </c>
      <c r="BX484" s="72"/>
      <c r="BY484" s="72"/>
      <c r="BZ484" s="72">
        <f t="shared" si="794"/>
        <v>3.5023383258822038E-3</v>
      </c>
    </row>
    <row r="485" spans="1:78" ht="13.15">
      <c r="A485" s="73" t="s">
        <v>6</v>
      </c>
      <c r="B485" s="74" t="s">
        <v>1013</v>
      </c>
      <c r="C485" s="75" t="s">
        <v>1014</v>
      </c>
      <c r="D485" s="75" t="s">
        <v>47</v>
      </c>
      <c r="E485" s="76"/>
      <c r="F485" s="59"/>
      <c r="G485" s="60"/>
      <c r="H485" s="77">
        <v>15437</v>
      </c>
      <c r="I485" s="77">
        <v>16320</v>
      </c>
      <c r="J485" s="77">
        <v>9920</v>
      </c>
      <c r="K485" s="77">
        <v>4757</v>
      </c>
      <c r="L485" s="77">
        <v>3028</v>
      </c>
      <c r="M485" s="77"/>
      <c r="N485" s="77"/>
      <c r="O485" s="77">
        <v>558</v>
      </c>
      <c r="P485" s="77"/>
      <c r="Q485" s="77"/>
      <c r="R485" s="77"/>
      <c r="S485" s="77"/>
      <c r="T485" s="77"/>
      <c r="U485" s="77"/>
      <c r="V485" s="77"/>
      <c r="W485" s="77"/>
      <c r="X485" s="77"/>
      <c r="Y485" s="77"/>
      <c r="Z485" s="77"/>
      <c r="AA485" s="77"/>
      <c r="AB485" s="77"/>
      <c r="AC485" s="77"/>
      <c r="AD485" s="77"/>
      <c r="AE485" s="62"/>
      <c r="AF485" s="63" t="b">
        <v>0</v>
      </c>
      <c r="AG485" s="63" t="b">
        <v>0</v>
      </c>
      <c r="AH485" s="62"/>
      <c r="AI485" s="64">
        <f t="shared" si="786"/>
        <v>50020</v>
      </c>
      <c r="AJ485" s="65" t="str">
        <f t="shared" si="1116"/>
        <v>CON</v>
      </c>
      <c r="AK485" s="66" t="str">
        <f t="shared" si="787"/>
        <v>HOLD</v>
      </c>
      <c r="AL485" s="67" t="e">
        <f t="shared" ca="1" si="788"/>
        <v>#NAME?</v>
      </c>
      <c r="AM485" s="68">
        <f t="shared" si="1408"/>
        <v>883</v>
      </c>
      <c r="AN485" s="69">
        <f t="shared" si="1409"/>
        <v>1.7652938824470221E-2</v>
      </c>
      <c r="AO485" s="62"/>
      <c r="AP485" s="70">
        <f t="shared" ref="AP485:AT485" si="1467">H485/$AI485</f>
        <v>0.30861655337864852</v>
      </c>
      <c r="AQ485" s="70">
        <f t="shared" si="1467"/>
        <v>0.32626949220311874</v>
      </c>
      <c r="AR485" s="70">
        <f t="shared" si="1467"/>
        <v>0.19832067173130749</v>
      </c>
      <c r="AS485" s="70">
        <f t="shared" si="1467"/>
        <v>9.5101959216313481E-2</v>
      </c>
      <c r="AT485" s="70">
        <f t="shared" si="1467"/>
        <v>6.0535785685725707E-2</v>
      </c>
      <c r="AU485" s="70"/>
      <c r="AV485" s="70"/>
      <c r="AW485" s="81">
        <f t="shared" si="790"/>
        <v>1.1155537784885983E-2</v>
      </c>
      <c r="AX485" s="70">
        <f t="shared" ref="AX485:BG485" si="1468">O485/$AI485</f>
        <v>1.1155537784886045E-2</v>
      </c>
      <c r="AY485" s="70">
        <f t="shared" si="1468"/>
        <v>0</v>
      </c>
      <c r="AZ485" s="70">
        <f t="shared" si="1468"/>
        <v>0</v>
      </c>
      <c r="BA485" s="70">
        <f t="shared" si="1468"/>
        <v>0</v>
      </c>
      <c r="BB485" s="70">
        <f t="shared" si="1468"/>
        <v>0</v>
      </c>
      <c r="BC485" s="70">
        <f t="shared" si="1468"/>
        <v>0</v>
      </c>
      <c r="BD485" s="70">
        <f t="shared" si="1468"/>
        <v>0</v>
      </c>
      <c r="BE485" s="70">
        <f t="shared" si="1468"/>
        <v>0</v>
      </c>
      <c r="BF485" s="70">
        <f t="shared" si="1468"/>
        <v>0</v>
      </c>
      <c r="BG485" s="70">
        <f t="shared" si="1468"/>
        <v>0</v>
      </c>
      <c r="BH485" s="70">
        <f t="shared" si="792"/>
        <v>-6.2450045135165055E-17</v>
      </c>
      <c r="BI485" s="62"/>
      <c r="BJ485" s="69">
        <v>0.24299999999999999</v>
      </c>
      <c r="BK485" s="69">
        <v>0.64700000000000002</v>
      </c>
      <c r="BL485" s="69">
        <v>0</v>
      </c>
      <c r="BM485" s="69">
        <v>0.08</v>
      </c>
      <c r="BN485" s="69">
        <v>2.9000000000000001E-2</v>
      </c>
      <c r="BO485" s="69">
        <v>0</v>
      </c>
      <c r="BP485" s="69">
        <v>0</v>
      </c>
      <c r="BQ485" s="69">
        <v>0</v>
      </c>
      <c r="BR485" s="62"/>
      <c r="BS485" s="72">
        <f t="shared" ref="BS485:BW485" si="1469">AP485-BJ485</f>
        <v>6.5616553378648523E-2</v>
      </c>
      <c r="BT485" s="72">
        <f t="shared" si="1469"/>
        <v>-0.32073050779688128</v>
      </c>
      <c r="BU485" s="72">
        <f t="shared" si="1469"/>
        <v>0.19832067173130749</v>
      </c>
      <c r="BV485" s="72">
        <f t="shared" si="1469"/>
        <v>1.5101959216313479E-2</v>
      </c>
      <c r="BW485" s="72">
        <f t="shared" si="1469"/>
        <v>3.1535785685725709E-2</v>
      </c>
      <c r="BX485" s="72"/>
      <c r="BY485" s="72"/>
      <c r="BZ485" s="72">
        <f t="shared" si="794"/>
        <v>1.1155537784885983E-2</v>
      </c>
    </row>
    <row r="486" spans="1:78" ht="13.15">
      <c r="A486" s="73" t="s">
        <v>6</v>
      </c>
      <c r="B486" s="74" t="s">
        <v>1015</v>
      </c>
      <c r="C486" s="75" t="s">
        <v>1016</v>
      </c>
      <c r="D486" s="75" t="s">
        <v>71</v>
      </c>
      <c r="E486" s="76"/>
      <c r="F486" s="59"/>
      <c r="G486" s="60"/>
      <c r="H486" s="77">
        <v>11994</v>
      </c>
      <c r="I486" s="77">
        <v>19544</v>
      </c>
      <c r="J486" s="77">
        <v>8963</v>
      </c>
      <c r="K486" s="77">
        <v>5379</v>
      </c>
      <c r="L486" s="77">
        <v>2986</v>
      </c>
      <c r="M486" s="77"/>
      <c r="N486" s="77"/>
      <c r="O486" s="77"/>
      <c r="P486" s="77"/>
      <c r="Q486" s="77"/>
      <c r="R486" s="77"/>
      <c r="S486" s="77"/>
      <c r="T486" s="77"/>
      <c r="U486" s="77"/>
      <c r="V486" s="77"/>
      <c r="W486" s="77"/>
      <c r="X486" s="77"/>
      <c r="Y486" s="77">
        <v>931</v>
      </c>
      <c r="Z486" s="77"/>
      <c r="AA486" s="77"/>
      <c r="AB486" s="77"/>
      <c r="AC486" s="77"/>
      <c r="AD486" s="77"/>
      <c r="AE486" s="62"/>
      <c r="AF486" s="63" t="b">
        <v>0</v>
      </c>
      <c r="AG486" s="63" t="b">
        <v>0</v>
      </c>
      <c r="AH486" s="62"/>
      <c r="AI486" s="64">
        <f t="shared" si="786"/>
        <v>49797</v>
      </c>
      <c r="AJ486" s="65" t="str">
        <f t="shared" si="1116"/>
        <v>CON</v>
      </c>
      <c r="AK486" s="66" t="str">
        <f t="shared" si="787"/>
        <v>HOLD</v>
      </c>
      <c r="AL486" s="67" t="e">
        <f t="shared" ca="1" si="788"/>
        <v>#NAME?</v>
      </c>
      <c r="AM486" s="68">
        <f t="shared" si="1408"/>
        <v>7550</v>
      </c>
      <c r="AN486" s="69">
        <f t="shared" si="1409"/>
        <v>0.15161555917023115</v>
      </c>
      <c r="AO486" s="62"/>
      <c r="AP486" s="70">
        <f t="shared" ref="AP486:AT486" si="1470">H486/$AI486</f>
        <v>0.2408578830050003</v>
      </c>
      <c r="AQ486" s="70">
        <f t="shared" si="1470"/>
        <v>0.39247344217523145</v>
      </c>
      <c r="AR486" s="70">
        <f t="shared" si="1470"/>
        <v>0.17999076249573268</v>
      </c>
      <c r="AS486" s="70">
        <f t="shared" si="1470"/>
        <v>0.10801855533465872</v>
      </c>
      <c r="AT486" s="70">
        <f t="shared" si="1470"/>
        <v>5.9963451613551016E-2</v>
      </c>
      <c r="AU486" s="70"/>
      <c r="AV486" s="70"/>
      <c r="AW486" s="81">
        <f t="shared" si="790"/>
        <v>1.8695905375825883E-2</v>
      </c>
      <c r="AX486" s="70">
        <f t="shared" ref="AX486:BG486" si="1471">O486/$AI486</f>
        <v>0</v>
      </c>
      <c r="AY486" s="70">
        <f t="shared" si="1471"/>
        <v>0</v>
      </c>
      <c r="AZ486" s="70">
        <f t="shared" si="1471"/>
        <v>0</v>
      </c>
      <c r="BA486" s="70">
        <f t="shared" si="1471"/>
        <v>0</v>
      </c>
      <c r="BB486" s="70">
        <f t="shared" si="1471"/>
        <v>0</v>
      </c>
      <c r="BC486" s="70">
        <f t="shared" si="1471"/>
        <v>0</v>
      </c>
      <c r="BD486" s="70">
        <f t="shared" si="1471"/>
        <v>0</v>
      </c>
      <c r="BE486" s="70">
        <f t="shared" si="1471"/>
        <v>0</v>
      </c>
      <c r="BF486" s="70">
        <f t="shared" si="1471"/>
        <v>0</v>
      </c>
      <c r="BG486" s="70">
        <f t="shared" si="1471"/>
        <v>0</v>
      </c>
      <c r="BH486" s="70">
        <f t="shared" si="792"/>
        <v>1.8695905375825883E-2</v>
      </c>
      <c r="BI486" s="62"/>
      <c r="BJ486" s="69">
        <v>0.17799999999999999</v>
      </c>
      <c r="BK486" s="69">
        <v>0.625</v>
      </c>
      <c r="BL486" s="69">
        <v>0</v>
      </c>
      <c r="BM486" s="69">
        <v>0.125</v>
      </c>
      <c r="BN486" s="69">
        <v>4.4999999999999998E-2</v>
      </c>
      <c r="BO486" s="69">
        <v>0</v>
      </c>
      <c r="BP486" s="69">
        <v>0</v>
      </c>
      <c r="BQ486" s="69">
        <v>2.8000000000000001E-2</v>
      </c>
      <c r="BR486" s="62"/>
      <c r="BS486" s="72">
        <f t="shared" ref="BS486:BW486" si="1472">AP486-BJ486</f>
        <v>6.2857883005000309E-2</v>
      </c>
      <c r="BT486" s="72">
        <f t="shared" si="1472"/>
        <v>-0.23252655782476855</v>
      </c>
      <c r="BU486" s="72">
        <f t="shared" si="1472"/>
        <v>0.17999076249573268</v>
      </c>
      <c r="BV486" s="72">
        <f t="shared" si="1472"/>
        <v>-1.698144466534128E-2</v>
      </c>
      <c r="BW486" s="72">
        <f t="shared" si="1472"/>
        <v>1.4963451613551018E-2</v>
      </c>
      <c r="BX486" s="72"/>
      <c r="BY486" s="72"/>
      <c r="BZ486" s="72">
        <f t="shared" si="794"/>
        <v>-9.3040946241741175E-3</v>
      </c>
    </row>
    <row r="487" spans="1:78" ht="13.15">
      <c r="A487" s="73" t="s">
        <v>6</v>
      </c>
      <c r="B487" s="74" t="s">
        <v>1017</v>
      </c>
      <c r="C487" s="75" t="s">
        <v>1018</v>
      </c>
      <c r="D487" s="75" t="s">
        <v>85</v>
      </c>
      <c r="E487" s="76"/>
      <c r="F487" s="59"/>
      <c r="G487" s="60"/>
      <c r="H487" s="77">
        <v>5057</v>
      </c>
      <c r="I487" s="77">
        <v>17801</v>
      </c>
      <c r="J487" s="77">
        <v>7529</v>
      </c>
      <c r="K487" s="77">
        <v>20815</v>
      </c>
      <c r="L487" s="77">
        <v>2165</v>
      </c>
      <c r="M487" s="77"/>
      <c r="N487" s="77"/>
      <c r="O487" s="77"/>
      <c r="P487" s="77"/>
      <c r="Q487" s="77"/>
      <c r="R487" s="77"/>
      <c r="S487" s="77"/>
      <c r="T487" s="77"/>
      <c r="U487" s="77"/>
      <c r="V487" s="77"/>
      <c r="W487" s="77"/>
      <c r="X487" s="77"/>
      <c r="Y487" s="77"/>
      <c r="Z487" s="77"/>
      <c r="AA487" s="77"/>
      <c r="AB487" s="77"/>
      <c r="AC487" s="77"/>
      <c r="AD487" s="77"/>
      <c r="AE487" s="62"/>
      <c r="AF487" s="63" t="b">
        <v>0</v>
      </c>
      <c r="AG487" s="63" t="b">
        <v>0</v>
      </c>
      <c r="AH487" s="62"/>
      <c r="AI487" s="64">
        <f t="shared" si="786"/>
        <v>53367</v>
      </c>
      <c r="AJ487" s="65" t="str">
        <f t="shared" si="1116"/>
        <v>LDM</v>
      </c>
      <c r="AK487" s="66" t="str">
        <f t="shared" si="787"/>
        <v>GAIN</v>
      </c>
      <c r="AL487" s="67" t="e">
        <f t="shared" ca="1" si="788"/>
        <v>#NAME?</v>
      </c>
      <c r="AM487" s="68">
        <f t="shared" si="1408"/>
        <v>3014</v>
      </c>
      <c r="AN487" s="69">
        <f t="shared" si="1409"/>
        <v>5.6476848989075623E-2</v>
      </c>
      <c r="AO487" s="62"/>
      <c r="AP487" s="70">
        <f t="shared" ref="AP487:AT487" si="1473">H487/$AI487</f>
        <v>9.4758933423276556E-2</v>
      </c>
      <c r="AQ487" s="70">
        <f t="shared" si="1473"/>
        <v>0.33355819139168402</v>
      </c>
      <c r="AR487" s="70">
        <f t="shared" si="1473"/>
        <v>0.14107969344351379</v>
      </c>
      <c r="AS487" s="70">
        <f t="shared" si="1473"/>
        <v>0.39003504038075965</v>
      </c>
      <c r="AT487" s="70">
        <f t="shared" si="1473"/>
        <v>4.0568141360766016E-2</v>
      </c>
      <c r="AU487" s="70"/>
      <c r="AV487" s="70"/>
      <c r="AW487" s="81">
        <f t="shared" si="790"/>
        <v>0</v>
      </c>
      <c r="AX487" s="70">
        <f t="shared" ref="AX487:BG487" si="1474">O487/$AI487</f>
        <v>0</v>
      </c>
      <c r="AY487" s="70">
        <f t="shared" si="1474"/>
        <v>0</v>
      </c>
      <c r="AZ487" s="70">
        <f t="shared" si="1474"/>
        <v>0</v>
      </c>
      <c r="BA487" s="70">
        <f t="shared" si="1474"/>
        <v>0</v>
      </c>
      <c r="BB487" s="70">
        <f t="shared" si="1474"/>
        <v>0</v>
      </c>
      <c r="BC487" s="70">
        <f t="shared" si="1474"/>
        <v>0</v>
      </c>
      <c r="BD487" s="70">
        <f t="shared" si="1474"/>
        <v>0</v>
      </c>
      <c r="BE487" s="70">
        <f t="shared" si="1474"/>
        <v>0</v>
      </c>
      <c r="BF487" s="70">
        <f t="shared" si="1474"/>
        <v>0</v>
      </c>
      <c r="BG487" s="70">
        <f t="shared" si="1474"/>
        <v>0</v>
      </c>
      <c r="BH487" s="70">
        <f t="shared" si="792"/>
        <v>0</v>
      </c>
      <c r="BI487" s="62"/>
      <c r="BJ487" s="69">
        <v>8.6999999999999994E-2</v>
      </c>
      <c r="BK487" s="69">
        <v>0.58499999999999996</v>
      </c>
      <c r="BL487" s="69">
        <v>0</v>
      </c>
      <c r="BM487" s="69">
        <v>0.32600000000000001</v>
      </c>
      <c r="BN487" s="69">
        <v>2E-3</v>
      </c>
      <c r="BO487" s="69">
        <v>0</v>
      </c>
      <c r="BP487" s="69">
        <v>0</v>
      </c>
      <c r="BQ487" s="69">
        <v>0</v>
      </c>
      <c r="BR487" s="62"/>
      <c r="BS487" s="72">
        <f t="shared" ref="BS487:BW487" si="1475">AP487-BJ487</f>
        <v>7.7589334232765622E-3</v>
      </c>
      <c r="BT487" s="72">
        <f t="shared" si="1475"/>
        <v>-0.25144180860831594</v>
      </c>
      <c r="BU487" s="72">
        <f t="shared" si="1475"/>
        <v>0.14107969344351379</v>
      </c>
      <c r="BV487" s="72">
        <f t="shared" si="1475"/>
        <v>6.4035040380759634E-2</v>
      </c>
      <c r="BW487" s="72">
        <f t="shared" si="1475"/>
        <v>3.8568141360766015E-2</v>
      </c>
      <c r="BX487" s="72"/>
      <c r="BY487" s="72"/>
      <c r="BZ487" s="72">
        <f t="shared" si="794"/>
        <v>0</v>
      </c>
    </row>
    <row r="488" spans="1:78" ht="13.15">
      <c r="A488" s="73" t="s">
        <v>6</v>
      </c>
      <c r="B488" s="74" t="s">
        <v>1019</v>
      </c>
      <c r="C488" s="75" t="s">
        <v>1020</v>
      </c>
      <c r="D488" s="75" t="s">
        <v>78</v>
      </c>
      <c r="E488" s="76"/>
      <c r="F488" s="59"/>
      <c r="G488" s="60"/>
      <c r="H488" s="77">
        <v>16050</v>
      </c>
      <c r="I488" s="77">
        <v>8009</v>
      </c>
      <c r="J488" s="77">
        <v>9576</v>
      </c>
      <c r="K488" s="77">
        <v>1157</v>
      </c>
      <c r="L488" s="77">
        <v>1632</v>
      </c>
      <c r="M488" s="77"/>
      <c r="N488" s="77"/>
      <c r="O488" s="77">
        <v>443</v>
      </c>
      <c r="P488" s="77">
        <v>691</v>
      </c>
      <c r="Q488" s="77"/>
      <c r="R488" s="77"/>
      <c r="S488" s="77"/>
      <c r="T488" s="77"/>
      <c r="U488" s="77"/>
      <c r="V488" s="77"/>
      <c r="W488" s="77"/>
      <c r="X488" s="77"/>
      <c r="Y488" s="77"/>
      <c r="Z488" s="77"/>
      <c r="AA488" s="77"/>
      <c r="AB488" s="77"/>
      <c r="AC488" s="77"/>
      <c r="AD488" s="77"/>
      <c r="AE488" s="62"/>
      <c r="AF488" s="63" t="b">
        <v>0</v>
      </c>
      <c r="AG488" s="63" t="b">
        <v>0</v>
      </c>
      <c r="AH488" s="62"/>
      <c r="AI488" s="64">
        <f t="shared" si="786"/>
        <v>37558</v>
      </c>
      <c r="AJ488" s="65" t="str">
        <f t="shared" si="1116"/>
        <v>LAB</v>
      </c>
      <c r="AK488" s="66" t="str">
        <f t="shared" si="787"/>
        <v>GAIN</v>
      </c>
      <c r="AL488" s="67" t="e">
        <f t="shared" ca="1" si="788"/>
        <v>#NAME?</v>
      </c>
      <c r="AM488" s="68">
        <f t="shared" si="1408"/>
        <v>6474</v>
      </c>
      <c r="AN488" s="69">
        <f t="shared" si="1409"/>
        <v>0.17237339581447364</v>
      </c>
      <c r="AO488" s="62"/>
      <c r="AP488" s="70">
        <f t="shared" ref="AP488:AT488" si="1476">H488/$AI488</f>
        <v>0.42733904893764313</v>
      </c>
      <c r="AQ488" s="70">
        <f t="shared" si="1476"/>
        <v>0.21324351669417968</v>
      </c>
      <c r="AR488" s="70">
        <f t="shared" si="1476"/>
        <v>0.25496565312316949</v>
      </c>
      <c r="AS488" s="70">
        <f t="shared" si="1476"/>
        <v>3.0805687203791468E-2</v>
      </c>
      <c r="AT488" s="70">
        <f t="shared" si="1476"/>
        <v>4.3452793013472497E-2</v>
      </c>
      <c r="AU488" s="70"/>
      <c r="AV488" s="70"/>
      <c r="AW488" s="81">
        <f t="shared" si="790"/>
        <v>3.0193301027743646E-2</v>
      </c>
      <c r="AX488" s="70">
        <f t="shared" ref="AX488:BG488" si="1477">O488/$AI488</f>
        <v>1.1795090260397252E-2</v>
      </c>
      <c r="AY488" s="70">
        <f t="shared" si="1477"/>
        <v>1.8398210767346504E-2</v>
      </c>
      <c r="AZ488" s="70">
        <f t="shared" si="1477"/>
        <v>0</v>
      </c>
      <c r="BA488" s="70">
        <f t="shared" si="1477"/>
        <v>0</v>
      </c>
      <c r="BB488" s="70">
        <f t="shared" si="1477"/>
        <v>0</v>
      </c>
      <c r="BC488" s="70">
        <f t="shared" si="1477"/>
        <v>0</v>
      </c>
      <c r="BD488" s="70">
        <f t="shared" si="1477"/>
        <v>0</v>
      </c>
      <c r="BE488" s="70">
        <f t="shared" si="1477"/>
        <v>0</v>
      </c>
      <c r="BF488" s="70">
        <f t="shared" si="1477"/>
        <v>0</v>
      </c>
      <c r="BG488" s="70">
        <f t="shared" si="1477"/>
        <v>0</v>
      </c>
      <c r="BH488" s="70">
        <f t="shared" si="792"/>
        <v>-1.1102230246251565E-16</v>
      </c>
      <c r="BI488" s="62"/>
      <c r="BJ488" s="69">
        <v>0.33</v>
      </c>
      <c r="BK488" s="69">
        <v>0.59899999999999998</v>
      </c>
      <c r="BL488" s="69">
        <v>0</v>
      </c>
      <c r="BM488" s="69">
        <v>3.1E-2</v>
      </c>
      <c r="BN488" s="69">
        <v>1.7000000000000001E-2</v>
      </c>
      <c r="BO488" s="69">
        <v>0</v>
      </c>
      <c r="BP488" s="69">
        <v>0</v>
      </c>
      <c r="BQ488" s="69">
        <v>2.4E-2</v>
      </c>
      <c r="BR488" s="62"/>
      <c r="BS488" s="72">
        <f t="shared" ref="BS488:BW488" si="1478">AP488-BJ488</f>
        <v>9.7339048937643113E-2</v>
      </c>
      <c r="BT488" s="72">
        <f t="shared" si="1478"/>
        <v>-0.3857564833058203</v>
      </c>
      <c r="BU488" s="72">
        <f t="shared" si="1478"/>
        <v>0.25496565312316949</v>
      </c>
      <c r="BV488" s="72">
        <f t="shared" si="1478"/>
        <v>-1.943127962085317E-4</v>
      </c>
      <c r="BW488" s="72">
        <f t="shared" si="1478"/>
        <v>2.6452793013472496E-2</v>
      </c>
      <c r="BX488" s="72"/>
      <c r="BY488" s="72"/>
      <c r="BZ488" s="72">
        <f t="shared" si="794"/>
        <v>6.1933010277436459E-3</v>
      </c>
    </row>
    <row r="489" spans="1:78" ht="13.15">
      <c r="A489" s="73" t="s">
        <v>6</v>
      </c>
      <c r="B489" s="74" t="s">
        <v>1021</v>
      </c>
      <c r="C489" s="75" t="s">
        <v>1022</v>
      </c>
      <c r="D489" s="75" t="s">
        <v>47</v>
      </c>
      <c r="E489" s="76">
        <v>74199</v>
      </c>
      <c r="F489" s="59">
        <v>0.42899999999999999</v>
      </c>
      <c r="G489" s="60"/>
      <c r="H489" s="77">
        <v>11755</v>
      </c>
      <c r="I489" s="77">
        <v>8370</v>
      </c>
      <c r="J489" s="77">
        <v>8019</v>
      </c>
      <c r="K489" s="77">
        <v>592</v>
      </c>
      <c r="L489" s="77">
        <v>1509</v>
      </c>
      <c r="M489" s="77"/>
      <c r="N489" s="77"/>
      <c r="O489" s="77">
        <v>945</v>
      </c>
      <c r="P489" s="77"/>
      <c r="Q489" s="77"/>
      <c r="R489" s="77"/>
      <c r="S489" s="77"/>
      <c r="T489" s="77"/>
      <c r="U489" s="77"/>
      <c r="V489" s="77"/>
      <c r="W489" s="77"/>
      <c r="X489" s="77"/>
      <c r="Y489" s="77"/>
      <c r="Z489" s="77"/>
      <c r="AA489" s="77"/>
      <c r="AB489" s="77"/>
      <c r="AC489" s="77"/>
      <c r="AD489" s="77"/>
      <c r="AE489" s="62"/>
      <c r="AF489" s="63" t="b">
        <v>0</v>
      </c>
      <c r="AG489" s="63" t="b">
        <v>0</v>
      </c>
      <c r="AH489" s="62"/>
      <c r="AI489" s="64">
        <f t="shared" si="786"/>
        <v>31190</v>
      </c>
      <c r="AJ489" s="65" t="str">
        <f t="shared" si="1116"/>
        <v>LAB</v>
      </c>
      <c r="AK489" s="66" t="str">
        <f t="shared" si="787"/>
        <v>GAIN</v>
      </c>
      <c r="AL489" s="67" t="e">
        <f t="shared" ca="1" si="788"/>
        <v>#NAME?</v>
      </c>
      <c r="AM489" s="68">
        <f t="shared" si="1408"/>
        <v>3385</v>
      </c>
      <c r="AN489" s="69">
        <f t="shared" si="1409"/>
        <v>0.10852837447899966</v>
      </c>
      <c r="AO489" s="62"/>
      <c r="AP489" s="70">
        <f t="shared" ref="AP489:AT489" si="1479">H489/$AI489</f>
        <v>0.37688361654376401</v>
      </c>
      <c r="AQ489" s="70">
        <f t="shared" si="1479"/>
        <v>0.26835524206476435</v>
      </c>
      <c r="AR489" s="70">
        <f t="shared" si="1479"/>
        <v>0.25710163513946777</v>
      </c>
      <c r="AS489" s="70">
        <f t="shared" si="1479"/>
        <v>1.8980442449503046E-2</v>
      </c>
      <c r="AT489" s="70">
        <f t="shared" si="1479"/>
        <v>4.8380891311317731E-2</v>
      </c>
      <c r="AU489" s="70"/>
      <c r="AV489" s="70"/>
      <c r="AW489" s="81">
        <f t="shared" si="790"/>
        <v>3.0298172491183051E-2</v>
      </c>
      <c r="AX489" s="70">
        <f t="shared" ref="AX489:BG489" si="1480">O489/$AI489</f>
        <v>3.0298172491183072E-2</v>
      </c>
      <c r="AY489" s="70">
        <f t="shared" si="1480"/>
        <v>0</v>
      </c>
      <c r="AZ489" s="70">
        <f t="shared" si="1480"/>
        <v>0</v>
      </c>
      <c r="BA489" s="70">
        <f t="shared" si="1480"/>
        <v>0</v>
      </c>
      <c r="BB489" s="70">
        <f t="shared" si="1480"/>
        <v>0</v>
      </c>
      <c r="BC489" s="70">
        <f t="shared" si="1480"/>
        <v>0</v>
      </c>
      <c r="BD489" s="70">
        <f t="shared" si="1480"/>
        <v>0</v>
      </c>
      <c r="BE489" s="70">
        <f t="shared" si="1480"/>
        <v>0</v>
      </c>
      <c r="BF489" s="70">
        <f t="shared" si="1480"/>
        <v>0</v>
      </c>
      <c r="BG489" s="70">
        <f t="shared" si="1480"/>
        <v>0</v>
      </c>
      <c r="BH489" s="70">
        <f t="shared" si="792"/>
        <v>0</v>
      </c>
      <c r="BI489" s="62"/>
      <c r="BJ489" s="69">
        <v>0.38400000000000001</v>
      </c>
      <c r="BK489" s="69">
        <v>0.50700000000000001</v>
      </c>
      <c r="BL489" s="69">
        <v>5.8999999999999997E-2</v>
      </c>
      <c r="BM489" s="69">
        <v>3.1E-2</v>
      </c>
      <c r="BN489" s="69">
        <v>1.9E-2</v>
      </c>
      <c r="BO489" s="69">
        <v>0</v>
      </c>
      <c r="BP489" s="69">
        <v>0</v>
      </c>
      <c r="BQ489" s="69">
        <v>0</v>
      </c>
      <c r="BR489" s="62"/>
      <c r="BS489" s="72">
        <f t="shared" ref="BS489:BW489" si="1481">AP489-BJ489</f>
        <v>-7.1163834562359973E-3</v>
      </c>
      <c r="BT489" s="72">
        <f t="shared" si="1481"/>
        <v>-0.23864475793523565</v>
      </c>
      <c r="BU489" s="72">
        <f t="shared" si="1481"/>
        <v>0.19810163513946777</v>
      </c>
      <c r="BV489" s="72">
        <f t="shared" si="1481"/>
        <v>-1.2019557550496954E-2</v>
      </c>
      <c r="BW489" s="72">
        <f t="shared" si="1481"/>
        <v>2.9380891311317731E-2</v>
      </c>
      <c r="BX489" s="72"/>
      <c r="BY489" s="72"/>
      <c r="BZ489" s="72">
        <f t="shared" si="794"/>
        <v>3.0298172491183072E-2</v>
      </c>
    </row>
    <row r="490" spans="1:78" ht="13.15">
      <c r="A490" s="73" t="s">
        <v>6</v>
      </c>
      <c r="B490" s="74" t="s">
        <v>1023</v>
      </c>
      <c r="C490" s="75" t="s">
        <v>1024</v>
      </c>
      <c r="D490" s="75" t="s">
        <v>85</v>
      </c>
      <c r="E490" s="76"/>
      <c r="F490" s="59"/>
      <c r="G490" s="60"/>
      <c r="H490" s="77">
        <v>4325</v>
      </c>
      <c r="I490" s="77">
        <v>14819</v>
      </c>
      <c r="J490" s="77">
        <v>7787</v>
      </c>
      <c r="K490" s="77">
        <v>18326</v>
      </c>
      <c r="L490" s="77">
        <v>2234</v>
      </c>
      <c r="M490" s="77"/>
      <c r="N490" s="77"/>
      <c r="O490" s="77"/>
      <c r="P490" s="77"/>
      <c r="Q490" s="77"/>
      <c r="R490" s="77"/>
      <c r="S490" s="77"/>
      <c r="T490" s="77"/>
      <c r="U490" s="77"/>
      <c r="V490" s="77"/>
      <c r="W490" s="77"/>
      <c r="X490" s="77"/>
      <c r="Y490" s="77"/>
      <c r="Z490" s="77"/>
      <c r="AA490" s="77"/>
      <c r="AB490" s="77"/>
      <c r="AC490" s="77"/>
      <c r="AD490" s="77"/>
      <c r="AE490" s="62"/>
      <c r="AF490" s="63" t="b">
        <v>0</v>
      </c>
      <c r="AG490" s="63" t="b">
        <v>0</v>
      </c>
      <c r="AH490" s="62"/>
      <c r="AI490" s="64">
        <f t="shared" si="786"/>
        <v>47491</v>
      </c>
      <c r="AJ490" s="65" t="str">
        <f t="shared" si="1116"/>
        <v>LDM</v>
      </c>
      <c r="AK490" s="66" t="str">
        <f t="shared" si="787"/>
        <v>GAIN</v>
      </c>
      <c r="AL490" s="67" t="e">
        <f t="shared" ca="1" si="788"/>
        <v>#NAME?</v>
      </c>
      <c r="AM490" s="68">
        <f t="shared" si="1408"/>
        <v>3507</v>
      </c>
      <c r="AN490" s="69">
        <f t="shared" si="1409"/>
        <v>7.3845570739719146E-2</v>
      </c>
      <c r="AO490" s="62"/>
      <c r="AP490" s="70">
        <f t="shared" ref="AP490:AT490" si="1482">H490/$AI490</f>
        <v>9.1069886925943866E-2</v>
      </c>
      <c r="AQ490" s="70">
        <f t="shared" si="1482"/>
        <v>0.31203807037122822</v>
      </c>
      <c r="AR490" s="70">
        <f t="shared" si="1482"/>
        <v>0.16396790970920805</v>
      </c>
      <c r="AS490" s="70">
        <f t="shared" si="1482"/>
        <v>0.38588364111094736</v>
      </c>
      <c r="AT490" s="70">
        <f t="shared" si="1482"/>
        <v>4.7040491882672508E-2</v>
      </c>
      <c r="AU490" s="70"/>
      <c r="AV490" s="70"/>
      <c r="AW490" s="81">
        <f t="shared" si="790"/>
        <v>0</v>
      </c>
      <c r="AX490" s="70">
        <f t="shared" ref="AX490:BG490" si="1483">O490/$AI490</f>
        <v>0</v>
      </c>
      <c r="AY490" s="70">
        <f t="shared" si="1483"/>
        <v>0</v>
      </c>
      <c r="AZ490" s="70">
        <f t="shared" si="1483"/>
        <v>0</v>
      </c>
      <c r="BA490" s="70">
        <f t="shared" si="1483"/>
        <v>0</v>
      </c>
      <c r="BB490" s="70">
        <f t="shared" si="1483"/>
        <v>0</v>
      </c>
      <c r="BC490" s="70">
        <f t="shared" si="1483"/>
        <v>0</v>
      </c>
      <c r="BD490" s="70">
        <f t="shared" si="1483"/>
        <v>0</v>
      </c>
      <c r="BE490" s="70">
        <f t="shared" si="1483"/>
        <v>0</v>
      </c>
      <c r="BF490" s="70">
        <f t="shared" si="1483"/>
        <v>0</v>
      </c>
      <c r="BG490" s="70">
        <f t="shared" si="1483"/>
        <v>0</v>
      </c>
      <c r="BH490" s="70">
        <f t="shared" si="792"/>
        <v>0</v>
      </c>
      <c r="BI490" s="62"/>
      <c r="BJ490" s="69">
        <v>0.14299999999999999</v>
      </c>
      <c r="BK490" s="69">
        <v>0.61299999999999999</v>
      </c>
      <c r="BL490" s="69">
        <v>0</v>
      </c>
      <c r="BM490" s="69">
        <v>0.19500000000000001</v>
      </c>
      <c r="BN490" s="69">
        <v>4.2999999999999997E-2</v>
      </c>
      <c r="BO490" s="69">
        <v>0</v>
      </c>
      <c r="BP490" s="69">
        <v>0</v>
      </c>
      <c r="BQ490" s="69">
        <v>6.0000000000000001E-3</v>
      </c>
      <c r="BR490" s="62"/>
      <c r="BS490" s="72">
        <f t="shared" ref="BS490:BW490" si="1484">AP490-BJ490</f>
        <v>-5.1930113074056122E-2</v>
      </c>
      <c r="BT490" s="72">
        <f t="shared" si="1484"/>
        <v>-0.30096192962877177</v>
      </c>
      <c r="BU490" s="72">
        <f t="shared" si="1484"/>
        <v>0.16396790970920805</v>
      </c>
      <c r="BV490" s="72">
        <f t="shared" si="1484"/>
        <v>0.19088364111094736</v>
      </c>
      <c r="BW490" s="72">
        <f t="shared" si="1484"/>
        <v>4.0404918826725117E-3</v>
      </c>
      <c r="BX490" s="72"/>
      <c r="BY490" s="72"/>
      <c r="BZ490" s="72">
        <f t="shared" si="794"/>
        <v>-6.0000000000000001E-3</v>
      </c>
    </row>
    <row r="491" spans="1:78" ht="13.15">
      <c r="A491" s="73" t="s">
        <v>6</v>
      </c>
      <c r="B491" s="74" t="s">
        <v>1025</v>
      </c>
      <c r="C491" s="75" t="s">
        <v>1026</v>
      </c>
      <c r="D491" s="75" t="s">
        <v>44</v>
      </c>
      <c r="E491" s="76"/>
      <c r="F491" s="59"/>
      <c r="G491" s="60"/>
      <c r="H491" s="77">
        <v>9351</v>
      </c>
      <c r="I491" s="77">
        <v>20517</v>
      </c>
      <c r="J491" s="77">
        <v>7548</v>
      </c>
      <c r="K491" s="77">
        <v>4234</v>
      </c>
      <c r="L491" s="77">
        <v>7596</v>
      </c>
      <c r="M491" s="77"/>
      <c r="N491" s="77"/>
      <c r="O491" s="77"/>
      <c r="P491" s="77"/>
      <c r="Q491" s="77">
        <v>156</v>
      </c>
      <c r="R491" s="77"/>
      <c r="S491" s="77"/>
      <c r="T491" s="77"/>
      <c r="U491" s="77"/>
      <c r="V491" s="77"/>
      <c r="W491" s="77"/>
      <c r="X491" s="77"/>
      <c r="Y491" s="77">
        <v>926</v>
      </c>
      <c r="Z491" s="77"/>
      <c r="AA491" s="77"/>
      <c r="AB491" s="77"/>
      <c r="AC491" s="77"/>
      <c r="AD491" s="77"/>
      <c r="AE491" s="62"/>
      <c r="AF491" s="63" t="b">
        <v>0</v>
      </c>
      <c r="AG491" s="63" t="b">
        <v>0</v>
      </c>
      <c r="AH491" s="62"/>
      <c r="AI491" s="64">
        <f t="shared" si="786"/>
        <v>50328</v>
      </c>
      <c r="AJ491" s="65" t="str">
        <f t="shared" si="1116"/>
        <v>CON</v>
      </c>
      <c r="AK491" s="66" t="str">
        <f t="shared" si="787"/>
        <v>HOLD</v>
      </c>
      <c r="AL491" s="67" t="e">
        <f t="shared" ca="1" si="788"/>
        <v>#NAME?</v>
      </c>
      <c r="AM491" s="68">
        <f t="shared" si="1408"/>
        <v>11166</v>
      </c>
      <c r="AN491" s="69">
        <f t="shared" si="1409"/>
        <v>0.22186456843109206</v>
      </c>
      <c r="AO491" s="62"/>
      <c r="AP491" s="70">
        <f t="shared" ref="AP491:AT491" si="1485">H491/$AI491</f>
        <v>0.18580114449213161</v>
      </c>
      <c r="AQ491" s="70">
        <f t="shared" si="1485"/>
        <v>0.40766571292322368</v>
      </c>
      <c r="AR491" s="70">
        <f t="shared" si="1485"/>
        <v>0.14997615641392464</v>
      </c>
      <c r="AS491" s="70">
        <f t="shared" si="1485"/>
        <v>8.4128119535844856E-2</v>
      </c>
      <c r="AT491" s="70">
        <f t="shared" si="1485"/>
        <v>0.15092989985693847</v>
      </c>
      <c r="AU491" s="70"/>
      <c r="AV491" s="70"/>
      <c r="AW491" s="81">
        <f t="shared" si="790"/>
        <v>2.1498966777936612E-2</v>
      </c>
      <c r="AX491" s="70">
        <f t="shared" ref="AX491:BG491" si="1486">O491/$AI491</f>
        <v>0</v>
      </c>
      <c r="AY491" s="70">
        <f t="shared" si="1486"/>
        <v>0</v>
      </c>
      <c r="AZ491" s="70">
        <f t="shared" si="1486"/>
        <v>3.099666189794945E-3</v>
      </c>
      <c r="BA491" s="70">
        <f t="shared" si="1486"/>
        <v>0</v>
      </c>
      <c r="BB491" s="70">
        <f t="shared" si="1486"/>
        <v>0</v>
      </c>
      <c r="BC491" s="70">
        <f t="shared" si="1486"/>
        <v>0</v>
      </c>
      <c r="BD491" s="70">
        <f t="shared" si="1486"/>
        <v>0</v>
      </c>
      <c r="BE491" s="70">
        <f t="shared" si="1486"/>
        <v>0</v>
      </c>
      <c r="BF491" s="70">
        <f t="shared" si="1486"/>
        <v>0</v>
      </c>
      <c r="BG491" s="70">
        <f t="shared" si="1486"/>
        <v>0</v>
      </c>
      <c r="BH491" s="70">
        <f t="shared" si="792"/>
        <v>1.8399300588141668E-2</v>
      </c>
      <c r="BI491" s="62"/>
      <c r="BJ491" s="69">
        <v>0.151</v>
      </c>
      <c r="BK491" s="69">
        <v>0.64800000000000002</v>
      </c>
      <c r="BL491" s="69">
        <v>0</v>
      </c>
      <c r="BM491" s="69">
        <v>0.123</v>
      </c>
      <c r="BN491" s="69">
        <v>7.9000000000000001E-2</v>
      </c>
      <c r="BO491" s="69">
        <v>0</v>
      </c>
      <c r="BP491" s="69">
        <v>0</v>
      </c>
      <c r="BQ491" s="69">
        <v>0</v>
      </c>
      <c r="BR491" s="62"/>
      <c r="BS491" s="72">
        <f t="shared" ref="BS491:BW491" si="1487">AP491-BJ491</f>
        <v>3.4801144492131619E-2</v>
      </c>
      <c r="BT491" s="72">
        <f t="shared" si="1487"/>
        <v>-0.24033428707677634</v>
      </c>
      <c r="BU491" s="72">
        <f t="shared" si="1487"/>
        <v>0.14997615641392464</v>
      </c>
      <c r="BV491" s="72">
        <f t="shared" si="1487"/>
        <v>-3.8871880464155142E-2</v>
      </c>
      <c r="BW491" s="72">
        <f t="shared" si="1487"/>
        <v>7.192989985693847E-2</v>
      </c>
      <c r="BX491" s="72"/>
      <c r="BY491" s="72"/>
      <c r="BZ491" s="72">
        <f t="shared" si="794"/>
        <v>2.1498966777936612E-2</v>
      </c>
    </row>
    <row r="492" spans="1:78" ht="13.15">
      <c r="A492" s="78" t="s">
        <v>5</v>
      </c>
      <c r="B492" s="74" t="s">
        <v>1027</v>
      </c>
      <c r="C492" s="75" t="s">
        <v>1028</v>
      </c>
      <c r="D492" s="75" t="s">
        <v>68</v>
      </c>
      <c r="E492" s="76"/>
      <c r="F492" s="59"/>
      <c r="G492" s="60"/>
      <c r="H492" s="77">
        <v>29209</v>
      </c>
      <c r="I492" s="77">
        <v>9722</v>
      </c>
      <c r="J492" s="77">
        <v>2546</v>
      </c>
      <c r="K492" s="77">
        <v>4438</v>
      </c>
      <c r="L492" s="77">
        <v>5672</v>
      </c>
      <c r="M492" s="77"/>
      <c r="N492" s="77"/>
      <c r="O492" s="77">
        <v>179</v>
      </c>
      <c r="P492" s="77">
        <v>807</v>
      </c>
      <c r="Q492" s="77"/>
      <c r="R492" s="77"/>
      <c r="S492" s="77"/>
      <c r="T492" s="77"/>
      <c r="U492" s="77"/>
      <c r="V492" s="77"/>
      <c r="W492" s="77"/>
      <c r="X492" s="77"/>
      <c r="Y492" s="77">
        <v>370</v>
      </c>
      <c r="Z492" s="77"/>
      <c r="AA492" s="77"/>
      <c r="AB492" s="77"/>
      <c r="AC492" s="77"/>
      <c r="AD492" s="77"/>
      <c r="AE492" s="62"/>
      <c r="AF492" s="63" t="b">
        <v>0</v>
      </c>
      <c r="AG492" s="63" t="b">
        <v>0</v>
      </c>
      <c r="AH492" s="62"/>
      <c r="AI492" s="64">
        <f t="shared" si="786"/>
        <v>52943</v>
      </c>
      <c r="AJ492" s="65" t="str">
        <f t="shared" si="1116"/>
        <v>LAB</v>
      </c>
      <c r="AK492" s="66" t="str">
        <f t="shared" si="787"/>
        <v>HOLD</v>
      </c>
      <c r="AL492" s="67" t="e">
        <f t="shared" ca="1" si="788"/>
        <v>#NAME?</v>
      </c>
      <c r="AM492" s="68">
        <f t="shared" si="1408"/>
        <v>19487</v>
      </c>
      <c r="AN492" s="69">
        <f t="shared" si="1409"/>
        <v>0.36807509963545704</v>
      </c>
      <c r="AO492" s="62"/>
      <c r="AP492" s="70">
        <f t="shared" ref="AP492:AT492" si="1488">H492/$AI492</f>
        <v>0.55170655232986421</v>
      </c>
      <c r="AQ492" s="70">
        <f t="shared" si="1488"/>
        <v>0.1836314526944072</v>
      </c>
      <c r="AR492" s="70">
        <f t="shared" si="1488"/>
        <v>4.8089454696560452E-2</v>
      </c>
      <c r="AS492" s="70">
        <f t="shared" si="1488"/>
        <v>8.3826001548835544E-2</v>
      </c>
      <c r="AT492" s="70">
        <f t="shared" si="1488"/>
        <v>0.1071340876036492</v>
      </c>
      <c r="AU492" s="70"/>
      <c r="AV492" s="70"/>
      <c r="AW492" s="81">
        <f t="shared" si="790"/>
        <v>2.5612451126683422E-2</v>
      </c>
      <c r="AX492" s="70">
        <f t="shared" ref="AX492:BG492" si="1489">O492/$AI492</f>
        <v>3.3809946546285627E-3</v>
      </c>
      <c r="AY492" s="70">
        <f t="shared" si="1489"/>
        <v>1.5242808303269554E-2</v>
      </c>
      <c r="AZ492" s="70">
        <f t="shared" si="1489"/>
        <v>0</v>
      </c>
      <c r="BA492" s="70">
        <f t="shared" si="1489"/>
        <v>0</v>
      </c>
      <c r="BB492" s="70">
        <f t="shared" si="1489"/>
        <v>0</v>
      </c>
      <c r="BC492" s="70">
        <f t="shared" si="1489"/>
        <v>0</v>
      </c>
      <c r="BD492" s="70">
        <f t="shared" si="1489"/>
        <v>0</v>
      </c>
      <c r="BE492" s="70">
        <f t="shared" si="1489"/>
        <v>0</v>
      </c>
      <c r="BF492" s="70">
        <f t="shared" si="1489"/>
        <v>0</v>
      </c>
      <c r="BG492" s="70">
        <f t="shared" si="1489"/>
        <v>0</v>
      </c>
      <c r="BH492" s="70">
        <f t="shared" si="792"/>
        <v>6.9886481687853053E-3</v>
      </c>
      <c r="BI492" s="62"/>
      <c r="BJ492" s="69">
        <v>0.52700000000000002</v>
      </c>
      <c r="BK492" s="69">
        <v>0.28199999999999997</v>
      </c>
      <c r="BL492" s="69">
        <v>8.0000000000000002E-3</v>
      </c>
      <c r="BM492" s="69">
        <v>0.14199999999999999</v>
      </c>
      <c r="BN492" s="69">
        <v>0.04</v>
      </c>
      <c r="BO492" s="69">
        <v>0</v>
      </c>
      <c r="BP492" s="69">
        <v>0</v>
      </c>
      <c r="BQ492" s="69">
        <v>1E-3</v>
      </c>
      <c r="BR492" s="62"/>
      <c r="BS492" s="72">
        <f t="shared" ref="BS492:BW492" si="1490">AP492-BJ492</f>
        <v>2.4706552329864184E-2</v>
      </c>
      <c r="BT492" s="72">
        <f t="shared" si="1490"/>
        <v>-9.8368547305592774E-2</v>
      </c>
      <c r="BU492" s="72">
        <f t="shared" si="1490"/>
        <v>4.0089454696560452E-2</v>
      </c>
      <c r="BV492" s="72">
        <f t="shared" si="1490"/>
        <v>-5.8173998451164444E-2</v>
      </c>
      <c r="BW492" s="72">
        <f t="shared" si="1490"/>
        <v>6.7134087603649195E-2</v>
      </c>
      <c r="BX492" s="72"/>
      <c r="BY492" s="72"/>
      <c r="BZ492" s="72">
        <f t="shared" si="794"/>
        <v>2.4612451126683421E-2</v>
      </c>
    </row>
    <row r="493" spans="1:78" ht="13.15">
      <c r="A493" s="73" t="s">
        <v>6</v>
      </c>
      <c r="B493" s="74" t="s">
        <v>1029</v>
      </c>
      <c r="C493" s="75" t="s">
        <v>1030</v>
      </c>
      <c r="D493" s="75" t="s">
        <v>85</v>
      </c>
      <c r="E493" s="76"/>
      <c r="F493" s="59"/>
      <c r="G493" s="60"/>
      <c r="H493" s="77">
        <v>3276</v>
      </c>
      <c r="I493" s="77">
        <v>13588</v>
      </c>
      <c r="J493" s="77">
        <v>8660</v>
      </c>
      <c r="K493" s="77">
        <v>18937</v>
      </c>
      <c r="L493" s="77">
        <v>1420</v>
      </c>
      <c r="M493" s="77"/>
      <c r="N493" s="77"/>
      <c r="O493" s="77"/>
      <c r="P493" s="77">
        <v>234</v>
      </c>
      <c r="Q493" s="77"/>
      <c r="R493" s="77"/>
      <c r="S493" s="77"/>
      <c r="T493" s="77"/>
      <c r="U493" s="77"/>
      <c r="V493" s="77"/>
      <c r="W493" s="77"/>
      <c r="X493" s="77"/>
      <c r="Y493" s="77"/>
      <c r="Z493" s="77"/>
      <c r="AA493" s="77"/>
      <c r="AB493" s="77"/>
      <c r="AC493" s="77"/>
      <c r="AD493" s="77"/>
      <c r="AE493" s="62"/>
      <c r="AF493" s="63" t="b">
        <v>0</v>
      </c>
      <c r="AG493" s="63" t="b">
        <v>0</v>
      </c>
      <c r="AH493" s="62"/>
      <c r="AI493" s="64">
        <f t="shared" si="786"/>
        <v>46115</v>
      </c>
      <c r="AJ493" s="65" t="str">
        <f t="shared" si="1116"/>
        <v>LDM</v>
      </c>
      <c r="AK493" s="66" t="str">
        <f t="shared" si="787"/>
        <v>GAIN</v>
      </c>
      <c r="AL493" s="67" t="e">
        <f t="shared" ca="1" si="788"/>
        <v>#NAME?</v>
      </c>
      <c r="AM493" s="68">
        <f t="shared" si="1408"/>
        <v>5349</v>
      </c>
      <c r="AN493" s="69">
        <f t="shared" si="1409"/>
        <v>0.11599262712783259</v>
      </c>
      <c r="AO493" s="62"/>
      <c r="AP493" s="70">
        <f t="shared" ref="AP493:AT493" si="1491">H493/$AI493</f>
        <v>7.1039791824785856E-2</v>
      </c>
      <c r="AQ493" s="70">
        <f t="shared" si="1491"/>
        <v>0.29465466767862952</v>
      </c>
      <c r="AR493" s="70">
        <f t="shared" si="1491"/>
        <v>0.18779139108749865</v>
      </c>
      <c r="AS493" s="70">
        <f t="shared" si="1491"/>
        <v>0.41064729480646212</v>
      </c>
      <c r="AT493" s="70">
        <f t="shared" si="1491"/>
        <v>3.0792583757996313E-2</v>
      </c>
      <c r="AU493" s="70"/>
      <c r="AV493" s="70"/>
      <c r="AW493" s="81">
        <f t="shared" si="790"/>
        <v>5.0742708446275264E-3</v>
      </c>
      <c r="AX493" s="70">
        <f t="shared" ref="AX493:BG493" si="1492">O493/$AI493</f>
        <v>0</v>
      </c>
      <c r="AY493" s="70">
        <f t="shared" si="1492"/>
        <v>5.0742708446275611E-3</v>
      </c>
      <c r="AZ493" s="70">
        <f t="shared" si="1492"/>
        <v>0</v>
      </c>
      <c r="BA493" s="70">
        <f t="shared" si="1492"/>
        <v>0</v>
      </c>
      <c r="BB493" s="70">
        <f t="shared" si="1492"/>
        <v>0</v>
      </c>
      <c r="BC493" s="70">
        <f t="shared" si="1492"/>
        <v>0</v>
      </c>
      <c r="BD493" s="70">
        <f t="shared" si="1492"/>
        <v>0</v>
      </c>
      <c r="BE493" s="70">
        <f t="shared" si="1492"/>
        <v>0</v>
      </c>
      <c r="BF493" s="70">
        <f t="shared" si="1492"/>
        <v>0</v>
      </c>
      <c r="BG493" s="70">
        <f t="shared" si="1492"/>
        <v>0</v>
      </c>
      <c r="BH493" s="70">
        <f t="shared" si="792"/>
        <v>-3.4694469519536142E-17</v>
      </c>
      <c r="BI493" s="62"/>
      <c r="BJ493" s="69">
        <v>0.13</v>
      </c>
      <c r="BK493" s="69">
        <v>0.59099999999999997</v>
      </c>
      <c r="BL493" s="69">
        <v>0</v>
      </c>
      <c r="BM493" s="69">
        <v>0.24299999999999999</v>
      </c>
      <c r="BN493" s="69">
        <v>2.4E-2</v>
      </c>
      <c r="BO493" s="69">
        <v>0</v>
      </c>
      <c r="BP493" s="69">
        <v>0</v>
      </c>
      <c r="BQ493" s="69">
        <v>1.2999999999999999E-2</v>
      </c>
      <c r="BR493" s="62"/>
      <c r="BS493" s="72">
        <f t="shared" ref="BS493:BW493" si="1493">AP493-BJ493</f>
        <v>-5.8960208175214149E-2</v>
      </c>
      <c r="BT493" s="72">
        <f t="shared" si="1493"/>
        <v>-0.29634533232137045</v>
      </c>
      <c r="BU493" s="72">
        <f t="shared" si="1493"/>
        <v>0.18779139108749865</v>
      </c>
      <c r="BV493" s="72">
        <f t="shared" si="1493"/>
        <v>0.16764729480646212</v>
      </c>
      <c r="BW493" s="72">
        <f t="shared" si="1493"/>
        <v>6.7925837579963129E-3</v>
      </c>
      <c r="BX493" s="72"/>
      <c r="BY493" s="72"/>
      <c r="BZ493" s="72">
        <f t="shared" si="794"/>
        <v>-7.925729155372473E-3</v>
      </c>
    </row>
    <row r="494" spans="1:78" ht="13.15">
      <c r="A494" s="73" t="s">
        <v>6</v>
      </c>
      <c r="B494" s="74" t="s">
        <v>1031</v>
      </c>
      <c r="C494" s="75" t="s">
        <v>1032</v>
      </c>
      <c r="D494" s="75" t="s">
        <v>85</v>
      </c>
      <c r="E494" s="76"/>
      <c r="F494" s="59"/>
      <c r="G494" s="60"/>
      <c r="H494" s="77">
        <v>10765</v>
      </c>
      <c r="I494" s="77">
        <v>16049</v>
      </c>
      <c r="J494" s="77">
        <v>9152</v>
      </c>
      <c r="K494" s="77">
        <v>12099</v>
      </c>
      <c r="L494" s="77">
        <v>2350</v>
      </c>
      <c r="M494" s="77"/>
      <c r="N494" s="77"/>
      <c r="O494" s="77">
        <v>405</v>
      </c>
      <c r="P494" s="77"/>
      <c r="Q494" s="77"/>
      <c r="R494" s="77"/>
      <c r="S494" s="77"/>
      <c r="T494" s="77"/>
      <c r="U494" s="77"/>
      <c r="V494" s="77"/>
      <c r="W494" s="77"/>
      <c r="X494" s="77"/>
      <c r="Y494" s="77"/>
      <c r="Z494" s="77"/>
      <c r="AA494" s="77"/>
      <c r="AB494" s="77"/>
      <c r="AC494" s="77"/>
      <c r="AD494" s="77"/>
      <c r="AE494" s="62"/>
      <c r="AF494" s="63" t="b">
        <v>0</v>
      </c>
      <c r="AG494" s="63" t="b">
        <v>0</v>
      </c>
      <c r="AH494" s="62"/>
      <c r="AI494" s="64">
        <f t="shared" si="786"/>
        <v>50820</v>
      </c>
      <c r="AJ494" s="65" t="str">
        <f t="shared" si="1116"/>
        <v>CON</v>
      </c>
      <c r="AK494" s="66" t="str">
        <f t="shared" si="787"/>
        <v>HOLD</v>
      </c>
      <c r="AL494" s="67" t="e">
        <f t="shared" ca="1" si="788"/>
        <v>#NAME?</v>
      </c>
      <c r="AM494" s="68">
        <f t="shared" si="1408"/>
        <v>3950</v>
      </c>
      <c r="AN494" s="69">
        <f t="shared" si="1409"/>
        <v>7.7725304998032263E-2</v>
      </c>
      <c r="AO494" s="62"/>
      <c r="AP494" s="70">
        <f t="shared" ref="AP494:AT494" si="1494">H494/$AI494</f>
        <v>0.21182605273514366</v>
      </c>
      <c r="AQ494" s="70">
        <f t="shared" si="1494"/>
        <v>0.3158008658008658</v>
      </c>
      <c r="AR494" s="70">
        <f t="shared" si="1494"/>
        <v>0.1800865800865801</v>
      </c>
      <c r="AS494" s="70">
        <f t="shared" si="1494"/>
        <v>0.23807556080283354</v>
      </c>
      <c r="AT494" s="70">
        <f t="shared" si="1494"/>
        <v>4.6241637150728057E-2</v>
      </c>
      <c r="AU494" s="70"/>
      <c r="AV494" s="70"/>
      <c r="AW494" s="81">
        <f t="shared" si="790"/>
        <v>7.9693034238489391E-3</v>
      </c>
      <c r="AX494" s="70">
        <f t="shared" ref="AX494:BG494" si="1495">O494/$AI494</f>
        <v>7.9693034238488784E-3</v>
      </c>
      <c r="AY494" s="70">
        <f t="shared" si="1495"/>
        <v>0</v>
      </c>
      <c r="AZ494" s="70">
        <f t="shared" si="1495"/>
        <v>0</v>
      </c>
      <c r="BA494" s="70">
        <f t="shared" si="1495"/>
        <v>0</v>
      </c>
      <c r="BB494" s="70">
        <f t="shared" si="1495"/>
        <v>0</v>
      </c>
      <c r="BC494" s="70">
        <f t="shared" si="1495"/>
        <v>0</v>
      </c>
      <c r="BD494" s="70">
        <f t="shared" si="1495"/>
        <v>0</v>
      </c>
      <c r="BE494" s="70">
        <f t="shared" si="1495"/>
        <v>0</v>
      </c>
      <c r="BF494" s="70">
        <f t="shared" si="1495"/>
        <v>0</v>
      </c>
      <c r="BG494" s="70">
        <f t="shared" si="1495"/>
        <v>0</v>
      </c>
      <c r="BH494" s="70">
        <f t="shared" si="792"/>
        <v>6.0715321659188248E-17</v>
      </c>
      <c r="BI494" s="62"/>
      <c r="BJ494" s="69">
        <v>0.17899999999999999</v>
      </c>
      <c r="BK494" s="69">
        <v>0.59799999999999998</v>
      </c>
      <c r="BL494" s="69">
        <v>0</v>
      </c>
      <c r="BM494" s="69">
        <v>0.17899999999999999</v>
      </c>
      <c r="BN494" s="69">
        <v>3.4000000000000002E-2</v>
      </c>
      <c r="BO494" s="69">
        <v>0</v>
      </c>
      <c r="BP494" s="69">
        <v>0</v>
      </c>
      <c r="BQ494" s="69">
        <v>0.01</v>
      </c>
      <c r="BR494" s="62"/>
      <c r="BS494" s="72">
        <f t="shared" ref="BS494:BW494" si="1496">AP494-BJ494</f>
        <v>3.2826052735143663E-2</v>
      </c>
      <c r="BT494" s="72">
        <f t="shared" si="1496"/>
        <v>-0.28219913419913417</v>
      </c>
      <c r="BU494" s="72">
        <f t="shared" si="1496"/>
        <v>0.1800865800865801</v>
      </c>
      <c r="BV494" s="72">
        <f t="shared" si="1496"/>
        <v>5.9075560802833549E-2</v>
      </c>
      <c r="BW494" s="72">
        <f t="shared" si="1496"/>
        <v>1.2241637150728055E-2</v>
      </c>
      <c r="BX494" s="72"/>
      <c r="BY494" s="72"/>
      <c r="BZ494" s="72">
        <f t="shared" si="794"/>
        <v>-2.0306965761510611E-3</v>
      </c>
    </row>
    <row r="495" spans="1:78" ht="13.15">
      <c r="A495" s="78" t="s">
        <v>5</v>
      </c>
      <c r="B495" s="74" t="s">
        <v>1033</v>
      </c>
      <c r="C495" s="75" t="s">
        <v>1034</v>
      </c>
      <c r="D495" s="75" t="s">
        <v>68</v>
      </c>
      <c r="E495" s="76"/>
      <c r="F495" s="59"/>
      <c r="G495" s="60"/>
      <c r="H495" s="77">
        <v>23066</v>
      </c>
      <c r="I495" s="77">
        <v>2320</v>
      </c>
      <c r="J495" s="77">
        <v>1602</v>
      </c>
      <c r="K495" s="77">
        <v>1928</v>
      </c>
      <c r="L495" s="77">
        <v>7632</v>
      </c>
      <c r="M495" s="77"/>
      <c r="N495" s="77"/>
      <c r="O495" s="77">
        <v>2348</v>
      </c>
      <c r="P495" s="77">
        <v>659</v>
      </c>
      <c r="Q495" s="77"/>
      <c r="R495" s="77"/>
      <c r="S495" s="77"/>
      <c r="T495" s="77"/>
      <c r="U495" s="77"/>
      <c r="V495" s="77"/>
      <c r="W495" s="77"/>
      <c r="X495" s="77"/>
      <c r="Y495" s="77">
        <v>306</v>
      </c>
      <c r="Z495" s="77">
        <v>224</v>
      </c>
      <c r="AA495" s="77">
        <v>63</v>
      </c>
      <c r="AB495" s="77"/>
      <c r="AC495" s="77"/>
      <c r="AD495" s="77"/>
      <c r="AE495" s="62"/>
      <c r="AF495" s="63" t="b">
        <v>0</v>
      </c>
      <c r="AG495" s="63" t="b">
        <v>0</v>
      </c>
      <c r="AH495" s="62"/>
      <c r="AI495" s="64">
        <f t="shared" si="786"/>
        <v>40148</v>
      </c>
      <c r="AJ495" s="65" t="str">
        <f t="shared" si="1116"/>
        <v>LAB</v>
      </c>
      <c r="AK495" s="66" t="str">
        <f t="shared" si="787"/>
        <v>HOLD</v>
      </c>
      <c r="AL495" s="67" t="e">
        <f t="shared" ca="1" si="788"/>
        <v>#NAME?</v>
      </c>
      <c r="AM495" s="68">
        <f t="shared" si="1408"/>
        <v>15434</v>
      </c>
      <c r="AN495" s="69">
        <f t="shared" si="1409"/>
        <v>0.38442761781408785</v>
      </c>
      <c r="AO495" s="62"/>
      <c r="AP495" s="70">
        <f t="shared" ref="AP495:AT495" si="1497">H495/$AI495</f>
        <v>0.57452426023712266</v>
      </c>
      <c r="AQ495" s="70">
        <f t="shared" si="1497"/>
        <v>5.778619109295606E-2</v>
      </c>
      <c r="AR495" s="70">
        <f t="shared" si="1497"/>
        <v>3.9902361263325692E-2</v>
      </c>
      <c r="AS495" s="70">
        <f t="shared" si="1497"/>
        <v>4.8022317425525554E-2</v>
      </c>
      <c r="AT495" s="70">
        <f t="shared" si="1497"/>
        <v>0.19009664242303478</v>
      </c>
      <c r="AU495" s="70"/>
      <c r="AV495" s="70"/>
      <c r="AW495" s="81">
        <f t="shared" si="790"/>
        <v>8.9668227558035274E-2</v>
      </c>
      <c r="AX495" s="70">
        <f t="shared" ref="AX495:BG495" si="1498">O495/$AI495</f>
        <v>5.8483610640629673E-2</v>
      </c>
      <c r="AY495" s="70">
        <f t="shared" si="1498"/>
        <v>1.6414267211318122E-2</v>
      </c>
      <c r="AZ495" s="70">
        <f t="shared" si="1498"/>
        <v>0</v>
      </c>
      <c r="BA495" s="70">
        <f t="shared" si="1498"/>
        <v>0</v>
      </c>
      <c r="BB495" s="70">
        <f t="shared" si="1498"/>
        <v>0</v>
      </c>
      <c r="BC495" s="70">
        <f t="shared" si="1498"/>
        <v>0</v>
      </c>
      <c r="BD495" s="70">
        <f t="shared" si="1498"/>
        <v>0</v>
      </c>
      <c r="BE495" s="70">
        <f t="shared" si="1498"/>
        <v>0</v>
      </c>
      <c r="BF495" s="70">
        <f t="shared" si="1498"/>
        <v>0</v>
      </c>
      <c r="BG495" s="70">
        <f t="shared" si="1498"/>
        <v>0</v>
      </c>
      <c r="BH495" s="70">
        <f t="shared" si="792"/>
        <v>1.4770349706087482E-2</v>
      </c>
      <c r="BI495" s="62"/>
      <c r="BJ495" s="69">
        <v>0.77800000000000002</v>
      </c>
      <c r="BK495" s="69">
        <v>0.111</v>
      </c>
      <c r="BL495" s="69">
        <v>1.2999999999999999E-2</v>
      </c>
      <c r="BM495" s="69">
        <v>0.05</v>
      </c>
      <c r="BN495" s="69">
        <v>4.2999999999999997E-2</v>
      </c>
      <c r="BO495" s="69">
        <v>0</v>
      </c>
      <c r="BP495" s="69">
        <v>0</v>
      </c>
      <c r="BQ495" s="69">
        <v>5.0000000000000001E-3</v>
      </c>
      <c r="BR495" s="62"/>
      <c r="BS495" s="72">
        <f t="shared" ref="BS495:BW495" si="1499">AP495-BJ495</f>
        <v>-0.20347573976287736</v>
      </c>
      <c r="BT495" s="72">
        <f t="shared" si="1499"/>
        <v>-5.3213808907043941E-2</v>
      </c>
      <c r="BU495" s="72">
        <f t="shared" si="1499"/>
        <v>2.6902361263325694E-2</v>
      </c>
      <c r="BV495" s="72">
        <f t="shared" si="1499"/>
        <v>-1.9776825744744486E-3</v>
      </c>
      <c r="BW495" s="72">
        <f t="shared" si="1499"/>
        <v>0.14709664242303477</v>
      </c>
      <c r="BX495" s="72"/>
      <c r="BY495" s="72"/>
      <c r="BZ495" s="72">
        <f t="shared" si="794"/>
        <v>8.4668227558035269E-2</v>
      </c>
    </row>
    <row r="496" spans="1:78" ht="13.15">
      <c r="A496" s="73" t="s">
        <v>6</v>
      </c>
      <c r="B496" s="74" t="s">
        <v>1035</v>
      </c>
      <c r="C496" s="75" t="s">
        <v>1036</v>
      </c>
      <c r="D496" s="75" t="s">
        <v>85</v>
      </c>
      <c r="E496" s="76"/>
      <c r="F496" s="59"/>
      <c r="G496" s="60"/>
      <c r="H496" s="77">
        <v>20782</v>
      </c>
      <c r="I496" s="77">
        <v>12632</v>
      </c>
      <c r="J496" s="77">
        <v>6163</v>
      </c>
      <c r="K496" s="77">
        <v>6552</v>
      </c>
      <c r="L496" s="77">
        <v>3470</v>
      </c>
      <c r="M496" s="77"/>
      <c r="N496" s="77"/>
      <c r="O496" s="77">
        <v>498</v>
      </c>
      <c r="P496" s="77"/>
      <c r="Q496" s="77"/>
      <c r="R496" s="77"/>
      <c r="S496" s="77"/>
      <c r="T496" s="77"/>
      <c r="U496" s="77"/>
      <c r="V496" s="77"/>
      <c r="W496" s="77"/>
      <c r="X496" s="77"/>
      <c r="Y496" s="77">
        <v>166</v>
      </c>
      <c r="Z496" s="77"/>
      <c r="AA496" s="77"/>
      <c r="AB496" s="77"/>
      <c r="AC496" s="77"/>
      <c r="AD496" s="77"/>
      <c r="AE496" s="62"/>
      <c r="AF496" s="63" t="b">
        <v>0</v>
      </c>
      <c r="AG496" s="63" t="b">
        <v>0</v>
      </c>
      <c r="AH496" s="62"/>
      <c r="AI496" s="64">
        <f t="shared" si="786"/>
        <v>50263</v>
      </c>
      <c r="AJ496" s="65" t="str">
        <f t="shared" si="1116"/>
        <v>LAB</v>
      </c>
      <c r="AK496" s="66" t="str">
        <f t="shared" si="787"/>
        <v>GAIN</v>
      </c>
      <c r="AL496" s="67" t="e">
        <f t="shared" ca="1" si="788"/>
        <v>#NAME?</v>
      </c>
      <c r="AM496" s="68">
        <f t="shared" si="1408"/>
        <v>8150</v>
      </c>
      <c r="AN496" s="69">
        <f t="shared" si="1409"/>
        <v>0.16214710622127609</v>
      </c>
      <c r="AO496" s="62"/>
      <c r="AP496" s="70">
        <f t="shared" ref="AP496:AT496" si="1500">H496/$AI496</f>
        <v>0.4134651731890257</v>
      </c>
      <c r="AQ496" s="70">
        <f t="shared" si="1500"/>
        <v>0.25131806696774961</v>
      </c>
      <c r="AR496" s="70">
        <f t="shared" si="1500"/>
        <v>0.12261504486401528</v>
      </c>
      <c r="AS496" s="70">
        <f t="shared" si="1500"/>
        <v>0.130354336191632</v>
      </c>
      <c r="AT496" s="70">
        <f t="shared" si="1500"/>
        <v>6.9036866084396076E-2</v>
      </c>
      <c r="AU496" s="70"/>
      <c r="AV496" s="70"/>
      <c r="AW496" s="81">
        <f t="shared" si="790"/>
        <v>1.321051270318141E-2</v>
      </c>
      <c r="AX496" s="70">
        <f t="shared" ref="AX496:BG496" si="1501">O496/$AI496</f>
        <v>9.9078845273859496E-3</v>
      </c>
      <c r="AY496" s="70">
        <f t="shared" si="1501"/>
        <v>0</v>
      </c>
      <c r="AZ496" s="70">
        <f t="shared" si="1501"/>
        <v>0</v>
      </c>
      <c r="BA496" s="70">
        <f t="shared" si="1501"/>
        <v>0</v>
      </c>
      <c r="BB496" s="70">
        <f t="shared" si="1501"/>
        <v>0</v>
      </c>
      <c r="BC496" s="70">
        <f t="shared" si="1501"/>
        <v>0</v>
      </c>
      <c r="BD496" s="70">
        <f t="shared" si="1501"/>
        <v>0</v>
      </c>
      <c r="BE496" s="70">
        <f t="shared" si="1501"/>
        <v>0</v>
      </c>
      <c r="BF496" s="70">
        <f t="shared" si="1501"/>
        <v>0</v>
      </c>
      <c r="BG496" s="70">
        <f t="shared" si="1501"/>
        <v>0</v>
      </c>
      <c r="BH496" s="70">
        <f t="shared" si="792"/>
        <v>3.3026281757954599E-3</v>
      </c>
      <c r="BI496" s="62"/>
      <c r="BJ496" s="69">
        <v>0.38800000000000001</v>
      </c>
      <c r="BK496" s="69">
        <v>0.46800000000000003</v>
      </c>
      <c r="BL496" s="69">
        <v>0</v>
      </c>
      <c r="BM496" s="69">
        <v>0.108</v>
      </c>
      <c r="BN496" s="69">
        <v>2.8000000000000001E-2</v>
      </c>
      <c r="BO496" s="69">
        <v>0</v>
      </c>
      <c r="BP496" s="69">
        <v>0</v>
      </c>
      <c r="BQ496" s="69">
        <v>8.0000000000000002E-3</v>
      </c>
      <c r="BR496" s="62"/>
      <c r="BS496" s="72">
        <f t="shared" ref="BS496:BW496" si="1502">AP496-BJ496</f>
        <v>2.5465173189025692E-2</v>
      </c>
      <c r="BT496" s="72">
        <f t="shared" si="1502"/>
        <v>-0.21668193303225042</v>
      </c>
      <c r="BU496" s="72">
        <f t="shared" si="1502"/>
        <v>0.12261504486401528</v>
      </c>
      <c r="BV496" s="72">
        <f t="shared" si="1502"/>
        <v>2.2354336191632004E-2</v>
      </c>
      <c r="BW496" s="72">
        <f t="shared" si="1502"/>
        <v>4.1036866084396079E-2</v>
      </c>
      <c r="BX496" s="72"/>
      <c r="BY496" s="72"/>
      <c r="BZ496" s="72">
        <f t="shared" si="794"/>
        <v>5.2105127031814094E-3</v>
      </c>
    </row>
    <row r="497" spans="1:78" ht="13.15">
      <c r="A497" s="73" t="s">
        <v>6</v>
      </c>
      <c r="B497" s="74" t="s">
        <v>1037</v>
      </c>
      <c r="C497" s="75" t="s">
        <v>1038</v>
      </c>
      <c r="D497" s="75" t="s">
        <v>44</v>
      </c>
      <c r="E497" s="76"/>
      <c r="F497" s="59"/>
      <c r="G497" s="60"/>
      <c r="H497" s="77">
        <v>6178</v>
      </c>
      <c r="I497" s="77">
        <v>14974</v>
      </c>
      <c r="J497" s="77">
        <v>6484</v>
      </c>
      <c r="K497" s="77">
        <v>23661</v>
      </c>
      <c r="L497" s="77">
        <v>2344</v>
      </c>
      <c r="M497" s="77"/>
      <c r="N497" s="77"/>
      <c r="O497" s="77">
        <v>609</v>
      </c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62"/>
      <c r="AF497" s="63" t="b">
        <v>0</v>
      </c>
      <c r="AG497" s="63" t="b">
        <v>0</v>
      </c>
      <c r="AH497" s="62"/>
      <c r="AI497" s="64">
        <f t="shared" si="786"/>
        <v>54250</v>
      </c>
      <c r="AJ497" s="65" t="str">
        <f t="shared" si="1116"/>
        <v>LDM</v>
      </c>
      <c r="AK497" s="66" t="str">
        <f t="shared" si="787"/>
        <v>GAIN</v>
      </c>
      <c r="AL497" s="67" t="e">
        <f t="shared" ca="1" si="788"/>
        <v>#NAME?</v>
      </c>
      <c r="AM497" s="68">
        <f t="shared" si="1408"/>
        <v>8687</v>
      </c>
      <c r="AN497" s="69">
        <f t="shared" si="1409"/>
        <v>0.16012903225806452</v>
      </c>
      <c r="AO497" s="62"/>
      <c r="AP497" s="70">
        <f t="shared" ref="AP497:AT497" si="1503">H497/$AI497</f>
        <v>0.11388018433179724</v>
      </c>
      <c r="AQ497" s="70">
        <f t="shared" si="1503"/>
        <v>0.27601843317972352</v>
      </c>
      <c r="AR497" s="70">
        <f t="shared" si="1503"/>
        <v>0.11952073732718894</v>
      </c>
      <c r="AS497" s="70">
        <f t="shared" si="1503"/>
        <v>0.43614746543778804</v>
      </c>
      <c r="AT497" s="70">
        <f t="shared" si="1503"/>
        <v>4.32073732718894E-2</v>
      </c>
      <c r="AU497" s="70"/>
      <c r="AV497" s="70"/>
      <c r="AW497" s="81">
        <f t="shared" si="790"/>
        <v>1.1225806451612863E-2</v>
      </c>
      <c r="AX497" s="70">
        <f t="shared" ref="AX497:BG497" si="1504">O497/$AI497</f>
        <v>1.1225806451612903E-2</v>
      </c>
      <c r="AY497" s="70">
        <f t="shared" si="1504"/>
        <v>0</v>
      </c>
      <c r="AZ497" s="70">
        <f t="shared" si="1504"/>
        <v>0</v>
      </c>
      <c r="BA497" s="70">
        <f t="shared" si="1504"/>
        <v>0</v>
      </c>
      <c r="BB497" s="70">
        <f t="shared" si="1504"/>
        <v>0</v>
      </c>
      <c r="BC497" s="70">
        <f t="shared" si="1504"/>
        <v>0</v>
      </c>
      <c r="BD497" s="70">
        <f t="shared" si="1504"/>
        <v>0</v>
      </c>
      <c r="BE497" s="70">
        <f t="shared" si="1504"/>
        <v>0</v>
      </c>
      <c r="BF497" s="70">
        <f t="shared" si="1504"/>
        <v>0</v>
      </c>
      <c r="BG497" s="70">
        <f t="shared" si="1504"/>
        <v>0</v>
      </c>
      <c r="BH497" s="70">
        <f t="shared" si="792"/>
        <v>-3.9898639947466563E-17</v>
      </c>
      <c r="BI497" s="62"/>
      <c r="BJ497" s="69">
        <v>0.14799999999999999</v>
      </c>
      <c r="BK497" s="69">
        <v>0.55100000000000005</v>
      </c>
      <c r="BL497" s="69">
        <v>0</v>
      </c>
      <c r="BM497" s="69">
        <v>0.28299999999999997</v>
      </c>
      <c r="BN497" s="69">
        <v>0</v>
      </c>
      <c r="BO497" s="69">
        <v>0</v>
      </c>
      <c r="BP497" s="69">
        <v>0</v>
      </c>
      <c r="BQ497" s="69">
        <v>1.7999999999999999E-2</v>
      </c>
      <c r="BR497" s="62"/>
      <c r="BS497" s="72">
        <f t="shared" ref="BS497:BW497" si="1505">AP497-BJ497</f>
        <v>-3.4119815668202755E-2</v>
      </c>
      <c r="BT497" s="72">
        <f t="shared" si="1505"/>
        <v>-0.27498156682027652</v>
      </c>
      <c r="BU497" s="72">
        <f t="shared" si="1505"/>
        <v>0.11952073732718894</v>
      </c>
      <c r="BV497" s="72">
        <f t="shared" si="1505"/>
        <v>0.15314746543778807</v>
      </c>
      <c r="BW497" s="72">
        <f t="shared" si="1505"/>
        <v>4.32073732718894E-2</v>
      </c>
      <c r="BX497" s="72"/>
      <c r="BY497" s="72"/>
      <c r="BZ497" s="72">
        <f t="shared" si="794"/>
        <v>-6.7741935483871356E-3</v>
      </c>
    </row>
    <row r="498" spans="1:78" ht="13.15">
      <c r="A498" s="79" t="s">
        <v>8</v>
      </c>
      <c r="B498" s="74" t="s">
        <v>1039</v>
      </c>
      <c r="C498" s="75" t="s">
        <v>1040</v>
      </c>
      <c r="D498" s="75" t="s">
        <v>68</v>
      </c>
      <c r="E498" s="76"/>
      <c r="F498" s="59"/>
      <c r="G498" s="60"/>
      <c r="H498" s="77">
        <v>6693</v>
      </c>
      <c r="I498" s="77">
        <v>8728</v>
      </c>
      <c r="J498" s="77">
        <v>4092</v>
      </c>
      <c r="K498" s="77">
        <v>30185</v>
      </c>
      <c r="L498" s="77">
        <v>3590</v>
      </c>
      <c r="M498" s="77"/>
      <c r="N498" s="77"/>
      <c r="O498" s="77"/>
      <c r="P498" s="77">
        <v>347</v>
      </c>
      <c r="Q498" s="77"/>
      <c r="R498" s="77"/>
      <c r="S498" s="77"/>
      <c r="T498" s="77"/>
      <c r="U498" s="77"/>
      <c r="V498" s="77"/>
      <c r="W498" s="77"/>
      <c r="X498" s="77"/>
      <c r="Y498" s="77"/>
      <c r="Z498" s="77"/>
      <c r="AA498" s="77"/>
      <c r="AB498" s="77"/>
      <c r="AC498" s="77"/>
      <c r="AD498" s="77"/>
      <c r="AE498" s="62"/>
      <c r="AF498" s="63" t="b">
        <v>0</v>
      </c>
      <c r="AG498" s="63" t="b">
        <v>0</v>
      </c>
      <c r="AH498" s="62"/>
      <c r="AI498" s="64">
        <f t="shared" si="786"/>
        <v>53635</v>
      </c>
      <c r="AJ498" s="65" t="str">
        <f t="shared" si="1116"/>
        <v>LDM</v>
      </c>
      <c r="AK498" s="66" t="str">
        <f t="shared" si="787"/>
        <v>HOLD</v>
      </c>
      <c r="AL498" s="67" t="e">
        <f t="shared" ca="1" si="788"/>
        <v>#NAME?</v>
      </c>
      <c r="AM498" s="68">
        <f t="shared" si="1408"/>
        <v>21457</v>
      </c>
      <c r="AN498" s="69">
        <f t="shared" si="1409"/>
        <v>0.40005593362543113</v>
      </c>
      <c r="AO498" s="62"/>
      <c r="AP498" s="70">
        <f t="shared" ref="AP498:AT498" si="1506">H498/$AI498</f>
        <v>0.12478791833690688</v>
      </c>
      <c r="AQ498" s="70">
        <f t="shared" si="1506"/>
        <v>0.16272956092104038</v>
      </c>
      <c r="AR498" s="70">
        <f t="shared" si="1506"/>
        <v>7.6293465088095466E-2</v>
      </c>
      <c r="AS498" s="70">
        <f t="shared" si="1506"/>
        <v>0.56278549454647153</v>
      </c>
      <c r="AT498" s="70">
        <f t="shared" si="1506"/>
        <v>6.6933905099282182E-2</v>
      </c>
      <c r="AU498" s="70"/>
      <c r="AV498" s="70"/>
      <c r="AW498" s="81">
        <f t="shared" si="790"/>
        <v>6.4696560082034837E-3</v>
      </c>
      <c r="AX498" s="70">
        <f t="shared" ref="AX498:BG498" si="1507">O498/$AI498</f>
        <v>0</v>
      </c>
      <c r="AY498" s="70">
        <f t="shared" si="1507"/>
        <v>6.4696560082035982E-3</v>
      </c>
      <c r="AZ498" s="70">
        <f t="shared" si="1507"/>
        <v>0</v>
      </c>
      <c r="BA498" s="70">
        <f t="shared" si="1507"/>
        <v>0</v>
      </c>
      <c r="BB498" s="70">
        <f t="shared" si="1507"/>
        <v>0</v>
      </c>
      <c r="BC498" s="70">
        <f t="shared" si="1507"/>
        <v>0</v>
      </c>
      <c r="BD498" s="70">
        <f t="shared" si="1507"/>
        <v>0</v>
      </c>
      <c r="BE498" s="70">
        <f t="shared" si="1507"/>
        <v>0</v>
      </c>
      <c r="BF498" s="70">
        <f t="shared" si="1507"/>
        <v>0</v>
      </c>
      <c r="BG498" s="70">
        <f t="shared" si="1507"/>
        <v>0</v>
      </c>
      <c r="BH498" s="70">
        <f t="shared" si="792"/>
        <v>-1.1449174941446927E-16</v>
      </c>
      <c r="BI498" s="62"/>
      <c r="BJ498" s="69">
        <v>8.6999999999999994E-2</v>
      </c>
      <c r="BK498" s="69">
        <v>0.33800000000000002</v>
      </c>
      <c r="BL498" s="69">
        <v>1.2999999999999999E-2</v>
      </c>
      <c r="BM498" s="69">
        <v>0.56200000000000006</v>
      </c>
      <c r="BN498" s="69">
        <v>0</v>
      </c>
      <c r="BO498" s="69">
        <v>0</v>
      </c>
      <c r="BP498" s="69">
        <v>0</v>
      </c>
      <c r="BQ498" s="69">
        <v>0</v>
      </c>
      <c r="BR498" s="62"/>
      <c r="BS498" s="72">
        <f t="shared" ref="BS498:BW498" si="1508">AP498-BJ498</f>
        <v>3.7787918336906881E-2</v>
      </c>
      <c r="BT498" s="72">
        <f t="shared" si="1508"/>
        <v>-0.17527043907895964</v>
      </c>
      <c r="BU498" s="72">
        <f t="shared" si="1508"/>
        <v>6.3293465088095469E-2</v>
      </c>
      <c r="BV498" s="72">
        <f t="shared" si="1508"/>
        <v>7.8549454647147687E-4</v>
      </c>
      <c r="BW498" s="72">
        <f t="shared" si="1508"/>
        <v>6.6933905099282182E-2</v>
      </c>
      <c r="BX498" s="72"/>
      <c r="BY498" s="72"/>
      <c r="BZ498" s="72">
        <f t="shared" si="794"/>
        <v>6.4696560082034837E-3</v>
      </c>
    </row>
    <row r="499" spans="1:78" ht="13.15">
      <c r="A499" s="78" t="s">
        <v>5</v>
      </c>
      <c r="B499" s="74" t="s">
        <v>1041</v>
      </c>
      <c r="C499" s="75" t="s">
        <v>1042</v>
      </c>
      <c r="D499" s="75" t="s">
        <v>129</v>
      </c>
      <c r="E499" s="76">
        <v>73820</v>
      </c>
      <c r="F499" s="59">
        <v>0.65600000000000003</v>
      </c>
      <c r="G499" s="60"/>
      <c r="H499" s="77">
        <v>24491</v>
      </c>
      <c r="I499" s="77">
        <v>9036</v>
      </c>
      <c r="J499" s="77">
        <v>7392</v>
      </c>
      <c r="K499" s="77">
        <v>2709</v>
      </c>
      <c r="L499" s="77">
        <v>3592</v>
      </c>
      <c r="M499" s="77"/>
      <c r="N499" s="77"/>
      <c r="O499" s="77">
        <v>531</v>
      </c>
      <c r="P499" s="77"/>
      <c r="Q499" s="77"/>
      <c r="R499" s="77"/>
      <c r="S499" s="77"/>
      <c r="T499" s="77"/>
      <c r="U499" s="77"/>
      <c r="V499" s="77"/>
      <c r="W499" s="77"/>
      <c r="X499" s="77"/>
      <c r="Y499" s="77">
        <v>286</v>
      </c>
      <c r="Z499" s="77">
        <v>273</v>
      </c>
      <c r="AA499" s="77">
        <v>108</v>
      </c>
      <c r="AB499" s="77"/>
      <c r="AC499" s="77"/>
      <c r="AD499" s="77"/>
      <c r="AE499" s="62"/>
      <c r="AF499" s="63" t="b">
        <v>0</v>
      </c>
      <c r="AG499" s="63" t="b">
        <v>0</v>
      </c>
      <c r="AH499" s="62"/>
      <c r="AI499" s="64">
        <f t="shared" si="786"/>
        <v>48418</v>
      </c>
      <c r="AJ499" s="65" t="str">
        <f t="shared" si="1116"/>
        <v>LAB</v>
      </c>
      <c r="AK499" s="66" t="str">
        <f t="shared" si="787"/>
        <v>HOLD</v>
      </c>
      <c r="AL499" s="67" t="e">
        <f t="shared" ca="1" si="788"/>
        <v>#NAME?</v>
      </c>
      <c r="AM499" s="68">
        <f t="shared" si="1408"/>
        <v>15455</v>
      </c>
      <c r="AN499" s="69">
        <f t="shared" si="1409"/>
        <v>0.31919947127101489</v>
      </c>
      <c r="AO499" s="62"/>
      <c r="AP499" s="70">
        <f t="shared" ref="AP499:AT499" si="1509">H499/$AI499</f>
        <v>0.50582428022636206</v>
      </c>
      <c r="AQ499" s="70">
        <f t="shared" si="1509"/>
        <v>0.18662480895534719</v>
      </c>
      <c r="AR499" s="70">
        <f t="shared" si="1509"/>
        <v>0.15267049444421496</v>
      </c>
      <c r="AS499" s="70">
        <f t="shared" si="1509"/>
        <v>5.5950266429840141E-2</v>
      </c>
      <c r="AT499" s="70">
        <f t="shared" si="1509"/>
        <v>7.4187285720186708E-2</v>
      </c>
      <c r="AU499" s="70"/>
      <c r="AV499" s="70"/>
      <c r="AW499" s="81">
        <f t="shared" si="790"/>
        <v>2.4742864224048922E-2</v>
      </c>
      <c r="AX499" s="70">
        <f t="shared" ref="AX499:BG499" si="1510">O499/$AI499</f>
        <v>1.0966995745383947E-2</v>
      </c>
      <c r="AY499" s="70">
        <f t="shared" si="1510"/>
        <v>0</v>
      </c>
      <c r="AZ499" s="70">
        <f t="shared" si="1510"/>
        <v>0</v>
      </c>
      <c r="BA499" s="70">
        <f t="shared" si="1510"/>
        <v>0</v>
      </c>
      <c r="BB499" s="70">
        <f t="shared" si="1510"/>
        <v>0</v>
      </c>
      <c r="BC499" s="70">
        <f t="shared" si="1510"/>
        <v>0</v>
      </c>
      <c r="BD499" s="70">
        <f t="shared" si="1510"/>
        <v>0</v>
      </c>
      <c r="BE499" s="70">
        <f t="shared" si="1510"/>
        <v>0</v>
      </c>
      <c r="BF499" s="70">
        <f t="shared" si="1510"/>
        <v>0</v>
      </c>
      <c r="BG499" s="70">
        <f t="shared" si="1510"/>
        <v>0</v>
      </c>
      <c r="BH499" s="70">
        <f t="shared" si="792"/>
        <v>1.3775868478664974E-2</v>
      </c>
      <c r="BI499" s="62"/>
      <c r="BJ499" s="69">
        <v>0.46700000000000003</v>
      </c>
      <c r="BK499" s="69">
        <v>0.40200000000000002</v>
      </c>
      <c r="BL499" s="69">
        <v>3.9E-2</v>
      </c>
      <c r="BM499" s="69">
        <v>6.7000000000000004E-2</v>
      </c>
      <c r="BN499" s="69">
        <v>2.4E-2</v>
      </c>
      <c r="BO499" s="69">
        <v>0</v>
      </c>
      <c r="BP499" s="69">
        <v>0</v>
      </c>
      <c r="BQ499" s="69">
        <v>0</v>
      </c>
      <c r="BR499" s="62"/>
      <c r="BS499" s="72">
        <f t="shared" ref="BS499:BW499" si="1511">AP499-BJ499</f>
        <v>3.8824280226362029E-2</v>
      </c>
      <c r="BT499" s="72">
        <f t="shared" si="1511"/>
        <v>-0.21537519104465283</v>
      </c>
      <c r="BU499" s="72">
        <f t="shared" si="1511"/>
        <v>0.11367049444421495</v>
      </c>
      <c r="BV499" s="72">
        <f t="shared" si="1511"/>
        <v>-1.1049733570159863E-2</v>
      </c>
      <c r="BW499" s="72">
        <f t="shared" si="1511"/>
        <v>5.0187285720186707E-2</v>
      </c>
      <c r="BX499" s="72"/>
      <c r="BY499" s="72"/>
      <c r="BZ499" s="72">
        <f t="shared" si="794"/>
        <v>2.4742864224048922E-2</v>
      </c>
    </row>
    <row r="500" spans="1:78" ht="13.15">
      <c r="A500" s="73" t="s">
        <v>6</v>
      </c>
      <c r="B500" s="74" t="s">
        <v>1043</v>
      </c>
      <c r="C500" s="75" t="s">
        <v>1044</v>
      </c>
      <c r="D500" s="75" t="s">
        <v>68</v>
      </c>
      <c r="E500" s="76"/>
      <c r="F500" s="59"/>
      <c r="G500" s="60"/>
      <c r="H500" s="77">
        <v>16599</v>
      </c>
      <c r="I500" s="77">
        <v>16012</v>
      </c>
      <c r="J500" s="77">
        <v>6610</v>
      </c>
      <c r="K500" s="77">
        <v>1752</v>
      </c>
      <c r="L500" s="77">
        <v>4354</v>
      </c>
      <c r="M500" s="77"/>
      <c r="N500" s="77"/>
      <c r="O500" s="77"/>
      <c r="P500" s="77"/>
      <c r="Q500" s="77">
        <v>200</v>
      </c>
      <c r="R500" s="77"/>
      <c r="S500" s="77"/>
      <c r="T500" s="77"/>
      <c r="U500" s="77"/>
      <c r="V500" s="77"/>
      <c r="W500" s="77"/>
      <c r="X500" s="77"/>
      <c r="Y500" s="77">
        <v>223</v>
      </c>
      <c r="Z500" s="77">
        <v>164</v>
      </c>
      <c r="AA500" s="77"/>
      <c r="AB500" s="77"/>
      <c r="AC500" s="77"/>
      <c r="AD500" s="77"/>
      <c r="AE500" s="62"/>
      <c r="AF500" s="63" t="b">
        <v>0</v>
      </c>
      <c r="AG500" s="63" t="b">
        <v>0</v>
      </c>
      <c r="AH500" s="62"/>
      <c r="AI500" s="64">
        <f t="shared" si="786"/>
        <v>45914</v>
      </c>
      <c r="AJ500" s="65" t="str">
        <f t="shared" si="1116"/>
        <v>LAB</v>
      </c>
      <c r="AK500" s="66" t="str">
        <f t="shared" si="787"/>
        <v>GAIN</v>
      </c>
      <c r="AL500" s="67" t="e">
        <f t="shared" ca="1" si="788"/>
        <v>#NAME?</v>
      </c>
      <c r="AM500" s="68">
        <f t="shared" si="1408"/>
        <v>587</v>
      </c>
      <c r="AN500" s="69">
        <f t="shared" si="1409"/>
        <v>1.2784771529381012E-2</v>
      </c>
      <c r="AO500" s="62"/>
      <c r="AP500" s="70">
        <f t="shared" ref="AP500:AT500" si="1512">H500/$AI500</f>
        <v>0.36152371825586965</v>
      </c>
      <c r="AQ500" s="70">
        <f t="shared" si="1512"/>
        <v>0.34873894672648864</v>
      </c>
      <c r="AR500" s="70">
        <f t="shared" si="1512"/>
        <v>0.14396480376355797</v>
      </c>
      <c r="AS500" s="70">
        <f t="shared" si="1512"/>
        <v>3.8158295944592066E-2</v>
      </c>
      <c r="AT500" s="70">
        <f t="shared" si="1512"/>
        <v>9.4829463780110645E-2</v>
      </c>
      <c r="AU500" s="70"/>
      <c r="AV500" s="70"/>
      <c r="AW500" s="81">
        <f t="shared" si="790"/>
        <v>1.2784771529381178E-2</v>
      </c>
      <c r="AX500" s="70">
        <f t="shared" ref="AX500:BG500" si="1513">O500/$AI500</f>
        <v>0</v>
      </c>
      <c r="AY500" s="70">
        <f t="shared" si="1513"/>
        <v>0</v>
      </c>
      <c r="AZ500" s="70">
        <f t="shared" si="1513"/>
        <v>4.3559698566885919E-3</v>
      </c>
      <c r="BA500" s="70">
        <f t="shared" si="1513"/>
        <v>0</v>
      </c>
      <c r="BB500" s="70">
        <f t="shared" si="1513"/>
        <v>0</v>
      </c>
      <c r="BC500" s="70">
        <f t="shared" si="1513"/>
        <v>0</v>
      </c>
      <c r="BD500" s="70">
        <f t="shared" si="1513"/>
        <v>0</v>
      </c>
      <c r="BE500" s="70">
        <f t="shared" si="1513"/>
        <v>0</v>
      </c>
      <c r="BF500" s="70">
        <f t="shared" si="1513"/>
        <v>0</v>
      </c>
      <c r="BG500" s="70">
        <f t="shared" si="1513"/>
        <v>0</v>
      </c>
      <c r="BH500" s="70">
        <f t="shared" si="792"/>
        <v>8.4288016726925853E-3</v>
      </c>
      <c r="BI500" s="62"/>
      <c r="BJ500" s="69">
        <v>0.37</v>
      </c>
      <c r="BK500" s="69">
        <v>0.52600000000000002</v>
      </c>
      <c r="BL500" s="69">
        <v>0</v>
      </c>
      <c r="BM500" s="69">
        <v>6.6000000000000003E-2</v>
      </c>
      <c r="BN500" s="69">
        <v>2.7E-2</v>
      </c>
      <c r="BO500" s="69">
        <v>0</v>
      </c>
      <c r="BP500" s="69">
        <v>0</v>
      </c>
      <c r="BQ500" s="69">
        <v>1.0999999999999999E-2</v>
      </c>
      <c r="BR500" s="62"/>
      <c r="BS500" s="72">
        <f t="shared" ref="BS500:BW500" si="1514">AP500-BJ500</f>
        <v>-8.4762817441303429E-3</v>
      </c>
      <c r="BT500" s="72">
        <f t="shared" si="1514"/>
        <v>-0.17726105327351138</v>
      </c>
      <c r="BU500" s="72">
        <f t="shared" si="1514"/>
        <v>0.14396480376355797</v>
      </c>
      <c r="BV500" s="72">
        <f t="shared" si="1514"/>
        <v>-2.7841704055407937E-2</v>
      </c>
      <c r="BW500" s="72">
        <f t="shared" si="1514"/>
        <v>6.7829463780110649E-2</v>
      </c>
      <c r="BX500" s="72"/>
      <c r="BY500" s="72"/>
      <c r="BZ500" s="72">
        <f t="shared" si="794"/>
        <v>1.7847715293811788E-3</v>
      </c>
    </row>
    <row r="501" spans="1:78" ht="13.15">
      <c r="A501" s="78" t="s">
        <v>5</v>
      </c>
      <c r="B501" s="74" t="s">
        <v>1045</v>
      </c>
      <c r="C501" s="75" t="s">
        <v>1046</v>
      </c>
      <c r="D501" s="75" t="s">
        <v>68</v>
      </c>
      <c r="E501" s="76"/>
      <c r="F501" s="59"/>
      <c r="G501" s="60"/>
      <c r="H501" s="77">
        <v>21528</v>
      </c>
      <c r="I501" s="77">
        <v>2809</v>
      </c>
      <c r="J501" s="77">
        <v>2033</v>
      </c>
      <c r="K501" s="77">
        <v>4549</v>
      </c>
      <c r="L501" s="77">
        <v>6416</v>
      </c>
      <c r="M501" s="77"/>
      <c r="N501" s="77"/>
      <c r="O501" s="77"/>
      <c r="P501" s="77"/>
      <c r="Q501" s="77">
        <v>201</v>
      </c>
      <c r="R501" s="77"/>
      <c r="S501" s="77"/>
      <c r="T501" s="77"/>
      <c r="U501" s="77"/>
      <c r="V501" s="77"/>
      <c r="W501" s="77"/>
      <c r="X501" s="77"/>
      <c r="Y501" s="77"/>
      <c r="Z501" s="77"/>
      <c r="AA501" s="77"/>
      <c r="AB501" s="77"/>
      <c r="AC501" s="77"/>
      <c r="AD501" s="77"/>
      <c r="AE501" s="62"/>
      <c r="AF501" s="63" t="b">
        <v>0</v>
      </c>
      <c r="AG501" s="63" t="b">
        <v>0</v>
      </c>
      <c r="AH501" s="62"/>
      <c r="AI501" s="64">
        <f t="shared" si="786"/>
        <v>37536</v>
      </c>
      <c r="AJ501" s="65" t="str">
        <f t="shared" si="1116"/>
        <v>LAB</v>
      </c>
      <c r="AK501" s="66" t="str">
        <f t="shared" si="787"/>
        <v>HOLD</v>
      </c>
      <c r="AL501" s="67" t="e">
        <f t="shared" ca="1" si="788"/>
        <v>#NAME?</v>
      </c>
      <c r="AM501" s="68">
        <f t="shared" si="1408"/>
        <v>15112</v>
      </c>
      <c r="AN501" s="69">
        <f t="shared" si="1409"/>
        <v>0.4026001705029838</v>
      </c>
      <c r="AO501" s="62"/>
      <c r="AP501" s="70">
        <f t="shared" ref="AP501:AT501" si="1515">H501/$AI501</f>
        <v>0.57352941176470584</v>
      </c>
      <c r="AQ501" s="70">
        <f t="shared" si="1515"/>
        <v>7.4834825234441599E-2</v>
      </c>
      <c r="AR501" s="70">
        <f t="shared" si="1515"/>
        <v>5.4161338448422851E-2</v>
      </c>
      <c r="AS501" s="70">
        <f t="shared" si="1515"/>
        <v>0.12119032395566923</v>
      </c>
      <c r="AT501" s="70">
        <f t="shared" si="1515"/>
        <v>0.17092924126172207</v>
      </c>
      <c r="AU501" s="70"/>
      <c r="AV501" s="70"/>
      <c r="AW501" s="81">
        <f t="shared" si="790"/>
        <v>5.354859335038431E-3</v>
      </c>
      <c r="AX501" s="70">
        <f t="shared" ref="AX501:BG501" si="1516">O501/$AI501</f>
        <v>0</v>
      </c>
      <c r="AY501" s="70">
        <f t="shared" si="1516"/>
        <v>0</v>
      </c>
      <c r="AZ501" s="70">
        <f t="shared" si="1516"/>
        <v>5.3548593350383634E-3</v>
      </c>
      <c r="BA501" s="70">
        <f t="shared" si="1516"/>
        <v>0</v>
      </c>
      <c r="BB501" s="70">
        <f t="shared" si="1516"/>
        <v>0</v>
      </c>
      <c r="BC501" s="70">
        <f t="shared" si="1516"/>
        <v>0</v>
      </c>
      <c r="BD501" s="70">
        <f t="shared" si="1516"/>
        <v>0</v>
      </c>
      <c r="BE501" s="70">
        <f t="shared" si="1516"/>
        <v>0</v>
      </c>
      <c r="BF501" s="70">
        <f t="shared" si="1516"/>
        <v>0</v>
      </c>
      <c r="BG501" s="70">
        <f t="shared" si="1516"/>
        <v>0</v>
      </c>
      <c r="BH501" s="70">
        <f t="shared" si="792"/>
        <v>6.7654215563095477E-17</v>
      </c>
      <c r="BI501" s="62"/>
      <c r="BJ501" s="69">
        <v>0.60499999999999998</v>
      </c>
      <c r="BK501" s="69">
        <v>0.14499999999999999</v>
      </c>
      <c r="BL501" s="69">
        <v>1.6E-2</v>
      </c>
      <c r="BM501" s="69">
        <v>0.191</v>
      </c>
      <c r="BN501" s="69">
        <v>4.1000000000000002E-2</v>
      </c>
      <c r="BO501" s="69">
        <v>0</v>
      </c>
      <c r="BP501" s="69">
        <v>0</v>
      </c>
      <c r="BQ501" s="69">
        <v>3.0000000000000001E-3</v>
      </c>
      <c r="BR501" s="62"/>
      <c r="BS501" s="72">
        <f t="shared" ref="BS501:BW501" si="1517">AP501-BJ501</f>
        <v>-3.1470588235294139E-2</v>
      </c>
      <c r="BT501" s="72">
        <f t="shared" si="1517"/>
        <v>-7.0165174765558391E-2</v>
      </c>
      <c r="BU501" s="72">
        <f t="shared" si="1517"/>
        <v>3.816133844842285E-2</v>
      </c>
      <c r="BV501" s="72">
        <f t="shared" si="1517"/>
        <v>-6.9809676044330776E-2</v>
      </c>
      <c r="BW501" s="72">
        <f t="shared" si="1517"/>
        <v>0.12992924126172206</v>
      </c>
      <c r="BX501" s="72"/>
      <c r="BY501" s="72"/>
      <c r="BZ501" s="72">
        <f t="shared" si="794"/>
        <v>2.354859335038431E-3</v>
      </c>
    </row>
    <row r="502" spans="1:78" ht="13.15">
      <c r="A502" s="73" t="s">
        <v>6</v>
      </c>
      <c r="B502" s="74" t="s">
        <v>1047</v>
      </c>
      <c r="C502" s="75" t="s">
        <v>1048</v>
      </c>
      <c r="D502" s="75" t="s">
        <v>71</v>
      </c>
      <c r="E502" s="76"/>
      <c r="F502" s="59"/>
      <c r="G502" s="60"/>
      <c r="H502" s="77">
        <v>17773</v>
      </c>
      <c r="I502" s="77">
        <v>7322</v>
      </c>
      <c r="J502" s="77">
        <v>8427</v>
      </c>
      <c r="K502" s="77">
        <v>3249</v>
      </c>
      <c r="L502" s="77">
        <v>2389</v>
      </c>
      <c r="M502" s="77"/>
      <c r="N502" s="77"/>
      <c r="O502" s="77"/>
      <c r="P502" s="77">
        <v>705</v>
      </c>
      <c r="Q502" s="77">
        <v>185</v>
      </c>
      <c r="R502" s="77"/>
      <c r="S502" s="77"/>
      <c r="T502" s="77"/>
      <c r="U502" s="77"/>
      <c r="V502" s="77"/>
      <c r="W502" s="77"/>
      <c r="X502" s="77"/>
      <c r="Y502" s="77">
        <v>606</v>
      </c>
      <c r="Z502" s="77"/>
      <c r="AA502" s="77"/>
      <c r="AB502" s="77"/>
      <c r="AC502" s="77"/>
      <c r="AD502" s="77"/>
      <c r="AE502" s="62"/>
      <c r="AF502" s="63" t="b">
        <v>0</v>
      </c>
      <c r="AG502" s="63" t="b">
        <v>0</v>
      </c>
      <c r="AH502" s="62"/>
      <c r="AI502" s="64">
        <f t="shared" si="786"/>
        <v>40656</v>
      </c>
      <c r="AJ502" s="65" t="str">
        <f t="shared" si="1116"/>
        <v>LAB</v>
      </c>
      <c r="AK502" s="66" t="str">
        <f t="shared" si="787"/>
        <v>GAIN</v>
      </c>
      <c r="AL502" s="67" t="e">
        <f t="shared" ca="1" si="788"/>
        <v>#NAME?</v>
      </c>
      <c r="AM502" s="68">
        <f t="shared" si="1408"/>
        <v>9346</v>
      </c>
      <c r="AN502" s="69">
        <f t="shared" si="1409"/>
        <v>0.22987996851633216</v>
      </c>
      <c r="AO502" s="62"/>
      <c r="AP502" s="70">
        <f t="shared" ref="AP502:AT502" si="1518">H502/$AI502</f>
        <v>0.43715564738292012</v>
      </c>
      <c r="AQ502" s="70">
        <f t="shared" si="1518"/>
        <v>0.18009641873278237</v>
      </c>
      <c r="AR502" s="70">
        <f t="shared" si="1518"/>
        <v>0.20727567886658796</v>
      </c>
      <c r="AS502" s="70">
        <f t="shared" si="1518"/>
        <v>7.9914403778040141E-2</v>
      </c>
      <c r="AT502" s="70">
        <f t="shared" si="1518"/>
        <v>5.8761314443132623E-2</v>
      </c>
      <c r="AU502" s="70"/>
      <c r="AV502" s="70"/>
      <c r="AW502" s="81">
        <f t="shared" si="790"/>
        <v>3.6796536796536827E-2</v>
      </c>
      <c r="AX502" s="70">
        <f t="shared" ref="AX502:BG502" si="1519">O502/$AI502</f>
        <v>0</v>
      </c>
      <c r="AY502" s="70">
        <f t="shared" si="1519"/>
        <v>1.7340613931523023E-2</v>
      </c>
      <c r="AZ502" s="70">
        <f t="shared" si="1519"/>
        <v>4.5503738685556865E-3</v>
      </c>
      <c r="BA502" s="70">
        <f t="shared" si="1519"/>
        <v>0</v>
      </c>
      <c r="BB502" s="70">
        <f t="shared" si="1519"/>
        <v>0</v>
      </c>
      <c r="BC502" s="70">
        <f t="shared" si="1519"/>
        <v>0</v>
      </c>
      <c r="BD502" s="70">
        <f t="shared" si="1519"/>
        <v>0</v>
      </c>
      <c r="BE502" s="70">
        <f t="shared" si="1519"/>
        <v>0</v>
      </c>
      <c r="BF502" s="70">
        <f t="shared" si="1519"/>
        <v>0</v>
      </c>
      <c r="BG502" s="70">
        <f t="shared" si="1519"/>
        <v>0</v>
      </c>
      <c r="BH502" s="70">
        <f t="shared" si="792"/>
        <v>1.4905548996458119E-2</v>
      </c>
      <c r="BI502" s="62"/>
      <c r="BJ502" s="69">
        <v>0.39500000000000002</v>
      </c>
      <c r="BK502" s="69">
        <v>0.44900000000000001</v>
      </c>
      <c r="BL502" s="69">
        <v>3.2000000000000001E-2</v>
      </c>
      <c r="BM502" s="69">
        <v>0.109</v>
      </c>
      <c r="BN502" s="69">
        <v>0.01</v>
      </c>
      <c r="BO502" s="69">
        <v>0</v>
      </c>
      <c r="BP502" s="69">
        <v>0</v>
      </c>
      <c r="BQ502" s="69">
        <v>5.0000000000000001E-3</v>
      </c>
      <c r="BR502" s="62"/>
      <c r="BS502" s="72">
        <f t="shared" ref="BS502:BW502" si="1520">AP502-BJ502</f>
        <v>4.2155647382920103E-2</v>
      </c>
      <c r="BT502" s="72">
        <f t="shared" si="1520"/>
        <v>-0.26890358126721764</v>
      </c>
      <c r="BU502" s="72">
        <f t="shared" si="1520"/>
        <v>0.17527567886658796</v>
      </c>
      <c r="BV502" s="72">
        <f t="shared" si="1520"/>
        <v>-2.9085596221959858E-2</v>
      </c>
      <c r="BW502" s="72">
        <f t="shared" si="1520"/>
        <v>4.8761314443132621E-2</v>
      </c>
      <c r="BX502" s="72"/>
      <c r="BY502" s="72"/>
      <c r="BZ502" s="72">
        <f t="shared" si="794"/>
        <v>3.179653679653683E-2</v>
      </c>
    </row>
    <row r="503" spans="1:78" ht="13.15">
      <c r="A503" s="78" t="s">
        <v>5</v>
      </c>
      <c r="B503" s="74" t="s">
        <v>1049</v>
      </c>
      <c r="C503" s="75" t="s">
        <v>1050</v>
      </c>
      <c r="D503" s="75" t="s">
        <v>50</v>
      </c>
      <c r="E503" s="76"/>
      <c r="F503" s="59"/>
      <c r="G503" s="60"/>
      <c r="H503" s="77">
        <v>24674</v>
      </c>
      <c r="I503" s="77">
        <v>4987</v>
      </c>
      <c r="J503" s="77">
        <v>6678</v>
      </c>
      <c r="K503" s="77">
        <v>1843</v>
      </c>
      <c r="L503" s="77">
        <v>3905</v>
      </c>
      <c r="M503" s="77"/>
      <c r="N503" s="77"/>
      <c r="O503" s="77"/>
      <c r="P503" s="77">
        <v>462</v>
      </c>
      <c r="Q503" s="77"/>
      <c r="R503" s="77"/>
      <c r="S503" s="77"/>
      <c r="T503" s="77"/>
      <c r="U503" s="77"/>
      <c r="V503" s="77"/>
      <c r="W503" s="77"/>
      <c r="X503" s="77"/>
      <c r="Y503" s="77">
        <v>197</v>
      </c>
      <c r="Z503" s="77"/>
      <c r="AA503" s="77"/>
      <c r="AB503" s="77"/>
      <c r="AC503" s="77"/>
      <c r="AD503" s="77"/>
      <c r="AE503" s="62"/>
      <c r="AF503" s="63" t="b">
        <v>0</v>
      </c>
      <c r="AG503" s="63" t="b">
        <v>0</v>
      </c>
      <c r="AH503" s="62"/>
      <c r="AI503" s="64">
        <f t="shared" si="786"/>
        <v>42746</v>
      </c>
      <c r="AJ503" s="65" t="str">
        <f t="shared" si="1116"/>
        <v>LAB</v>
      </c>
      <c r="AK503" s="66" t="str">
        <f t="shared" si="787"/>
        <v>HOLD</v>
      </c>
      <c r="AL503" s="67" t="e">
        <f t="shared" ca="1" si="788"/>
        <v>#NAME?</v>
      </c>
      <c r="AM503" s="68">
        <f t="shared" si="1408"/>
        <v>17996</v>
      </c>
      <c r="AN503" s="69">
        <f t="shared" si="1409"/>
        <v>0.4209984559958827</v>
      </c>
      <c r="AO503" s="62"/>
      <c r="AP503" s="70">
        <f t="shared" ref="AP503:AT503" si="1521">H503/$AI503</f>
        <v>0.57722359986899363</v>
      </c>
      <c r="AQ503" s="70">
        <f t="shared" si="1521"/>
        <v>0.11666588686660741</v>
      </c>
      <c r="AR503" s="70">
        <f t="shared" si="1521"/>
        <v>0.15622514387311093</v>
      </c>
      <c r="AS503" s="70">
        <f t="shared" si="1521"/>
        <v>4.3115145276751039E-2</v>
      </c>
      <c r="AT503" s="70">
        <f t="shared" si="1521"/>
        <v>9.1353576942871842E-2</v>
      </c>
      <c r="AU503" s="70"/>
      <c r="AV503" s="70"/>
      <c r="AW503" s="81">
        <f t="shared" si="790"/>
        <v>1.5416647171665132E-2</v>
      </c>
      <c r="AX503" s="70">
        <f t="shared" ref="AX503:BG503" si="1522">O503/$AI503</f>
        <v>0</v>
      </c>
      <c r="AY503" s="70">
        <f t="shared" si="1522"/>
        <v>1.0808028821410191E-2</v>
      </c>
      <c r="AZ503" s="70">
        <f t="shared" si="1522"/>
        <v>0</v>
      </c>
      <c r="BA503" s="70">
        <f t="shared" si="1522"/>
        <v>0</v>
      </c>
      <c r="BB503" s="70">
        <f t="shared" si="1522"/>
        <v>0</v>
      </c>
      <c r="BC503" s="70">
        <f t="shared" si="1522"/>
        <v>0</v>
      </c>
      <c r="BD503" s="70">
        <f t="shared" si="1522"/>
        <v>0</v>
      </c>
      <c r="BE503" s="70">
        <f t="shared" si="1522"/>
        <v>0</v>
      </c>
      <c r="BF503" s="70">
        <f t="shared" si="1522"/>
        <v>0</v>
      </c>
      <c r="BG503" s="70">
        <f t="shared" si="1522"/>
        <v>0</v>
      </c>
      <c r="BH503" s="70">
        <f t="shared" si="792"/>
        <v>4.6086183502549415E-3</v>
      </c>
      <c r="BI503" s="62"/>
      <c r="BJ503" s="69">
        <v>0.63700000000000001</v>
      </c>
      <c r="BK503" s="69">
        <v>0.25900000000000001</v>
      </c>
      <c r="BL503" s="69">
        <v>4.1000000000000002E-2</v>
      </c>
      <c r="BM503" s="69">
        <v>3.9E-2</v>
      </c>
      <c r="BN503" s="69">
        <v>2.4E-2</v>
      </c>
      <c r="BO503" s="69">
        <v>0</v>
      </c>
      <c r="BP503" s="69">
        <v>0</v>
      </c>
      <c r="BQ503" s="69">
        <v>0</v>
      </c>
      <c r="BR503" s="62"/>
      <c r="BS503" s="72">
        <f t="shared" ref="BS503:BW503" si="1523">AP503-BJ503</f>
        <v>-5.977640013100638E-2</v>
      </c>
      <c r="BT503" s="72">
        <f t="shared" si="1523"/>
        <v>-0.14233411313339261</v>
      </c>
      <c r="BU503" s="72">
        <f t="shared" si="1523"/>
        <v>0.11522514387311092</v>
      </c>
      <c r="BV503" s="72">
        <f t="shared" si="1523"/>
        <v>4.1151452767510394E-3</v>
      </c>
      <c r="BW503" s="72">
        <f t="shared" si="1523"/>
        <v>6.7353576942871834E-2</v>
      </c>
      <c r="BX503" s="72"/>
      <c r="BY503" s="72"/>
      <c r="BZ503" s="72">
        <f t="shared" si="794"/>
        <v>1.5416647171665132E-2</v>
      </c>
    </row>
    <row r="504" spans="1:78" ht="13.15">
      <c r="A504" s="73" t="s">
        <v>6</v>
      </c>
      <c r="B504" s="74" t="s">
        <v>1051</v>
      </c>
      <c r="C504" s="75" t="s">
        <v>1052</v>
      </c>
      <c r="D504" s="75" t="s">
        <v>47</v>
      </c>
      <c r="E504" s="76"/>
      <c r="F504" s="59"/>
      <c r="G504" s="60"/>
      <c r="H504" s="77">
        <v>12514</v>
      </c>
      <c r="I504" s="77">
        <v>6679</v>
      </c>
      <c r="J504" s="77">
        <v>7293</v>
      </c>
      <c r="K504" s="77">
        <v>817</v>
      </c>
      <c r="L504" s="77">
        <v>2288</v>
      </c>
      <c r="M504" s="77"/>
      <c r="N504" s="77"/>
      <c r="O504" s="77">
        <v>7600</v>
      </c>
      <c r="P504" s="77"/>
      <c r="Q504" s="77"/>
      <c r="R504" s="77"/>
      <c r="S504" s="77"/>
      <c r="T504" s="77"/>
      <c r="U504" s="77"/>
      <c r="V504" s="77"/>
      <c r="W504" s="77"/>
      <c r="X504" s="77"/>
      <c r="Y504" s="77"/>
      <c r="Z504" s="77"/>
      <c r="AA504" s="77"/>
      <c r="AB504" s="77"/>
      <c r="AC504" s="77"/>
      <c r="AD504" s="77"/>
      <c r="AE504" s="62"/>
      <c r="AF504" s="63" t="b">
        <v>0</v>
      </c>
      <c r="AG504" s="63" t="b">
        <v>0</v>
      </c>
      <c r="AH504" s="62"/>
      <c r="AI504" s="64">
        <f t="shared" si="786"/>
        <v>37191</v>
      </c>
      <c r="AJ504" s="65" t="str">
        <f t="shared" si="1116"/>
        <v>LAB</v>
      </c>
      <c r="AK504" s="66" t="str">
        <f t="shared" si="787"/>
        <v>GAIN</v>
      </c>
      <c r="AL504" s="67" t="e">
        <f t="shared" ca="1" si="788"/>
        <v>#NAME?</v>
      </c>
      <c r="AM504" s="68">
        <f t="shared" si="1408"/>
        <v>4914</v>
      </c>
      <c r="AN504" s="69">
        <f t="shared" si="1409"/>
        <v>0.13212874082439302</v>
      </c>
      <c r="AO504" s="62"/>
      <c r="AP504" s="70">
        <f t="shared" ref="AP504:AT504" si="1524">H504/$AI504</f>
        <v>0.33647925573391413</v>
      </c>
      <c r="AQ504" s="70">
        <f t="shared" si="1524"/>
        <v>0.17958645908956469</v>
      </c>
      <c r="AR504" s="70">
        <f t="shared" si="1524"/>
        <v>0.19609582963620231</v>
      </c>
      <c r="AS504" s="70">
        <f t="shared" si="1524"/>
        <v>2.1967680352773522E-2</v>
      </c>
      <c r="AT504" s="70">
        <f t="shared" si="1524"/>
        <v>6.1520260278024257E-2</v>
      </c>
      <c r="AU504" s="70"/>
      <c r="AV504" s="70"/>
      <c r="AW504" s="81">
        <f t="shared" si="790"/>
        <v>0.20435051490952105</v>
      </c>
      <c r="AX504" s="70">
        <f t="shared" ref="AX504:BG504" si="1525">O504/$AI504</f>
        <v>0.20435051490952111</v>
      </c>
      <c r="AY504" s="70">
        <f t="shared" si="1525"/>
        <v>0</v>
      </c>
      <c r="AZ504" s="70">
        <f t="shared" si="1525"/>
        <v>0</v>
      </c>
      <c r="BA504" s="70">
        <f t="shared" si="1525"/>
        <v>0</v>
      </c>
      <c r="BB504" s="70">
        <f t="shared" si="1525"/>
        <v>0</v>
      </c>
      <c r="BC504" s="70">
        <f t="shared" si="1525"/>
        <v>0</v>
      </c>
      <c r="BD504" s="70">
        <f t="shared" si="1525"/>
        <v>0</v>
      </c>
      <c r="BE504" s="70">
        <f t="shared" si="1525"/>
        <v>0</v>
      </c>
      <c r="BF504" s="70">
        <f t="shared" si="1525"/>
        <v>0</v>
      </c>
      <c r="BG504" s="70">
        <f t="shared" si="1525"/>
        <v>0</v>
      </c>
      <c r="BH504" s="70">
        <f t="shared" si="792"/>
        <v>0</v>
      </c>
      <c r="BI504" s="62"/>
      <c r="BJ504" s="69">
        <v>0.44400000000000001</v>
      </c>
      <c r="BK504" s="69">
        <v>0.49199999999999999</v>
      </c>
      <c r="BL504" s="69">
        <v>1.2999999999999999E-2</v>
      </c>
      <c r="BM504" s="69">
        <v>2.9000000000000001E-2</v>
      </c>
      <c r="BN504" s="69">
        <v>1.4999999999999999E-2</v>
      </c>
      <c r="BO504" s="69">
        <v>0</v>
      </c>
      <c r="BP504" s="69">
        <v>0</v>
      </c>
      <c r="BQ504" s="69">
        <v>6.0000000000000001E-3</v>
      </c>
      <c r="BR504" s="62"/>
      <c r="BS504" s="72">
        <f t="shared" ref="BS504:BW504" si="1526">AP504-BJ504</f>
        <v>-0.10752074426608588</v>
      </c>
      <c r="BT504" s="72">
        <f t="shared" si="1526"/>
        <v>-0.31241354091043527</v>
      </c>
      <c r="BU504" s="72">
        <f t="shared" si="1526"/>
        <v>0.1830958296362023</v>
      </c>
      <c r="BV504" s="72">
        <f t="shared" si="1526"/>
        <v>-7.0323196472264794E-3</v>
      </c>
      <c r="BW504" s="72">
        <f t="shared" si="1526"/>
        <v>4.6520260278024257E-2</v>
      </c>
      <c r="BX504" s="72"/>
      <c r="BY504" s="72"/>
      <c r="BZ504" s="72">
        <f t="shared" si="794"/>
        <v>0.1983505149095211</v>
      </c>
    </row>
    <row r="505" spans="1:78" ht="13.15">
      <c r="A505" s="78" t="s">
        <v>5</v>
      </c>
      <c r="B505" s="74" t="s">
        <v>1053</v>
      </c>
      <c r="C505" s="75" t="s">
        <v>1054</v>
      </c>
      <c r="D505" s="75" t="s">
        <v>68</v>
      </c>
      <c r="E505" s="76"/>
      <c r="F505" s="59"/>
      <c r="G505" s="60"/>
      <c r="H505" s="77">
        <v>27172</v>
      </c>
      <c r="I505" s="77">
        <v>2353</v>
      </c>
      <c r="J505" s="77">
        <v>1836</v>
      </c>
      <c r="K505" s="77">
        <v>1736</v>
      </c>
      <c r="L505" s="77">
        <v>9176</v>
      </c>
      <c r="M505" s="77"/>
      <c r="N505" s="77"/>
      <c r="O505" s="77">
        <v>914</v>
      </c>
      <c r="P505" s="77">
        <v>1535</v>
      </c>
      <c r="Q505" s="77"/>
      <c r="R505" s="77"/>
      <c r="S505" s="77"/>
      <c r="T505" s="77"/>
      <c r="U505" s="77"/>
      <c r="V505" s="77"/>
      <c r="W505" s="77"/>
      <c r="X505" s="77"/>
      <c r="Y505" s="77">
        <v>561</v>
      </c>
      <c r="Z505" s="77">
        <v>288</v>
      </c>
      <c r="AA505" s="77">
        <v>288</v>
      </c>
      <c r="AB505" s="77"/>
      <c r="AC505" s="77"/>
      <c r="AD505" s="77"/>
      <c r="AE505" s="62"/>
      <c r="AF505" s="63" t="b">
        <v>0</v>
      </c>
      <c r="AG505" s="63" t="b">
        <v>0</v>
      </c>
      <c r="AH505" s="62"/>
      <c r="AI505" s="64">
        <f t="shared" si="786"/>
        <v>45859</v>
      </c>
      <c r="AJ505" s="65" t="str">
        <f t="shared" si="1116"/>
        <v>LAB</v>
      </c>
      <c r="AK505" s="66" t="str">
        <f t="shared" si="787"/>
        <v>HOLD</v>
      </c>
      <c r="AL505" s="67" t="e">
        <f t="shared" ca="1" si="788"/>
        <v>#NAME?</v>
      </c>
      <c r="AM505" s="68">
        <f t="shared" si="1408"/>
        <v>17996</v>
      </c>
      <c r="AN505" s="69">
        <f t="shared" si="1409"/>
        <v>0.39242024466298875</v>
      </c>
      <c r="AO505" s="62"/>
      <c r="AP505" s="70">
        <f t="shared" ref="AP505:AT505" si="1527">H505/$AI505</f>
        <v>0.59251182973898253</v>
      </c>
      <c r="AQ505" s="70">
        <f t="shared" si="1527"/>
        <v>5.1309448527006696E-2</v>
      </c>
      <c r="AR505" s="70">
        <f t="shared" si="1527"/>
        <v>4.0035761791578535E-2</v>
      </c>
      <c r="AS505" s="70">
        <f t="shared" si="1527"/>
        <v>3.7855164744106939E-2</v>
      </c>
      <c r="AT505" s="70">
        <f t="shared" si="1527"/>
        <v>0.20009158507599381</v>
      </c>
      <c r="AU505" s="70"/>
      <c r="AV505" s="70"/>
      <c r="AW505" s="81">
        <f t="shared" si="790"/>
        <v>7.8196210122331578E-2</v>
      </c>
      <c r="AX505" s="70">
        <f t="shared" ref="AX505:BG505" si="1528">O505/$AI505</f>
        <v>1.9930657013890404E-2</v>
      </c>
      <c r="AY505" s="70">
        <f t="shared" si="1528"/>
        <v>3.3472164678689027E-2</v>
      </c>
      <c r="AZ505" s="70">
        <f t="shared" si="1528"/>
        <v>0</v>
      </c>
      <c r="BA505" s="70">
        <f t="shared" si="1528"/>
        <v>0</v>
      </c>
      <c r="BB505" s="70">
        <f t="shared" si="1528"/>
        <v>0</v>
      </c>
      <c r="BC505" s="70">
        <f t="shared" si="1528"/>
        <v>0</v>
      </c>
      <c r="BD505" s="70">
        <f t="shared" si="1528"/>
        <v>0</v>
      </c>
      <c r="BE505" s="70">
        <f t="shared" si="1528"/>
        <v>0</v>
      </c>
      <c r="BF505" s="70">
        <f t="shared" si="1528"/>
        <v>0</v>
      </c>
      <c r="BG505" s="70">
        <f t="shared" si="1528"/>
        <v>0</v>
      </c>
      <c r="BH505" s="70">
        <f t="shared" si="792"/>
        <v>2.479338842975215E-2</v>
      </c>
      <c r="BI505" s="62"/>
      <c r="BJ505" s="69">
        <v>0.76100000000000001</v>
      </c>
      <c r="BK505" s="69">
        <v>0.123</v>
      </c>
      <c r="BL505" s="69">
        <v>1.6E-2</v>
      </c>
      <c r="BM505" s="69">
        <v>0.06</v>
      </c>
      <c r="BN505" s="69">
        <v>3.5999999999999997E-2</v>
      </c>
      <c r="BO505" s="69">
        <v>0</v>
      </c>
      <c r="BP505" s="69">
        <v>0</v>
      </c>
      <c r="BQ505" s="69">
        <v>5.0000000000000001E-3</v>
      </c>
      <c r="BR505" s="62"/>
      <c r="BS505" s="72">
        <f t="shared" ref="BS505:BW505" si="1529">AP505-BJ505</f>
        <v>-0.16848817026101748</v>
      </c>
      <c r="BT505" s="72">
        <f t="shared" si="1529"/>
        <v>-7.1690551472993302E-2</v>
      </c>
      <c r="BU505" s="72">
        <f t="shared" si="1529"/>
        <v>2.4035761791578535E-2</v>
      </c>
      <c r="BV505" s="72">
        <f t="shared" si="1529"/>
        <v>-2.2144835255893058E-2</v>
      </c>
      <c r="BW505" s="72">
        <f t="shared" si="1529"/>
        <v>0.16409158507599381</v>
      </c>
      <c r="BX505" s="72"/>
      <c r="BY505" s="72"/>
      <c r="BZ505" s="72">
        <f t="shared" si="794"/>
        <v>7.3196210122331573E-2</v>
      </c>
    </row>
    <row r="506" spans="1:78" ht="13.15">
      <c r="A506" s="78" t="s">
        <v>5</v>
      </c>
      <c r="B506" s="74" t="s">
        <v>1055</v>
      </c>
      <c r="C506" s="75" t="s">
        <v>1056</v>
      </c>
      <c r="D506" s="75" t="s">
        <v>50</v>
      </c>
      <c r="E506" s="76"/>
      <c r="F506" s="59"/>
      <c r="G506" s="60"/>
      <c r="H506" s="77">
        <v>18730</v>
      </c>
      <c r="I506" s="77">
        <v>6486</v>
      </c>
      <c r="J506" s="77">
        <v>9540</v>
      </c>
      <c r="K506" s="77">
        <v>2737</v>
      </c>
      <c r="L506" s="77">
        <v>1889</v>
      </c>
      <c r="M506" s="77"/>
      <c r="N506" s="77"/>
      <c r="O506" s="77">
        <v>659</v>
      </c>
      <c r="P506" s="77"/>
      <c r="Q506" s="77"/>
      <c r="R506" s="77"/>
      <c r="S506" s="77"/>
      <c r="T506" s="77"/>
      <c r="U506" s="77"/>
      <c r="V506" s="77"/>
      <c r="W506" s="77"/>
      <c r="X506" s="77"/>
      <c r="Y506" s="77"/>
      <c r="Z506" s="77"/>
      <c r="AA506" s="77"/>
      <c r="AB506" s="77"/>
      <c r="AC506" s="77"/>
      <c r="AD506" s="77"/>
      <c r="AE506" s="62"/>
      <c r="AF506" s="63" t="b">
        <v>0</v>
      </c>
      <c r="AG506" s="63" t="b">
        <v>0</v>
      </c>
      <c r="AH506" s="62"/>
      <c r="AI506" s="64">
        <f t="shared" si="786"/>
        <v>40041</v>
      </c>
      <c r="AJ506" s="65" t="str">
        <f t="shared" si="1116"/>
        <v>LAB</v>
      </c>
      <c r="AK506" s="66" t="str">
        <f t="shared" si="787"/>
        <v>HOLD</v>
      </c>
      <c r="AL506" s="67" t="e">
        <f t="shared" ca="1" si="788"/>
        <v>#NAME?</v>
      </c>
      <c r="AM506" s="68">
        <f t="shared" si="1408"/>
        <v>9190</v>
      </c>
      <c r="AN506" s="69">
        <f t="shared" si="1409"/>
        <v>0.22951474738393146</v>
      </c>
      <c r="AO506" s="62"/>
      <c r="AP506" s="70">
        <f t="shared" ref="AP506:AT506" si="1530">H506/$AI506</f>
        <v>0.46777053520141854</v>
      </c>
      <c r="AQ506" s="70">
        <f t="shared" si="1530"/>
        <v>0.16198396643440474</v>
      </c>
      <c r="AR506" s="70">
        <f t="shared" si="1530"/>
        <v>0.23825578781748707</v>
      </c>
      <c r="AS506" s="70">
        <f t="shared" si="1530"/>
        <v>6.8354936190404836E-2</v>
      </c>
      <c r="AT506" s="70">
        <f t="shared" si="1530"/>
        <v>4.7176643939961536E-2</v>
      </c>
      <c r="AU506" s="70"/>
      <c r="AV506" s="70"/>
      <c r="AW506" s="81">
        <f t="shared" si="790"/>
        <v>1.6458130416323269E-2</v>
      </c>
      <c r="AX506" s="70">
        <f t="shared" ref="AX506:BG506" si="1531">O506/$AI506</f>
        <v>1.6458130416323269E-2</v>
      </c>
      <c r="AY506" s="70">
        <f t="shared" si="1531"/>
        <v>0</v>
      </c>
      <c r="AZ506" s="70">
        <f t="shared" si="1531"/>
        <v>0</v>
      </c>
      <c r="BA506" s="70">
        <f t="shared" si="1531"/>
        <v>0</v>
      </c>
      <c r="BB506" s="70">
        <f t="shared" si="1531"/>
        <v>0</v>
      </c>
      <c r="BC506" s="70">
        <f t="shared" si="1531"/>
        <v>0</v>
      </c>
      <c r="BD506" s="70">
        <f t="shared" si="1531"/>
        <v>0</v>
      </c>
      <c r="BE506" s="70">
        <f t="shared" si="1531"/>
        <v>0</v>
      </c>
      <c r="BF506" s="70">
        <f t="shared" si="1531"/>
        <v>0</v>
      </c>
      <c r="BG506" s="70">
        <f t="shared" si="1531"/>
        <v>0</v>
      </c>
      <c r="BH506" s="70">
        <f t="shared" si="792"/>
        <v>0</v>
      </c>
      <c r="BI506" s="62"/>
      <c r="BJ506" s="69">
        <v>0.442</v>
      </c>
      <c r="BK506" s="69">
        <v>0.40899999999999997</v>
      </c>
      <c r="BL506" s="69">
        <v>5.6000000000000001E-2</v>
      </c>
      <c r="BM506" s="69">
        <v>6.6000000000000003E-2</v>
      </c>
      <c r="BN506" s="69">
        <v>2.7E-2</v>
      </c>
      <c r="BO506" s="69">
        <v>0</v>
      </c>
      <c r="BP506" s="69">
        <v>0</v>
      </c>
      <c r="BQ506" s="69">
        <v>0</v>
      </c>
      <c r="BR506" s="62"/>
      <c r="BS506" s="72">
        <f t="shared" ref="BS506:BW506" si="1532">AP506-BJ506</f>
        <v>2.5770535201418532E-2</v>
      </c>
      <c r="BT506" s="72">
        <f t="shared" si="1532"/>
        <v>-0.24701603356559523</v>
      </c>
      <c r="BU506" s="72">
        <f t="shared" si="1532"/>
        <v>0.18225578781748708</v>
      </c>
      <c r="BV506" s="72">
        <f t="shared" si="1532"/>
        <v>2.3549361904048327E-3</v>
      </c>
      <c r="BW506" s="72">
        <f t="shared" si="1532"/>
        <v>2.0176643939961537E-2</v>
      </c>
      <c r="BX506" s="72"/>
      <c r="BY506" s="72"/>
      <c r="BZ506" s="72">
        <f t="shared" si="794"/>
        <v>1.6458130416323269E-2</v>
      </c>
    </row>
    <row r="507" spans="1:78" ht="13.15">
      <c r="A507" s="73" t="s">
        <v>5</v>
      </c>
      <c r="B507" s="74" t="s">
        <v>1057</v>
      </c>
      <c r="C507" s="75" t="s">
        <v>1058</v>
      </c>
      <c r="D507" s="75" t="s">
        <v>50</v>
      </c>
      <c r="E507" s="76"/>
      <c r="F507" s="59"/>
      <c r="G507" s="60"/>
      <c r="H507" s="77">
        <v>23201</v>
      </c>
      <c r="I507" s="77">
        <v>11861</v>
      </c>
      <c r="J507" s="77">
        <v>7913</v>
      </c>
      <c r="K507" s="77">
        <v>3829</v>
      </c>
      <c r="L507" s="77">
        <v>2313</v>
      </c>
      <c r="M507" s="77"/>
      <c r="N507" s="77"/>
      <c r="O507" s="77">
        <v>445</v>
      </c>
      <c r="P507" s="77"/>
      <c r="Q507" s="77">
        <v>110</v>
      </c>
      <c r="R507" s="77"/>
      <c r="S507" s="77"/>
      <c r="T507" s="77"/>
      <c r="U507" s="77"/>
      <c r="V507" s="77"/>
      <c r="W507" s="77"/>
      <c r="X507" s="77"/>
      <c r="Y507" s="77"/>
      <c r="Z507" s="77"/>
      <c r="AA507" s="77"/>
      <c r="AB507" s="77"/>
      <c r="AC507" s="77"/>
      <c r="AD507" s="77"/>
      <c r="AE507" s="62"/>
      <c r="AF507" s="63" t="b">
        <v>0</v>
      </c>
      <c r="AG507" s="63" t="b">
        <v>0</v>
      </c>
      <c r="AH507" s="62"/>
      <c r="AI507" s="64">
        <f t="shared" si="786"/>
        <v>49672</v>
      </c>
      <c r="AJ507" s="65" t="str">
        <f t="shared" si="1116"/>
        <v>LAB</v>
      </c>
      <c r="AK507" s="66" t="str">
        <f t="shared" si="787"/>
        <v>HOLD</v>
      </c>
      <c r="AL507" s="67" t="e">
        <f t="shared" ca="1" si="788"/>
        <v>#NAME?</v>
      </c>
      <c r="AM507" s="68">
        <f t="shared" si="1408"/>
        <v>11340</v>
      </c>
      <c r="AN507" s="69">
        <f t="shared" si="1409"/>
        <v>0.22829763246899662</v>
      </c>
      <c r="AO507" s="62"/>
      <c r="AP507" s="70">
        <f t="shared" ref="AP507:AT507" si="1533">H507/$AI507</f>
        <v>0.4670840715090997</v>
      </c>
      <c r="AQ507" s="70">
        <f t="shared" si="1533"/>
        <v>0.23878643904010308</v>
      </c>
      <c r="AR507" s="70">
        <f t="shared" si="1533"/>
        <v>0.15930504106941537</v>
      </c>
      <c r="AS507" s="70">
        <f t="shared" si="1533"/>
        <v>7.7085682074408121E-2</v>
      </c>
      <c r="AT507" s="70">
        <f t="shared" si="1533"/>
        <v>4.6565469479787402E-2</v>
      </c>
      <c r="AU507" s="70"/>
      <c r="AV507" s="70"/>
      <c r="AW507" s="81">
        <f t="shared" si="790"/>
        <v>1.1173296827186263E-2</v>
      </c>
      <c r="AX507" s="70">
        <f t="shared" ref="AX507:BG507" si="1534">O507/$AI507</f>
        <v>8.9587695281043642E-3</v>
      </c>
      <c r="AY507" s="70">
        <f t="shared" si="1534"/>
        <v>0</v>
      </c>
      <c r="AZ507" s="70">
        <f t="shared" si="1534"/>
        <v>2.2145272990819779E-3</v>
      </c>
      <c r="BA507" s="70">
        <f t="shared" si="1534"/>
        <v>0</v>
      </c>
      <c r="BB507" s="70">
        <f t="shared" si="1534"/>
        <v>0</v>
      </c>
      <c r="BC507" s="70">
        <f t="shared" si="1534"/>
        <v>0</v>
      </c>
      <c r="BD507" s="70">
        <f t="shared" si="1534"/>
        <v>0</v>
      </c>
      <c r="BE507" s="70">
        <f t="shared" si="1534"/>
        <v>0</v>
      </c>
      <c r="BF507" s="70">
        <f t="shared" si="1534"/>
        <v>0</v>
      </c>
      <c r="BG507" s="70">
        <f t="shared" si="1534"/>
        <v>0</v>
      </c>
      <c r="BH507" s="70">
        <f t="shared" si="792"/>
        <v>-7.9797279894933126E-17</v>
      </c>
      <c r="BI507" s="62"/>
      <c r="BJ507" s="69">
        <v>0.44500000000000001</v>
      </c>
      <c r="BK507" s="69">
        <v>0.44400000000000001</v>
      </c>
      <c r="BL507" s="69">
        <v>2.7E-2</v>
      </c>
      <c r="BM507" s="69">
        <v>8.2000000000000003E-2</v>
      </c>
      <c r="BN507" s="69">
        <v>0</v>
      </c>
      <c r="BO507" s="69">
        <v>0</v>
      </c>
      <c r="BP507" s="69">
        <v>0</v>
      </c>
      <c r="BQ507" s="69">
        <v>3.0000000000000001E-3</v>
      </c>
      <c r="BR507" s="62"/>
      <c r="BS507" s="72">
        <f t="shared" ref="BS507:BW507" si="1535">AP507-BJ507</f>
        <v>2.208407150909969E-2</v>
      </c>
      <c r="BT507" s="72">
        <f t="shared" si="1535"/>
        <v>-0.20521356095989693</v>
      </c>
      <c r="BU507" s="72">
        <f t="shared" si="1535"/>
        <v>0.13230504106941537</v>
      </c>
      <c r="BV507" s="72">
        <f t="shared" si="1535"/>
        <v>-4.9143179255918823E-3</v>
      </c>
      <c r="BW507" s="72">
        <f t="shared" si="1535"/>
        <v>4.6565469479787402E-2</v>
      </c>
      <c r="BX507" s="72"/>
      <c r="BY507" s="72"/>
      <c r="BZ507" s="72">
        <f t="shared" si="794"/>
        <v>8.173296827186264E-3</v>
      </c>
    </row>
    <row r="508" spans="1:78" ht="13.15">
      <c r="A508" s="78" t="s">
        <v>5</v>
      </c>
      <c r="B508" s="74" t="s">
        <v>1059</v>
      </c>
      <c r="C508" s="75" t="s">
        <v>1060</v>
      </c>
      <c r="D508" s="75" t="s">
        <v>47</v>
      </c>
      <c r="E508" s="76"/>
      <c r="F508" s="59"/>
      <c r="G508" s="60"/>
      <c r="H508" s="77">
        <v>23975</v>
      </c>
      <c r="I508" s="77">
        <v>11563</v>
      </c>
      <c r="J508" s="77">
        <v>5154</v>
      </c>
      <c r="K508" s="77">
        <v>3881</v>
      </c>
      <c r="L508" s="77">
        <v>4471</v>
      </c>
      <c r="M508" s="77"/>
      <c r="N508" s="77"/>
      <c r="O508" s="77"/>
      <c r="P508" s="77"/>
      <c r="Q508" s="77"/>
      <c r="R508" s="77"/>
      <c r="S508" s="77"/>
      <c r="T508" s="77"/>
      <c r="U508" s="77"/>
      <c r="V508" s="77"/>
      <c r="W508" s="77"/>
      <c r="X508" s="77"/>
      <c r="Y508" s="77">
        <v>154</v>
      </c>
      <c r="Z508" s="77"/>
      <c r="AA508" s="77"/>
      <c r="AB508" s="77"/>
      <c r="AC508" s="77"/>
      <c r="AD508" s="77"/>
      <c r="AE508" s="62"/>
      <c r="AF508" s="63" t="b">
        <v>0</v>
      </c>
      <c r="AG508" s="63" t="b">
        <v>0</v>
      </c>
      <c r="AH508" s="62"/>
      <c r="AI508" s="64">
        <f t="shared" si="786"/>
        <v>49198</v>
      </c>
      <c r="AJ508" s="65" t="str">
        <f t="shared" si="1116"/>
        <v>LAB</v>
      </c>
      <c r="AK508" s="66" t="str">
        <f t="shared" si="787"/>
        <v>HOLD</v>
      </c>
      <c r="AL508" s="67" t="e">
        <f t="shared" ca="1" si="788"/>
        <v>#NAME?</v>
      </c>
      <c r="AM508" s="68">
        <f t="shared" si="1408"/>
        <v>12412</v>
      </c>
      <c r="AN508" s="69">
        <f t="shared" si="1409"/>
        <v>0.25228667832025692</v>
      </c>
      <c r="AO508" s="62"/>
      <c r="AP508" s="70">
        <f t="shared" ref="AP508:AT508" si="1536">H508/$AI508</f>
        <v>0.48731655758364162</v>
      </c>
      <c r="AQ508" s="70">
        <f t="shared" si="1536"/>
        <v>0.2350298792633847</v>
      </c>
      <c r="AR508" s="70">
        <f t="shared" si="1536"/>
        <v>0.10476035611203707</v>
      </c>
      <c r="AS508" s="70">
        <f t="shared" si="1536"/>
        <v>7.8885320541485421E-2</v>
      </c>
      <c r="AT508" s="70">
        <f t="shared" si="1536"/>
        <v>9.0877677954388392E-2</v>
      </c>
      <c r="AU508" s="70"/>
      <c r="AV508" s="70"/>
      <c r="AW508" s="81">
        <f t="shared" si="790"/>
        <v>3.1302085450628514E-3</v>
      </c>
      <c r="AX508" s="70">
        <f t="shared" ref="AX508:BG508" si="1537">O508/$AI508</f>
        <v>0</v>
      </c>
      <c r="AY508" s="70">
        <f t="shared" si="1537"/>
        <v>0</v>
      </c>
      <c r="AZ508" s="70">
        <f t="shared" si="1537"/>
        <v>0</v>
      </c>
      <c r="BA508" s="70">
        <f t="shared" si="1537"/>
        <v>0</v>
      </c>
      <c r="BB508" s="70">
        <f t="shared" si="1537"/>
        <v>0</v>
      </c>
      <c r="BC508" s="70">
        <f t="shared" si="1537"/>
        <v>0</v>
      </c>
      <c r="BD508" s="70">
        <f t="shared" si="1537"/>
        <v>0</v>
      </c>
      <c r="BE508" s="70">
        <f t="shared" si="1537"/>
        <v>0</v>
      </c>
      <c r="BF508" s="70">
        <f t="shared" si="1537"/>
        <v>0</v>
      </c>
      <c r="BG508" s="70">
        <f t="shared" si="1537"/>
        <v>0</v>
      </c>
      <c r="BH508" s="70">
        <f t="shared" si="792"/>
        <v>3.1302085450628514E-3</v>
      </c>
      <c r="BI508" s="62"/>
      <c r="BJ508" s="69">
        <v>0.433</v>
      </c>
      <c r="BK508" s="69">
        <v>0.41099999999999998</v>
      </c>
      <c r="BL508" s="69">
        <v>1.4E-2</v>
      </c>
      <c r="BM508" s="69">
        <v>0.109</v>
      </c>
      <c r="BN508" s="69">
        <v>2.9000000000000001E-2</v>
      </c>
      <c r="BO508" s="69">
        <v>0</v>
      </c>
      <c r="BP508" s="69">
        <v>0</v>
      </c>
      <c r="BQ508" s="69">
        <v>4.0000000000000001E-3</v>
      </c>
      <c r="BR508" s="62"/>
      <c r="BS508" s="72">
        <f t="shared" ref="BS508:BW508" si="1538">AP508-BJ508</f>
        <v>5.4316557583641623E-2</v>
      </c>
      <c r="BT508" s="72">
        <f t="shared" si="1538"/>
        <v>-0.17597012073661528</v>
      </c>
      <c r="BU508" s="72">
        <f t="shared" si="1538"/>
        <v>9.0760356112037074E-2</v>
      </c>
      <c r="BV508" s="72">
        <f t="shared" si="1538"/>
        <v>-3.0114679458514579E-2</v>
      </c>
      <c r="BW508" s="72">
        <f t="shared" si="1538"/>
        <v>6.1877677954388394E-2</v>
      </c>
      <c r="BX508" s="72"/>
      <c r="BY508" s="72"/>
      <c r="BZ508" s="72">
        <f t="shared" si="794"/>
        <v>-8.6979145493714868E-4</v>
      </c>
    </row>
    <row r="509" spans="1:78" ht="13.15">
      <c r="A509" s="78" t="s">
        <v>5</v>
      </c>
      <c r="B509" s="74" t="s">
        <v>1061</v>
      </c>
      <c r="C509" s="75" t="s">
        <v>1062</v>
      </c>
      <c r="D509" s="75" t="s">
        <v>129</v>
      </c>
      <c r="E509" s="87">
        <v>71175</v>
      </c>
      <c r="F509" s="88">
        <v>0.51600000000000001</v>
      </c>
      <c r="G509" s="60"/>
      <c r="H509" s="77">
        <v>17682</v>
      </c>
      <c r="I509" s="77">
        <v>4654</v>
      </c>
      <c r="J509" s="77">
        <v>10769</v>
      </c>
      <c r="K509" s="77">
        <v>1062</v>
      </c>
      <c r="L509" s="77">
        <v>1687</v>
      </c>
      <c r="M509" s="77"/>
      <c r="N509" s="77"/>
      <c r="O509" s="77">
        <v>627</v>
      </c>
      <c r="P509" s="77"/>
      <c r="Q509" s="77"/>
      <c r="R509" s="77"/>
      <c r="S509" s="77"/>
      <c r="T509" s="77"/>
      <c r="U509" s="77"/>
      <c r="V509" s="77"/>
      <c r="W509" s="77"/>
      <c r="X509" s="77"/>
      <c r="Y509" s="77"/>
      <c r="Z509" s="77"/>
      <c r="AA509" s="77"/>
      <c r="AB509" s="77"/>
      <c r="AC509" s="77"/>
      <c r="AD509" s="77"/>
      <c r="AE509" s="62"/>
      <c r="AF509" s="63" t="b">
        <v>0</v>
      </c>
      <c r="AG509" s="63" t="b">
        <v>0</v>
      </c>
      <c r="AH509" s="62"/>
      <c r="AI509" s="64">
        <f t="shared" si="786"/>
        <v>36481</v>
      </c>
      <c r="AJ509" s="65" t="str">
        <f t="shared" si="1116"/>
        <v>LAB</v>
      </c>
      <c r="AK509" s="66" t="str">
        <f t="shared" si="787"/>
        <v>HOLD</v>
      </c>
      <c r="AL509" s="67" t="e">
        <f t="shared" ca="1" si="788"/>
        <v>#NAME?</v>
      </c>
      <c r="AM509" s="68">
        <f t="shared" si="1408"/>
        <v>6913</v>
      </c>
      <c r="AN509" s="69">
        <f t="shared" si="1409"/>
        <v>0.18949590197637128</v>
      </c>
      <c r="AO509" s="62"/>
      <c r="AP509" s="70">
        <f t="shared" ref="AP509:AT509" si="1539">H509/$AI509</f>
        <v>0.48469066089197116</v>
      </c>
      <c r="AQ509" s="70">
        <f t="shared" si="1539"/>
        <v>0.12757325731202543</v>
      </c>
      <c r="AR509" s="70">
        <f t="shared" si="1539"/>
        <v>0.29519475891559988</v>
      </c>
      <c r="AS509" s="70">
        <f t="shared" si="1539"/>
        <v>2.9111044105150627E-2</v>
      </c>
      <c r="AT509" s="70">
        <f t="shared" si="1539"/>
        <v>4.6243249910912533E-2</v>
      </c>
      <c r="AU509" s="70"/>
      <c r="AV509" s="70"/>
      <c r="AW509" s="81">
        <f t="shared" si="790"/>
        <v>1.7187028864340315E-2</v>
      </c>
      <c r="AX509" s="70">
        <f t="shared" ref="AX509:BG509" si="1540">O509/$AI509</f>
        <v>1.7187028864340342E-2</v>
      </c>
      <c r="AY509" s="70">
        <f t="shared" si="1540"/>
        <v>0</v>
      </c>
      <c r="AZ509" s="70">
        <f t="shared" si="1540"/>
        <v>0</v>
      </c>
      <c r="BA509" s="70">
        <f t="shared" si="1540"/>
        <v>0</v>
      </c>
      <c r="BB509" s="70">
        <f t="shared" si="1540"/>
        <v>0</v>
      </c>
      <c r="BC509" s="70">
        <f t="shared" si="1540"/>
        <v>0</v>
      </c>
      <c r="BD509" s="70">
        <f t="shared" si="1540"/>
        <v>0</v>
      </c>
      <c r="BE509" s="70">
        <f t="shared" si="1540"/>
        <v>0</v>
      </c>
      <c r="BF509" s="70">
        <f t="shared" si="1540"/>
        <v>0</v>
      </c>
      <c r="BG509" s="70">
        <f t="shared" si="1540"/>
        <v>0</v>
      </c>
      <c r="BH509" s="70">
        <f t="shared" si="792"/>
        <v>-2.7755575615628914E-17</v>
      </c>
      <c r="BI509" s="62"/>
      <c r="BJ509" s="69">
        <v>0.43099999999999999</v>
      </c>
      <c r="BK509" s="69">
        <v>0.33700000000000002</v>
      </c>
      <c r="BL509" s="69">
        <v>0.13800000000000001</v>
      </c>
      <c r="BM509" s="69">
        <v>4.9000000000000002E-2</v>
      </c>
      <c r="BN509" s="69">
        <v>2.7E-2</v>
      </c>
      <c r="BO509" s="69">
        <v>0</v>
      </c>
      <c r="BP509" s="69">
        <v>0</v>
      </c>
      <c r="BQ509" s="69">
        <v>1.7999999999999999E-2</v>
      </c>
      <c r="BR509" s="62"/>
      <c r="BS509" s="72">
        <f t="shared" ref="BS509:BW509" si="1541">AP509-BJ509</f>
        <v>5.3690660891971165E-2</v>
      </c>
      <c r="BT509" s="72">
        <f t="shared" si="1541"/>
        <v>-0.20942674268797459</v>
      </c>
      <c r="BU509" s="72">
        <f t="shared" si="1541"/>
        <v>0.15719475891559986</v>
      </c>
      <c r="BV509" s="72">
        <f t="shared" si="1541"/>
        <v>-1.9888955894849375E-2</v>
      </c>
      <c r="BW509" s="72">
        <f t="shared" si="1541"/>
        <v>1.9243249910912533E-2</v>
      </c>
      <c r="BX509" s="72"/>
      <c r="BY509" s="72"/>
      <c r="BZ509" s="72">
        <f t="shared" si="794"/>
        <v>-8.1297113565968401E-4</v>
      </c>
    </row>
    <row r="510" spans="1:78" ht="13.15">
      <c r="A510" s="73" t="s">
        <v>6</v>
      </c>
      <c r="B510" s="74" t="s">
        <v>1063</v>
      </c>
      <c r="C510" s="75" t="s">
        <v>1064</v>
      </c>
      <c r="D510" s="75" t="s">
        <v>78</v>
      </c>
      <c r="E510" s="76"/>
      <c r="F510" s="59"/>
      <c r="G510" s="60"/>
      <c r="H510" s="77">
        <v>15708</v>
      </c>
      <c r="I510" s="77">
        <v>10985</v>
      </c>
      <c r="J510" s="77">
        <v>4930</v>
      </c>
      <c r="K510" s="77">
        <v>7577</v>
      </c>
      <c r="L510" s="77">
        <v>2428</v>
      </c>
      <c r="M510" s="77"/>
      <c r="N510" s="77"/>
      <c r="O510" s="77"/>
      <c r="P510" s="89">
        <v>2659</v>
      </c>
      <c r="Q510" s="77"/>
      <c r="R510" s="77"/>
      <c r="S510" s="77"/>
      <c r="T510" s="77"/>
      <c r="U510" s="77"/>
      <c r="V510" s="77"/>
      <c r="W510" s="77"/>
      <c r="X510" s="77"/>
      <c r="Y510" s="77">
        <v>168</v>
      </c>
      <c r="Z510" s="77"/>
      <c r="AA510" s="77"/>
      <c r="AB510" s="77"/>
      <c r="AC510" s="77"/>
      <c r="AD510" s="77"/>
      <c r="AE510" s="62"/>
      <c r="AF510" s="63" t="b">
        <v>0</v>
      </c>
      <c r="AG510" s="63" t="b">
        <v>0</v>
      </c>
      <c r="AH510" s="62"/>
      <c r="AI510" s="64">
        <f t="shared" si="786"/>
        <v>44455</v>
      </c>
      <c r="AJ510" s="65" t="str">
        <f t="shared" si="1116"/>
        <v>LAB</v>
      </c>
      <c r="AK510" s="66" t="str">
        <f t="shared" si="787"/>
        <v>GAIN</v>
      </c>
      <c r="AL510" s="67" t="e">
        <f t="shared" ca="1" si="788"/>
        <v>#NAME?</v>
      </c>
      <c r="AM510" s="68">
        <f t="shared" si="1408"/>
        <v>4723</v>
      </c>
      <c r="AN510" s="69">
        <f t="shared" si="1409"/>
        <v>0.10624226746147791</v>
      </c>
      <c r="AO510" s="62"/>
      <c r="AP510" s="70">
        <f t="shared" ref="AP510:AT510" si="1542">H510/$AI510</f>
        <v>0.35334608030592735</v>
      </c>
      <c r="AQ510" s="70">
        <f t="shared" si="1542"/>
        <v>0.24710381284444943</v>
      </c>
      <c r="AR510" s="70">
        <f t="shared" si="1542"/>
        <v>0.11089866156787763</v>
      </c>
      <c r="AS510" s="70">
        <f t="shared" si="1542"/>
        <v>0.17044202002024519</v>
      </c>
      <c r="AT510" s="70">
        <f t="shared" si="1542"/>
        <v>5.4617028455741762E-2</v>
      </c>
      <c r="AU510" s="70"/>
      <c r="AV510" s="70"/>
      <c r="AW510" s="81">
        <f t="shared" si="790"/>
        <v>6.3592396805758566E-2</v>
      </c>
      <c r="AX510" s="70">
        <f t="shared" ref="AX510:BG510" si="1543">O510/$AI510</f>
        <v>0</v>
      </c>
      <c r="AY510" s="70">
        <f t="shared" si="1543"/>
        <v>5.9813294342593637E-2</v>
      </c>
      <c r="AZ510" s="70">
        <f t="shared" si="1543"/>
        <v>0</v>
      </c>
      <c r="BA510" s="70">
        <f t="shared" si="1543"/>
        <v>0</v>
      </c>
      <c r="BB510" s="70">
        <f t="shared" si="1543"/>
        <v>0</v>
      </c>
      <c r="BC510" s="70">
        <f t="shared" si="1543"/>
        <v>0</v>
      </c>
      <c r="BD510" s="70">
        <f t="shared" si="1543"/>
        <v>0</v>
      </c>
      <c r="BE510" s="70">
        <f t="shared" si="1543"/>
        <v>0</v>
      </c>
      <c r="BF510" s="70">
        <f t="shared" si="1543"/>
        <v>0</v>
      </c>
      <c r="BG510" s="70">
        <f t="shared" si="1543"/>
        <v>0</v>
      </c>
      <c r="BH510" s="70">
        <f t="shared" si="792"/>
        <v>3.7791024631649295E-3</v>
      </c>
      <c r="BI510" s="62"/>
      <c r="BJ510" s="69">
        <v>0.39300000000000002</v>
      </c>
      <c r="BK510" s="69">
        <v>0.42</v>
      </c>
      <c r="BL510" s="69">
        <v>0</v>
      </c>
      <c r="BM510" s="69">
        <v>0.17699999999999999</v>
      </c>
      <c r="BN510" s="69">
        <v>3.0000000000000001E-3</v>
      </c>
      <c r="BO510" s="69">
        <v>0</v>
      </c>
      <c r="BP510" s="69">
        <v>0</v>
      </c>
      <c r="BQ510" s="69">
        <v>7.0000000000000001E-3</v>
      </c>
      <c r="BR510" s="62"/>
      <c r="BS510" s="72">
        <f t="shared" ref="BS510:BW510" si="1544">AP510-BJ510</f>
        <v>-3.965391969407267E-2</v>
      </c>
      <c r="BT510" s="72">
        <f t="shared" si="1544"/>
        <v>-0.17289618715555055</v>
      </c>
      <c r="BU510" s="72">
        <f t="shared" si="1544"/>
        <v>0.11089866156787763</v>
      </c>
      <c r="BV510" s="72">
        <f t="shared" si="1544"/>
        <v>-6.5579799797547966E-3</v>
      </c>
      <c r="BW510" s="72">
        <f t="shared" si="1544"/>
        <v>5.1617028455741759E-2</v>
      </c>
      <c r="BX510" s="72"/>
      <c r="BY510" s="72"/>
      <c r="BZ510" s="72">
        <f t="shared" si="794"/>
        <v>5.6592396805758567E-2</v>
      </c>
    </row>
    <row r="511" spans="1:78" ht="13.15">
      <c r="A511" s="73" t="s">
        <v>6</v>
      </c>
      <c r="B511" s="74" t="s">
        <v>1065</v>
      </c>
      <c r="C511" s="75" t="s">
        <v>1066</v>
      </c>
      <c r="D511" s="75" t="s">
        <v>78</v>
      </c>
      <c r="E511" s="76"/>
      <c r="F511" s="59"/>
      <c r="G511" s="60"/>
      <c r="H511" s="77">
        <v>4621</v>
      </c>
      <c r="I511" s="77">
        <v>14873</v>
      </c>
      <c r="J511" s="77">
        <v>7779</v>
      </c>
      <c r="K511" s="77">
        <v>1214</v>
      </c>
      <c r="L511" s="77">
        <v>20467</v>
      </c>
      <c r="M511" s="77"/>
      <c r="N511" s="77"/>
      <c r="O511" s="77"/>
      <c r="P511" s="77"/>
      <c r="Q511" s="77">
        <v>118</v>
      </c>
      <c r="R511" s="77"/>
      <c r="S511" s="77"/>
      <c r="T511" s="77"/>
      <c r="U511" s="77"/>
      <c r="V511" s="77"/>
      <c r="W511" s="77"/>
      <c r="X511" s="77"/>
      <c r="Y511" s="77"/>
      <c r="Z511" s="77"/>
      <c r="AA511" s="77"/>
      <c r="AB511" s="77"/>
      <c r="AC511" s="77"/>
      <c r="AD511" s="77"/>
      <c r="AE511" s="62"/>
      <c r="AF511" s="63" t="b">
        <v>0</v>
      </c>
      <c r="AG511" s="63" t="b">
        <v>0</v>
      </c>
      <c r="AH511" s="62"/>
      <c r="AI511" s="64">
        <f t="shared" si="786"/>
        <v>49072</v>
      </c>
      <c r="AJ511" s="65" t="str">
        <f t="shared" si="1116"/>
        <v>GRN</v>
      </c>
      <c r="AK511" s="66" t="str">
        <f t="shared" si="787"/>
        <v>GAIN</v>
      </c>
      <c r="AL511" s="67" t="e">
        <f t="shared" ca="1" si="788"/>
        <v>#NAME?</v>
      </c>
      <c r="AM511" s="68">
        <f t="shared" si="1408"/>
        <v>5594</v>
      </c>
      <c r="AN511" s="69">
        <f t="shared" si="1409"/>
        <v>0.11399576133029016</v>
      </c>
      <c r="AO511" s="62"/>
      <c r="AP511" s="70">
        <f t="shared" ref="AP511:AT511" si="1545">H511/$AI511</f>
        <v>9.4167753505053797E-2</v>
      </c>
      <c r="AQ511" s="70">
        <f t="shared" si="1545"/>
        <v>0.3030852624714705</v>
      </c>
      <c r="AR511" s="70">
        <f t="shared" si="1545"/>
        <v>0.1585221715030975</v>
      </c>
      <c r="AS511" s="70">
        <f t="shared" si="1545"/>
        <v>2.473915878708836E-2</v>
      </c>
      <c r="AT511" s="70">
        <f t="shared" si="1545"/>
        <v>0.41708102380176065</v>
      </c>
      <c r="AU511" s="70"/>
      <c r="AV511" s="70"/>
      <c r="AW511" s="81">
        <f t="shared" si="790"/>
        <v>2.4046299315292341E-3</v>
      </c>
      <c r="AX511" s="70">
        <f t="shared" ref="AX511:BG511" si="1546">O511/$AI511</f>
        <v>0</v>
      </c>
      <c r="AY511" s="70">
        <f t="shared" si="1546"/>
        <v>0</v>
      </c>
      <c r="AZ511" s="70">
        <f t="shared" si="1546"/>
        <v>2.4046299315291816E-3</v>
      </c>
      <c r="BA511" s="70">
        <f t="shared" si="1546"/>
        <v>0</v>
      </c>
      <c r="BB511" s="70">
        <f t="shared" si="1546"/>
        <v>0</v>
      </c>
      <c r="BC511" s="70">
        <f t="shared" si="1546"/>
        <v>0</v>
      </c>
      <c r="BD511" s="70">
        <f t="shared" si="1546"/>
        <v>0</v>
      </c>
      <c r="BE511" s="70">
        <f t="shared" si="1546"/>
        <v>0</v>
      </c>
      <c r="BF511" s="70">
        <f t="shared" si="1546"/>
        <v>0</v>
      </c>
      <c r="BG511" s="70">
        <f t="shared" si="1546"/>
        <v>0</v>
      </c>
      <c r="BH511" s="70">
        <f t="shared" si="792"/>
        <v>5.2475385148298415E-17</v>
      </c>
      <c r="BI511" s="62"/>
      <c r="BJ511" s="69">
        <v>0.186</v>
      </c>
      <c r="BK511" s="69">
        <v>0.622</v>
      </c>
      <c r="BL511" s="69">
        <v>0</v>
      </c>
      <c r="BM511" s="69">
        <v>9.1999999999999998E-2</v>
      </c>
      <c r="BN511" s="69">
        <v>9.2999999999999999E-2</v>
      </c>
      <c r="BO511" s="69">
        <v>0</v>
      </c>
      <c r="BP511" s="69">
        <v>0</v>
      </c>
      <c r="BQ511" s="69">
        <v>7.0000000000000001E-3</v>
      </c>
      <c r="BR511" s="62"/>
      <c r="BS511" s="72">
        <f t="shared" ref="BS511:BW511" si="1547">AP511-BJ511</f>
        <v>-9.1832246494946201E-2</v>
      </c>
      <c r="BT511" s="72">
        <f t="shared" si="1547"/>
        <v>-0.3189147375285295</v>
      </c>
      <c r="BU511" s="72">
        <f t="shared" si="1547"/>
        <v>0.1585221715030975</v>
      </c>
      <c r="BV511" s="72">
        <f t="shared" si="1547"/>
        <v>-6.7260841212911635E-2</v>
      </c>
      <c r="BW511" s="72">
        <f t="shared" si="1547"/>
        <v>0.32408102380176063</v>
      </c>
      <c r="BX511" s="72"/>
      <c r="BY511" s="72"/>
      <c r="BZ511" s="72">
        <f t="shared" si="794"/>
        <v>-4.595370068470766E-3</v>
      </c>
    </row>
    <row r="512" spans="1:78" ht="13.15">
      <c r="A512" s="73" t="s">
        <v>6</v>
      </c>
      <c r="B512" s="74" t="s">
        <v>1067</v>
      </c>
      <c r="C512" s="75" t="s">
        <v>1068</v>
      </c>
      <c r="D512" s="75" t="s">
        <v>44</v>
      </c>
      <c r="E512" s="76"/>
      <c r="F512" s="59"/>
      <c r="G512" s="60"/>
      <c r="H512" s="77">
        <v>11780</v>
      </c>
      <c r="I512" s="77">
        <v>20202</v>
      </c>
      <c r="J512" s="77">
        <v>10208</v>
      </c>
      <c r="K512" s="77">
        <v>3975</v>
      </c>
      <c r="L512" s="77">
        <v>4547</v>
      </c>
      <c r="M512" s="77"/>
      <c r="N512" s="77"/>
      <c r="O512" s="77"/>
      <c r="P512" s="77"/>
      <c r="Q512" s="77"/>
      <c r="R512" s="77"/>
      <c r="S512" s="77"/>
      <c r="T512" s="77"/>
      <c r="U512" s="77"/>
      <c r="V512" s="77"/>
      <c r="W512" s="77"/>
      <c r="X512" s="77"/>
      <c r="Y512" s="77"/>
      <c r="Z512" s="77"/>
      <c r="AA512" s="77"/>
      <c r="AB512" s="77"/>
      <c r="AC512" s="77"/>
      <c r="AD512" s="77"/>
      <c r="AE512" s="62"/>
      <c r="AF512" s="63" t="b">
        <v>0</v>
      </c>
      <c r="AG512" s="63" t="b">
        <v>0</v>
      </c>
      <c r="AH512" s="62"/>
      <c r="AI512" s="64">
        <f t="shared" si="786"/>
        <v>50712</v>
      </c>
      <c r="AJ512" s="65" t="str">
        <f t="shared" si="1116"/>
        <v>CON</v>
      </c>
      <c r="AK512" s="66" t="str">
        <f t="shared" si="787"/>
        <v>HOLD</v>
      </c>
      <c r="AL512" s="67" t="e">
        <f t="shared" ca="1" si="788"/>
        <v>#NAME?</v>
      </c>
      <c r="AM512" s="68">
        <f t="shared" si="1408"/>
        <v>8422</v>
      </c>
      <c r="AN512" s="69">
        <f t="shared" si="1409"/>
        <v>0.16607509070831361</v>
      </c>
      <c r="AO512" s="62"/>
      <c r="AP512" s="70">
        <f t="shared" ref="AP512:AT512" si="1548">H512/$AI512</f>
        <v>0.23229215964663197</v>
      </c>
      <c r="AQ512" s="70">
        <f t="shared" si="1548"/>
        <v>0.39836725035494558</v>
      </c>
      <c r="AR512" s="70">
        <f t="shared" si="1548"/>
        <v>0.201293579428932</v>
      </c>
      <c r="AS512" s="70">
        <f t="shared" si="1548"/>
        <v>7.838381448177946E-2</v>
      </c>
      <c r="AT512" s="70">
        <f t="shared" si="1548"/>
        <v>8.9663196087710992E-2</v>
      </c>
      <c r="AU512" s="70"/>
      <c r="AV512" s="70"/>
      <c r="AW512" s="81">
        <f t="shared" si="790"/>
        <v>0</v>
      </c>
      <c r="AX512" s="70">
        <f t="shared" ref="AX512:BG512" si="1549">O512/$AI512</f>
        <v>0</v>
      </c>
      <c r="AY512" s="70">
        <f t="shared" si="1549"/>
        <v>0</v>
      </c>
      <c r="AZ512" s="70">
        <f t="shared" si="1549"/>
        <v>0</v>
      </c>
      <c r="BA512" s="70">
        <f t="shared" si="1549"/>
        <v>0</v>
      </c>
      <c r="BB512" s="70">
        <f t="shared" si="1549"/>
        <v>0</v>
      </c>
      <c r="BC512" s="70">
        <f t="shared" si="1549"/>
        <v>0</v>
      </c>
      <c r="BD512" s="70">
        <f t="shared" si="1549"/>
        <v>0</v>
      </c>
      <c r="BE512" s="70">
        <f t="shared" si="1549"/>
        <v>0</v>
      </c>
      <c r="BF512" s="70">
        <f t="shared" si="1549"/>
        <v>0</v>
      </c>
      <c r="BG512" s="70">
        <f t="shared" si="1549"/>
        <v>0</v>
      </c>
      <c r="BH512" s="70">
        <f t="shared" si="792"/>
        <v>0</v>
      </c>
      <c r="BI512" s="62"/>
      <c r="BJ512" s="69">
        <v>0.14099999999999999</v>
      </c>
      <c r="BK512" s="69">
        <v>0.72</v>
      </c>
      <c r="BL512" s="69">
        <v>0</v>
      </c>
      <c r="BM512" s="69">
        <v>0.10100000000000001</v>
      </c>
      <c r="BN512" s="69">
        <v>3.9E-2</v>
      </c>
      <c r="BO512" s="69">
        <v>0</v>
      </c>
      <c r="BP512" s="69">
        <v>0</v>
      </c>
      <c r="BQ512" s="69">
        <v>0</v>
      </c>
      <c r="BR512" s="62"/>
      <c r="BS512" s="72">
        <f t="shared" ref="BS512:BW512" si="1550">AP512-BJ512</f>
        <v>9.1292159646631982E-2</v>
      </c>
      <c r="BT512" s="72">
        <f t="shared" si="1550"/>
        <v>-0.32163274964505439</v>
      </c>
      <c r="BU512" s="72">
        <f t="shared" si="1550"/>
        <v>0.201293579428932</v>
      </c>
      <c r="BV512" s="72">
        <f t="shared" si="1550"/>
        <v>-2.2616185518220547E-2</v>
      </c>
      <c r="BW512" s="72">
        <f t="shared" si="1550"/>
        <v>5.0663196087710992E-2</v>
      </c>
      <c r="BX512" s="72"/>
      <c r="BY512" s="72"/>
      <c r="BZ512" s="72">
        <f t="shared" si="794"/>
        <v>0</v>
      </c>
    </row>
    <row r="513" spans="1:78" ht="13.15">
      <c r="A513" s="73" t="s">
        <v>6</v>
      </c>
      <c r="B513" s="74" t="s">
        <v>1069</v>
      </c>
      <c r="C513" s="75" t="s">
        <v>1070</v>
      </c>
      <c r="D513" s="75" t="s">
        <v>53</v>
      </c>
      <c r="E513" s="76"/>
      <c r="F513" s="59"/>
      <c r="G513" s="60"/>
      <c r="H513" s="77">
        <v>17734</v>
      </c>
      <c r="I513" s="77">
        <v>12248</v>
      </c>
      <c r="J513" s="77">
        <v>9456</v>
      </c>
      <c r="K513" s="77">
        <v>1570</v>
      </c>
      <c r="L513" s="77">
        <v>2704</v>
      </c>
      <c r="M513" s="77"/>
      <c r="N513" s="77"/>
      <c r="O513" s="77"/>
      <c r="P513" s="77"/>
      <c r="Q513" s="77">
        <v>273</v>
      </c>
      <c r="R513" s="77"/>
      <c r="S513" s="77"/>
      <c r="T513" s="77"/>
      <c r="U513" s="77"/>
      <c r="V513" s="77"/>
      <c r="W513" s="77"/>
      <c r="X513" s="77"/>
      <c r="Y513" s="77"/>
      <c r="Z513" s="77"/>
      <c r="AA513" s="77"/>
      <c r="AB513" s="77"/>
      <c r="AC513" s="77"/>
      <c r="AD513" s="77"/>
      <c r="AE513" s="62"/>
      <c r="AF513" s="63" t="b">
        <v>0</v>
      </c>
      <c r="AG513" s="63" t="b">
        <v>0</v>
      </c>
      <c r="AH513" s="62"/>
      <c r="AI513" s="64">
        <f t="shared" si="786"/>
        <v>43985</v>
      </c>
      <c r="AJ513" s="65" t="str">
        <f t="shared" si="1116"/>
        <v>LAB</v>
      </c>
      <c r="AK513" s="66" t="str">
        <f t="shared" si="787"/>
        <v>GAIN</v>
      </c>
      <c r="AL513" s="67" t="e">
        <f t="shared" ca="1" si="788"/>
        <v>#NAME?</v>
      </c>
      <c r="AM513" s="68">
        <f t="shared" si="1408"/>
        <v>5486</v>
      </c>
      <c r="AN513" s="69">
        <f t="shared" si="1409"/>
        <v>0.1247243378424463</v>
      </c>
      <c r="AO513" s="62"/>
      <c r="AP513" s="70">
        <f t="shared" ref="AP513:AT513" si="1551">H513/$AI513</f>
        <v>0.40318290326247586</v>
      </c>
      <c r="AQ513" s="70">
        <f t="shared" si="1551"/>
        <v>0.27845856542002956</v>
      </c>
      <c r="AR513" s="70">
        <f t="shared" si="1551"/>
        <v>0.21498238035693987</v>
      </c>
      <c r="AS513" s="70">
        <f t="shared" si="1551"/>
        <v>3.5693986586336254E-2</v>
      </c>
      <c r="AT513" s="70">
        <f t="shared" si="1551"/>
        <v>6.1475503012390589E-2</v>
      </c>
      <c r="AU513" s="70"/>
      <c r="AV513" s="70"/>
      <c r="AW513" s="81">
        <f t="shared" si="790"/>
        <v>6.2066613618279032E-3</v>
      </c>
      <c r="AX513" s="70">
        <f t="shared" ref="AX513:BG513" si="1552">O513/$AI513</f>
        <v>0</v>
      </c>
      <c r="AY513" s="70">
        <f t="shared" si="1552"/>
        <v>0</v>
      </c>
      <c r="AZ513" s="70">
        <f t="shared" si="1552"/>
        <v>6.2066613618278962E-3</v>
      </c>
      <c r="BA513" s="70">
        <f t="shared" si="1552"/>
        <v>0</v>
      </c>
      <c r="BB513" s="70">
        <f t="shared" si="1552"/>
        <v>0</v>
      </c>
      <c r="BC513" s="70">
        <f t="shared" si="1552"/>
        <v>0</v>
      </c>
      <c r="BD513" s="70">
        <f t="shared" si="1552"/>
        <v>0</v>
      </c>
      <c r="BE513" s="70">
        <f t="shared" si="1552"/>
        <v>0</v>
      </c>
      <c r="BF513" s="70">
        <f t="shared" si="1552"/>
        <v>0</v>
      </c>
      <c r="BG513" s="70">
        <f t="shared" si="1552"/>
        <v>0</v>
      </c>
      <c r="BH513" s="70">
        <f t="shared" si="792"/>
        <v>6.9388939039072284E-18</v>
      </c>
      <c r="BI513" s="62"/>
      <c r="BJ513" s="69">
        <v>0.28299999999999997</v>
      </c>
      <c r="BK513" s="69">
        <v>0.624</v>
      </c>
      <c r="BL513" s="69">
        <v>0</v>
      </c>
      <c r="BM513" s="69">
        <v>6.7000000000000004E-2</v>
      </c>
      <c r="BN513" s="69">
        <v>2.7E-2</v>
      </c>
      <c r="BO513" s="69">
        <v>0</v>
      </c>
      <c r="BP513" s="69">
        <v>0</v>
      </c>
      <c r="BQ513" s="69">
        <v>0</v>
      </c>
      <c r="BR513" s="62"/>
      <c r="BS513" s="72">
        <f t="shared" ref="BS513:BW513" si="1553">AP513-BJ513</f>
        <v>0.12018290326247588</v>
      </c>
      <c r="BT513" s="72">
        <f t="shared" si="1553"/>
        <v>-0.34554143457997044</v>
      </c>
      <c r="BU513" s="72">
        <f t="shared" si="1553"/>
        <v>0.21498238035693987</v>
      </c>
      <c r="BV513" s="72">
        <f t="shared" si="1553"/>
        <v>-3.130601341366375E-2</v>
      </c>
      <c r="BW513" s="72">
        <f t="shared" si="1553"/>
        <v>3.4475503012390593E-2</v>
      </c>
      <c r="BX513" s="72"/>
      <c r="BY513" s="72"/>
      <c r="BZ513" s="72">
        <f t="shared" si="794"/>
        <v>6.2066613618279032E-3</v>
      </c>
    </row>
    <row r="514" spans="1:78" ht="13.15">
      <c r="A514" s="73" t="s">
        <v>6</v>
      </c>
      <c r="B514" s="74" t="s">
        <v>1071</v>
      </c>
      <c r="C514" s="75" t="s">
        <v>1072</v>
      </c>
      <c r="D514" s="75" t="s">
        <v>85</v>
      </c>
      <c r="E514" s="76"/>
      <c r="F514" s="59"/>
      <c r="G514" s="60"/>
      <c r="H514" s="77">
        <v>3527</v>
      </c>
      <c r="I514" s="77">
        <v>12501</v>
      </c>
      <c r="J514" s="77">
        <v>6611</v>
      </c>
      <c r="K514" s="77">
        <v>23622</v>
      </c>
      <c r="L514" s="77">
        <v>2068</v>
      </c>
      <c r="M514" s="77"/>
      <c r="N514" s="77"/>
      <c r="O514" s="77">
        <v>1849</v>
      </c>
      <c r="P514" s="77"/>
      <c r="Q514" s="77"/>
      <c r="R514" s="77"/>
      <c r="S514" s="77"/>
      <c r="T514" s="77"/>
      <c r="U514" s="77"/>
      <c r="V514" s="77"/>
      <c r="W514" s="77"/>
      <c r="X514" s="77"/>
      <c r="Y514" s="77">
        <v>190</v>
      </c>
      <c r="Z514" s="77"/>
      <c r="AA514" s="77"/>
      <c r="AB514" s="77"/>
      <c r="AC514" s="77"/>
      <c r="AD514" s="77"/>
      <c r="AE514" s="62"/>
      <c r="AF514" s="63" t="b">
        <v>0</v>
      </c>
      <c r="AG514" s="63" t="b">
        <v>0</v>
      </c>
      <c r="AH514" s="62"/>
      <c r="AI514" s="64">
        <f t="shared" si="786"/>
        <v>50368</v>
      </c>
      <c r="AJ514" s="65" t="str">
        <f t="shared" si="1116"/>
        <v>LDM</v>
      </c>
      <c r="AK514" s="66" t="str">
        <f t="shared" si="787"/>
        <v>GAIN</v>
      </c>
      <c r="AL514" s="67" t="e">
        <f t="shared" ca="1" si="788"/>
        <v>#NAME?</v>
      </c>
      <c r="AM514" s="68">
        <f t="shared" si="1408"/>
        <v>11121</v>
      </c>
      <c r="AN514" s="69">
        <f t="shared" si="1409"/>
        <v>0.22079494917407877</v>
      </c>
      <c r="AO514" s="62"/>
      <c r="AP514" s="70">
        <f t="shared" ref="AP514:AT514" si="1554">H514/$AI514</f>
        <v>7.0024618805590855E-2</v>
      </c>
      <c r="AQ514" s="70">
        <f t="shared" si="1554"/>
        <v>0.24819329733163914</v>
      </c>
      <c r="AR514" s="70">
        <f t="shared" si="1554"/>
        <v>0.13125397077509529</v>
      </c>
      <c r="AS514" s="70">
        <f t="shared" si="1554"/>
        <v>0.46898824650571791</v>
      </c>
      <c r="AT514" s="70">
        <f t="shared" si="1554"/>
        <v>4.1057814485387548E-2</v>
      </c>
      <c r="AU514" s="70"/>
      <c r="AV514" s="70"/>
      <c r="AW514" s="81">
        <f t="shared" si="790"/>
        <v>4.0482052096569188E-2</v>
      </c>
      <c r="AX514" s="70">
        <f t="shared" ref="AX514:BG514" si="1555">O514/$AI514</f>
        <v>3.6709815756035581E-2</v>
      </c>
      <c r="AY514" s="70">
        <f t="shared" si="1555"/>
        <v>0</v>
      </c>
      <c r="AZ514" s="70">
        <f t="shared" si="1555"/>
        <v>0</v>
      </c>
      <c r="BA514" s="70">
        <f t="shared" si="1555"/>
        <v>0</v>
      </c>
      <c r="BB514" s="70">
        <f t="shared" si="1555"/>
        <v>0</v>
      </c>
      <c r="BC514" s="70">
        <f t="shared" si="1555"/>
        <v>0</v>
      </c>
      <c r="BD514" s="70">
        <f t="shared" si="1555"/>
        <v>0</v>
      </c>
      <c r="BE514" s="70">
        <f t="shared" si="1555"/>
        <v>0</v>
      </c>
      <c r="BF514" s="70">
        <f t="shared" si="1555"/>
        <v>0</v>
      </c>
      <c r="BG514" s="70">
        <f t="shared" si="1555"/>
        <v>0</v>
      </c>
      <c r="BH514" s="70">
        <f t="shared" si="792"/>
        <v>3.7722363405336065E-3</v>
      </c>
      <c r="BI514" s="62"/>
      <c r="BJ514" s="69">
        <v>0.108</v>
      </c>
      <c r="BK514" s="69">
        <v>0.56100000000000005</v>
      </c>
      <c r="BL514" s="69">
        <v>0</v>
      </c>
      <c r="BM514" s="69">
        <v>0.308</v>
      </c>
      <c r="BN514" s="69">
        <v>1.2E-2</v>
      </c>
      <c r="BO514" s="69">
        <v>0</v>
      </c>
      <c r="BP514" s="69">
        <v>0</v>
      </c>
      <c r="BQ514" s="69">
        <v>1.0999999999999999E-2</v>
      </c>
      <c r="BR514" s="62"/>
      <c r="BS514" s="72">
        <f t="shared" ref="BS514:BW514" si="1556">AP514-BJ514</f>
        <v>-3.7975381194409144E-2</v>
      </c>
      <c r="BT514" s="72">
        <f t="shared" si="1556"/>
        <v>-0.31280670266836091</v>
      </c>
      <c r="BU514" s="72">
        <f t="shared" si="1556"/>
        <v>0.13125397077509529</v>
      </c>
      <c r="BV514" s="72">
        <f t="shared" si="1556"/>
        <v>0.16098824650571791</v>
      </c>
      <c r="BW514" s="72">
        <f t="shared" si="1556"/>
        <v>2.9057814485387547E-2</v>
      </c>
      <c r="BX514" s="72"/>
      <c r="BY514" s="72"/>
      <c r="BZ514" s="72">
        <f t="shared" si="794"/>
        <v>2.9482052096569188E-2</v>
      </c>
    </row>
    <row r="515" spans="1:78" ht="13.15">
      <c r="A515" s="73" t="s">
        <v>6</v>
      </c>
      <c r="B515" s="74" t="s">
        <v>1073</v>
      </c>
      <c r="C515" s="75" t="s">
        <v>1074</v>
      </c>
      <c r="D515" s="75" t="s">
        <v>78</v>
      </c>
      <c r="E515" s="76"/>
      <c r="F515" s="59"/>
      <c r="G515" s="60"/>
      <c r="H515" s="77">
        <v>19877</v>
      </c>
      <c r="I515" s="77">
        <v>16078</v>
      </c>
      <c r="J515" s="77">
        <v>6397</v>
      </c>
      <c r="K515" s="77">
        <v>3117</v>
      </c>
      <c r="L515" s="77">
        <v>2986</v>
      </c>
      <c r="M515" s="77"/>
      <c r="N515" s="77"/>
      <c r="O515" s="77"/>
      <c r="P515" s="77"/>
      <c r="Q515" s="77"/>
      <c r="R515" s="77"/>
      <c r="S515" s="77"/>
      <c r="T515" s="77"/>
      <c r="U515" s="77"/>
      <c r="V515" s="77"/>
      <c r="W515" s="77"/>
      <c r="X515" s="77"/>
      <c r="Y515" s="77"/>
      <c r="Z515" s="77"/>
      <c r="AA515" s="77"/>
      <c r="AB515" s="77"/>
      <c r="AC515" s="77"/>
      <c r="AD515" s="77"/>
      <c r="AE515" s="62"/>
      <c r="AF515" s="63" t="b">
        <v>0</v>
      </c>
      <c r="AG515" s="63" t="b">
        <v>0</v>
      </c>
      <c r="AH515" s="62"/>
      <c r="AI515" s="64">
        <f t="shared" ref="AI515:AI654" si="1557">SUM(H515:AD515)</f>
        <v>48455</v>
      </c>
      <c r="AJ515" s="65" t="str">
        <f t="shared" si="1116"/>
        <v>LAB</v>
      </c>
      <c r="AK515" s="66" t="str">
        <f t="shared" ref="AK515:AK654" si="1558">IF(A515=AJ515,"HOLD","GAIN")</f>
        <v>GAIN</v>
      </c>
      <c r="AL515" s="67" t="e">
        <f t="shared" ref="AL515:AL654" ca="1" si="1559">_xludf.TEXTJOIN(,,AJ515,," ",AK515)</f>
        <v>#NAME?</v>
      </c>
      <c r="AM515" s="68">
        <f t="shared" si="1408"/>
        <v>3799</v>
      </c>
      <c r="AN515" s="69">
        <f t="shared" si="1409"/>
        <v>7.8402641626251157E-2</v>
      </c>
      <c r="AO515" s="62"/>
      <c r="AP515" s="70">
        <f t="shared" ref="AP515:AT515" si="1560">H515/$AI515</f>
        <v>0.41021566401816117</v>
      </c>
      <c r="AQ515" s="70">
        <f t="shared" si="1560"/>
        <v>0.33181302239191002</v>
      </c>
      <c r="AR515" s="70">
        <f t="shared" si="1560"/>
        <v>0.13201939944278196</v>
      </c>
      <c r="AS515" s="70">
        <f t="shared" si="1560"/>
        <v>6.4327726756784651E-2</v>
      </c>
      <c r="AT515" s="70">
        <f t="shared" si="1560"/>
        <v>6.1624187390362191E-2</v>
      </c>
      <c r="AU515" s="70"/>
      <c r="AV515" s="70"/>
      <c r="AW515" s="81">
        <f t="shared" ref="AW515:AW654" si="1561">1-SUM(AP515:AV515)</f>
        <v>0</v>
      </c>
      <c r="AX515" s="70">
        <f t="shared" ref="AX515:BG515" si="1562">O515/$AI515</f>
        <v>0</v>
      </c>
      <c r="AY515" s="70">
        <f t="shared" si="1562"/>
        <v>0</v>
      </c>
      <c r="AZ515" s="70">
        <f t="shared" si="1562"/>
        <v>0</v>
      </c>
      <c r="BA515" s="70">
        <f t="shared" si="1562"/>
        <v>0</v>
      </c>
      <c r="BB515" s="70">
        <f t="shared" si="1562"/>
        <v>0</v>
      </c>
      <c r="BC515" s="70">
        <f t="shared" si="1562"/>
        <v>0</v>
      </c>
      <c r="BD515" s="70">
        <f t="shared" si="1562"/>
        <v>0</v>
      </c>
      <c r="BE515" s="70">
        <f t="shared" si="1562"/>
        <v>0</v>
      </c>
      <c r="BF515" s="70">
        <f t="shared" si="1562"/>
        <v>0</v>
      </c>
      <c r="BG515" s="70">
        <f t="shared" si="1562"/>
        <v>0</v>
      </c>
      <c r="BH515" s="70">
        <f t="shared" ref="BH515:BH654" si="1563">1-SUM(AP515:AV515)-SUM(AX515:BG515)</f>
        <v>0</v>
      </c>
      <c r="BI515" s="62"/>
      <c r="BJ515" s="69">
        <v>0.317</v>
      </c>
      <c r="BK515" s="69">
        <v>0.52500000000000002</v>
      </c>
      <c r="BL515" s="69">
        <v>0</v>
      </c>
      <c r="BM515" s="69">
        <v>0.127</v>
      </c>
      <c r="BN515" s="69">
        <v>3.1E-2</v>
      </c>
      <c r="BO515" s="69">
        <v>0</v>
      </c>
      <c r="BP515" s="69">
        <v>0</v>
      </c>
      <c r="BQ515" s="69">
        <v>0</v>
      </c>
      <c r="BR515" s="62"/>
      <c r="BS515" s="72">
        <f t="shared" ref="BS515:BW515" si="1564">AP515-BJ515</f>
        <v>9.3215664018161171E-2</v>
      </c>
      <c r="BT515" s="72">
        <f t="shared" si="1564"/>
        <v>-0.19318697760809</v>
      </c>
      <c r="BU515" s="72">
        <f t="shared" si="1564"/>
        <v>0.13201939944278196</v>
      </c>
      <c r="BV515" s="72">
        <f t="shared" si="1564"/>
        <v>-6.2672273243215351E-2</v>
      </c>
      <c r="BW515" s="72">
        <f t="shared" si="1564"/>
        <v>3.0624187390362191E-2</v>
      </c>
      <c r="BX515" s="72"/>
      <c r="BY515" s="72"/>
      <c r="BZ515" s="72">
        <f t="shared" ref="BZ515:BZ654" si="1565">SUM(AX515:BH515)-BQ515</f>
        <v>0</v>
      </c>
    </row>
    <row r="516" spans="1:78" ht="13.15">
      <c r="A516" s="73" t="s">
        <v>6</v>
      </c>
      <c r="B516" s="74" t="s">
        <v>1075</v>
      </c>
      <c r="C516" s="75" t="s">
        <v>1076</v>
      </c>
      <c r="D516" s="75" t="s">
        <v>47</v>
      </c>
      <c r="E516" s="76"/>
      <c r="F516" s="59"/>
      <c r="G516" s="60"/>
      <c r="H516" s="77">
        <v>16872</v>
      </c>
      <c r="I516" s="77">
        <v>7318</v>
      </c>
      <c r="J516" s="77">
        <v>7101</v>
      </c>
      <c r="K516" s="77">
        <v>1314</v>
      </c>
      <c r="L516" s="77">
        <v>2036</v>
      </c>
      <c r="M516" s="77"/>
      <c r="N516" s="77"/>
      <c r="O516" s="77">
        <v>1707</v>
      </c>
      <c r="P516" s="77"/>
      <c r="Q516" s="77"/>
      <c r="R516" s="77"/>
      <c r="S516" s="77"/>
      <c r="T516" s="77"/>
      <c r="U516" s="77"/>
      <c r="V516" s="77"/>
      <c r="W516" s="77"/>
      <c r="X516" s="77"/>
      <c r="Y516" s="77">
        <v>133</v>
      </c>
      <c r="Z516" s="77"/>
      <c r="AA516" s="77"/>
      <c r="AB516" s="77"/>
      <c r="AC516" s="77"/>
      <c r="AD516" s="77"/>
      <c r="AE516" s="62"/>
      <c r="AF516" s="63" t="b">
        <v>0</v>
      </c>
      <c r="AG516" s="63" t="b">
        <v>0</v>
      </c>
      <c r="AH516" s="62"/>
      <c r="AI516" s="64">
        <f t="shared" si="1557"/>
        <v>36481</v>
      </c>
      <c r="AJ516" s="65" t="str">
        <f t="shared" si="1116"/>
        <v>LAB</v>
      </c>
      <c r="AK516" s="66" t="str">
        <f t="shared" si="1558"/>
        <v>GAIN</v>
      </c>
      <c r="AL516" s="67" t="e">
        <f t="shared" ca="1" si="1559"/>
        <v>#NAME?</v>
      </c>
      <c r="AM516" s="68">
        <f t="shared" si="1408"/>
        <v>9554</v>
      </c>
      <c r="AN516" s="69">
        <f t="shared" si="1409"/>
        <v>0.26188975082919874</v>
      </c>
      <c r="AO516" s="62"/>
      <c r="AP516" s="70">
        <f t="shared" ref="AP516:AT516" si="1566">H516/$AI516</f>
        <v>0.46248732216770372</v>
      </c>
      <c r="AQ516" s="70">
        <f t="shared" si="1566"/>
        <v>0.20059757133850498</v>
      </c>
      <c r="AR516" s="70">
        <f t="shared" si="1566"/>
        <v>0.19464926948274444</v>
      </c>
      <c r="AS516" s="70">
        <f t="shared" si="1566"/>
        <v>3.6018749486033827E-2</v>
      </c>
      <c r="AT516" s="70">
        <f t="shared" si="1566"/>
        <v>5.5809873632849977E-2</v>
      </c>
      <c r="AU516" s="70"/>
      <c r="AV516" s="70"/>
      <c r="AW516" s="81">
        <f t="shared" si="1561"/>
        <v>5.0437213892163157E-2</v>
      </c>
      <c r="AX516" s="70">
        <f t="shared" ref="AX516:BG516" si="1567">O516/$AI516</f>
        <v>4.6791480496696909E-2</v>
      </c>
      <c r="AY516" s="70">
        <f t="shared" si="1567"/>
        <v>0</v>
      </c>
      <c r="AZ516" s="70">
        <f t="shared" si="1567"/>
        <v>0</v>
      </c>
      <c r="BA516" s="70">
        <f t="shared" si="1567"/>
        <v>0</v>
      </c>
      <c r="BB516" s="70">
        <f t="shared" si="1567"/>
        <v>0</v>
      </c>
      <c r="BC516" s="70">
        <f t="shared" si="1567"/>
        <v>0</v>
      </c>
      <c r="BD516" s="70">
        <f t="shared" si="1567"/>
        <v>0</v>
      </c>
      <c r="BE516" s="70">
        <f t="shared" si="1567"/>
        <v>0</v>
      </c>
      <c r="BF516" s="70">
        <f t="shared" si="1567"/>
        <v>0</v>
      </c>
      <c r="BG516" s="70">
        <f t="shared" si="1567"/>
        <v>0</v>
      </c>
      <c r="BH516" s="70">
        <f t="shared" si="1563"/>
        <v>3.6457333954662483E-3</v>
      </c>
      <c r="BI516" s="62"/>
      <c r="BJ516" s="69">
        <v>0.42099999999999999</v>
      </c>
      <c r="BK516" s="69">
        <v>0.47299999999999998</v>
      </c>
      <c r="BL516" s="69">
        <v>3.7999999999999999E-2</v>
      </c>
      <c r="BM516" s="69">
        <v>3.5999999999999997E-2</v>
      </c>
      <c r="BN516" s="69">
        <v>1.9E-2</v>
      </c>
      <c r="BO516" s="69">
        <v>0</v>
      </c>
      <c r="BP516" s="69">
        <v>0</v>
      </c>
      <c r="BQ516" s="69">
        <v>1.2999999999999999E-2</v>
      </c>
      <c r="BR516" s="62"/>
      <c r="BS516" s="72">
        <f t="shared" ref="BS516:BW516" si="1568">AP516-BJ516</f>
        <v>4.1487322167703733E-2</v>
      </c>
      <c r="BT516" s="72">
        <f t="shared" si="1568"/>
        <v>-0.272402428661495</v>
      </c>
      <c r="BU516" s="72">
        <f t="shared" si="1568"/>
        <v>0.15664926948274444</v>
      </c>
      <c r="BV516" s="72">
        <f t="shared" si="1568"/>
        <v>1.8749486033829699E-5</v>
      </c>
      <c r="BW516" s="72">
        <f t="shared" si="1568"/>
        <v>3.6809873632849974E-2</v>
      </c>
      <c r="BX516" s="72"/>
      <c r="BY516" s="72"/>
      <c r="BZ516" s="72">
        <f t="shared" si="1565"/>
        <v>3.743721389216316E-2</v>
      </c>
    </row>
    <row r="517" spans="1:78" ht="13.15">
      <c r="A517" s="73" t="s">
        <v>6</v>
      </c>
      <c r="B517" s="74" t="s">
        <v>1077</v>
      </c>
      <c r="C517" s="75" t="s">
        <v>1078</v>
      </c>
      <c r="D517" s="75" t="s">
        <v>85</v>
      </c>
      <c r="E517" s="76"/>
      <c r="F517" s="59"/>
      <c r="G517" s="60"/>
      <c r="H517" s="77">
        <v>3086</v>
      </c>
      <c r="I517" s="77">
        <v>19210</v>
      </c>
      <c r="J517" s="77"/>
      <c r="K517" s="77">
        <v>26999</v>
      </c>
      <c r="L517" s="77">
        <v>2288</v>
      </c>
      <c r="M517" s="77"/>
      <c r="N517" s="77"/>
      <c r="O517" s="77">
        <v>733</v>
      </c>
      <c r="P517" s="77"/>
      <c r="Q517" s="77"/>
      <c r="R517" s="77"/>
      <c r="S517" s="77"/>
      <c r="T517" s="77"/>
      <c r="U517" s="77"/>
      <c r="V517" s="77"/>
      <c r="W517" s="77"/>
      <c r="X517" s="77"/>
      <c r="Y517" s="77">
        <v>289</v>
      </c>
      <c r="Z517" s="77"/>
      <c r="AA517" s="77"/>
      <c r="AB517" s="77"/>
      <c r="AC517" s="77"/>
      <c r="AD517" s="77"/>
      <c r="AE517" s="62"/>
      <c r="AF517" s="63" t="b">
        <v>0</v>
      </c>
      <c r="AG517" s="63" t="b">
        <v>0</v>
      </c>
      <c r="AH517" s="62"/>
      <c r="AI517" s="64">
        <f t="shared" si="1557"/>
        <v>52605</v>
      </c>
      <c r="AJ517" s="65" t="str">
        <f t="shared" si="1116"/>
        <v>LDM</v>
      </c>
      <c r="AK517" s="66" t="str">
        <f t="shared" si="1558"/>
        <v>GAIN</v>
      </c>
      <c r="AL517" s="67" t="e">
        <f t="shared" ca="1" si="1559"/>
        <v>#NAME?</v>
      </c>
      <c r="AM517" s="68">
        <f t="shared" si="1408"/>
        <v>7789</v>
      </c>
      <c r="AN517" s="69">
        <f t="shared" si="1409"/>
        <v>0.14806577321547382</v>
      </c>
      <c r="AO517" s="62"/>
      <c r="AP517" s="70">
        <f t="shared" ref="AP517:AT517" si="1569">H517/$AI517</f>
        <v>5.8663625130690997E-2</v>
      </c>
      <c r="AQ517" s="70">
        <f t="shared" si="1569"/>
        <v>0.36517441307860471</v>
      </c>
      <c r="AR517" s="70">
        <f t="shared" si="1569"/>
        <v>0</v>
      </c>
      <c r="AS517" s="70">
        <f t="shared" si="1569"/>
        <v>0.51324018629407853</v>
      </c>
      <c r="AT517" s="70">
        <f t="shared" si="1569"/>
        <v>4.3493964452048284E-2</v>
      </c>
      <c r="AU517" s="70"/>
      <c r="AV517" s="70"/>
      <c r="AW517" s="81">
        <f t="shared" si="1561"/>
        <v>1.9427811044577581E-2</v>
      </c>
      <c r="AX517" s="70">
        <f t="shared" ref="AX517:BG517" si="1570">O517/$AI517</f>
        <v>1.3934036688527706E-2</v>
      </c>
      <c r="AY517" s="70">
        <f t="shared" si="1570"/>
        <v>0</v>
      </c>
      <c r="AZ517" s="70">
        <f t="shared" si="1570"/>
        <v>0</v>
      </c>
      <c r="BA517" s="70">
        <f t="shared" si="1570"/>
        <v>0</v>
      </c>
      <c r="BB517" s="70">
        <f t="shared" si="1570"/>
        <v>0</v>
      </c>
      <c r="BC517" s="70">
        <f t="shared" si="1570"/>
        <v>0</v>
      </c>
      <c r="BD517" s="70">
        <f t="shared" si="1570"/>
        <v>0</v>
      </c>
      <c r="BE517" s="70">
        <f t="shared" si="1570"/>
        <v>0</v>
      </c>
      <c r="BF517" s="70">
        <f t="shared" si="1570"/>
        <v>0</v>
      </c>
      <c r="BG517" s="70">
        <f t="shared" si="1570"/>
        <v>0</v>
      </c>
      <c r="BH517" s="70">
        <f t="shared" si="1563"/>
        <v>5.4937743560498752E-3</v>
      </c>
      <c r="BI517" s="62"/>
      <c r="BJ517" s="69">
        <v>9.4E-2</v>
      </c>
      <c r="BK517" s="69">
        <v>0.54300000000000004</v>
      </c>
      <c r="BL517" s="69">
        <v>0</v>
      </c>
      <c r="BM517" s="69">
        <v>0.32800000000000001</v>
      </c>
      <c r="BN517" s="69">
        <v>3.5000000000000003E-2</v>
      </c>
      <c r="BO517" s="69">
        <v>0</v>
      </c>
      <c r="BP517" s="69">
        <v>0</v>
      </c>
      <c r="BQ517" s="69">
        <v>0</v>
      </c>
      <c r="BR517" s="62"/>
      <c r="BS517" s="72">
        <f t="shared" ref="BS517:BW517" si="1571">AP517-BJ517</f>
        <v>-3.5336374869309004E-2</v>
      </c>
      <c r="BT517" s="72">
        <f t="shared" si="1571"/>
        <v>-0.17782558692139533</v>
      </c>
      <c r="BU517" s="72">
        <f t="shared" si="1571"/>
        <v>0</v>
      </c>
      <c r="BV517" s="72">
        <f t="shared" si="1571"/>
        <v>0.18524018629407851</v>
      </c>
      <c r="BW517" s="72">
        <f t="shared" si="1571"/>
        <v>8.4939644520482804E-3</v>
      </c>
      <c r="BX517" s="72"/>
      <c r="BY517" s="72"/>
      <c r="BZ517" s="72">
        <f t="shared" si="1565"/>
        <v>1.9427811044577581E-2</v>
      </c>
    </row>
    <row r="518" spans="1:78" ht="13.15">
      <c r="A518" s="78" t="s">
        <v>5</v>
      </c>
      <c r="B518" s="74" t="s">
        <v>1079</v>
      </c>
      <c r="C518" s="75" t="s">
        <v>1080</v>
      </c>
      <c r="D518" s="75" t="s">
        <v>68</v>
      </c>
      <c r="E518" s="76"/>
      <c r="F518" s="59"/>
      <c r="G518" s="60"/>
      <c r="H518" s="77">
        <v>16434</v>
      </c>
      <c r="I518" s="77">
        <v>3781</v>
      </c>
      <c r="J518" s="77">
        <v>2800</v>
      </c>
      <c r="K518" s="77">
        <v>1606</v>
      </c>
      <c r="L518" s="77">
        <v>3897</v>
      </c>
      <c r="M518" s="77"/>
      <c r="N518" s="77"/>
      <c r="O518" s="77"/>
      <c r="P518" s="77"/>
      <c r="Q518" s="77"/>
      <c r="R518" s="77">
        <v>7180</v>
      </c>
      <c r="S518" s="77"/>
      <c r="T518" s="77"/>
      <c r="U518" s="77"/>
      <c r="V518" s="77"/>
      <c r="W518" s="77"/>
      <c r="X518" s="77"/>
      <c r="Y518" s="77">
        <v>460</v>
      </c>
      <c r="Z518" s="77">
        <v>190</v>
      </c>
      <c r="AA518" s="77"/>
      <c r="AB518" s="77"/>
      <c r="AC518" s="77"/>
      <c r="AD518" s="77"/>
      <c r="AE518" s="62"/>
      <c r="AF518" s="63" t="b">
        <v>0</v>
      </c>
      <c r="AG518" s="63" t="b">
        <v>0</v>
      </c>
      <c r="AH518" s="62"/>
      <c r="AI518" s="64">
        <f t="shared" si="1557"/>
        <v>36348</v>
      </c>
      <c r="AJ518" s="65" t="str">
        <f t="shared" si="1116"/>
        <v>LAB</v>
      </c>
      <c r="AK518" s="66" t="str">
        <f t="shared" si="1558"/>
        <v>HOLD</v>
      </c>
      <c r="AL518" s="67" t="e">
        <f t="shared" ca="1" si="1559"/>
        <v>#NAME?</v>
      </c>
      <c r="AM518" s="68">
        <f t="shared" si="1408"/>
        <v>9254</v>
      </c>
      <c r="AN518" s="69">
        <f t="shared" si="1409"/>
        <v>0.25459447562451853</v>
      </c>
      <c r="AO518" s="62"/>
      <c r="AP518" s="70">
        <f t="shared" ref="AP518:AT518" si="1572">H518/$AI518</f>
        <v>0.45212941564872894</v>
      </c>
      <c r="AQ518" s="70">
        <f t="shared" si="1572"/>
        <v>0.10402222955871024</v>
      </c>
      <c r="AR518" s="70">
        <f t="shared" si="1572"/>
        <v>7.7033124243424678E-2</v>
      </c>
      <c r="AS518" s="70">
        <f t="shared" si="1572"/>
        <v>4.4183999119621439E-2</v>
      </c>
      <c r="AT518" s="70">
        <f t="shared" si="1572"/>
        <v>0.10721360184879498</v>
      </c>
      <c r="AU518" s="70"/>
      <c r="AV518" s="70"/>
      <c r="AW518" s="81">
        <f t="shared" si="1561"/>
        <v>0.21541762958071964</v>
      </c>
      <c r="AX518" s="70">
        <f t="shared" ref="AX518:BG518" si="1573">O518/$AI518</f>
        <v>0</v>
      </c>
      <c r="AY518" s="70">
        <f t="shared" si="1573"/>
        <v>0</v>
      </c>
      <c r="AZ518" s="70">
        <f t="shared" si="1573"/>
        <v>0</v>
      </c>
      <c r="BA518" s="70">
        <f t="shared" si="1573"/>
        <v>0.1975349400242104</v>
      </c>
      <c r="BB518" s="70">
        <f t="shared" si="1573"/>
        <v>0</v>
      </c>
      <c r="BC518" s="70">
        <f t="shared" si="1573"/>
        <v>0</v>
      </c>
      <c r="BD518" s="70">
        <f t="shared" si="1573"/>
        <v>0</v>
      </c>
      <c r="BE518" s="70">
        <f t="shared" si="1573"/>
        <v>0</v>
      </c>
      <c r="BF518" s="70">
        <f t="shared" si="1573"/>
        <v>0</v>
      </c>
      <c r="BG518" s="70">
        <f t="shared" si="1573"/>
        <v>0</v>
      </c>
      <c r="BH518" s="70">
        <f t="shared" si="1563"/>
        <v>1.7882689556509235E-2</v>
      </c>
      <c r="BI518" s="62"/>
      <c r="BJ518" s="69">
        <v>0.70699999999999996</v>
      </c>
      <c r="BK518" s="69">
        <v>0.16400000000000001</v>
      </c>
      <c r="BL518" s="69">
        <v>2.8000000000000001E-2</v>
      </c>
      <c r="BM518" s="69">
        <v>6.0999999999999999E-2</v>
      </c>
      <c r="BN518" s="69">
        <v>2.5000000000000001E-2</v>
      </c>
      <c r="BO518" s="69">
        <v>0</v>
      </c>
      <c r="BP518" s="69">
        <v>0</v>
      </c>
      <c r="BQ518" s="69">
        <v>1.4999999999999999E-2</v>
      </c>
      <c r="BR518" s="62"/>
      <c r="BS518" s="72">
        <f t="shared" ref="BS518:BW518" si="1574">AP518-BJ518</f>
        <v>-0.25487058435127102</v>
      </c>
      <c r="BT518" s="72">
        <f t="shared" si="1574"/>
        <v>-5.9977770441289768E-2</v>
      </c>
      <c r="BU518" s="72">
        <f t="shared" si="1574"/>
        <v>4.9033124243424681E-2</v>
      </c>
      <c r="BV518" s="72">
        <f t="shared" si="1574"/>
        <v>-1.6816000880378559E-2</v>
      </c>
      <c r="BW518" s="72">
        <f t="shared" si="1574"/>
        <v>8.2213601848794976E-2</v>
      </c>
      <c r="BX518" s="72"/>
      <c r="BY518" s="72"/>
      <c r="BZ518" s="72">
        <f t="shared" si="1565"/>
        <v>0.20041762958071963</v>
      </c>
    </row>
    <row r="519" spans="1:78" ht="13.15">
      <c r="A519" s="78" t="s">
        <v>5</v>
      </c>
      <c r="B519" s="74" t="s">
        <v>1081</v>
      </c>
      <c r="C519" s="75" t="s">
        <v>1082</v>
      </c>
      <c r="D519" s="75" t="s">
        <v>50</v>
      </c>
      <c r="E519" s="76"/>
      <c r="F519" s="59"/>
      <c r="G519" s="60"/>
      <c r="H519" s="77">
        <v>22305</v>
      </c>
      <c r="I519" s="77">
        <v>8680</v>
      </c>
      <c r="J519" s="77">
        <v>7909</v>
      </c>
      <c r="K519" s="77">
        <v>2043</v>
      </c>
      <c r="L519" s="77">
        <v>3263</v>
      </c>
      <c r="M519" s="77"/>
      <c r="N519" s="77"/>
      <c r="O519" s="77"/>
      <c r="P519" s="77"/>
      <c r="Q519" s="77"/>
      <c r="R519" s="77"/>
      <c r="S519" s="77"/>
      <c r="T519" s="77"/>
      <c r="U519" s="77"/>
      <c r="V519" s="77"/>
      <c r="W519" s="77"/>
      <c r="X519" s="77"/>
      <c r="Y519" s="77"/>
      <c r="Z519" s="77"/>
      <c r="AA519" s="77"/>
      <c r="AB519" s="77"/>
      <c r="AC519" s="77"/>
      <c r="AD519" s="77"/>
      <c r="AE519" s="62"/>
      <c r="AF519" s="63" t="b">
        <v>0</v>
      </c>
      <c r="AG519" s="63" t="b">
        <v>0</v>
      </c>
      <c r="AH519" s="62"/>
      <c r="AI519" s="64">
        <f t="shared" si="1557"/>
        <v>44200</v>
      </c>
      <c r="AJ519" s="65" t="str">
        <f t="shared" si="1116"/>
        <v>LAB</v>
      </c>
      <c r="AK519" s="66" t="str">
        <f t="shared" si="1558"/>
        <v>HOLD</v>
      </c>
      <c r="AL519" s="67" t="e">
        <f t="shared" ca="1" si="1559"/>
        <v>#NAME?</v>
      </c>
      <c r="AM519" s="68">
        <f t="shared" si="1408"/>
        <v>13625</v>
      </c>
      <c r="AN519" s="69">
        <f t="shared" si="1409"/>
        <v>0.30825791855203621</v>
      </c>
      <c r="AO519" s="62"/>
      <c r="AP519" s="70">
        <f t="shared" ref="AP519:AT519" si="1575">H519/$AI519</f>
        <v>0.50463800904977374</v>
      </c>
      <c r="AQ519" s="70">
        <f t="shared" si="1575"/>
        <v>0.19638009049773755</v>
      </c>
      <c r="AR519" s="70">
        <f t="shared" si="1575"/>
        <v>0.17893665158371042</v>
      </c>
      <c r="AS519" s="70">
        <f t="shared" si="1575"/>
        <v>4.6221719457013574E-2</v>
      </c>
      <c r="AT519" s="70">
        <f t="shared" si="1575"/>
        <v>7.3823529411764705E-2</v>
      </c>
      <c r="AU519" s="70"/>
      <c r="AV519" s="70"/>
      <c r="AW519" s="81">
        <f t="shared" si="1561"/>
        <v>0</v>
      </c>
      <c r="AX519" s="70">
        <f t="shared" ref="AX519:BG519" si="1576">O519/$AI519</f>
        <v>0</v>
      </c>
      <c r="AY519" s="70">
        <f t="shared" si="1576"/>
        <v>0</v>
      </c>
      <c r="AZ519" s="70">
        <f t="shared" si="1576"/>
        <v>0</v>
      </c>
      <c r="BA519" s="70">
        <f t="shared" si="1576"/>
        <v>0</v>
      </c>
      <c r="BB519" s="70">
        <f t="shared" si="1576"/>
        <v>0</v>
      </c>
      <c r="BC519" s="70">
        <f t="shared" si="1576"/>
        <v>0</v>
      </c>
      <c r="BD519" s="70">
        <f t="shared" si="1576"/>
        <v>0</v>
      </c>
      <c r="BE519" s="70">
        <f t="shared" si="1576"/>
        <v>0</v>
      </c>
      <c r="BF519" s="70">
        <f t="shared" si="1576"/>
        <v>0</v>
      </c>
      <c r="BG519" s="70">
        <f t="shared" si="1576"/>
        <v>0</v>
      </c>
      <c r="BH519" s="70">
        <f t="shared" si="1563"/>
        <v>0</v>
      </c>
      <c r="BI519" s="62"/>
      <c r="BJ519" s="69">
        <v>0.52100000000000002</v>
      </c>
      <c r="BK519" s="69">
        <v>0.36299999999999999</v>
      </c>
      <c r="BL519" s="69">
        <v>4.2999999999999997E-2</v>
      </c>
      <c r="BM519" s="69">
        <v>4.9000000000000002E-2</v>
      </c>
      <c r="BN519" s="69">
        <v>2.4E-2</v>
      </c>
      <c r="BO519" s="69">
        <v>0</v>
      </c>
      <c r="BP519" s="69">
        <v>0</v>
      </c>
      <c r="BQ519" s="69">
        <v>0</v>
      </c>
      <c r="BR519" s="62"/>
      <c r="BS519" s="72">
        <f t="shared" ref="BS519:BW519" si="1577">AP519-BJ519</f>
        <v>-1.6361990950226279E-2</v>
      </c>
      <c r="BT519" s="72">
        <f t="shared" si="1577"/>
        <v>-0.16661990950226244</v>
      </c>
      <c r="BU519" s="72">
        <f t="shared" si="1577"/>
        <v>0.13593665158371043</v>
      </c>
      <c r="BV519" s="72">
        <f t="shared" si="1577"/>
        <v>-2.7782805429864277E-3</v>
      </c>
      <c r="BW519" s="72">
        <f t="shared" si="1577"/>
        <v>4.9823529411764704E-2</v>
      </c>
      <c r="BX519" s="72"/>
      <c r="BY519" s="72"/>
      <c r="BZ519" s="72">
        <f t="shared" si="1565"/>
        <v>0</v>
      </c>
    </row>
    <row r="520" spans="1:78" ht="13.15">
      <c r="A520" s="73" t="s">
        <v>6</v>
      </c>
      <c r="B520" s="74" t="s">
        <v>1083</v>
      </c>
      <c r="C520" s="75" t="s">
        <v>1084</v>
      </c>
      <c r="D520" s="75" t="s">
        <v>78</v>
      </c>
      <c r="E520" s="76"/>
      <c r="F520" s="59"/>
      <c r="G520" s="60"/>
      <c r="H520" s="77">
        <v>12567</v>
      </c>
      <c r="I520" s="77">
        <v>15814</v>
      </c>
      <c r="J520" s="77">
        <v>9623</v>
      </c>
      <c r="K520" s="77">
        <v>4284</v>
      </c>
      <c r="L520" s="77">
        <v>2910</v>
      </c>
      <c r="M520" s="77"/>
      <c r="N520" s="77"/>
      <c r="O520" s="77">
        <v>485</v>
      </c>
      <c r="P520" s="77"/>
      <c r="Q520" s="77"/>
      <c r="R520" s="77"/>
      <c r="S520" s="77"/>
      <c r="T520" s="77"/>
      <c r="U520" s="77"/>
      <c r="V520" s="77"/>
      <c r="W520" s="77"/>
      <c r="X520" s="77"/>
      <c r="Y520" s="77">
        <v>345</v>
      </c>
      <c r="Z520" s="77">
        <v>133</v>
      </c>
      <c r="AA520" s="77"/>
      <c r="AB520" s="77"/>
      <c r="AC520" s="77"/>
      <c r="AD520" s="77"/>
      <c r="AE520" s="62"/>
      <c r="AF520" s="63" t="b">
        <v>0</v>
      </c>
      <c r="AG520" s="63" t="b">
        <v>0</v>
      </c>
      <c r="AH520" s="62"/>
      <c r="AI520" s="64">
        <f t="shared" si="1557"/>
        <v>46161</v>
      </c>
      <c r="AJ520" s="65" t="str">
        <f t="shared" si="1116"/>
        <v>CON</v>
      </c>
      <c r="AK520" s="66" t="str">
        <f t="shared" si="1558"/>
        <v>HOLD</v>
      </c>
      <c r="AL520" s="67" t="e">
        <f t="shared" ca="1" si="1559"/>
        <v>#NAME?</v>
      </c>
      <c r="AM520" s="68">
        <f t="shared" si="1408"/>
        <v>3247</v>
      </c>
      <c r="AN520" s="69">
        <f t="shared" si="1409"/>
        <v>7.0340763848270205E-2</v>
      </c>
      <c r="AO520" s="62"/>
      <c r="AP520" s="70">
        <f t="shared" ref="AP520:AT520" si="1578">H520/$AI520</f>
        <v>0.27224280236563331</v>
      </c>
      <c r="AQ520" s="70">
        <f t="shared" si="1578"/>
        <v>0.34258356621390351</v>
      </c>
      <c r="AR520" s="70">
        <f t="shared" si="1578"/>
        <v>0.20846602110006282</v>
      </c>
      <c r="AS520" s="70">
        <f t="shared" si="1578"/>
        <v>9.2805615129654906E-2</v>
      </c>
      <c r="AT520" s="70">
        <f t="shared" si="1578"/>
        <v>6.3040228764541489E-2</v>
      </c>
      <c r="AU520" s="70"/>
      <c r="AV520" s="70"/>
      <c r="AW520" s="81">
        <f t="shared" si="1561"/>
        <v>2.0861766426203965E-2</v>
      </c>
      <c r="AX520" s="70">
        <f t="shared" ref="AX520:BG520" si="1579">O520/$AI520</f>
        <v>1.0506704794090249E-2</v>
      </c>
      <c r="AY520" s="70">
        <f t="shared" si="1579"/>
        <v>0</v>
      </c>
      <c r="AZ520" s="70">
        <f t="shared" si="1579"/>
        <v>0</v>
      </c>
      <c r="BA520" s="70">
        <f t="shared" si="1579"/>
        <v>0</v>
      </c>
      <c r="BB520" s="70">
        <f t="shared" si="1579"/>
        <v>0</v>
      </c>
      <c r="BC520" s="70">
        <f t="shared" si="1579"/>
        <v>0</v>
      </c>
      <c r="BD520" s="70">
        <f t="shared" si="1579"/>
        <v>0</v>
      </c>
      <c r="BE520" s="70">
        <f t="shared" si="1579"/>
        <v>0</v>
      </c>
      <c r="BF520" s="70">
        <f t="shared" si="1579"/>
        <v>0</v>
      </c>
      <c r="BG520" s="70">
        <f t="shared" si="1579"/>
        <v>0</v>
      </c>
      <c r="BH520" s="70">
        <f t="shared" si="1563"/>
        <v>1.0355061632113716E-2</v>
      </c>
      <c r="BI520" s="62"/>
      <c r="BJ520" s="69">
        <v>0.222</v>
      </c>
      <c r="BK520" s="69">
        <v>0.64300000000000002</v>
      </c>
      <c r="BL520" s="69">
        <v>0</v>
      </c>
      <c r="BM520" s="69">
        <v>0.09</v>
      </c>
      <c r="BN520" s="69">
        <v>4.4999999999999998E-2</v>
      </c>
      <c r="BO520" s="69">
        <v>0</v>
      </c>
      <c r="BP520" s="69">
        <v>0</v>
      </c>
      <c r="BQ520" s="69">
        <v>0</v>
      </c>
      <c r="BR520" s="62"/>
      <c r="BS520" s="72">
        <f t="shared" ref="BS520:BW520" si="1580">AP520-BJ520</f>
        <v>5.0242802365633304E-2</v>
      </c>
      <c r="BT520" s="72">
        <f t="shared" si="1580"/>
        <v>-0.3004164337860965</v>
      </c>
      <c r="BU520" s="72">
        <f t="shared" si="1580"/>
        <v>0.20846602110006282</v>
      </c>
      <c r="BV520" s="72">
        <f t="shared" si="1580"/>
        <v>2.8056151296549092E-3</v>
      </c>
      <c r="BW520" s="72">
        <f t="shared" si="1580"/>
        <v>1.8040228764541491E-2</v>
      </c>
      <c r="BX520" s="72"/>
      <c r="BY520" s="72"/>
      <c r="BZ520" s="72">
        <f t="shared" si="1565"/>
        <v>2.0861766426203965E-2</v>
      </c>
    </row>
    <row r="521" spans="1:78" ht="13.15">
      <c r="A521" s="73" t="s">
        <v>6</v>
      </c>
      <c r="B521" s="74" t="s">
        <v>1085</v>
      </c>
      <c r="C521" s="75" t="s">
        <v>1086</v>
      </c>
      <c r="D521" s="75" t="s">
        <v>47</v>
      </c>
      <c r="E521" s="76"/>
      <c r="F521" s="59"/>
      <c r="G521" s="60"/>
      <c r="H521" s="77">
        <v>8335</v>
      </c>
      <c r="I521" s="77">
        <v>19783</v>
      </c>
      <c r="J521" s="77">
        <v>7902</v>
      </c>
      <c r="K521" s="77">
        <v>13236</v>
      </c>
      <c r="L521" s="77">
        <v>5068</v>
      </c>
      <c r="M521" s="77"/>
      <c r="N521" s="77"/>
      <c r="O521" s="77"/>
      <c r="P521" s="77"/>
      <c r="Q521" s="77"/>
      <c r="R521" s="77"/>
      <c r="S521" s="77"/>
      <c r="T521" s="77"/>
      <c r="U521" s="77"/>
      <c r="V521" s="77"/>
      <c r="W521" s="77"/>
      <c r="X521" s="77"/>
      <c r="Y521" s="77">
        <v>363</v>
      </c>
      <c r="Z521" s="77"/>
      <c r="AA521" s="77"/>
      <c r="AB521" s="77"/>
      <c r="AC521" s="77"/>
      <c r="AD521" s="77"/>
      <c r="AE521" s="62"/>
      <c r="AF521" s="63" t="b">
        <v>0</v>
      </c>
      <c r="AG521" s="63" t="b">
        <v>0</v>
      </c>
      <c r="AH521" s="62"/>
      <c r="AI521" s="64">
        <f t="shared" si="1557"/>
        <v>54687</v>
      </c>
      <c r="AJ521" s="65" t="str">
        <f t="shared" si="1116"/>
        <v>CON</v>
      </c>
      <c r="AK521" s="66" t="str">
        <f t="shared" si="1558"/>
        <v>HOLD</v>
      </c>
      <c r="AL521" s="67" t="e">
        <f t="shared" ca="1" si="1559"/>
        <v>#NAME?</v>
      </c>
      <c r="AM521" s="68">
        <f t="shared" si="1408"/>
        <v>6547</v>
      </c>
      <c r="AN521" s="69">
        <f t="shared" si="1409"/>
        <v>0.11971766599008907</v>
      </c>
      <c r="AO521" s="62"/>
      <c r="AP521" s="70">
        <f t="shared" ref="AP521:AT521" si="1581">H521/$AI521</f>
        <v>0.15241282206008741</v>
      </c>
      <c r="AQ521" s="70">
        <f t="shared" si="1581"/>
        <v>0.36174959313913729</v>
      </c>
      <c r="AR521" s="70">
        <f t="shared" si="1581"/>
        <v>0.14449503538318065</v>
      </c>
      <c r="AS521" s="70">
        <f t="shared" si="1581"/>
        <v>0.24203192714904823</v>
      </c>
      <c r="AT521" s="70">
        <f t="shared" si="1581"/>
        <v>9.267284729460383E-2</v>
      </c>
      <c r="AU521" s="70"/>
      <c r="AV521" s="70"/>
      <c r="AW521" s="81">
        <f t="shared" si="1561"/>
        <v>6.6377749739426894E-3</v>
      </c>
      <c r="AX521" s="70">
        <f t="shared" ref="AX521:BG521" si="1582">O521/$AI521</f>
        <v>0</v>
      </c>
      <c r="AY521" s="70">
        <f t="shared" si="1582"/>
        <v>0</v>
      </c>
      <c r="AZ521" s="70">
        <f t="shared" si="1582"/>
        <v>0</v>
      </c>
      <c r="BA521" s="70">
        <f t="shared" si="1582"/>
        <v>0</v>
      </c>
      <c r="BB521" s="70">
        <f t="shared" si="1582"/>
        <v>0</v>
      </c>
      <c r="BC521" s="70">
        <f t="shared" si="1582"/>
        <v>0</v>
      </c>
      <c r="BD521" s="70">
        <f t="shared" si="1582"/>
        <v>0</v>
      </c>
      <c r="BE521" s="70">
        <f t="shared" si="1582"/>
        <v>0</v>
      </c>
      <c r="BF521" s="70">
        <f t="shared" si="1582"/>
        <v>0</v>
      </c>
      <c r="BG521" s="70">
        <f t="shared" si="1582"/>
        <v>0</v>
      </c>
      <c r="BH521" s="70">
        <f t="shared" si="1563"/>
        <v>6.6377749739426894E-3</v>
      </c>
      <c r="BI521" s="62"/>
      <c r="BJ521" s="69">
        <v>0.16500000000000001</v>
      </c>
      <c r="BK521" s="69">
        <v>0.60699999999999998</v>
      </c>
      <c r="BL521" s="69">
        <v>0</v>
      </c>
      <c r="BM521" s="69">
        <v>0.18099999999999999</v>
      </c>
      <c r="BN521" s="69">
        <v>4.7E-2</v>
      </c>
      <c r="BO521" s="69">
        <v>0</v>
      </c>
      <c r="BP521" s="69">
        <v>0</v>
      </c>
      <c r="BQ521" s="69">
        <v>0</v>
      </c>
      <c r="BR521" s="62"/>
      <c r="BS521" s="72">
        <f t="shared" ref="BS521:BW521" si="1583">AP521-BJ521</f>
        <v>-1.2587177939912597E-2</v>
      </c>
      <c r="BT521" s="72">
        <f t="shared" si="1583"/>
        <v>-0.24525040686086269</v>
      </c>
      <c r="BU521" s="72">
        <f t="shared" si="1583"/>
        <v>0.14449503538318065</v>
      </c>
      <c r="BV521" s="72">
        <f t="shared" si="1583"/>
        <v>6.1031927149048232E-2</v>
      </c>
      <c r="BW521" s="72">
        <f t="shared" si="1583"/>
        <v>4.567284729460383E-2</v>
      </c>
      <c r="BX521" s="72"/>
      <c r="BY521" s="72"/>
      <c r="BZ521" s="72">
        <f t="shared" si="1565"/>
        <v>6.6377749739426894E-3</v>
      </c>
    </row>
    <row r="522" spans="1:78" ht="13.15">
      <c r="A522" s="73" t="s">
        <v>6</v>
      </c>
      <c r="B522" s="74" t="s">
        <v>1087</v>
      </c>
      <c r="C522" s="75" t="s">
        <v>1088</v>
      </c>
      <c r="D522" s="75" t="s">
        <v>50</v>
      </c>
      <c r="E522" s="76"/>
      <c r="F522" s="59"/>
      <c r="G522" s="60"/>
      <c r="H522" s="77">
        <v>2306</v>
      </c>
      <c r="I522" s="77">
        <v>9589</v>
      </c>
      <c r="J522" s="77">
        <v>4842</v>
      </c>
      <c r="K522" s="77">
        <v>31061</v>
      </c>
      <c r="L522" s="77">
        <v>1486</v>
      </c>
      <c r="M522" s="77"/>
      <c r="N522" s="77"/>
      <c r="O522" s="77">
        <v>111</v>
      </c>
      <c r="P522" s="77"/>
      <c r="Q522" s="77"/>
      <c r="R522" s="77"/>
      <c r="S522" s="77"/>
      <c r="T522" s="77"/>
      <c r="U522" s="77"/>
      <c r="V522" s="77"/>
      <c r="W522" s="77"/>
      <c r="X522" s="77"/>
      <c r="Y522" s="77"/>
      <c r="Z522" s="77"/>
      <c r="AA522" s="77"/>
      <c r="AB522" s="77"/>
      <c r="AC522" s="77"/>
      <c r="AD522" s="77"/>
      <c r="AE522" s="62"/>
      <c r="AF522" s="63" t="b">
        <v>0</v>
      </c>
      <c r="AG522" s="63" t="b">
        <v>0</v>
      </c>
      <c r="AH522" s="62"/>
      <c r="AI522" s="64">
        <f t="shared" si="1557"/>
        <v>49395</v>
      </c>
      <c r="AJ522" s="65" t="str">
        <f t="shared" si="1116"/>
        <v>LDM</v>
      </c>
      <c r="AK522" s="66" t="str">
        <f t="shared" si="1558"/>
        <v>GAIN</v>
      </c>
      <c r="AL522" s="67" t="e">
        <f t="shared" ca="1" si="1559"/>
        <v>#NAME?</v>
      </c>
      <c r="AM522" s="68">
        <f t="shared" si="1408"/>
        <v>21472</v>
      </c>
      <c r="AN522" s="69">
        <f t="shared" si="1409"/>
        <v>0.43469986840773356</v>
      </c>
      <c r="AO522" s="62"/>
      <c r="AP522" s="70">
        <f t="shared" ref="AP522:AT522" si="1584">H522/$AI522</f>
        <v>4.6684887134325337E-2</v>
      </c>
      <c r="AQ522" s="70">
        <f t="shared" si="1584"/>
        <v>0.19412896042109526</v>
      </c>
      <c r="AR522" s="70">
        <f t="shared" si="1584"/>
        <v>9.8026116003644095E-2</v>
      </c>
      <c r="AS522" s="70">
        <f t="shared" si="1584"/>
        <v>0.62882882882882885</v>
      </c>
      <c r="AT522" s="70">
        <f t="shared" si="1584"/>
        <v>3.0084016600870532E-2</v>
      </c>
      <c r="AU522" s="70"/>
      <c r="AV522" s="70"/>
      <c r="AW522" s="81">
        <f t="shared" si="1561"/>
        <v>2.2471910112359383E-3</v>
      </c>
      <c r="AX522" s="70">
        <f t="shared" ref="AX522:BG522" si="1585">O522/$AI522</f>
        <v>2.2471910112359553E-3</v>
      </c>
      <c r="AY522" s="70">
        <f t="shared" si="1585"/>
        <v>0</v>
      </c>
      <c r="AZ522" s="70">
        <f t="shared" si="1585"/>
        <v>0</v>
      </c>
      <c r="BA522" s="70">
        <f t="shared" si="1585"/>
        <v>0</v>
      </c>
      <c r="BB522" s="70">
        <f t="shared" si="1585"/>
        <v>0</v>
      </c>
      <c r="BC522" s="70">
        <f t="shared" si="1585"/>
        <v>0</v>
      </c>
      <c r="BD522" s="70">
        <f t="shared" si="1585"/>
        <v>0</v>
      </c>
      <c r="BE522" s="70">
        <f t="shared" si="1585"/>
        <v>0</v>
      </c>
      <c r="BF522" s="70">
        <f t="shared" si="1585"/>
        <v>0</v>
      </c>
      <c r="BG522" s="70">
        <f t="shared" si="1585"/>
        <v>0</v>
      </c>
      <c r="BH522" s="70">
        <f t="shared" si="1563"/>
        <v>-1.6913553890773869E-17</v>
      </c>
      <c r="BI522" s="62"/>
      <c r="BJ522" s="69">
        <v>6.9000000000000006E-2</v>
      </c>
      <c r="BK522" s="69">
        <v>0.502</v>
      </c>
      <c r="BL522" s="69">
        <v>1.0999999999999999E-2</v>
      </c>
      <c r="BM522" s="69">
        <v>0.40699999999999997</v>
      </c>
      <c r="BN522" s="69">
        <v>5.0000000000000001E-3</v>
      </c>
      <c r="BO522" s="69">
        <v>0</v>
      </c>
      <c r="BP522" s="69">
        <v>0</v>
      </c>
      <c r="BQ522" s="69">
        <v>6.0000000000000001E-3</v>
      </c>
      <c r="BR522" s="62"/>
      <c r="BS522" s="72">
        <f t="shared" ref="BS522:BW522" si="1586">AP522-BJ522</f>
        <v>-2.2315112865674669E-2</v>
      </c>
      <c r="BT522" s="72">
        <f t="shared" si="1586"/>
        <v>-0.30787103957890471</v>
      </c>
      <c r="BU522" s="72">
        <f t="shared" si="1586"/>
        <v>8.7026116003644099E-2</v>
      </c>
      <c r="BV522" s="72">
        <f t="shared" si="1586"/>
        <v>0.22182882882882887</v>
      </c>
      <c r="BW522" s="72">
        <f t="shared" si="1586"/>
        <v>2.5084016600870531E-2</v>
      </c>
      <c r="BX522" s="72"/>
      <c r="BY522" s="72"/>
      <c r="BZ522" s="72">
        <f t="shared" si="1565"/>
        <v>-3.7528089887640618E-3</v>
      </c>
    </row>
    <row r="523" spans="1:78" ht="13.15">
      <c r="A523" s="73" t="s">
        <v>6</v>
      </c>
      <c r="B523" s="74" t="s">
        <v>1089</v>
      </c>
      <c r="C523" s="75" t="s">
        <v>1090</v>
      </c>
      <c r="D523" s="75" t="s">
        <v>85</v>
      </c>
      <c r="E523" s="76"/>
      <c r="F523" s="59"/>
      <c r="G523" s="60"/>
      <c r="H523" s="77">
        <v>16310</v>
      </c>
      <c r="I523" s="77">
        <v>11901</v>
      </c>
      <c r="J523" s="77">
        <v>7735</v>
      </c>
      <c r="K523" s="77">
        <v>3756</v>
      </c>
      <c r="L523" s="77">
        <v>2688</v>
      </c>
      <c r="M523" s="77"/>
      <c r="N523" s="77"/>
      <c r="O523" s="77"/>
      <c r="P523" s="77"/>
      <c r="Q523" s="77"/>
      <c r="R523" s="77"/>
      <c r="S523" s="77"/>
      <c r="T523" s="77"/>
      <c r="U523" s="77"/>
      <c r="V523" s="77"/>
      <c r="W523" s="77"/>
      <c r="X523" s="77"/>
      <c r="Y523" s="77"/>
      <c r="Z523" s="77"/>
      <c r="AA523" s="77"/>
      <c r="AB523" s="77"/>
      <c r="AC523" s="77"/>
      <c r="AD523" s="77"/>
      <c r="AE523" s="62"/>
      <c r="AF523" s="63" t="b">
        <v>0</v>
      </c>
      <c r="AG523" s="63" t="b">
        <v>0</v>
      </c>
      <c r="AH523" s="62"/>
      <c r="AI523" s="64">
        <f t="shared" si="1557"/>
        <v>42390</v>
      </c>
      <c r="AJ523" s="65" t="str">
        <f t="shared" si="1116"/>
        <v>LAB</v>
      </c>
      <c r="AK523" s="66" t="str">
        <f t="shared" si="1558"/>
        <v>GAIN</v>
      </c>
      <c r="AL523" s="67" t="e">
        <f t="shared" ca="1" si="1559"/>
        <v>#NAME?</v>
      </c>
      <c r="AM523" s="68">
        <f t="shared" si="1408"/>
        <v>4409</v>
      </c>
      <c r="AN523" s="69">
        <f t="shared" si="1409"/>
        <v>0.10401037980655814</v>
      </c>
      <c r="AO523" s="62"/>
      <c r="AP523" s="70">
        <f t="shared" ref="AP523:AT523" si="1587">H523/$AI523</f>
        <v>0.38476055673507903</v>
      </c>
      <c r="AQ523" s="70">
        <f t="shared" si="1587"/>
        <v>0.28075017692852089</v>
      </c>
      <c r="AR523" s="70">
        <f t="shared" si="1587"/>
        <v>0.18247228119839584</v>
      </c>
      <c r="AS523" s="70">
        <f t="shared" si="1587"/>
        <v>8.8605803255484783E-2</v>
      </c>
      <c r="AT523" s="70">
        <f t="shared" si="1587"/>
        <v>6.3411181882519457E-2</v>
      </c>
      <c r="AU523" s="70"/>
      <c r="AV523" s="70"/>
      <c r="AW523" s="81">
        <f t="shared" si="1561"/>
        <v>0</v>
      </c>
      <c r="AX523" s="70">
        <f t="shared" ref="AX523:BG523" si="1588">O523/$AI523</f>
        <v>0</v>
      </c>
      <c r="AY523" s="70">
        <f t="shared" si="1588"/>
        <v>0</v>
      </c>
      <c r="AZ523" s="70">
        <f t="shared" si="1588"/>
        <v>0</v>
      </c>
      <c r="BA523" s="70">
        <f t="shared" si="1588"/>
        <v>0</v>
      </c>
      <c r="BB523" s="70">
        <f t="shared" si="1588"/>
        <v>0</v>
      </c>
      <c r="BC523" s="70">
        <f t="shared" si="1588"/>
        <v>0</v>
      </c>
      <c r="BD523" s="70">
        <f t="shared" si="1588"/>
        <v>0</v>
      </c>
      <c r="BE523" s="70">
        <f t="shared" si="1588"/>
        <v>0</v>
      </c>
      <c r="BF523" s="70">
        <f t="shared" si="1588"/>
        <v>0</v>
      </c>
      <c r="BG523" s="70">
        <f t="shared" si="1588"/>
        <v>0</v>
      </c>
      <c r="BH523" s="70">
        <f t="shared" si="1563"/>
        <v>0</v>
      </c>
      <c r="BI523" s="62"/>
      <c r="BJ523" s="69">
        <v>0.28100000000000003</v>
      </c>
      <c r="BK523" s="69">
        <v>0.57099999999999995</v>
      </c>
      <c r="BL523" s="69">
        <v>0</v>
      </c>
      <c r="BM523" s="69">
        <v>0.11700000000000001</v>
      </c>
      <c r="BN523" s="69">
        <v>0.03</v>
      </c>
      <c r="BO523" s="69">
        <v>0</v>
      </c>
      <c r="BP523" s="69">
        <v>0</v>
      </c>
      <c r="BQ523" s="69">
        <v>0</v>
      </c>
      <c r="BR523" s="62"/>
      <c r="BS523" s="72">
        <f t="shared" ref="BS523:BW523" si="1589">AP523-BJ523</f>
        <v>0.103760556735079</v>
      </c>
      <c r="BT523" s="72">
        <f t="shared" si="1589"/>
        <v>-0.29024982307147906</v>
      </c>
      <c r="BU523" s="72">
        <f t="shared" si="1589"/>
        <v>0.18247228119839584</v>
      </c>
      <c r="BV523" s="72">
        <f t="shared" si="1589"/>
        <v>-2.8394196744515224E-2</v>
      </c>
      <c r="BW523" s="72">
        <f t="shared" si="1589"/>
        <v>3.3411181882519458E-2</v>
      </c>
      <c r="BX523" s="72"/>
      <c r="BY523" s="72"/>
      <c r="BZ523" s="72">
        <f t="shared" si="1565"/>
        <v>0</v>
      </c>
    </row>
    <row r="524" spans="1:78" ht="13.15">
      <c r="A524" s="73" t="s">
        <v>6</v>
      </c>
      <c r="B524" s="74" t="s">
        <v>1091</v>
      </c>
      <c r="C524" s="75" t="s">
        <v>1092</v>
      </c>
      <c r="D524" s="75" t="s">
        <v>71</v>
      </c>
      <c r="E524" s="76"/>
      <c r="F524" s="59"/>
      <c r="G524" s="60"/>
      <c r="H524" s="77">
        <v>15751</v>
      </c>
      <c r="I524" s="77">
        <v>20597</v>
      </c>
      <c r="J524" s="77">
        <v>7288</v>
      </c>
      <c r="K524" s="77">
        <v>3351</v>
      </c>
      <c r="L524" s="77">
        <v>4529</v>
      </c>
      <c r="M524" s="77"/>
      <c r="N524" s="77"/>
      <c r="O524" s="77"/>
      <c r="P524" s="77"/>
      <c r="Q524" s="77"/>
      <c r="R524" s="77"/>
      <c r="S524" s="77"/>
      <c r="T524" s="77"/>
      <c r="U524" s="77"/>
      <c r="V524" s="77"/>
      <c r="W524" s="77"/>
      <c r="X524" s="77"/>
      <c r="Y524" s="77">
        <v>743</v>
      </c>
      <c r="Z524" s="77"/>
      <c r="AA524" s="77"/>
      <c r="AB524" s="77"/>
      <c r="AC524" s="77"/>
      <c r="AD524" s="77"/>
      <c r="AE524" s="62"/>
      <c r="AF524" s="63" t="b">
        <v>0</v>
      </c>
      <c r="AG524" s="63" t="b">
        <v>0</v>
      </c>
      <c r="AH524" s="62"/>
      <c r="AI524" s="64">
        <f t="shared" si="1557"/>
        <v>52259</v>
      </c>
      <c r="AJ524" s="65" t="str">
        <f t="shared" si="1116"/>
        <v>CON</v>
      </c>
      <c r="AK524" s="66" t="str">
        <f t="shared" si="1558"/>
        <v>HOLD</v>
      </c>
      <c r="AL524" s="67" t="e">
        <f t="shared" ca="1" si="1559"/>
        <v>#NAME?</v>
      </c>
      <c r="AM524" s="68">
        <f t="shared" si="1408"/>
        <v>4846</v>
      </c>
      <c r="AN524" s="69">
        <f t="shared" si="1409"/>
        <v>9.2730438776095991E-2</v>
      </c>
      <c r="AO524" s="62"/>
      <c r="AP524" s="70">
        <f t="shared" ref="AP524:AT524" si="1590">H524/$AI524</f>
        <v>0.30140262921219313</v>
      </c>
      <c r="AQ524" s="70">
        <f t="shared" si="1590"/>
        <v>0.39413306798828912</v>
      </c>
      <c r="AR524" s="70">
        <f t="shared" si="1590"/>
        <v>0.13945923190263879</v>
      </c>
      <c r="AS524" s="70">
        <f t="shared" si="1590"/>
        <v>6.4122926194531082E-2</v>
      </c>
      <c r="AT524" s="70">
        <f t="shared" si="1590"/>
        <v>8.6664497981208982E-2</v>
      </c>
      <c r="AU524" s="70"/>
      <c r="AV524" s="70"/>
      <c r="AW524" s="81">
        <f t="shared" si="1561"/>
        <v>1.4217646721138899E-2</v>
      </c>
      <c r="AX524" s="70">
        <f t="shared" ref="AX524:BG524" si="1591">O524/$AI524</f>
        <v>0</v>
      </c>
      <c r="AY524" s="70">
        <f t="shared" si="1591"/>
        <v>0</v>
      </c>
      <c r="AZ524" s="70">
        <f t="shared" si="1591"/>
        <v>0</v>
      </c>
      <c r="BA524" s="70">
        <f t="shared" si="1591"/>
        <v>0</v>
      </c>
      <c r="BB524" s="70">
        <f t="shared" si="1591"/>
        <v>0</v>
      </c>
      <c r="BC524" s="70">
        <f t="shared" si="1591"/>
        <v>0</v>
      </c>
      <c r="BD524" s="70">
        <f t="shared" si="1591"/>
        <v>0</v>
      </c>
      <c r="BE524" s="70">
        <f t="shared" si="1591"/>
        <v>0</v>
      </c>
      <c r="BF524" s="70">
        <f t="shared" si="1591"/>
        <v>0</v>
      </c>
      <c r="BG524" s="70">
        <f t="shared" si="1591"/>
        <v>0</v>
      </c>
      <c r="BH524" s="70">
        <f t="shared" si="1563"/>
        <v>1.4217646721138899E-2</v>
      </c>
      <c r="BI524" s="62"/>
      <c r="BJ524" s="69">
        <v>0.183</v>
      </c>
      <c r="BK524" s="69">
        <v>0.68200000000000005</v>
      </c>
      <c r="BL524" s="69">
        <v>0</v>
      </c>
      <c r="BM524" s="69">
        <v>7.9000000000000001E-2</v>
      </c>
      <c r="BN524" s="69">
        <v>3.9E-2</v>
      </c>
      <c r="BO524" s="69">
        <v>0</v>
      </c>
      <c r="BP524" s="69">
        <v>0</v>
      </c>
      <c r="BQ524" s="69">
        <v>1.7000000000000001E-2</v>
      </c>
      <c r="BR524" s="62"/>
      <c r="BS524" s="72">
        <f t="shared" ref="BS524:BW524" si="1592">AP524-BJ524</f>
        <v>0.11840262921219313</v>
      </c>
      <c r="BT524" s="72">
        <f t="shared" si="1592"/>
        <v>-0.28786693201171093</v>
      </c>
      <c r="BU524" s="72">
        <f t="shared" si="1592"/>
        <v>0.13945923190263879</v>
      </c>
      <c r="BV524" s="72">
        <f t="shared" si="1592"/>
        <v>-1.4877073805468918E-2</v>
      </c>
      <c r="BW524" s="72">
        <f t="shared" si="1592"/>
        <v>4.7664497981208982E-2</v>
      </c>
      <c r="BX524" s="72"/>
      <c r="BY524" s="72"/>
      <c r="BZ524" s="72">
        <f t="shared" si="1565"/>
        <v>-2.7823532788611022E-3</v>
      </c>
    </row>
    <row r="525" spans="1:78" ht="13.15">
      <c r="A525" s="73" t="s">
        <v>6</v>
      </c>
      <c r="B525" s="74" t="s">
        <v>1093</v>
      </c>
      <c r="C525" s="75" t="s">
        <v>1094</v>
      </c>
      <c r="D525" s="75" t="s">
        <v>50</v>
      </c>
      <c r="E525" s="76">
        <v>73198</v>
      </c>
      <c r="F525" s="59">
        <v>0.57199999999999995</v>
      </c>
      <c r="G525" s="60"/>
      <c r="H525" s="77">
        <v>22173</v>
      </c>
      <c r="I525" s="77">
        <v>8455</v>
      </c>
      <c r="J525" s="77">
        <v>8887</v>
      </c>
      <c r="K525" s="77">
        <v>1118</v>
      </c>
      <c r="L525" s="77">
        <v>1207</v>
      </c>
      <c r="M525" s="77"/>
      <c r="N525" s="77"/>
      <c r="O525" s="77"/>
      <c r="P525" s="77"/>
      <c r="Q525" s="77"/>
      <c r="R525" s="77"/>
      <c r="S525" s="77"/>
      <c r="T525" s="77"/>
      <c r="U525" s="77"/>
      <c r="V525" s="77"/>
      <c r="W525" s="77"/>
      <c r="X525" s="77"/>
      <c r="Y525" s="77"/>
      <c r="Z525" s="77"/>
      <c r="AA525" s="77"/>
      <c r="AB525" s="77"/>
      <c r="AC525" s="77"/>
      <c r="AD525" s="77"/>
      <c r="AE525" s="62"/>
      <c r="AF525" s="63" t="b">
        <v>0</v>
      </c>
      <c r="AG525" s="63" t="b">
        <v>0</v>
      </c>
      <c r="AH525" s="62"/>
      <c r="AI525" s="64">
        <f t="shared" si="1557"/>
        <v>41840</v>
      </c>
      <c r="AJ525" s="65" t="str">
        <f t="shared" si="1116"/>
        <v>LAB</v>
      </c>
      <c r="AK525" s="66" t="str">
        <f t="shared" si="1558"/>
        <v>GAIN</v>
      </c>
      <c r="AL525" s="67" t="e">
        <f t="shared" ca="1" si="1559"/>
        <v>#NAME?</v>
      </c>
      <c r="AM525" s="68">
        <f t="shared" si="1408"/>
        <v>13286</v>
      </c>
      <c r="AN525" s="69">
        <f t="shared" si="1409"/>
        <v>0.31754302103250481</v>
      </c>
      <c r="AO525" s="62"/>
      <c r="AP525" s="70">
        <f t="shared" ref="AP525:AT525" si="1593">H525/$AI525</f>
        <v>0.52994741873804974</v>
      </c>
      <c r="AQ525" s="70">
        <f t="shared" si="1593"/>
        <v>0.20207934990439771</v>
      </c>
      <c r="AR525" s="70">
        <f t="shared" si="1593"/>
        <v>0.21240439770554492</v>
      </c>
      <c r="AS525" s="70">
        <f t="shared" si="1593"/>
        <v>2.6720841300191204E-2</v>
      </c>
      <c r="AT525" s="70">
        <f t="shared" si="1593"/>
        <v>2.8847992351816443E-2</v>
      </c>
      <c r="AU525" s="70"/>
      <c r="AV525" s="70"/>
      <c r="AW525" s="81">
        <f t="shared" si="1561"/>
        <v>0</v>
      </c>
      <c r="AX525" s="70">
        <f t="shared" ref="AX525:BG525" si="1594">O525/$AI525</f>
        <v>0</v>
      </c>
      <c r="AY525" s="70">
        <f t="shared" si="1594"/>
        <v>0</v>
      </c>
      <c r="AZ525" s="70">
        <f t="shared" si="1594"/>
        <v>0</v>
      </c>
      <c r="BA525" s="70">
        <f t="shared" si="1594"/>
        <v>0</v>
      </c>
      <c r="BB525" s="70">
        <f t="shared" si="1594"/>
        <v>0</v>
      </c>
      <c r="BC525" s="70">
        <f t="shared" si="1594"/>
        <v>0</v>
      </c>
      <c r="BD525" s="70">
        <f t="shared" si="1594"/>
        <v>0</v>
      </c>
      <c r="BE525" s="70">
        <f t="shared" si="1594"/>
        <v>0</v>
      </c>
      <c r="BF525" s="70">
        <f t="shared" si="1594"/>
        <v>0</v>
      </c>
      <c r="BG525" s="70">
        <f t="shared" si="1594"/>
        <v>0</v>
      </c>
      <c r="BH525" s="70">
        <f t="shared" si="1563"/>
        <v>0</v>
      </c>
      <c r="BI525" s="62"/>
      <c r="BJ525" s="69">
        <v>0.441</v>
      </c>
      <c r="BK525" s="69">
        <v>0.48399999999999999</v>
      </c>
      <c r="BL525" s="69">
        <v>1.4999999999999999E-2</v>
      </c>
      <c r="BM525" s="69">
        <v>0.04</v>
      </c>
      <c r="BN525" s="69">
        <v>1.2E-2</v>
      </c>
      <c r="BO525" s="69">
        <v>0</v>
      </c>
      <c r="BP525" s="69">
        <v>0</v>
      </c>
      <c r="BQ525" s="69">
        <v>8.0000000000000002E-3</v>
      </c>
      <c r="BR525" s="62"/>
      <c r="BS525" s="72">
        <f t="shared" ref="BS525:BW525" si="1595">AP525-BJ525</f>
        <v>8.8947418738049733E-2</v>
      </c>
      <c r="BT525" s="72">
        <f t="shared" si="1595"/>
        <v>-0.2819206500956023</v>
      </c>
      <c r="BU525" s="72">
        <f t="shared" si="1595"/>
        <v>0.19740439770554491</v>
      </c>
      <c r="BV525" s="72">
        <f t="shared" si="1595"/>
        <v>-1.3279158699808797E-2</v>
      </c>
      <c r="BW525" s="72">
        <f t="shared" si="1595"/>
        <v>1.6847992351816443E-2</v>
      </c>
      <c r="BX525" s="72"/>
      <c r="BY525" s="72"/>
      <c r="BZ525" s="72">
        <f t="shared" si="1565"/>
        <v>-8.0000000000000002E-3</v>
      </c>
    </row>
    <row r="526" spans="1:78" ht="13.15">
      <c r="A526" s="78" t="s">
        <v>5</v>
      </c>
      <c r="B526" s="74" t="s">
        <v>1095</v>
      </c>
      <c r="C526" s="75" t="s">
        <v>1096</v>
      </c>
      <c r="D526" s="75" t="s">
        <v>50</v>
      </c>
      <c r="E526" s="76">
        <v>71955</v>
      </c>
      <c r="F526" s="59">
        <v>0.53</v>
      </c>
      <c r="G526" s="60"/>
      <c r="H526" s="77">
        <v>23484</v>
      </c>
      <c r="I526" s="77">
        <v>3507</v>
      </c>
      <c r="J526" s="77">
        <v>7059</v>
      </c>
      <c r="K526" s="77">
        <v>1593</v>
      </c>
      <c r="L526" s="77">
        <v>2058</v>
      </c>
      <c r="M526" s="77"/>
      <c r="N526" s="77"/>
      <c r="O526" s="77"/>
      <c r="P526" s="77">
        <v>415</v>
      </c>
      <c r="Q526" s="77"/>
      <c r="R526" s="77"/>
      <c r="S526" s="77"/>
      <c r="T526" s="77"/>
      <c r="U526" s="77"/>
      <c r="V526" s="77"/>
      <c r="W526" s="77"/>
      <c r="X526" s="77"/>
      <c r="Y526" s="77"/>
      <c r="Z526" s="77"/>
      <c r="AA526" s="77"/>
      <c r="AB526" s="77"/>
      <c r="AC526" s="77"/>
      <c r="AD526" s="77"/>
      <c r="AE526" s="62"/>
      <c r="AF526" s="63" t="b">
        <v>0</v>
      </c>
      <c r="AG526" s="63" t="b">
        <v>0</v>
      </c>
      <c r="AH526" s="62"/>
      <c r="AI526" s="64">
        <f t="shared" si="1557"/>
        <v>38116</v>
      </c>
      <c r="AJ526" s="65" t="str">
        <f t="shared" si="1116"/>
        <v>LAB</v>
      </c>
      <c r="AK526" s="66" t="str">
        <f t="shared" si="1558"/>
        <v>HOLD</v>
      </c>
      <c r="AL526" s="67" t="e">
        <f t="shared" ca="1" si="1559"/>
        <v>#NAME?</v>
      </c>
      <c r="AM526" s="68">
        <f t="shared" si="1408"/>
        <v>16425</v>
      </c>
      <c r="AN526" s="69">
        <f t="shared" si="1409"/>
        <v>0.43092139783817818</v>
      </c>
      <c r="AO526" s="62"/>
      <c r="AP526" s="70">
        <f t="shared" ref="AP526:AT526" si="1596">H526/$AI526</f>
        <v>0.61611921502780986</v>
      </c>
      <c r="AQ526" s="70">
        <f t="shared" si="1596"/>
        <v>9.200860531010599E-2</v>
      </c>
      <c r="AR526" s="70">
        <f t="shared" si="1596"/>
        <v>0.18519781718963166</v>
      </c>
      <c r="AS526" s="70">
        <f t="shared" si="1596"/>
        <v>4.1793472557456184E-2</v>
      </c>
      <c r="AT526" s="70">
        <f t="shared" si="1596"/>
        <v>5.3993073774792739E-2</v>
      </c>
      <c r="AU526" s="70"/>
      <c r="AV526" s="70"/>
      <c r="AW526" s="81">
        <f t="shared" si="1561"/>
        <v>1.088781614020351E-2</v>
      </c>
      <c r="AX526" s="70">
        <f t="shared" ref="AX526:BG526" si="1597">O526/$AI526</f>
        <v>0</v>
      </c>
      <c r="AY526" s="70">
        <f t="shared" si="1597"/>
        <v>1.088781614020359E-2</v>
      </c>
      <c r="AZ526" s="70">
        <f t="shared" si="1597"/>
        <v>0</v>
      </c>
      <c r="BA526" s="70">
        <f t="shared" si="1597"/>
        <v>0</v>
      </c>
      <c r="BB526" s="70">
        <f t="shared" si="1597"/>
        <v>0</v>
      </c>
      <c r="BC526" s="70">
        <f t="shared" si="1597"/>
        <v>0</v>
      </c>
      <c r="BD526" s="70">
        <f t="shared" si="1597"/>
        <v>0</v>
      </c>
      <c r="BE526" s="70">
        <f t="shared" si="1597"/>
        <v>0</v>
      </c>
      <c r="BF526" s="70">
        <f t="shared" si="1597"/>
        <v>0</v>
      </c>
      <c r="BG526" s="70">
        <f t="shared" si="1597"/>
        <v>0</v>
      </c>
      <c r="BH526" s="70">
        <f t="shared" si="1563"/>
        <v>-7.9797279894933126E-17</v>
      </c>
      <c r="BI526" s="62"/>
      <c r="BJ526" s="69">
        <v>0.66500000000000004</v>
      </c>
      <c r="BK526" s="69">
        <v>0.20799999999999999</v>
      </c>
      <c r="BL526" s="69">
        <v>7.5999999999999998E-2</v>
      </c>
      <c r="BM526" s="69">
        <v>2.8000000000000001E-2</v>
      </c>
      <c r="BN526" s="69">
        <v>2.3E-2</v>
      </c>
      <c r="BO526" s="69">
        <v>0</v>
      </c>
      <c r="BP526" s="69">
        <v>0</v>
      </c>
      <c r="BQ526" s="69">
        <v>0</v>
      </c>
      <c r="BR526" s="62"/>
      <c r="BS526" s="72">
        <f t="shared" ref="BS526:BW526" si="1598">AP526-BJ526</f>
        <v>-4.8880784972190172E-2</v>
      </c>
      <c r="BT526" s="72">
        <f t="shared" si="1598"/>
        <v>-0.115991394689894</v>
      </c>
      <c r="BU526" s="72">
        <f t="shared" si="1598"/>
        <v>0.10919781718963166</v>
      </c>
      <c r="BV526" s="72">
        <f t="shared" si="1598"/>
        <v>1.3793472557456183E-2</v>
      </c>
      <c r="BW526" s="72">
        <f t="shared" si="1598"/>
        <v>3.099307377479274E-2</v>
      </c>
      <c r="BX526" s="72"/>
      <c r="BY526" s="72"/>
      <c r="BZ526" s="72">
        <f t="shared" si="1565"/>
        <v>1.088781614020351E-2</v>
      </c>
    </row>
    <row r="527" spans="1:78" ht="13.15">
      <c r="A527" s="78" t="s">
        <v>5</v>
      </c>
      <c r="B527" s="74" t="s">
        <v>1097</v>
      </c>
      <c r="C527" s="75" t="s">
        <v>1098</v>
      </c>
      <c r="D527" s="75" t="s">
        <v>50</v>
      </c>
      <c r="E527" s="76"/>
      <c r="F527" s="59"/>
      <c r="G527" s="60"/>
      <c r="H527" s="77">
        <v>19401</v>
      </c>
      <c r="I527" s="77">
        <v>4310</v>
      </c>
      <c r="J527" s="77">
        <v>9852</v>
      </c>
      <c r="K527" s="77">
        <v>1692</v>
      </c>
      <c r="L527" s="77">
        <v>1629</v>
      </c>
      <c r="M527" s="77"/>
      <c r="N527" s="77"/>
      <c r="O527" s="77">
        <v>3522</v>
      </c>
      <c r="P527" s="77"/>
      <c r="Q527" s="77"/>
      <c r="R527" s="77"/>
      <c r="S527" s="77"/>
      <c r="T527" s="77"/>
      <c r="U527" s="77"/>
      <c r="V527" s="77"/>
      <c r="W527" s="77"/>
      <c r="X527" s="77"/>
      <c r="Y527" s="77">
        <v>406</v>
      </c>
      <c r="Z527" s="77">
        <v>87</v>
      </c>
      <c r="AA527" s="77"/>
      <c r="AB527" s="77"/>
      <c r="AC527" s="77"/>
      <c r="AD527" s="77"/>
      <c r="AE527" s="62"/>
      <c r="AF527" s="63" t="b">
        <v>0</v>
      </c>
      <c r="AG527" s="63" t="b">
        <v>0</v>
      </c>
      <c r="AH527" s="62"/>
      <c r="AI527" s="64">
        <f t="shared" si="1557"/>
        <v>40899</v>
      </c>
      <c r="AJ527" s="65" t="str">
        <f t="shared" si="1116"/>
        <v>LAB</v>
      </c>
      <c r="AK527" s="66" t="str">
        <f t="shared" si="1558"/>
        <v>HOLD</v>
      </c>
      <c r="AL527" s="67" t="e">
        <f t="shared" ca="1" si="1559"/>
        <v>#NAME?</v>
      </c>
      <c r="AM527" s="68">
        <f t="shared" si="1408"/>
        <v>9549</v>
      </c>
      <c r="AN527" s="69">
        <f t="shared" si="1409"/>
        <v>0.23347759113914765</v>
      </c>
      <c r="AO527" s="62"/>
      <c r="AP527" s="70">
        <f t="shared" ref="AP527:AT527" si="1599">H527/$AI527</f>
        <v>0.47436367637350546</v>
      </c>
      <c r="AQ527" s="70">
        <f t="shared" si="1599"/>
        <v>0.10538154967114111</v>
      </c>
      <c r="AR527" s="70">
        <f t="shared" si="1599"/>
        <v>0.24088608523435781</v>
      </c>
      <c r="AS527" s="70">
        <f t="shared" si="1599"/>
        <v>4.1370204650480455E-2</v>
      </c>
      <c r="AT527" s="70">
        <f t="shared" si="1599"/>
        <v>3.9829824690090221E-2</v>
      </c>
      <c r="AU527" s="70"/>
      <c r="AV527" s="70"/>
      <c r="AW527" s="81">
        <f t="shared" si="1561"/>
        <v>9.8168659380424961E-2</v>
      </c>
      <c r="AX527" s="70">
        <f t="shared" ref="AX527:BG527" si="1600">O527/$AI527</f>
        <v>8.611457492848236E-2</v>
      </c>
      <c r="AY527" s="70">
        <f t="shared" si="1600"/>
        <v>0</v>
      </c>
      <c r="AZ527" s="70">
        <f t="shared" si="1600"/>
        <v>0</v>
      </c>
      <c r="BA527" s="70">
        <f t="shared" si="1600"/>
        <v>0</v>
      </c>
      <c r="BB527" s="70">
        <f t="shared" si="1600"/>
        <v>0</v>
      </c>
      <c r="BC527" s="70">
        <f t="shared" si="1600"/>
        <v>0</v>
      </c>
      <c r="BD527" s="70">
        <f t="shared" si="1600"/>
        <v>0</v>
      </c>
      <c r="BE527" s="70">
        <f t="shared" si="1600"/>
        <v>0</v>
      </c>
      <c r="BF527" s="70">
        <f t="shared" si="1600"/>
        <v>0</v>
      </c>
      <c r="BG527" s="70">
        <f t="shared" si="1600"/>
        <v>0</v>
      </c>
      <c r="BH527" s="70">
        <f t="shared" si="1563"/>
        <v>1.2054084451942601E-2</v>
      </c>
      <c r="BI527" s="62"/>
      <c r="BJ527" s="69">
        <v>0.46700000000000003</v>
      </c>
      <c r="BK527" s="69">
        <v>0.318</v>
      </c>
      <c r="BL527" s="69">
        <v>0.13200000000000001</v>
      </c>
      <c r="BM527" s="69">
        <v>5.3999999999999999E-2</v>
      </c>
      <c r="BN527" s="69">
        <v>2.9000000000000001E-2</v>
      </c>
      <c r="BO527" s="69">
        <v>0</v>
      </c>
      <c r="BP527" s="69">
        <v>0</v>
      </c>
      <c r="BQ527" s="69">
        <v>0</v>
      </c>
      <c r="BR527" s="62"/>
      <c r="BS527" s="72">
        <f t="shared" ref="BS527:BW527" si="1601">AP527-BJ527</f>
        <v>7.3636763735054345E-3</v>
      </c>
      <c r="BT527" s="72">
        <f t="shared" si="1601"/>
        <v>-0.2126184503288589</v>
      </c>
      <c r="BU527" s="72">
        <f t="shared" si="1601"/>
        <v>0.1088860852343578</v>
      </c>
      <c r="BV527" s="72">
        <f t="shared" si="1601"/>
        <v>-1.2629795349519544E-2</v>
      </c>
      <c r="BW527" s="72">
        <f t="shared" si="1601"/>
        <v>1.0829824690090219E-2</v>
      </c>
      <c r="BX527" s="72"/>
      <c r="BY527" s="72"/>
      <c r="BZ527" s="72">
        <f t="shared" si="1565"/>
        <v>9.8168659380424961E-2</v>
      </c>
    </row>
    <row r="528" spans="1:78" ht="13.15">
      <c r="A528" s="73" t="s">
        <v>6</v>
      </c>
      <c r="B528" s="74" t="s">
        <v>1099</v>
      </c>
      <c r="C528" s="75" t="s">
        <v>1100</v>
      </c>
      <c r="D528" s="75" t="s">
        <v>68</v>
      </c>
      <c r="E528" s="76"/>
      <c r="F528" s="59"/>
      <c r="G528" s="60"/>
      <c r="H528" s="77">
        <v>11733</v>
      </c>
      <c r="I528" s="77">
        <v>12180</v>
      </c>
      <c r="J528" s="77">
        <v>3221</v>
      </c>
      <c r="K528" s="77">
        <v>24790</v>
      </c>
      <c r="L528" s="77">
        <v>2442</v>
      </c>
      <c r="M528" s="77"/>
      <c r="N528" s="77"/>
      <c r="O528" s="77">
        <v>129</v>
      </c>
      <c r="P528" s="77">
        <v>341</v>
      </c>
      <c r="Q528" s="77"/>
      <c r="R528" s="77"/>
      <c r="S528" s="77"/>
      <c r="T528" s="77"/>
      <c r="U528" s="77"/>
      <c r="V528" s="77"/>
      <c r="W528" s="77"/>
      <c r="X528" s="77"/>
      <c r="Y528" s="77">
        <v>80</v>
      </c>
      <c r="Z528" s="77">
        <v>69</v>
      </c>
      <c r="AA528" s="77"/>
      <c r="AB528" s="77"/>
      <c r="AC528" s="77"/>
      <c r="AD528" s="77"/>
      <c r="AE528" s="62"/>
      <c r="AF528" s="63" t="b">
        <v>0</v>
      </c>
      <c r="AG528" s="63" t="b">
        <v>0</v>
      </c>
      <c r="AH528" s="62"/>
      <c r="AI528" s="64">
        <f t="shared" si="1557"/>
        <v>54985</v>
      </c>
      <c r="AJ528" s="65" t="str">
        <f t="shared" si="1116"/>
        <v>LDM</v>
      </c>
      <c r="AK528" s="66" t="str">
        <f t="shared" si="1558"/>
        <v>GAIN</v>
      </c>
      <c r="AL528" s="67" t="e">
        <f t="shared" ca="1" si="1559"/>
        <v>#NAME?</v>
      </c>
      <c r="AM528" s="68">
        <f t="shared" si="1408"/>
        <v>12610</v>
      </c>
      <c r="AN528" s="69">
        <f t="shared" si="1409"/>
        <v>0.22933527325634265</v>
      </c>
      <c r="AO528" s="62"/>
      <c r="AP528" s="70">
        <f t="shared" ref="AP528:AT528" si="1602">H528/$AI528</f>
        <v>0.21338546876420841</v>
      </c>
      <c r="AQ528" s="70">
        <f t="shared" si="1602"/>
        <v>0.22151495862507956</v>
      </c>
      <c r="AR528" s="70">
        <f t="shared" si="1602"/>
        <v>5.8579612621624082E-2</v>
      </c>
      <c r="AS528" s="70">
        <f t="shared" si="1602"/>
        <v>0.4508502318814222</v>
      </c>
      <c r="AT528" s="70">
        <f t="shared" si="1602"/>
        <v>4.4412112394289355E-2</v>
      </c>
      <c r="AU528" s="70"/>
      <c r="AV528" s="70"/>
      <c r="AW528" s="81">
        <f t="shared" si="1561"/>
        <v>1.1257615713376357E-2</v>
      </c>
      <c r="AX528" s="70">
        <f t="shared" ref="AX528:BG528" si="1603">O528/$AI528</f>
        <v>2.3460943893789214E-3</v>
      </c>
      <c r="AY528" s="70">
        <f t="shared" si="1603"/>
        <v>6.2016913703737383E-3</v>
      </c>
      <c r="AZ528" s="70">
        <f t="shared" si="1603"/>
        <v>0</v>
      </c>
      <c r="BA528" s="70">
        <f t="shared" si="1603"/>
        <v>0</v>
      </c>
      <c r="BB528" s="70">
        <f t="shared" si="1603"/>
        <v>0</v>
      </c>
      <c r="BC528" s="70">
        <f t="shared" si="1603"/>
        <v>0</v>
      </c>
      <c r="BD528" s="70">
        <f t="shared" si="1603"/>
        <v>0</v>
      </c>
      <c r="BE528" s="70">
        <f t="shared" si="1603"/>
        <v>0</v>
      </c>
      <c r="BF528" s="70">
        <f t="shared" si="1603"/>
        <v>0</v>
      </c>
      <c r="BG528" s="70">
        <f t="shared" si="1603"/>
        <v>0</v>
      </c>
      <c r="BH528" s="70">
        <f t="shared" si="1563"/>
        <v>2.7098299536236978E-3</v>
      </c>
      <c r="BI528" s="62"/>
      <c r="BJ528" s="69">
        <v>0.20799999999999999</v>
      </c>
      <c r="BK528" s="69">
        <v>0.39800000000000002</v>
      </c>
      <c r="BL528" s="69">
        <v>2E-3</v>
      </c>
      <c r="BM528" s="69">
        <v>0.38300000000000001</v>
      </c>
      <c r="BN528" s="69">
        <v>2E-3</v>
      </c>
      <c r="BO528" s="69">
        <v>0</v>
      </c>
      <c r="BP528" s="69">
        <v>0</v>
      </c>
      <c r="BQ528" s="69">
        <v>6.0000000000000001E-3</v>
      </c>
      <c r="BR528" s="62"/>
      <c r="BS528" s="72">
        <f t="shared" ref="BS528:BW528" si="1604">AP528-BJ528</f>
        <v>5.3854687642084231E-3</v>
      </c>
      <c r="BT528" s="72">
        <f t="shared" si="1604"/>
        <v>-0.17648504137492046</v>
      </c>
      <c r="BU528" s="72">
        <f t="shared" si="1604"/>
        <v>5.657961262162408E-2</v>
      </c>
      <c r="BV528" s="72">
        <f t="shared" si="1604"/>
        <v>6.7850231881422196E-2</v>
      </c>
      <c r="BW528" s="72">
        <f t="shared" si="1604"/>
        <v>4.2412112394289353E-2</v>
      </c>
      <c r="BX528" s="72"/>
      <c r="BY528" s="72"/>
      <c r="BZ528" s="72">
        <f t="shared" si="1565"/>
        <v>5.2576157133763565E-3</v>
      </c>
    </row>
    <row r="529" spans="1:78" ht="13.15">
      <c r="A529" s="73" t="s">
        <v>6</v>
      </c>
      <c r="B529" s="74" t="s">
        <v>1101</v>
      </c>
      <c r="C529" s="75" t="s">
        <v>1102</v>
      </c>
      <c r="D529" s="75" t="s">
        <v>44</v>
      </c>
      <c r="E529" s="76"/>
      <c r="F529" s="59"/>
      <c r="G529" s="60"/>
      <c r="H529" s="77">
        <v>3023</v>
      </c>
      <c r="I529" s="77">
        <v>16118</v>
      </c>
      <c r="J529" s="77">
        <v>4797</v>
      </c>
      <c r="K529" s="77">
        <v>29939</v>
      </c>
      <c r="L529" s="77">
        <v>2740</v>
      </c>
      <c r="M529" s="77"/>
      <c r="N529" s="77"/>
      <c r="O529" s="77">
        <v>142</v>
      </c>
      <c r="P529" s="77"/>
      <c r="Q529" s="77">
        <v>146</v>
      </c>
      <c r="R529" s="77">
        <v>44</v>
      </c>
      <c r="S529" s="77"/>
      <c r="T529" s="77"/>
      <c r="U529" s="77"/>
      <c r="V529" s="77"/>
      <c r="W529" s="77"/>
      <c r="X529" s="77"/>
      <c r="Y529" s="77">
        <v>127</v>
      </c>
      <c r="Z529" s="77"/>
      <c r="AA529" s="77"/>
      <c r="AB529" s="77"/>
      <c r="AC529" s="77"/>
      <c r="AD529" s="77"/>
      <c r="AE529" s="62"/>
      <c r="AF529" s="63" t="b">
        <v>0</v>
      </c>
      <c r="AG529" s="63" t="b">
        <v>0</v>
      </c>
      <c r="AH529" s="62"/>
      <c r="AI529" s="64">
        <f t="shared" si="1557"/>
        <v>57076</v>
      </c>
      <c r="AJ529" s="65" t="str">
        <f t="shared" si="1116"/>
        <v>LDM</v>
      </c>
      <c r="AK529" s="66" t="str">
        <f t="shared" si="1558"/>
        <v>GAIN</v>
      </c>
      <c r="AL529" s="67" t="e">
        <f t="shared" ca="1" si="1559"/>
        <v>#NAME?</v>
      </c>
      <c r="AM529" s="68">
        <f t="shared" si="1408"/>
        <v>13821</v>
      </c>
      <c r="AN529" s="69">
        <f t="shared" si="1409"/>
        <v>0.2421508164552526</v>
      </c>
      <c r="AO529" s="62"/>
      <c r="AP529" s="70">
        <f t="shared" ref="AP529:AT529" si="1605">H529/$AI529</f>
        <v>5.296446842806083E-2</v>
      </c>
      <c r="AQ529" s="70">
        <f t="shared" si="1605"/>
        <v>0.28239540262106666</v>
      </c>
      <c r="AR529" s="70">
        <f t="shared" si="1605"/>
        <v>8.4045833625341654E-2</v>
      </c>
      <c r="AS529" s="70">
        <f t="shared" si="1605"/>
        <v>0.52454621907631926</v>
      </c>
      <c r="AT529" s="70">
        <f t="shared" si="1605"/>
        <v>4.8006167215642298E-2</v>
      </c>
      <c r="AU529" s="70"/>
      <c r="AV529" s="70"/>
      <c r="AW529" s="81">
        <f t="shared" si="1561"/>
        <v>8.0419090335692722E-3</v>
      </c>
      <c r="AX529" s="70">
        <f t="shared" ref="AX529:BG529" si="1606">O529/$AI529</f>
        <v>2.4879108557011704E-3</v>
      </c>
      <c r="AY529" s="70">
        <f t="shared" si="1606"/>
        <v>0</v>
      </c>
      <c r="AZ529" s="70">
        <f t="shared" si="1606"/>
        <v>2.5579928516364144E-3</v>
      </c>
      <c r="BA529" s="70">
        <f t="shared" si="1606"/>
        <v>7.7090195528768657E-4</v>
      </c>
      <c r="BB529" s="70">
        <f t="shared" si="1606"/>
        <v>0</v>
      </c>
      <c r="BC529" s="70">
        <f t="shared" si="1606"/>
        <v>0</v>
      </c>
      <c r="BD529" s="70">
        <f t="shared" si="1606"/>
        <v>0</v>
      </c>
      <c r="BE529" s="70">
        <f t="shared" si="1606"/>
        <v>0</v>
      </c>
      <c r="BF529" s="70">
        <f t="shared" si="1606"/>
        <v>0</v>
      </c>
      <c r="BG529" s="70">
        <f t="shared" si="1606"/>
        <v>0</v>
      </c>
      <c r="BH529" s="70">
        <f t="shared" si="1563"/>
        <v>2.2251033709440003E-3</v>
      </c>
      <c r="BI529" s="62"/>
      <c r="BJ529" s="69">
        <v>4.8000000000000001E-2</v>
      </c>
      <c r="BK529" s="69">
        <v>0.54</v>
      </c>
      <c r="BL529" s="69">
        <v>0</v>
      </c>
      <c r="BM529" s="69">
        <v>0.39900000000000002</v>
      </c>
      <c r="BN529" s="69">
        <v>8.9999999999999993E-3</v>
      </c>
      <c r="BO529" s="69">
        <v>0</v>
      </c>
      <c r="BP529" s="69">
        <v>0</v>
      </c>
      <c r="BQ529" s="69">
        <v>5.0000000000000001E-3</v>
      </c>
      <c r="BR529" s="62"/>
      <c r="BS529" s="72">
        <f t="shared" ref="BS529:BW529" si="1607">AP529-BJ529</f>
        <v>4.9644684280608295E-3</v>
      </c>
      <c r="BT529" s="72">
        <f t="shared" si="1607"/>
        <v>-0.25760459737893338</v>
      </c>
      <c r="BU529" s="72">
        <f t="shared" si="1607"/>
        <v>8.4045833625341654E-2</v>
      </c>
      <c r="BV529" s="72">
        <f t="shared" si="1607"/>
        <v>0.12554621907631924</v>
      </c>
      <c r="BW529" s="72">
        <f t="shared" si="1607"/>
        <v>3.9006167215642297E-2</v>
      </c>
      <c r="BX529" s="72"/>
      <c r="BY529" s="72"/>
      <c r="BZ529" s="72">
        <f t="shared" si="1565"/>
        <v>3.0419090335692721E-3</v>
      </c>
    </row>
    <row r="530" spans="1:78" ht="13.15">
      <c r="A530" s="73" t="s">
        <v>6</v>
      </c>
      <c r="B530" s="74" t="s">
        <v>1103</v>
      </c>
      <c r="C530" s="75" t="s">
        <v>1104</v>
      </c>
      <c r="D530" s="75" t="s">
        <v>44</v>
      </c>
      <c r="E530" s="76"/>
      <c r="F530" s="59"/>
      <c r="G530" s="60"/>
      <c r="H530" s="77">
        <v>10026</v>
      </c>
      <c r="I530" s="77">
        <v>16483</v>
      </c>
      <c r="J530" s="77">
        <v>4660</v>
      </c>
      <c r="K530" s="77">
        <v>9539</v>
      </c>
      <c r="L530" s="77">
        <v>2288</v>
      </c>
      <c r="M530" s="77"/>
      <c r="N530" s="77"/>
      <c r="O530" s="77">
        <v>1629</v>
      </c>
      <c r="P530" s="77">
        <v>621</v>
      </c>
      <c r="Q530" s="77"/>
      <c r="R530" s="77"/>
      <c r="S530" s="77"/>
      <c r="T530" s="77"/>
      <c r="U530" s="77"/>
      <c r="V530" s="77"/>
      <c r="W530" s="77"/>
      <c r="X530" s="77"/>
      <c r="Y530" s="77"/>
      <c r="Z530" s="77"/>
      <c r="AA530" s="77"/>
      <c r="AB530" s="77"/>
      <c r="AC530" s="77"/>
      <c r="AD530" s="77"/>
      <c r="AE530" s="62"/>
      <c r="AF530" s="63" t="b">
        <v>0</v>
      </c>
      <c r="AG530" s="63" t="b">
        <v>0</v>
      </c>
      <c r="AH530" s="62"/>
      <c r="AI530" s="64">
        <f t="shared" si="1557"/>
        <v>45246</v>
      </c>
      <c r="AJ530" s="65" t="str">
        <f t="shared" si="1116"/>
        <v>CON</v>
      </c>
      <c r="AK530" s="66" t="str">
        <f t="shared" si="1558"/>
        <v>HOLD</v>
      </c>
      <c r="AL530" s="67" t="e">
        <f t="shared" ca="1" si="1559"/>
        <v>#NAME?</v>
      </c>
      <c r="AM530" s="68">
        <f t="shared" si="1408"/>
        <v>6457</v>
      </c>
      <c r="AN530" s="69">
        <f t="shared" si="1409"/>
        <v>0.14270874773460637</v>
      </c>
      <c r="AO530" s="62"/>
      <c r="AP530" s="70">
        <f t="shared" ref="AP530:AT530" si="1608">H530/$AI530</f>
        <v>0.22158864872032888</v>
      </c>
      <c r="AQ530" s="70">
        <f t="shared" si="1608"/>
        <v>0.36429739645493525</v>
      </c>
      <c r="AR530" s="70">
        <f t="shared" si="1608"/>
        <v>0.10299252972638465</v>
      </c>
      <c r="AS530" s="70">
        <f t="shared" si="1608"/>
        <v>0.21082526632188481</v>
      </c>
      <c r="AT530" s="70">
        <f t="shared" si="1608"/>
        <v>5.0568006011581138E-2</v>
      </c>
      <c r="AU530" s="70"/>
      <c r="AV530" s="70"/>
      <c r="AW530" s="81">
        <f t="shared" si="1561"/>
        <v>4.9728152764885292E-2</v>
      </c>
      <c r="AX530" s="70">
        <f t="shared" ref="AX530:BG530" si="1609">O530/$AI530</f>
        <v>3.6003182601776949E-2</v>
      </c>
      <c r="AY530" s="70">
        <f t="shared" si="1609"/>
        <v>1.3724970163108341E-2</v>
      </c>
      <c r="AZ530" s="70">
        <f t="shared" si="1609"/>
        <v>0</v>
      </c>
      <c r="BA530" s="70">
        <f t="shared" si="1609"/>
        <v>0</v>
      </c>
      <c r="BB530" s="70">
        <f t="shared" si="1609"/>
        <v>0</v>
      </c>
      <c r="BC530" s="70">
        <f t="shared" si="1609"/>
        <v>0</v>
      </c>
      <c r="BD530" s="70">
        <f t="shared" si="1609"/>
        <v>0</v>
      </c>
      <c r="BE530" s="70">
        <f t="shared" si="1609"/>
        <v>0</v>
      </c>
      <c r="BF530" s="70">
        <f t="shared" si="1609"/>
        <v>0</v>
      </c>
      <c r="BG530" s="70">
        <f t="shared" si="1609"/>
        <v>0</v>
      </c>
      <c r="BH530" s="70">
        <f t="shared" si="1563"/>
        <v>0</v>
      </c>
      <c r="BI530" s="62"/>
      <c r="BJ530" s="69">
        <v>0.19600000000000001</v>
      </c>
      <c r="BK530" s="69">
        <v>0.56000000000000005</v>
      </c>
      <c r="BL530" s="69">
        <v>3.0000000000000001E-3</v>
      </c>
      <c r="BM530" s="69">
        <v>0.189</v>
      </c>
      <c r="BN530" s="69">
        <v>3.5000000000000003E-2</v>
      </c>
      <c r="BO530" s="69">
        <v>0</v>
      </c>
      <c r="BP530" s="69">
        <v>0</v>
      </c>
      <c r="BQ530" s="69">
        <v>1.7999999999999999E-2</v>
      </c>
      <c r="BR530" s="62"/>
      <c r="BS530" s="72">
        <f t="shared" ref="BS530:BW530" si="1610">AP530-BJ530</f>
        <v>2.5588648720328871E-2</v>
      </c>
      <c r="BT530" s="72">
        <f t="shared" si="1610"/>
        <v>-0.1957026035450648</v>
      </c>
      <c r="BU530" s="72">
        <f t="shared" si="1610"/>
        <v>9.9992529726384644E-2</v>
      </c>
      <c r="BV530" s="72">
        <f t="shared" si="1610"/>
        <v>2.1825266321884806E-2</v>
      </c>
      <c r="BW530" s="72">
        <f t="shared" si="1610"/>
        <v>1.5568006011581134E-2</v>
      </c>
      <c r="BX530" s="72"/>
      <c r="BY530" s="72"/>
      <c r="BZ530" s="72">
        <f t="shared" si="1565"/>
        <v>3.172815276488529E-2</v>
      </c>
    </row>
    <row r="531" spans="1:78" ht="13.15">
      <c r="A531" s="73" t="s">
        <v>5</v>
      </c>
      <c r="B531" s="74" t="s">
        <v>1105</v>
      </c>
      <c r="C531" s="75" t="s">
        <v>1106</v>
      </c>
      <c r="D531" s="75" t="s">
        <v>50</v>
      </c>
      <c r="E531" s="76"/>
      <c r="F531" s="59"/>
      <c r="G531" s="60"/>
      <c r="H531" s="77">
        <v>23156</v>
      </c>
      <c r="I531" s="77">
        <v>13158</v>
      </c>
      <c r="J531" s="77">
        <v>6422</v>
      </c>
      <c r="K531" s="77">
        <v>3055</v>
      </c>
      <c r="L531" s="77">
        <v>4160</v>
      </c>
      <c r="M531" s="77"/>
      <c r="N531" s="77"/>
      <c r="O531" s="77"/>
      <c r="P531" s="77"/>
      <c r="Q531" s="77"/>
      <c r="R531" s="77"/>
      <c r="S531" s="77"/>
      <c r="T531" s="77"/>
      <c r="U531" s="77"/>
      <c r="V531" s="77"/>
      <c r="W531" s="77"/>
      <c r="X531" s="77"/>
      <c r="Y531" s="77"/>
      <c r="Z531" s="77"/>
      <c r="AA531" s="77"/>
      <c r="AB531" s="77"/>
      <c r="AC531" s="77"/>
      <c r="AD531" s="77"/>
      <c r="AE531" s="62"/>
      <c r="AF531" s="63" t="b">
        <v>0</v>
      </c>
      <c r="AG531" s="63" t="b">
        <v>0</v>
      </c>
      <c r="AH531" s="62"/>
      <c r="AI531" s="64">
        <f t="shared" si="1557"/>
        <v>49951</v>
      </c>
      <c r="AJ531" s="65" t="str">
        <f t="shared" si="1116"/>
        <v>LAB</v>
      </c>
      <c r="AK531" s="66" t="str">
        <f t="shared" si="1558"/>
        <v>HOLD</v>
      </c>
      <c r="AL531" s="67" t="e">
        <f t="shared" ca="1" si="1559"/>
        <v>#NAME?</v>
      </c>
      <c r="AM531" s="68">
        <f t="shared" si="1408"/>
        <v>9998</v>
      </c>
      <c r="AN531" s="69">
        <f t="shared" si="1409"/>
        <v>0.20015615302996936</v>
      </c>
      <c r="AO531" s="62"/>
      <c r="AP531" s="70">
        <f t="shared" ref="AP531:AT531" si="1611">H531/$AI531</f>
        <v>0.46357430281676043</v>
      </c>
      <c r="AQ531" s="70">
        <f t="shared" si="1611"/>
        <v>0.26341814978679107</v>
      </c>
      <c r="AR531" s="70">
        <f t="shared" si="1611"/>
        <v>0.12856599467478128</v>
      </c>
      <c r="AS531" s="70">
        <f t="shared" si="1611"/>
        <v>6.115993673800324E-2</v>
      </c>
      <c r="AT531" s="70">
        <f t="shared" si="1611"/>
        <v>8.3281615983663987E-2</v>
      </c>
      <c r="AU531" s="70"/>
      <c r="AV531" s="70"/>
      <c r="AW531" s="81">
        <f t="shared" si="1561"/>
        <v>0</v>
      </c>
      <c r="AX531" s="70">
        <f t="shared" ref="AX531:BG531" si="1612">O531/$AI531</f>
        <v>0</v>
      </c>
      <c r="AY531" s="70">
        <f t="shared" si="1612"/>
        <v>0</v>
      </c>
      <c r="AZ531" s="70">
        <f t="shared" si="1612"/>
        <v>0</v>
      </c>
      <c r="BA531" s="70">
        <f t="shared" si="1612"/>
        <v>0</v>
      </c>
      <c r="BB531" s="70">
        <f t="shared" si="1612"/>
        <v>0</v>
      </c>
      <c r="BC531" s="70">
        <f t="shared" si="1612"/>
        <v>0</v>
      </c>
      <c r="BD531" s="70">
        <f t="shared" si="1612"/>
        <v>0</v>
      </c>
      <c r="BE531" s="70">
        <f t="shared" si="1612"/>
        <v>0</v>
      </c>
      <c r="BF531" s="70">
        <f t="shared" si="1612"/>
        <v>0</v>
      </c>
      <c r="BG531" s="70">
        <f t="shared" si="1612"/>
        <v>0</v>
      </c>
      <c r="BH531" s="70">
        <f t="shared" si="1563"/>
        <v>0</v>
      </c>
      <c r="BI531" s="62"/>
      <c r="BJ531" s="69">
        <v>0.45200000000000001</v>
      </c>
      <c r="BK531" s="69">
        <v>0.44400000000000001</v>
      </c>
      <c r="BL531" s="69">
        <v>2.1999999999999999E-2</v>
      </c>
      <c r="BM531" s="69">
        <v>5.7000000000000002E-2</v>
      </c>
      <c r="BN531" s="69">
        <v>2.5000000000000001E-2</v>
      </c>
      <c r="BO531" s="69">
        <v>0</v>
      </c>
      <c r="BP531" s="69">
        <v>0</v>
      </c>
      <c r="BQ531" s="69">
        <v>0</v>
      </c>
      <c r="BR531" s="62"/>
      <c r="BS531" s="72">
        <f t="shared" ref="BS531:BW531" si="1613">AP531-BJ531</f>
        <v>1.1574302816760418E-2</v>
      </c>
      <c r="BT531" s="72">
        <f t="shared" si="1613"/>
        <v>-0.18058185021320894</v>
      </c>
      <c r="BU531" s="72">
        <f t="shared" si="1613"/>
        <v>0.10656599467478128</v>
      </c>
      <c r="BV531" s="72">
        <f t="shared" si="1613"/>
        <v>4.1599367380032379E-3</v>
      </c>
      <c r="BW531" s="72">
        <f t="shared" si="1613"/>
        <v>5.8281615983663985E-2</v>
      </c>
      <c r="BX531" s="72"/>
      <c r="BY531" s="72"/>
      <c r="BZ531" s="72">
        <f t="shared" si="1565"/>
        <v>0</v>
      </c>
    </row>
    <row r="532" spans="1:78" ht="13.15">
      <c r="A532" s="73" t="s">
        <v>6</v>
      </c>
      <c r="B532" s="74" t="s">
        <v>1107</v>
      </c>
      <c r="C532" s="75" t="s">
        <v>1108</v>
      </c>
      <c r="D532" s="75" t="s">
        <v>78</v>
      </c>
      <c r="E532" s="76"/>
      <c r="F532" s="59"/>
      <c r="G532" s="60"/>
      <c r="H532" s="77">
        <v>13682</v>
      </c>
      <c r="I532" s="77">
        <v>18827</v>
      </c>
      <c r="J532" s="77">
        <v>9870</v>
      </c>
      <c r="K532" s="77">
        <v>3439</v>
      </c>
      <c r="L532" s="77">
        <v>3539</v>
      </c>
      <c r="M532" s="77"/>
      <c r="N532" s="77"/>
      <c r="O532" s="77">
        <v>1246</v>
      </c>
      <c r="P532" s="77"/>
      <c r="Q532" s="77"/>
      <c r="R532" s="77"/>
      <c r="S532" s="77"/>
      <c r="T532" s="77"/>
      <c r="U532" s="77"/>
      <c r="V532" s="77"/>
      <c r="W532" s="77"/>
      <c r="X532" s="77"/>
      <c r="Y532" s="77"/>
      <c r="Z532" s="77"/>
      <c r="AA532" s="77"/>
      <c r="AB532" s="77"/>
      <c r="AC532" s="77"/>
      <c r="AD532" s="77"/>
      <c r="AE532" s="62"/>
      <c r="AF532" s="63" t="b">
        <v>0</v>
      </c>
      <c r="AG532" s="63" t="b">
        <v>0</v>
      </c>
      <c r="AH532" s="62"/>
      <c r="AI532" s="64">
        <f t="shared" si="1557"/>
        <v>50603</v>
      </c>
      <c r="AJ532" s="65" t="str">
        <f t="shared" si="1116"/>
        <v>CON</v>
      </c>
      <c r="AK532" s="66" t="str">
        <f t="shared" si="1558"/>
        <v>HOLD</v>
      </c>
      <c r="AL532" s="67" t="e">
        <f t="shared" ca="1" si="1559"/>
        <v>#NAME?</v>
      </c>
      <c r="AM532" s="68">
        <f t="shared" si="1408"/>
        <v>5145</v>
      </c>
      <c r="AN532" s="69">
        <f t="shared" si="1409"/>
        <v>0.10167381380550561</v>
      </c>
      <c r="AO532" s="62"/>
      <c r="AP532" s="70">
        <f t="shared" ref="AP532:AT532" si="1614">H532/$AI532</f>
        <v>0.27037922652807145</v>
      </c>
      <c r="AQ532" s="70">
        <f t="shared" si="1614"/>
        <v>0.37205304033357706</v>
      </c>
      <c r="AR532" s="70">
        <f t="shared" si="1614"/>
        <v>0.19504772444321483</v>
      </c>
      <c r="AS532" s="70">
        <f t="shared" si="1614"/>
        <v>6.7960397604885092E-2</v>
      </c>
      <c r="AT532" s="70">
        <f t="shared" si="1614"/>
        <v>6.9936565025788988E-2</v>
      </c>
      <c r="AU532" s="70"/>
      <c r="AV532" s="70"/>
      <c r="AW532" s="81">
        <f t="shared" si="1561"/>
        <v>2.4623046064462528E-2</v>
      </c>
      <c r="AX532" s="70">
        <f t="shared" ref="AX532:BG532" si="1615">O532/$AI532</f>
        <v>2.462304606446258E-2</v>
      </c>
      <c r="AY532" s="70">
        <f t="shared" si="1615"/>
        <v>0</v>
      </c>
      <c r="AZ532" s="70">
        <f t="shared" si="1615"/>
        <v>0</v>
      </c>
      <c r="BA532" s="70">
        <f t="shared" si="1615"/>
        <v>0</v>
      </c>
      <c r="BB532" s="70">
        <f t="shared" si="1615"/>
        <v>0</v>
      </c>
      <c r="BC532" s="70">
        <f t="shared" si="1615"/>
        <v>0</v>
      </c>
      <c r="BD532" s="70">
        <f t="shared" si="1615"/>
        <v>0</v>
      </c>
      <c r="BE532" s="70">
        <f t="shared" si="1615"/>
        <v>0</v>
      </c>
      <c r="BF532" s="70">
        <f t="shared" si="1615"/>
        <v>0</v>
      </c>
      <c r="BG532" s="70">
        <f t="shared" si="1615"/>
        <v>0</v>
      </c>
      <c r="BH532" s="70">
        <f t="shared" si="1563"/>
        <v>-5.2041704279304213E-17</v>
      </c>
      <c r="BI532" s="62"/>
      <c r="BJ532" s="69">
        <v>0.17499999999999999</v>
      </c>
      <c r="BK532" s="69">
        <v>0.66700000000000004</v>
      </c>
      <c r="BL532" s="69">
        <v>0</v>
      </c>
      <c r="BM532" s="69">
        <v>0.1</v>
      </c>
      <c r="BN532" s="69">
        <v>5.8000000000000003E-2</v>
      </c>
      <c r="BO532" s="69">
        <v>0</v>
      </c>
      <c r="BP532" s="69">
        <v>0</v>
      </c>
      <c r="BQ532" s="69">
        <v>0</v>
      </c>
      <c r="BR532" s="62"/>
      <c r="BS532" s="72">
        <f t="shared" ref="BS532:BW532" si="1616">AP532-BJ532</f>
        <v>9.5379226528071459E-2</v>
      </c>
      <c r="BT532" s="72">
        <f t="shared" si="1616"/>
        <v>-0.29494695966642298</v>
      </c>
      <c r="BU532" s="72">
        <f t="shared" si="1616"/>
        <v>0.19504772444321483</v>
      </c>
      <c r="BV532" s="72">
        <f t="shared" si="1616"/>
        <v>-3.2039602395114913E-2</v>
      </c>
      <c r="BW532" s="72">
        <f t="shared" si="1616"/>
        <v>1.1936565025788985E-2</v>
      </c>
      <c r="BX532" s="72"/>
      <c r="BY532" s="72"/>
      <c r="BZ532" s="72">
        <f t="shared" si="1565"/>
        <v>2.4623046064462528E-2</v>
      </c>
    </row>
    <row r="533" spans="1:78" ht="13.15">
      <c r="A533" s="73" t="s">
        <v>6</v>
      </c>
      <c r="B533" s="74" t="s">
        <v>1109</v>
      </c>
      <c r="C533" s="75" t="s">
        <v>1110</v>
      </c>
      <c r="D533" s="75" t="s">
        <v>44</v>
      </c>
      <c r="E533" s="76"/>
      <c r="F533" s="59"/>
      <c r="G533" s="60"/>
      <c r="H533" s="77">
        <v>4773</v>
      </c>
      <c r="I533" s="77">
        <v>16493</v>
      </c>
      <c r="J533" s="77">
        <v>6307</v>
      </c>
      <c r="K533" s="77">
        <v>20832</v>
      </c>
      <c r="L533" s="77">
        <v>1661</v>
      </c>
      <c r="M533" s="77"/>
      <c r="N533" s="77"/>
      <c r="O533" s="77">
        <v>350</v>
      </c>
      <c r="P533" s="77"/>
      <c r="Q533" s="77"/>
      <c r="R533" s="77"/>
      <c r="S533" s="77"/>
      <c r="T533" s="77"/>
      <c r="U533" s="77"/>
      <c r="V533" s="77"/>
      <c r="W533" s="77"/>
      <c r="X533" s="77"/>
      <c r="Y533" s="77">
        <v>168</v>
      </c>
      <c r="Z533" s="77"/>
      <c r="AA533" s="77"/>
      <c r="AB533" s="77"/>
      <c r="AC533" s="77"/>
      <c r="AD533" s="77"/>
      <c r="AE533" s="62"/>
      <c r="AF533" s="63" t="b">
        <v>0</v>
      </c>
      <c r="AG533" s="63" t="b">
        <v>0</v>
      </c>
      <c r="AH533" s="62"/>
      <c r="AI533" s="64">
        <f t="shared" si="1557"/>
        <v>50584</v>
      </c>
      <c r="AJ533" s="65" t="str">
        <f t="shared" si="1116"/>
        <v>LDM</v>
      </c>
      <c r="AK533" s="66" t="str">
        <f t="shared" si="1558"/>
        <v>GAIN</v>
      </c>
      <c r="AL533" s="67" t="e">
        <f t="shared" ca="1" si="1559"/>
        <v>#NAME?</v>
      </c>
      <c r="AM533" s="68">
        <f t="shared" si="1408"/>
        <v>4339</v>
      </c>
      <c r="AN533" s="69">
        <f t="shared" si="1409"/>
        <v>8.5778111655859579E-2</v>
      </c>
      <c r="AO533" s="62"/>
      <c r="AP533" s="70">
        <f t="shared" ref="AP533:AT533" si="1617">H533/$AI533</f>
        <v>9.4357899731140282E-2</v>
      </c>
      <c r="AQ533" s="70">
        <f t="shared" si="1617"/>
        <v>0.32605171595761506</v>
      </c>
      <c r="AR533" s="70">
        <f t="shared" si="1617"/>
        <v>0.12468369444883758</v>
      </c>
      <c r="AS533" s="70">
        <f t="shared" si="1617"/>
        <v>0.41182982761347464</v>
      </c>
      <c r="AT533" s="70">
        <f t="shared" si="1617"/>
        <v>3.2836470030049025E-2</v>
      </c>
      <c r="AU533" s="70"/>
      <c r="AV533" s="70"/>
      <c r="AW533" s="81">
        <f t="shared" si="1561"/>
        <v>1.0240392218883398E-2</v>
      </c>
      <c r="AX533" s="70">
        <f t="shared" ref="AX533:BG533" si="1618">O533/$AI533</f>
        <v>6.919183931678001E-3</v>
      </c>
      <c r="AY533" s="70">
        <f t="shared" si="1618"/>
        <v>0</v>
      </c>
      <c r="AZ533" s="70">
        <f t="shared" si="1618"/>
        <v>0</v>
      </c>
      <c r="BA533" s="70">
        <f t="shared" si="1618"/>
        <v>0</v>
      </c>
      <c r="BB533" s="70">
        <f t="shared" si="1618"/>
        <v>0</v>
      </c>
      <c r="BC533" s="70">
        <f t="shared" si="1618"/>
        <v>0</v>
      </c>
      <c r="BD533" s="70">
        <f t="shared" si="1618"/>
        <v>0</v>
      </c>
      <c r="BE533" s="70">
        <f t="shared" si="1618"/>
        <v>0</v>
      </c>
      <c r="BF533" s="70">
        <f t="shared" si="1618"/>
        <v>0</v>
      </c>
      <c r="BG533" s="70">
        <f t="shared" si="1618"/>
        <v>0</v>
      </c>
      <c r="BH533" s="70">
        <f t="shared" si="1563"/>
        <v>3.3212082872053975E-3</v>
      </c>
      <c r="BI533" s="62"/>
      <c r="BJ533" s="69">
        <v>0.154</v>
      </c>
      <c r="BK533" s="69">
        <v>0.58099999999999996</v>
      </c>
      <c r="BL533" s="69">
        <v>0</v>
      </c>
      <c r="BM533" s="69">
        <v>0.26</v>
      </c>
      <c r="BN533" s="69">
        <v>0</v>
      </c>
      <c r="BO533" s="69">
        <v>0</v>
      </c>
      <c r="BP533" s="69">
        <v>0</v>
      </c>
      <c r="BQ533" s="69">
        <v>6.0000000000000001E-3</v>
      </c>
      <c r="BR533" s="62"/>
      <c r="BS533" s="72">
        <f t="shared" ref="BS533:BW533" si="1619">AP533-BJ533</f>
        <v>-5.9642100268859716E-2</v>
      </c>
      <c r="BT533" s="72">
        <f t="shared" si="1619"/>
        <v>-0.2549482840423849</v>
      </c>
      <c r="BU533" s="72">
        <f t="shared" si="1619"/>
        <v>0.12468369444883758</v>
      </c>
      <c r="BV533" s="72">
        <f t="shared" si="1619"/>
        <v>0.15182982761347463</v>
      </c>
      <c r="BW533" s="72">
        <f t="shared" si="1619"/>
        <v>3.2836470030049025E-2</v>
      </c>
      <c r="BX533" s="72"/>
      <c r="BY533" s="72"/>
      <c r="BZ533" s="72">
        <f t="shared" si="1565"/>
        <v>4.2403922188833983E-3</v>
      </c>
    </row>
    <row r="534" spans="1:78" ht="13.15">
      <c r="A534" s="73" t="s">
        <v>6</v>
      </c>
      <c r="B534" s="74" t="s">
        <v>1111</v>
      </c>
      <c r="C534" s="75" t="s">
        <v>1112</v>
      </c>
      <c r="D534" s="75" t="s">
        <v>44</v>
      </c>
      <c r="E534" s="76"/>
      <c r="F534" s="59"/>
      <c r="G534" s="60"/>
      <c r="H534" s="77">
        <v>4444</v>
      </c>
      <c r="I534" s="77">
        <v>12773</v>
      </c>
      <c r="J534" s="77">
        <v>4888</v>
      </c>
      <c r="K534" s="77">
        <v>24019</v>
      </c>
      <c r="L534" s="77">
        <v>1853</v>
      </c>
      <c r="M534" s="77"/>
      <c r="N534" s="77"/>
      <c r="O534" s="77"/>
      <c r="P534" s="77"/>
      <c r="Q534" s="77"/>
      <c r="R534" s="77"/>
      <c r="S534" s="77"/>
      <c r="T534" s="77"/>
      <c r="U534" s="77"/>
      <c r="V534" s="77"/>
      <c r="W534" s="77"/>
      <c r="X534" s="77"/>
      <c r="Y534" s="77">
        <v>168</v>
      </c>
      <c r="Z534" s="77"/>
      <c r="AA534" s="77"/>
      <c r="AB534" s="77"/>
      <c r="AC534" s="77"/>
      <c r="AD534" s="77"/>
      <c r="AE534" s="62"/>
      <c r="AF534" s="63" t="b">
        <v>0</v>
      </c>
      <c r="AG534" s="63" t="b">
        <v>0</v>
      </c>
      <c r="AH534" s="62"/>
      <c r="AI534" s="64">
        <f t="shared" si="1557"/>
        <v>48145</v>
      </c>
      <c r="AJ534" s="65" t="str">
        <f t="shared" si="1116"/>
        <v>LDM</v>
      </c>
      <c r="AK534" s="66" t="str">
        <f t="shared" si="1558"/>
        <v>GAIN</v>
      </c>
      <c r="AL534" s="67" t="e">
        <f t="shared" ca="1" si="1559"/>
        <v>#NAME?</v>
      </c>
      <c r="AM534" s="68">
        <f t="shared" si="1408"/>
        <v>11246</v>
      </c>
      <c r="AN534" s="69">
        <f t="shared" si="1409"/>
        <v>0.23358604216429535</v>
      </c>
      <c r="AO534" s="62"/>
      <c r="AP534" s="70">
        <f t="shared" ref="AP534:AT534" si="1620">H534/$AI534</f>
        <v>9.2304496832485206E-2</v>
      </c>
      <c r="AQ534" s="70">
        <f t="shared" si="1620"/>
        <v>0.26530273133243326</v>
      </c>
      <c r="AR534" s="70">
        <f t="shared" si="1620"/>
        <v>0.10152663828019524</v>
      </c>
      <c r="AS534" s="70">
        <f t="shared" si="1620"/>
        <v>0.49888877349672861</v>
      </c>
      <c r="AT534" s="70">
        <f t="shared" si="1620"/>
        <v>3.8487901131997092E-2</v>
      </c>
      <c r="AU534" s="70"/>
      <c r="AV534" s="70"/>
      <c r="AW534" s="81">
        <f t="shared" si="1561"/>
        <v>3.4894589261605935E-3</v>
      </c>
      <c r="AX534" s="70">
        <f t="shared" ref="AX534:BG534" si="1621">O534/$AI534</f>
        <v>0</v>
      </c>
      <c r="AY534" s="70">
        <f t="shared" si="1621"/>
        <v>0</v>
      </c>
      <c r="AZ534" s="70">
        <f t="shared" si="1621"/>
        <v>0</v>
      </c>
      <c r="BA534" s="70">
        <f t="shared" si="1621"/>
        <v>0</v>
      </c>
      <c r="BB534" s="70">
        <f t="shared" si="1621"/>
        <v>0</v>
      </c>
      <c r="BC534" s="70">
        <f t="shared" si="1621"/>
        <v>0</v>
      </c>
      <c r="BD534" s="70">
        <f t="shared" si="1621"/>
        <v>0</v>
      </c>
      <c r="BE534" s="70">
        <f t="shared" si="1621"/>
        <v>0</v>
      </c>
      <c r="BF534" s="70">
        <f t="shared" si="1621"/>
        <v>0</v>
      </c>
      <c r="BG534" s="70">
        <f t="shared" si="1621"/>
        <v>0</v>
      </c>
      <c r="BH534" s="70">
        <f t="shared" si="1563"/>
        <v>3.4894589261605935E-3</v>
      </c>
      <c r="BI534" s="62"/>
      <c r="BJ534" s="69">
        <v>0.16700000000000001</v>
      </c>
      <c r="BK534" s="69">
        <v>0.48299999999999998</v>
      </c>
      <c r="BL534" s="69">
        <v>0</v>
      </c>
      <c r="BM534" s="69">
        <v>0.311</v>
      </c>
      <c r="BN534" s="69">
        <v>2.8000000000000001E-2</v>
      </c>
      <c r="BO534" s="69">
        <v>0</v>
      </c>
      <c r="BP534" s="69">
        <v>0</v>
      </c>
      <c r="BQ534" s="69">
        <v>1.2E-2</v>
      </c>
      <c r="BR534" s="62"/>
      <c r="BS534" s="72">
        <f t="shared" ref="BS534:BW534" si="1622">AP534-BJ534</f>
        <v>-7.4695503167514804E-2</v>
      </c>
      <c r="BT534" s="72">
        <f t="shared" si="1622"/>
        <v>-0.21769726866756672</v>
      </c>
      <c r="BU534" s="72">
        <f t="shared" si="1622"/>
        <v>0.10152663828019524</v>
      </c>
      <c r="BV534" s="72">
        <f t="shared" si="1622"/>
        <v>0.18788877349672861</v>
      </c>
      <c r="BW534" s="72">
        <f t="shared" si="1622"/>
        <v>1.0487901131997091E-2</v>
      </c>
      <c r="BX534" s="72"/>
      <c r="BY534" s="72"/>
      <c r="BZ534" s="72">
        <f t="shared" si="1565"/>
        <v>-8.5105410738394068E-3</v>
      </c>
    </row>
    <row r="535" spans="1:78" ht="13.15">
      <c r="A535" s="73" t="s">
        <v>6</v>
      </c>
      <c r="B535" s="74" t="s">
        <v>1113</v>
      </c>
      <c r="C535" s="75" t="s">
        <v>1114</v>
      </c>
      <c r="D535" s="75" t="s">
        <v>44</v>
      </c>
      <c r="E535" s="76"/>
      <c r="F535" s="59"/>
      <c r="G535" s="60"/>
      <c r="H535" s="77">
        <v>3631</v>
      </c>
      <c r="I535" s="77">
        <v>17398</v>
      </c>
      <c r="J535" s="77">
        <v>5274</v>
      </c>
      <c r="K535" s="77">
        <v>25743</v>
      </c>
      <c r="L535" s="77">
        <v>1953</v>
      </c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62"/>
      <c r="AF535" s="63" t="b">
        <v>0</v>
      </c>
      <c r="AG535" s="63" t="b">
        <v>0</v>
      </c>
      <c r="AH535" s="62"/>
      <c r="AI535" s="64">
        <f t="shared" si="1557"/>
        <v>53999</v>
      </c>
      <c r="AJ535" s="65" t="str">
        <f t="shared" si="1116"/>
        <v>LDM</v>
      </c>
      <c r="AK535" s="66" t="str">
        <f t="shared" si="1558"/>
        <v>GAIN</v>
      </c>
      <c r="AL535" s="67" t="e">
        <f t="shared" ca="1" si="1559"/>
        <v>#NAME?</v>
      </c>
      <c r="AM535" s="68">
        <f t="shared" si="1408"/>
        <v>8345</v>
      </c>
      <c r="AN535" s="69">
        <f t="shared" si="1409"/>
        <v>0.15453989888701641</v>
      </c>
      <c r="AO535" s="62"/>
      <c r="AP535" s="70">
        <f t="shared" ref="AP535:AT535" si="1623">H535/$AI535</f>
        <v>6.7241985962703019E-2</v>
      </c>
      <c r="AQ535" s="70">
        <f t="shared" si="1623"/>
        <v>0.32219115168799423</v>
      </c>
      <c r="AR535" s="70">
        <f t="shared" si="1623"/>
        <v>9.7668475342135963E-2</v>
      </c>
      <c r="AS535" s="70">
        <f t="shared" si="1623"/>
        <v>0.47673105057501064</v>
      </c>
      <c r="AT535" s="70">
        <f t="shared" si="1623"/>
        <v>3.6167336432156152E-2</v>
      </c>
      <c r="AU535" s="70"/>
      <c r="AV535" s="70"/>
      <c r="AW535" s="81">
        <f t="shared" si="1561"/>
        <v>0</v>
      </c>
      <c r="AX535" s="70">
        <f t="shared" ref="AX535:BG535" si="1624">O535/$AI535</f>
        <v>0</v>
      </c>
      <c r="AY535" s="70">
        <f t="shared" si="1624"/>
        <v>0</v>
      </c>
      <c r="AZ535" s="70">
        <f t="shared" si="1624"/>
        <v>0</v>
      </c>
      <c r="BA535" s="70">
        <f t="shared" si="1624"/>
        <v>0</v>
      </c>
      <c r="BB535" s="70">
        <f t="shared" si="1624"/>
        <v>0</v>
      </c>
      <c r="BC535" s="70">
        <f t="shared" si="1624"/>
        <v>0</v>
      </c>
      <c r="BD535" s="70">
        <f t="shared" si="1624"/>
        <v>0</v>
      </c>
      <c r="BE535" s="70">
        <f t="shared" si="1624"/>
        <v>0</v>
      </c>
      <c r="BF535" s="70">
        <f t="shared" si="1624"/>
        <v>0</v>
      </c>
      <c r="BG535" s="70">
        <f t="shared" si="1624"/>
        <v>0</v>
      </c>
      <c r="BH535" s="70">
        <f t="shared" si="1563"/>
        <v>0</v>
      </c>
      <c r="BI535" s="62"/>
      <c r="BJ535" s="69">
        <v>9.9000000000000005E-2</v>
      </c>
      <c r="BK535" s="69">
        <v>0.55500000000000005</v>
      </c>
      <c r="BL535" s="69">
        <v>0</v>
      </c>
      <c r="BM535" s="69">
        <v>0.32300000000000001</v>
      </c>
      <c r="BN535" s="69">
        <v>2.1999999999999999E-2</v>
      </c>
      <c r="BO535" s="69">
        <v>0</v>
      </c>
      <c r="BP535" s="69">
        <v>0</v>
      </c>
      <c r="BQ535" s="69">
        <v>2E-3</v>
      </c>
      <c r="BR535" s="62"/>
      <c r="BS535" s="72">
        <f t="shared" ref="BS535:BW535" si="1625">AP535-BJ535</f>
        <v>-3.1758014037296986E-2</v>
      </c>
      <c r="BT535" s="72">
        <f t="shared" si="1625"/>
        <v>-0.23280884831200582</v>
      </c>
      <c r="BU535" s="72">
        <f t="shared" si="1625"/>
        <v>9.7668475342135963E-2</v>
      </c>
      <c r="BV535" s="72">
        <f t="shared" si="1625"/>
        <v>0.15373105057501063</v>
      </c>
      <c r="BW535" s="72">
        <f t="shared" si="1625"/>
        <v>1.4167336432156154E-2</v>
      </c>
      <c r="BX535" s="72"/>
      <c r="BY535" s="72"/>
      <c r="BZ535" s="72">
        <f t="shared" si="1565"/>
        <v>-2E-3</v>
      </c>
    </row>
    <row r="536" spans="1:78" ht="13.15">
      <c r="A536" s="73" t="s">
        <v>6</v>
      </c>
      <c r="B536" s="74" t="s">
        <v>1115</v>
      </c>
      <c r="C536" s="75" t="s">
        <v>1116</v>
      </c>
      <c r="D536" s="75" t="s">
        <v>47</v>
      </c>
      <c r="E536" s="76"/>
      <c r="F536" s="59"/>
      <c r="G536" s="60"/>
      <c r="H536" s="77">
        <v>14282</v>
      </c>
      <c r="I536" s="77">
        <v>8860</v>
      </c>
      <c r="J536" s="77">
        <v>7721</v>
      </c>
      <c r="K536" s="77">
        <v>1002</v>
      </c>
      <c r="L536" s="77">
        <v>1424</v>
      </c>
      <c r="M536" s="77"/>
      <c r="N536" s="77"/>
      <c r="O536" s="77"/>
      <c r="P536" s="77"/>
      <c r="Q536" s="77"/>
      <c r="R536" s="77"/>
      <c r="S536" s="77"/>
      <c r="T536" s="77"/>
      <c r="U536" s="77"/>
      <c r="V536" s="77"/>
      <c r="W536" s="77"/>
      <c r="X536" s="77"/>
      <c r="Y536" s="77"/>
      <c r="Z536" s="77"/>
      <c r="AA536" s="77"/>
      <c r="AB536" s="77"/>
      <c r="AC536" s="77"/>
      <c r="AD536" s="77"/>
      <c r="AE536" s="62"/>
      <c r="AF536" s="63" t="b">
        <v>0</v>
      </c>
      <c r="AG536" s="63" t="b">
        <v>0</v>
      </c>
      <c r="AH536" s="62"/>
      <c r="AI536" s="64">
        <f t="shared" si="1557"/>
        <v>33289</v>
      </c>
      <c r="AJ536" s="65" t="str">
        <f t="shared" si="1116"/>
        <v>LAB</v>
      </c>
      <c r="AK536" s="66" t="str">
        <f t="shared" si="1558"/>
        <v>GAIN</v>
      </c>
      <c r="AL536" s="67" t="e">
        <f t="shared" ca="1" si="1559"/>
        <v>#NAME?</v>
      </c>
      <c r="AM536" s="68">
        <f t="shared" si="1408"/>
        <v>5422</v>
      </c>
      <c r="AN536" s="69">
        <f t="shared" si="1409"/>
        <v>0.1628766259124636</v>
      </c>
      <c r="AO536" s="62"/>
      <c r="AP536" s="70">
        <f t="shared" ref="AP536:AT536" si="1626">H536/$AI536</f>
        <v>0.4290306107122473</v>
      </c>
      <c r="AQ536" s="70">
        <f t="shared" si="1626"/>
        <v>0.26615398479978369</v>
      </c>
      <c r="AR536" s="70">
        <f t="shared" si="1626"/>
        <v>0.23193847817597404</v>
      </c>
      <c r="AS536" s="70">
        <f t="shared" si="1626"/>
        <v>3.0100033043948451E-2</v>
      </c>
      <c r="AT536" s="70">
        <f t="shared" si="1626"/>
        <v>4.2776893268046505E-2</v>
      </c>
      <c r="AU536" s="70"/>
      <c r="AV536" s="70"/>
      <c r="AW536" s="81">
        <f t="shared" si="1561"/>
        <v>0</v>
      </c>
      <c r="AX536" s="70">
        <f t="shared" ref="AX536:BG536" si="1627">O536/$AI536</f>
        <v>0</v>
      </c>
      <c r="AY536" s="70">
        <f t="shared" si="1627"/>
        <v>0</v>
      </c>
      <c r="AZ536" s="70">
        <f t="shared" si="1627"/>
        <v>0</v>
      </c>
      <c r="BA536" s="70">
        <f t="shared" si="1627"/>
        <v>0</v>
      </c>
      <c r="BB536" s="70">
        <f t="shared" si="1627"/>
        <v>0</v>
      </c>
      <c r="BC536" s="70">
        <f t="shared" si="1627"/>
        <v>0</v>
      </c>
      <c r="BD536" s="70">
        <f t="shared" si="1627"/>
        <v>0</v>
      </c>
      <c r="BE536" s="70">
        <f t="shared" si="1627"/>
        <v>0</v>
      </c>
      <c r="BF536" s="70">
        <f t="shared" si="1627"/>
        <v>0</v>
      </c>
      <c r="BG536" s="70">
        <f t="shared" si="1627"/>
        <v>0</v>
      </c>
      <c r="BH536" s="70">
        <f t="shared" si="1563"/>
        <v>0</v>
      </c>
      <c r="BI536" s="62"/>
      <c r="BJ536" s="69">
        <v>0.35899999999999999</v>
      </c>
      <c r="BK536" s="69">
        <v>0.55700000000000005</v>
      </c>
      <c r="BL536" s="69">
        <v>3.1E-2</v>
      </c>
      <c r="BM536" s="69">
        <v>3.5999999999999997E-2</v>
      </c>
      <c r="BN536" s="69">
        <v>1.7999999999999999E-2</v>
      </c>
      <c r="BO536" s="69">
        <v>0</v>
      </c>
      <c r="BP536" s="69">
        <v>0</v>
      </c>
      <c r="BQ536" s="69">
        <v>0</v>
      </c>
      <c r="BR536" s="62"/>
      <c r="BS536" s="72">
        <f t="shared" ref="BS536:BW536" si="1628">AP536-BJ536</f>
        <v>7.003061071224731E-2</v>
      </c>
      <c r="BT536" s="72">
        <f t="shared" si="1628"/>
        <v>-0.29084601520021636</v>
      </c>
      <c r="BU536" s="72">
        <f t="shared" si="1628"/>
        <v>0.20093847817597404</v>
      </c>
      <c r="BV536" s="72">
        <f t="shared" si="1628"/>
        <v>-5.8999669560515465E-3</v>
      </c>
      <c r="BW536" s="72">
        <f t="shared" si="1628"/>
        <v>2.4776893268046506E-2</v>
      </c>
      <c r="BX536" s="72"/>
      <c r="BY536" s="72"/>
      <c r="BZ536" s="72">
        <f t="shared" si="1565"/>
        <v>0</v>
      </c>
    </row>
    <row r="537" spans="1:78" ht="13.15">
      <c r="A537" s="78" t="s">
        <v>5</v>
      </c>
      <c r="B537" s="74" t="s">
        <v>1117</v>
      </c>
      <c r="C537" s="75" t="s">
        <v>1118</v>
      </c>
      <c r="D537" s="75" t="s">
        <v>47</v>
      </c>
      <c r="E537" s="76"/>
      <c r="F537" s="59"/>
      <c r="G537" s="60"/>
      <c r="H537" s="77">
        <v>16800</v>
      </c>
      <c r="I537" s="77">
        <v>5654</v>
      </c>
      <c r="J537" s="77">
        <v>7612</v>
      </c>
      <c r="K537" s="77">
        <v>758</v>
      </c>
      <c r="L537" s="77">
        <v>1632</v>
      </c>
      <c r="M537" s="77"/>
      <c r="N537" s="77"/>
      <c r="O537" s="77"/>
      <c r="P537" s="77">
        <v>915</v>
      </c>
      <c r="Q537" s="77"/>
      <c r="R537" s="77"/>
      <c r="S537" s="77"/>
      <c r="T537" s="77"/>
      <c r="U537" s="77"/>
      <c r="V537" s="77"/>
      <c r="W537" s="77"/>
      <c r="X537" s="77"/>
      <c r="Y537" s="77"/>
      <c r="Z537" s="77"/>
      <c r="AA537" s="77"/>
      <c r="AB537" s="77"/>
      <c r="AC537" s="77"/>
      <c r="AD537" s="77"/>
      <c r="AE537" s="62"/>
      <c r="AF537" s="63" t="b">
        <v>0</v>
      </c>
      <c r="AG537" s="63" t="b">
        <v>0</v>
      </c>
      <c r="AH537" s="62"/>
      <c r="AI537" s="64">
        <f t="shared" si="1557"/>
        <v>33371</v>
      </c>
      <c r="AJ537" s="65" t="str">
        <f t="shared" si="1116"/>
        <v>LAB</v>
      </c>
      <c r="AK537" s="66" t="str">
        <f t="shared" si="1558"/>
        <v>HOLD</v>
      </c>
      <c r="AL537" s="67" t="e">
        <f t="shared" ca="1" si="1559"/>
        <v>#NAME?</v>
      </c>
      <c r="AM537" s="68">
        <f t="shared" si="1408"/>
        <v>9188</v>
      </c>
      <c r="AN537" s="69">
        <f t="shared" si="1409"/>
        <v>0.2753288783674448</v>
      </c>
      <c r="AO537" s="62"/>
      <c r="AP537" s="70">
        <f t="shared" ref="AP537:AT537" si="1629">H537/$AI537</f>
        <v>0.50343112283120073</v>
      </c>
      <c r="AQ537" s="70">
        <f t="shared" si="1629"/>
        <v>0.16942854574331007</v>
      </c>
      <c r="AR537" s="70">
        <f t="shared" si="1629"/>
        <v>0.22810224446375596</v>
      </c>
      <c r="AS537" s="70">
        <f t="shared" si="1629"/>
        <v>2.2714332803931557E-2</v>
      </c>
      <c r="AT537" s="70">
        <f t="shared" si="1629"/>
        <v>4.8904737646459501E-2</v>
      </c>
      <c r="AU537" s="70"/>
      <c r="AV537" s="70"/>
      <c r="AW537" s="81">
        <f t="shared" si="1561"/>
        <v>2.7419016511342265E-2</v>
      </c>
      <c r="AX537" s="70">
        <f t="shared" ref="AX537:BG537" si="1630">O537/$AI537</f>
        <v>0</v>
      </c>
      <c r="AY537" s="70">
        <f t="shared" si="1630"/>
        <v>2.7419016511342185E-2</v>
      </c>
      <c r="AZ537" s="70">
        <f t="shared" si="1630"/>
        <v>0</v>
      </c>
      <c r="BA537" s="70">
        <f t="shared" si="1630"/>
        <v>0</v>
      </c>
      <c r="BB537" s="70">
        <f t="shared" si="1630"/>
        <v>0</v>
      </c>
      <c r="BC537" s="70">
        <f t="shared" si="1630"/>
        <v>0</v>
      </c>
      <c r="BD537" s="70">
        <f t="shared" si="1630"/>
        <v>0</v>
      </c>
      <c r="BE537" s="70">
        <f t="shared" si="1630"/>
        <v>0</v>
      </c>
      <c r="BF537" s="70">
        <f t="shared" si="1630"/>
        <v>0</v>
      </c>
      <c r="BG537" s="70">
        <f t="shared" si="1630"/>
        <v>0</v>
      </c>
      <c r="BH537" s="70">
        <f t="shared" si="1563"/>
        <v>7.9797279894933126E-17</v>
      </c>
      <c r="BI537" s="62"/>
      <c r="BJ537" s="69">
        <v>0.47399999999999998</v>
      </c>
      <c r="BK537" s="69">
        <v>0.41199999999999998</v>
      </c>
      <c r="BL537" s="69">
        <v>5.8999999999999997E-2</v>
      </c>
      <c r="BM537" s="69">
        <v>3.7999999999999999E-2</v>
      </c>
      <c r="BN537" s="69">
        <v>1.7000000000000001E-2</v>
      </c>
      <c r="BO537" s="69">
        <v>0</v>
      </c>
      <c r="BP537" s="69">
        <v>0</v>
      </c>
      <c r="BQ537" s="69">
        <v>0</v>
      </c>
      <c r="BR537" s="62"/>
      <c r="BS537" s="72">
        <f t="shared" ref="BS537:BW537" si="1631">AP537-BJ537</f>
        <v>2.9431122831200751E-2</v>
      </c>
      <c r="BT537" s="72">
        <f t="shared" si="1631"/>
        <v>-0.24257145425668991</v>
      </c>
      <c r="BU537" s="72">
        <f t="shared" si="1631"/>
        <v>0.16910224446375596</v>
      </c>
      <c r="BV537" s="72">
        <f t="shared" si="1631"/>
        <v>-1.5285667196068442E-2</v>
      </c>
      <c r="BW537" s="72">
        <f t="shared" si="1631"/>
        <v>3.19047376464595E-2</v>
      </c>
      <c r="BX537" s="72"/>
      <c r="BY537" s="72"/>
      <c r="BZ537" s="72">
        <f t="shared" si="1565"/>
        <v>2.7419016511342265E-2</v>
      </c>
    </row>
    <row r="538" spans="1:78" ht="13.15">
      <c r="A538" s="73" t="s">
        <v>6</v>
      </c>
      <c r="B538" s="74" t="s">
        <v>1119</v>
      </c>
      <c r="C538" s="75" t="s">
        <v>1120</v>
      </c>
      <c r="D538" s="75" t="s">
        <v>47</v>
      </c>
      <c r="E538" s="76"/>
      <c r="F538" s="59"/>
      <c r="G538" s="60"/>
      <c r="H538" s="77">
        <v>19311</v>
      </c>
      <c r="I538" s="77">
        <v>11463</v>
      </c>
      <c r="J538" s="77">
        <v>6078</v>
      </c>
      <c r="K538" s="77">
        <v>1376</v>
      </c>
      <c r="L538" s="77">
        <v>2550</v>
      </c>
      <c r="M538" s="77"/>
      <c r="N538" s="77"/>
      <c r="O538" s="77">
        <v>1395</v>
      </c>
      <c r="P538" s="77">
        <v>576</v>
      </c>
      <c r="Q538" s="77"/>
      <c r="R538" s="77"/>
      <c r="S538" s="77"/>
      <c r="T538" s="77"/>
      <c r="U538" s="77"/>
      <c r="V538" s="77"/>
      <c r="W538" s="77"/>
      <c r="X538" s="77"/>
      <c r="Y538" s="77">
        <v>888</v>
      </c>
      <c r="Z538" s="77"/>
      <c r="AA538" s="77"/>
      <c r="AB538" s="77"/>
      <c r="AC538" s="77"/>
      <c r="AD538" s="77"/>
      <c r="AE538" s="62"/>
      <c r="AF538" s="63" t="b">
        <v>0</v>
      </c>
      <c r="AG538" s="63" t="b">
        <v>0</v>
      </c>
      <c r="AH538" s="62"/>
      <c r="AI538" s="64">
        <f t="shared" si="1557"/>
        <v>43637</v>
      </c>
      <c r="AJ538" s="65" t="str">
        <f t="shared" si="1116"/>
        <v>LAB</v>
      </c>
      <c r="AK538" s="66" t="str">
        <f t="shared" si="1558"/>
        <v>GAIN</v>
      </c>
      <c r="AL538" s="67" t="e">
        <f t="shared" ca="1" si="1559"/>
        <v>#NAME?</v>
      </c>
      <c r="AM538" s="68">
        <f t="shared" si="1408"/>
        <v>7848</v>
      </c>
      <c r="AN538" s="69">
        <f t="shared" si="1409"/>
        <v>0.17984737722574878</v>
      </c>
      <c r="AO538" s="62"/>
      <c r="AP538" s="70">
        <f t="shared" ref="AP538:AT538" si="1632">H538/$AI538</f>
        <v>0.44253729633109518</v>
      </c>
      <c r="AQ538" s="70">
        <f t="shared" si="1632"/>
        <v>0.26268991910534639</v>
      </c>
      <c r="AR538" s="70">
        <f t="shared" si="1632"/>
        <v>0.13928546875358067</v>
      </c>
      <c r="AS538" s="70">
        <f t="shared" si="1632"/>
        <v>3.1532873478928435E-2</v>
      </c>
      <c r="AT538" s="70">
        <f t="shared" si="1632"/>
        <v>5.8436647798886264E-2</v>
      </c>
      <c r="AU538" s="70"/>
      <c r="AV538" s="70"/>
      <c r="AW538" s="81">
        <f t="shared" si="1561"/>
        <v>6.5517794532162998E-2</v>
      </c>
      <c r="AX538" s="70">
        <f t="shared" ref="AX538:BG538" si="1633">O538/$AI538</f>
        <v>3.1968283795861308E-2</v>
      </c>
      <c r="AY538" s="70">
        <f t="shared" si="1633"/>
        <v>1.319980750280725E-2</v>
      </c>
      <c r="AZ538" s="70">
        <f t="shared" si="1633"/>
        <v>0</v>
      </c>
      <c r="BA538" s="70">
        <f t="shared" si="1633"/>
        <v>0</v>
      </c>
      <c r="BB538" s="70">
        <f t="shared" si="1633"/>
        <v>0</v>
      </c>
      <c r="BC538" s="70">
        <f t="shared" si="1633"/>
        <v>0</v>
      </c>
      <c r="BD538" s="70">
        <f t="shared" si="1633"/>
        <v>0</v>
      </c>
      <c r="BE538" s="70">
        <f t="shared" si="1633"/>
        <v>0</v>
      </c>
      <c r="BF538" s="70">
        <f t="shared" si="1633"/>
        <v>0</v>
      </c>
      <c r="BG538" s="70">
        <f t="shared" si="1633"/>
        <v>0</v>
      </c>
      <c r="BH538" s="70">
        <f t="shared" si="1563"/>
        <v>2.0349703233494443E-2</v>
      </c>
      <c r="BI538" s="62"/>
      <c r="BJ538" s="69">
        <v>0.45500000000000002</v>
      </c>
      <c r="BK538" s="69">
        <v>0.47399999999999998</v>
      </c>
      <c r="BL538" s="69">
        <v>2.5000000000000001E-2</v>
      </c>
      <c r="BM538" s="69">
        <v>4.3999999999999997E-2</v>
      </c>
      <c r="BN538" s="69">
        <v>2E-3</v>
      </c>
      <c r="BO538" s="69">
        <v>0</v>
      </c>
      <c r="BP538" s="69">
        <v>0</v>
      </c>
      <c r="BQ538" s="69">
        <v>0</v>
      </c>
      <c r="BR538" s="62"/>
      <c r="BS538" s="72">
        <f t="shared" ref="BS538:BW538" si="1634">AP538-BJ538</f>
        <v>-1.246270366890484E-2</v>
      </c>
      <c r="BT538" s="72">
        <f t="shared" si="1634"/>
        <v>-0.21131008089465358</v>
      </c>
      <c r="BU538" s="72">
        <f t="shared" si="1634"/>
        <v>0.11428546875358067</v>
      </c>
      <c r="BV538" s="72">
        <f t="shared" si="1634"/>
        <v>-1.2467126521071563E-2</v>
      </c>
      <c r="BW538" s="72">
        <f t="shared" si="1634"/>
        <v>5.6436647798886262E-2</v>
      </c>
      <c r="BX538" s="72"/>
      <c r="BY538" s="72"/>
      <c r="BZ538" s="72">
        <f t="shared" si="1565"/>
        <v>6.5517794532162998E-2</v>
      </c>
    </row>
    <row r="539" spans="1:78" ht="13.15">
      <c r="A539" s="73" t="s">
        <v>6</v>
      </c>
      <c r="B539" s="74" t="s">
        <v>1121</v>
      </c>
      <c r="C539" s="75" t="s">
        <v>1122</v>
      </c>
      <c r="D539" s="75" t="s">
        <v>47</v>
      </c>
      <c r="E539" s="76"/>
      <c r="F539" s="59"/>
      <c r="G539" s="60"/>
      <c r="H539" s="77">
        <v>18622</v>
      </c>
      <c r="I539" s="77">
        <v>11506</v>
      </c>
      <c r="J539" s="77">
        <v>6723</v>
      </c>
      <c r="K539" s="77">
        <v>3986</v>
      </c>
      <c r="L539" s="77">
        <v>4789</v>
      </c>
      <c r="M539" s="77"/>
      <c r="N539" s="77"/>
      <c r="O539" s="77"/>
      <c r="P539" s="77"/>
      <c r="Q539" s="77"/>
      <c r="R539" s="77"/>
      <c r="S539" s="77"/>
      <c r="T539" s="77"/>
      <c r="U539" s="77"/>
      <c r="V539" s="77"/>
      <c r="W539" s="77"/>
      <c r="X539" s="77"/>
      <c r="Y539" s="77">
        <v>280</v>
      </c>
      <c r="Z539" s="77">
        <v>130</v>
      </c>
      <c r="AA539" s="77"/>
      <c r="AB539" s="77"/>
      <c r="AC539" s="77"/>
      <c r="AD539" s="77"/>
      <c r="AE539" s="62"/>
      <c r="AF539" s="63" t="b">
        <v>0</v>
      </c>
      <c r="AG539" s="63" t="b">
        <v>0</v>
      </c>
      <c r="AH539" s="62"/>
      <c r="AI539" s="64">
        <f t="shared" si="1557"/>
        <v>46036</v>
      </c>
      <c r="AJ539" s="65" t="str">
        <f t="shared" si="1116"/>
        <v>LAB</v>
      </c>
      <c r="AK539" s="66" t="str">
        <f t="shared" si="1558"/>
        <v>GAIN</v>
      </c>
      <c r="AL539" s="67" t="e">
        <f t="shared" ca="1" si="1559"/>
        <v>#NAME?</v>
      </c>
      <c r="AM539" s="68">
        <f t="shared" si="1408"/>
        <v>7116</v>
      </c>
      <c r="AN539" s="69">
        <f t="shared" si="1409"/>
        <v>0.15457468068468158</v>
      </c>
      <c r="AO539" s="62"/>
      <c r="AP539" s="70">
        <f t="shared" ref="AP539:AT539" si="1635">H539/$AI539</f>
        <v>0.4045095142931619</v>
      </c>
      <c r="AQ539" s="70">
        <f t="shared" si="1635"/>
        <v>0.24993483360848032</v>
      </c>
      <c r="AR539" s="70">
        <f t="shared" si="1635"/>
        <v>0.14603788339560345</v>
      </c>
      <c r="AS539" s="70">
        <f t="shared" si="1635"/>
        <v>8.6584412199148489E-2</v>
      </c>
      <c r="AT539" s="70">
        <f t="shared" si="1635"/>
        <v>0.10402728299591624</v>
      </c>
      <c r="AU539" s="70"/>
      <c r="AV539" s="70"/>
      <c r="AW539" s="81">
        <f t="shared" si="1561"/>
        <v>8.9060735076896824E-3</v>
      </c>
      <c r="AX539" s="70">
        <f t="shared" ref="AX539:BG539" si="1636">O539/$AI539</f>
        <v>0</v>
      </c>
      <c r="AY539" s="70">
        <f t="shared" si="1636"/>
        <v>0</v>
      </c>
      <c r="AZ539" s="70">
        <f t="shared" si="1636"/>
        <v>0</v>
      </c>
      <c r="BA539" s="70">
        <f t="shared" si="1636"/>
        <v>0</v>
      </c>
      <c r="BB539" s="70">
        <f t="shared" si="1636"/>
        <v>0</v>
      </c>
      <c r="BC539" s="70">
        <f t="shared" si="1636"/>
        <v>0</v>
      </c>
      <c r="BD539" s="70">
        <f t="shared" si="1636"/>
        <v>0</v>
      </c>
      <c r="BE539" s="70">
        <f t="shared" si="1636"/>
        <v>0</v>
      </c>
      <c r="BF539" s="70">
        <f t="shared" si="1636"/>
        <v>0</v>
      </c>
      <c r="BG539" s="70">
        <f t="shared" si="1636"/>
        <v>0</v>
      </c>
      <c r="BH539" s="70">
        <f t="shared" si="1563"/>
        <v>8.9060735076896824E-3</v>
      </c>
      <c r="BI539" s="62"/>
      <c r="BJ539" s="69">
        <v>0.375</v>
      </c>
      <c r="BK539" s="69">
        <v>0.50800000000000001</v>
      </c>
      <c r="BL539" s="69">
        <v>0</v>
      </c>
      <c r="BM539" s="69">
        <v>7.1999999999999995E-2</v>
      </c>
      <c r="BN539" s="69">
        <v>3.3000000000000002E-2</v>
      </c>
      <c r="BO539" s="69">
        <v>0</v>
      </c>
      <c r="BP539" s="69">
        <v>0</v>
      </c>
      <c r="BQ539" s="69">
        <v>1.2E-2</v>
      </c>
      <c r="BR539" s="62"/>
      <c r="BS539" s="72">
        <f t="shared" ref="BS539:BW539" si="1637">AP539-BJ539</f>
        <v>2.9509514293161898E-2</v>
      </c>
      <c r="BT539" s="72">
        <f t="shared" si="1637"/>
        <v>-0.25806516639151966</v>
      </c>
      <c r="BU539" s="72">
        <f t="shared" si="1637"/>
        <v>0.14603788339560345</v>
      </c>
      <c r="BV539" s="72">
        <f t="shared" si="1637"/>
        <v>1.4584412199148494E-2</v>
      </c>
      <c r="BW539" s="72">
        <f t="shared" si="1637"/>
        <v>7.1027282995916236E-2</v>
      </c>
      <c r="BX539" s="72"/>
      <c r="BY539" s="72"/>
      <c r="BZ539" s="72">
        <f t="shared" si="1565"/>
        <v>-3.0939264923103178E-3</v>
      </c>
    </row>
    <row r="540" spans="1:78" ht="13.15">
      <c r="A540" s="78" t="s">
        <v>5</v>
      </c>
      <c r="B540" s="74" t="s">
        <v>1123</v>
      </c>
      <c r="C540" s="75" t="s">
        <v>1124</v>
      </c>
      <c r="D540" s="75" t="s">
        <v>50</v>
      </c>
      <c r="E540" s="76"/>
      <c r="F540" s="59"/>
      <c r="G540" s="60"/>
      <c r="H540" s="77">
        <v>20277</v>
      </c>
      <c r="I540" s="77">
        <v>6791</v>
      </c>
      <c r="J540" s="77">
        <v>9186</v>
      </c>
      <c r="K540" s="77">
        <v>1851</v>
      </c>
      <c r="L540" s="77">
        <v>3283</v>
      </c>
      <c r="M540" s="77"/>
      <c r="N540" s="77"/>
      <c r="O540" s="77">
        <v>448</v>
      </c>
      <c r="P540" s="77">
        <v>466</v>
      </c>
      <c r="Q540" s="77"/>
      <c r="R540" s="77"/>
      <c r="S540" s="77"/>
      <c r="T540" s="77"/>
      <c r="U540" s="77"/>
      <c r="V540" s="77"/>
      <c r="W540" s="77"/>
      <c r="X540" s="77"/>
      <c r="Y540" s="77">
        <v>241</v>
      </c>
      <c r="Z540" s="77"/>
      <c r="AA540" s="77"/>
      <c r="AB540" s="77"/>
      <c r="AC540" s="77"/>
      <c r="AD540" s="77"/>
      <c r="AE540" s="62"/>
      <c r="AF540" s="63" t="b">
        <v>0</v>
      </c>
      <c r="AG540" s="63" t="b">
        <v>0</v>
      </c>
      <c r="AH540" s="62"/>
      <c r="AI540" s="64">
        <f t="shared" si="1557"/>
        <v>42543</v>
      </c>
      <c r="AJ540" s="65" t="str">
        <f t="shared" si="1116"/>
        <v>LAB</v>
      </c>
      <c r="AK540" s="66" t="str">
        <f t="shared" si="1558"/>
        <v>HOLD</v>
      </c>
      <c r="AL540" s="67" t="e">
        <f t="shared" ca="1" si="1559"/>
        <v>#NAME?</v>
      </c>
      <c r="AM540" s="68">
        <f t="shared" si="1408"/>
        <v>11091</v>
      </c>
      <c r="AN540" s="69">
        <f t="shared" si="1409"/>
        <v>0.26070093787462101</v>
      </c>
      <c r="AO540" s="62"/>
      <c r="AP540" s="70">
        <f t="shared" ref="AP540:AT540" si="1638">H540/$AI540</f>
        <v>0.4766236513645018</v>
      </c>
      <c r="AQ540" s="70">
        <f t="shared" si="1638"/>
        <v>0.15962673060197918</v>
      </c>
      <c r="AR540" s="70">
        <f t="shared" si="1638"/>
        <v>0.21592271348988082</v>
      </c>
      <c r="AS540" s="70">
        <f t="shared" si="1638"/>
        <v>4.3508920386432552E-2</v>
      </c>
      <c r="AT540" s="70">
        <f t="shared" si="1638"/>
        <v>7.7168981971182105E-2</v>
      </c>
      <c r="AU540" s="70"/>
      <c r="AV540" s="70"/>
      <c r="AW540" s="81">
        <f t="shared" si="1561"/>
        <v>2.7149002186023674E-2</v>
      </c>
      <c r="AX540" s="70">
        <f t="shared" ref="AX540:BG540" si="1639">O540/$AI540</f>
        <v>1.0530522060033378E-2</v>
      </c>
      <c r="AY540" s="70">
        <f t="shared" si="1639"/>
        <v>1.0953623392802576E-2</v>
      </c>
      <c r="AZ540" s="70">
        <f t="shared" si="1639"/>
        <v>0</v>
      </c>
      <c r="BA540" s="70">
        <f t="shared" si="1639"/>
        <v>0</v>
      </c>
      <c r="BB540" s="70">
        <f t="shared" si="1639"/>
        <v>0</v>
      </c>
      <c r="BC540" s="70">
        <f t="shared" si="1639"/>
        <v>0</v>
      </c>
      <c r="BD540" s="70">
        <f t="shared" si="1639"/>
        <v>0</v>
      </c>
      <c r="BE540" s="70">
        <f t="shared" si="1639"/>
        <v>0</v>
      </c>
      <c r="BF540" s="70">
        <f t="shared" si="1639"/>
        <v>0</v>
      </c>
      <c r="BG540" s="70">
        <f t="shared" si="1639"/>
        <v>0</v>
      </c>
      <c r="BH540" s="70">
        <f t="shared" si="1563"/>
        <v>5.6648567331877217E-3</v>
      </c>
      <c r="BI540" s="62"/>
      <c r="BJ540" s="69">
        <v>0.46500000000000002</v>
      </c>
      <c r="BK540" s="69">
        <v>0.38500000000000001</v>
      </c>
      <c r="BL540" s="69">
        <v>7.0999999999999994E-2</v>
      </c>
      <c r="BM540" s="69">
        <v>5.2999999999999999E-2</v>
      </c>
      <c r="BN540" s="69">
        <v>2.5000000000000001E-2</v>
      </c>
      <c r="BO540" s="69">
        <v>0</v>
      </c>
      <c r="BP540" s="69">
        <v>0</v>
      </c>
      <c r="BQ540" s="69">
        <v>0</v>
      </c>
      <c r="BR540" s="62"/>
      <c r="BS540" s="72">
        <f t="shared" ref="BS540:BW540" si="1640">AP540-BJ540</f>
        <v>1.1623651364501775E-2</v>
      </c>
      <c r="BT540" s="72">
        <f t="shared" si="1640"/>
        <v>-0.22537326939802083</v>
      </c>
      <c r="BU540" s="72">
        <f t="shared" si="1640"/>
        <v>0.14492271348988084</v>
      </c>
      <c r="BV540" s="72">
        <f t="shared" si="1640"/>
        <v>-9.4910796135674463E-3</v>
      </c>
      <c r="BW540" s="72">
        <f t="shared" si="1640"/>
        <v>5.2168981971182103E-2</v>
      </c>
      <c r="BX540" s="72"/>
      <c r="BY540" s="72"/>
      <c r="BZ540" s="72">
        <f t="shared" si="1565"/>
        <v>2.7149002186023674E-2</v>
      </c>
    </row>
    <row r="541" spans="1:78" ht="13.15">
      <c r="A541" s="73" t="s">
        <v>6</v>
      </c>
      <c r="B541" s="74" t="s">
        <v>1125</v>
      </c>
      <c r="C541" s="75" t="s">
        <v>1126</v>
      </c>
      <c r="D541" s="75" t="s">
        <v>44</v>
      </c>
      <c r="E541" s="76"/>
      <c r="F541" s="59"/>
      <c r="G541" s="60"/>
      <c r="H541" s="77">
        <v>20519</v>
      </c>
      <c r="I541" s="77">
        <v>16570</v>
      </c>
      <c r="J541" s="77">
        <v>7562</v>
      </c>
      <c r="K541" s="77">
        <v>2708</v>
      </c>
      <c r="L541" s="77">
        <v>3274</v>
      </c>
      <c r="M541" s="77"/>
      <c r="N541" s="77"/>
      <c r="O541" s="77">
        <v>364</v>
      </c>
      <c r="P541" s="77"/>
      <c r="Q541" s="77"/>
      <c r="R541" s="77"/>
      <c r="S541" s="77"/>
      <c r="T541" s="77"/>
      <c r="U541" s="77"/>
      <c r="V541" s="77"/>
      <c r="W541" s="77"/>
      <c r="X541" s="77"/>
      <c r="Y541" s="77"/>
      <c r="Z541" s="77"/>
      <c r="AA541" s="77"/>
      <c r="AB541" s="77"/>
      <c r="AC541" s="77"/>
      <c r="AD541" s="77"/>
      <c r="AE541" s="62"/>
      <c r="AF541" s="63" t="b">
        <v>0</v>
      </c>
      <c r="AG541" s="63" t="b">
        <v>0</v>
      </c>
      <c r="AH541" s="62"/>
      <c r="AI541" s="64">
        <f t="shared" si="1557"/>
        <v>50997</v>
      </c>
      <c r="AJ541" s="65" t="str">
        <f t="shared" si="1116"/>
        <v>LAB</v>
      </c>
      <c r="AK541" s="66" t="str">
        <f t="shared" si="1558"/>
        <v>GAIN</v>
      </c>
      <c r="AL541" s="67" t="e">
        <f t="shared" ca="1" si="1559"/>
        <v>#NAME?</v>
      </c>
      <c r="AM541" s="68">
        <f t="shared" si="1408"/>
        <v>3949</v>
      </c>
      <c r="AN541" s="69">
        <f t="shared" si="1409"/>
        <v>7.7435927603584476E-2</v>
      </c>
      <c r="AO541" s="62"/>
      <c r="AP541" s="70">
        <f t="shared" ref="AP541:AT541" si="1641">H541/$AI541</f>
        <v>0.40235700139223873</v>
      </c>
      <c r="AQ541" s="70">
        <f t="shared" si="1641"/>
        <v>0.32492107378865426</v>
      </c>
      <c r="AR541" s="70">
        <f t="shared" si="1641"/>
        <v>0.1482832323470008</v>
      </c>
      <c r="AS541" s="70">
        <f t="shared" si="1641"/>
        <v>5.3101162813498831E-2</v>
      </c>
      <c r="AT541" s="70">
        <f t="shared" si="1641"/>
        <v>6.4199854893425098E-2</v>
      </c>
      <c r="AU541" s="70"/>
      <c r="AV541" s="70"/>
      <c r="AW541" s="81">
        <f t="shared" si="1561"/>
        <v>7.1376747651823447E-3</v>
      </c>
      <c r="AX541" s="70">
        <f t="shared" ref="AX541:BG541" si="1642">O541/$AI541</f>
        <v>7.1376747651822657E-3</v>
      </c>
      <c r="AY541" s="70">
        <f t="shared" si="1642"/>
        <v>0</v>
      </c>
      <c r="AZ541" s="70">
        <f t="shared" si="1642"/>
        <v>0</v>
      </c>
      <c r="BA541" s="70">
        <f t="shared" si="1642"/>
        <v>0</v>
      </c>
      <c r="BB541" s="70">
        <f t="shared" si="1642"/>
        <v>0</v>
      </c>
      <c r="BC541" s="70">
        <f t="shared" si="1642"/>
        <v>0</v>
      </c>
      <c r="BD541" s="70">
        <f t="shared" si="1642"/>
        <v>0</v>
      </c>
      <c r="BE541" s="70">
        <f t="shared" si="1642"/>
        <v>0</v>
      </c>
      <c r="BF541" s="70">
        <f t="shared" si="1642"/>
        <v>0</v>
      </c>
      <c r="BG541" s="70">
        <f t="shared" si="1642"/>
        <v>0</v>
      </c>
      <c r="BH541" s="70">
        <f t="shared" si="1563"/>
        <v>7.8929918156944723E-17</v>
      </c>
      <c r="BI541" s="62"/>
      <c r="BJ541" s="69">
        <v>0.29499999999999998</v>
      </c>
      <c r="BK541" s="69">
        <v>0.56000000000000005</v>
      </c>
      <c r="BL541" s="69">
        <v>0</v>
      </c>
      <c r="BM541" s="69">
        <v>9.9000000000000005E-2</v>
      </c>
      <c r="BN541" s="69">
        <v>3.5999999999999997E-2</v>
      </c>
      <c r="BO541" s="69">
        <v>0</v>
      </c>
      <c r="BP541" s="69">
        <v>0</v>
      </c>
      <c r="BQ541" s="69">
        <v>8.9999999999999993E-3</v>
      </c>
      <c r="BR541" s="62"/>
      <c r="BS541" s="72">
        <f t="shared" ref="BS541:BW541" si="1643">AP541-BJ541</f>
        <v>0.10735700139223875</v>
      </c>
      <c r="BT541" s="72">
        <f t="shared" si="1643"/>
        <v>-0.2350789262113458</v>
      </c>
      <c r="BU541" s="72">
        <f t="shared" si="1643"/>
        <v>0.1482832323470008</v>
      </c>
      <c r="BV541" s="72">
        <f t="shared" si="1643"/>
        <v>-4.5898837186501174E-2</v>
      </c>
      <c r="BW541" s="72">
        <f t="shared" si="1643"/>
        <v>2.8199854893425101E-2</v>
      </c>
      <c r="BX541" s="72"/>
      <c r="BY541" s="72"/>
      <c r="BZ541" s="72">
        <f t="shared" si="1565"/>
        <v>-1.8623252348176546E-3</v>
      </c>
    </row>
    <row r="542" spans="1:78" ht="13.15">
      <c r="A542" s="73" t="s">
        <v>6</v>
      </c>
      <c r="B542" s="74" t="s">
        <v>1127</v>
      </c>
      <c r="C542" s="75" t="s">
        <v>1128</v>
      </c>
      <c r="D542" s="75" t="s">
        <v>44</v>
      </c>
      <c r="E542" s="76"/>
      <c r="F542" s="59"/>
      <c r="G542" s="60"/>
      <c r="H542" s="77">
        <v>16035</v>
      </c>
      <c r="I542" s="77">
        <v>11444</v>
      </c>
      <c r="J542" s="77">
        <v>4769</v>
      </c>
      <c r="K542" s="77">
        <v>4236</v>
      </c>
      <c r="L542" s="77">
        <v>2193</v>
      </c>
      <c r="M542" s="77"/>
      <c r="N542" s="77"/>
      <c r="O542" s="77">
        <v>1913</v>
      </c>
      <c r="P542" s="77">
        <v>3344</v>
      </c>
      <c r="Q542" s="77"/>
      <c r="R542" s="77"/>
      <c r="S542" s="77"/>
      <c r="T542" s="77"/>
      <c r="U542" s="77"/>
      <c r="V542" s="77"/>
      <c r="W542" s="77"/>
      <c r="X542" s="77"/>
      <c r="Y542" s="77">
        <v>489</v>
      </c>
      <c r="Z542" s="77">
        <v>214</v>
      </c>
      <c r="AA542" s="77"/>
      <c r="AB542" s="77"/>
      <c r="AC542" s="77"/>
      <c r="AD542" s="77"/>
      <c r="AE542" s="62"/>
      <c r="AF542" s="63" t="b">
        <v>0</v>
      </c>
      <c r="AG542" s="63" t="b">
        <v>0</v>
      </c>
      <c r="AH542" s="62"/>
      <c r="AI542" s="64">
        <f t="shared" si="1557"/>
        <v>44637</v>
      </c>
      <c r="AJ542" s="65" t="str">
        <f t="shared" si="1116"/>
        <v>LAB</v>
      </c>
      <c r="AK542" s="66" t="str">
        <f t="shared" si="1558"/>
        <v>GAIN</v>
      </c>
      <c r="AL542" s="67" t="e">
        <f t="shared" ca="1" si="1559"/>
        <v>#NAME?</v>
      </c>
      <c r="AM542" s="68">
        <f t="shared" si="1408"/>
        <v>4591</v>
      </c>
      <c r="AN542" s="69">
        <f t="shared" si="1409"/>
        <v>0.10285189416851492</v>
      </c>
      <c r="AO542" s="62"/>
      <c r="AP542" s="70">
        <f t="shared" ref="AP542:AT542" si="1644">H542/$AI542</f>
        <v>0.35923113112440352</v>
      </c>
      <c r="AQ542" s="70">
        <f t="shared" si="1644"/>
        <v>0.2563792369558886</v>
      </c>
      <c r="AR542" s="70">
        <f t="shared" si="1644"/>
        <v>0.10683961735779735</v>
      </c>
      <c r="AS542" s="70">
        <f t="shared" si="1644"/>
        <v>9.4898850729215667E-2</v>
      </c>
      <c r="AT542" s="70">
        <f t="shared" si="1644"/>
        <v>4.9129645809530213E-2</v>
      </c>
      <c r="AU542" s="70"/>
      <c r="AV542" s="70"/>
      <c r="AW542" s="81">
        <f t="shared" si="1561"/>
        <v>0.1335215180231647</v>
      </c>
      <c r="AX542" s="70">
        <f t="shared" ref="AX542:BG542" si="1645">O542/$AI542</f>
        <v>4.285682281515335E-2</v>
      </c>
      <c r="AY542" s="70">
        <f t="shared" si="1645"/>
        <v>7.4915428904272247E-2</v>
      </c>
      <c r="AZ542" s="70">
        <f t="shared" si="1645"/>
        <v>0</v>
      </c>
      <c r="BA542" s="70">
        <f t="shared" si="1645"/>
        <v>0</v>
      </c>
      <c r="BB542" s="70">
        <f t="shared" si="1645"/>
        <v>0</v>
      </c>
      <c r="BC542" s="70">
        <f t="shared" si="1645"/>
        <v>0</v>
      </c>
      <c r="BD542" s="70">
        <f t="shared" si="1645"/>
        <v>0</v>
      </c>
      <c r="BE542" s="70">
        <f t="shared" si="1645"/>
        <v>0</v>
      </c>
      <c r="BF542" s="70">
        <f t="shared" si="1645"/>
        <v>0</v>
      </c>
      <c r="BG542" s="70">
        <f t="shared" si="1645"/>
        <v>0</v>
      </c>
      <c r="BH542" s="70">
        <f t="shared" si="1563"/>
        <v>1.5749266303739101E-2</v>
      </c>
      <c r="BI542" s="62"/>
      <c r="BJ542" s="69">
        <v>0.39900000000000002</v>
      </c>
      <c r="BK542" s="69">
        <v>0.43099999999999999</v>
      </c>
      <c r="BL542" s="69">
        <v>0</v>
      </c>
      <c r="BM542" s="69">
        <v>0.113</v>
      </c>
      <c r="BN542" s="69">
        <v>2.5999999999999999E-2</v>
      </c>
      <c r="BO542" s="69">
        <v>0</v>
      </c>
      <c r="BP542" s="69">
        <v>0</v>
      </c>
      <c r="BQ542" s="69">
        <v>3.1E-2</v>
      </c>
      <c r="BR542" s="62"/>
      <c r="BS542" s="72">
        <f t="shared" ref="BS542:BW542" si="1646">AP542-BJ542</f>
        <v>-3.9768868875596497E-2</v>
      </c>
      <c r="BT542" s="72">
        <f t="shared" si="1646"/>
        <v>-0.17462076304411139</v>
      </c>
      <c r="BU542" s="72">
        <f t="shared" si="1646"/>
        <v>0.10683961735779735</v>
      </c>
      <c r="BV542" s="72">
        <f t="shared" si="1646"/>
        <v>-1.8101149270784336E-2</v>
      </c>
      <c r="BW542" s="72">
        <f t="shared" si="1646"/>
        <v>2.3129645809530214E-2</v>
      </c>
      <c r="BX542" s="72"/>
      <c r="BY542" s="72"/>
      <c r="BZ542" s="72">
        <f t="shared" si="1565"/>
        <v>0.1025215180231647</v>
      </c>
    </row>
    <row r="543" spans="1:78" ht="13.15">
      <c r="A543" s="73" t="s">
        <v>6</v>
      </c>
      <c r="B543" s="74" t="s">
        <v>1129</v>
      </c>
      <c r="C543" s="75" t="s">
        <v>1130</v>
      </c>
      <c r="D543" s="75" t="s">
        <v>47</v>
      </c>
      <c r="E543" s="76"/>
      <c r="F543" s="59"/>
      <c r="G543" s="60"/>
      <c r="H543" s="77">
        <v>13677</v>
      </c>
      <c r="I543" s="77">
        <v>14489</v>
      </c>
      <c r="J543" s="77">
        <v>9682</v>
      </c>
      <c r="K543" s="77">
        <v>2809</v>
      </c>
      <c r="L543" s="77">
        <v>2443</v>
      </c>
      <c r="M543" s="77"/>
      <c r="N543" s="77"/>
      <c r="O543" s="77">
        <v>1535</v>
      </c>
      <c r="P543" s="77"/>
      <c r="Q543" s="77"/>
      <c r="R543" s="77"/>
      <c r="S543" s="77"/>
      <c r="T543" s="77"/>
      <c r="U543" s="77"/>
      <c r="V543" s="77"/>
      <c r="W543" s="77"/>
      <c r="X543" s="77"/>
      <c r="Y543" s="77">
        <v>523</v>
      </c>
      <c r="Z543" s="77"/>
      <c r="AA543" s="77"/>
      <c r="AB543" s="77"/>
      <c r="AC543" s="77"/>
      <c r="AD543" s="77"/>
      <c r="AE543" s="62"/>
      <c r="AF543" s="63" t="b">
        <v>0</v>
      </c>
      <c r="AG543" s="63" t="b">
        <v>0</v>
      </c>
      <c r="AH543" s="62"/>
      <c r="AI543" s="64">
        <f t="shared" si="1557"/>
        <v>45158</v>
      </c>
      <c r="AJ543" s="65" t="str">
        <f t="shared" si="1116"/>
        <v>CON</v>
      </c>
      <c r="AK543" s="66" t="str">
        <f t="shared" si="1558"/>
        <v>HOLD</v>
      </c>
      <c r="AL543" s="67" t="e">
        <f t="shared" ca="1" si="1559"/>
        <v>#NAME?</v>
      </c>
      <c r="AM543" s="68">
        <f t="shared" si="1408"/>
        <v>812</v>
      </c>
      <c r="AN543" s="69">
        <f t="shared" si="1409"/>
        <v>1.798131006687631E-2</v>
      </c>
      <c r="AO543" s="62"/>
      <c r="AP543" s="70">
        <f t="shared" ref="AP543:AT543" si="1647">H543/$AI543</f>
        <v>0.30286992338013197</v>
      </c>
      <c r="AQ543" s="70">
        <f t="shared" si="1647"/>
        <v>0.32085123344700828</v>
      </c>
      <c r="AR543" s="70">
        <f t="shared" si="1647"/>
        <v>0.21440276362992161</v>
      </c>
      <c r="AS543" s="70">
        <f t="shared" si="1647"/>
        <v>6.220381770671863E-2</v>
      </c>
      <c r="AT543" s="70">
        <f t="shared" si="1647"/>
        <v>5.4098941494308869E-2</v>
      </c>
      <c r="AU543" s="70"/>
      <c r="AV543" s="70"/>
      <c r="AW543" s="81">
        <f t="shared" si="1561"/>
        <v>4.5573320341910639E-2</v>
      </c>
      <c r="AX543" s="70">
        <f t="shared" ref="AX543:BG543" si="1648">O543/$AI543</f>
        <v>3.3991762256964438E-2</v>
      </c>
      <c r="AY543" s="70">
        <f t="shared" si="1648"/>
        <v>0</v>
      </c>
      <c r="AZ543" s="70">
        <f t="shared" si="1648"/>
        <v>0</v>
      </c>
      <c r="BA543" s="70">
        <f t="shared" si="1648"/>
        <v>0</v>
      </c>
      <c r="BB543" s="70">
        <f t="shared" si="1648"/>
        <v>0</v>
      </c>
      <c r="BC543" s="70">
        <f t="shared" si="1648"/>
        <v>0</v>
      </c>
      <c r="BD543" s="70">
        <f t="shared" si="1648"/>
        <v>0</v>
      </c>
      <c r="BE543" s="70">
        <f t="shared" si="1648"/>
        <v>0</v>
      </c>
      <c r="BF543" s="70">
        <f t="shared" si="1648"/>
        <v>0</v>
      </c>
      <c r="BG543" s="70">
        <f t="shared" si="1648"/>
        <v>0</v>
      </c>
      <c r="BH543" s="70">
        <f t="shared" si="1563"/>
        <v>1.1581558084946202E-2</v>
      </c>
      <c r="BI543" s="62"/>
      <c r="BJ543" s="69">
        <v>0.22800000000000001</v>
      </c>
      <c r="BK543" s="69">
        <v>0.65200000000000002</v>
      </c>
      <c r="BL543" s="69">
        <v>0</v>
      </c>
      <c r="BM543" s="69">
        <v>8.1000000000000003E-2</v>
      </c>
      <c r="BN543" s="69">
        <v>3.9E-2</v>
      </c>
      <c r="BO543" s="69">
        <v>0</v>
      </c>
      <c r="BP543" s="69">
        <v>0</v>
      </c>
      <c r="BQ543" s="69">
        <v>0</v>
      </c>
      <c r="BR543" s="62"/>
      <c r="BS543" s="72">
        <f t="shared" ref="BS543:BW543" si="1649">AP543-BJ543</f>
        <v>7.4869923380131959E-2</v>
      </c>
      <c r="BT543" s="72">
        <f t="shared" si="1649"/>
        <v>-0.33114876655299175</v>
      </c>
      <c r="BU543" s="72">
        <f t="shared" si="1649"/>
        <v>0.21440276362992161</v>
      </c>
      <c r="BV543" s="72">
        <f t="shared" si="1649"/>
        <v>-1.8796182293281373E-2</v>
      </c>
      <c r="BW543" s="72">
        <f t="shared" si="1649"/>
        <v>1.5098941494308869E-2</v>
      </c>
      <c r="BX543" s="72"/>
      <c r="BY543" s="72"/>
      <c r="BZ543" s="72">
        <f t="shared" si="1565"/>
        <v>4.5573320341910639E-2</v>
      </c>
    </row>
    <row r="544" spans="1:78" ht="13.15">
      <c r="A544" s="78" t="s">
        <v>5</v>
      </c>
      <c r="B544" s="74" t="s">
        <v>1131</v>
      </c>
      <c r="C544" s="75" t="s">
        <v>1132</v>
      </c>
      <c r="D544" s="75" t="s">
        <v>50</v>
      </c>
      <c r="E544" s="76"/>
      <c r="F544" s="59"/>
      <c r="G544" s="60"/>
      <c r="H544" s="77">
        <v>20596</v>
      </c>
      <c r="I544" s="77">
        <v>5392</v>
      </c>
      <c r="J544" s="77">
        <v>5986</v>
      </c>
      <c r="K544" s="77">
        <v>1985</v>
      </c>
      <c r="L544" s="77">
        <v>4133</v>
      </c>
      <c r="M544" s="77"/>
      <c r="N544" s="77"/>
      <c r="O544" s="77"/>
      <c r="P544" s="77">
        <v>714</v>
      </c>
      <c r="Q544" s="77">
        <v>326</v>
      </c>
      <c r="R544" s="77"/>
      <c r="S544" s="77"/>
      <c r="T544" s="77"/>
      <c r="U544" s="77"/>
      <c r="V544" s="77"/>
      <c r="W544" s="77"/>
      <c r="X544" s="77"/>
      <c r="Y544" s="77"/>
      <c r="Z544" s="77"/>
      <c r="AA544" s="77"/>
      <c r="AB544" s="77"/>
      <c r="AC544" s="77"/>
      <c r="AD544" s="77"/>
      <c r="AE544" s="62"/>
      <c r="AF544" s="63" t="b">
        <v>0</v>
      </c>
      <c r="AG544" s="63" t="b">
        <v>0</v>
      </c>
      <c r="AH544" s="62"/>
      <c r="AI544" s="64">
        <f t="shared" si="1557"/>
        <v>39132</v>
      </c>
      <c r="AJ544" s="65" t="str">
        <f t="shared" si="1116"/>
        <v>LAB</v>
      </c>
      <c r="AK544" s="66" t="str">
        <f t="shared" si="1558"/>
        <v>HOLD</v>
      </c>
      <c r="AL544" s="67" t="e">
        <f t="shared" ca="1" si="1559"/>
        <v>#NAME?</v>
      </c>
      <c r="AM544" s="68">
        <f t="shared" si="1408"/>
        <v>14610</v>
      </c>
      <c r="AN544" s="69">
        <f t="shared" si="1409"/>
        <v>0.37335173259736271</v>
      </c>
      <c r="AO544" s="62"/>
      <c r="AP544" s="70">
        <f t="shared" ref="AP544:AT544" si="1650">H544/$AI544</f>
        <v>0.52632116937544715</v>
      </c>
      <c r="AQ544" s="70">
        <f t="shared" si="1650"/>
        <v>0.1377900439537974</v>
      </c>
      <c r="AR544" s="70">
        <f t="shared" si="1650"/>
        <v>0.15296943677808444</v>
      </c>
      <c r="AS544" s="70">
        <f t="shared" si="1650"/>
        <v>5.0725748747827863E-2</v>
      </c>
      <c r="AT544" s="70">
        <f t="shared" si="1650"/>
        <v>0.10561688643565369</v>
      </c>
      <c r="AU544" s="70"/>
      <c r="AV544" s="70"/>
      <c r="AW544" s="81">
        <f t="shared" si="1561"/>
        <v>2.657671470918932E-2</v>
      </c>
      <c r="AX544" s="70">
        <f t="shared" ref="AX544:BG544" si="1651">O544/$AI544</f>
        <v>0</v>
      </c>
      <c r="AY544" s="70">
        <f t="shared" si="1651"/>
        <v>1.8245936829193499E-2</v>
      </c>
      <c r="AZ544" s="70">
        <f t="shared" si="1651"/>
        <v>8.3307778799959105E-3</v>
      </c>
      <c r="BA544" s="70">
        <f t="shared" si="1651"/>
        <v>0</v>
      </c>
      <c r="BB544" s="70">
        <f t="shared" si="1651"/>
        <v>0</v>
      </c>
      <c r="BC544" s="70">
        <f t="shared" si="1651"/>
        <v>0</v>
      </c>
      <c r="BD544" s="70">
        <f t="shared" si="1651"/>
        <v>0</v>
      </c>
      <c r="BE544" s="70">
        <f t="shared" si="1651"/>
        <v>0</v>
      </c>
      <c r="BF544" s="70">
        <f t="shared" si="1651"/>
        <v>0</v>
      </c>
      <c r="BG544" s="70">
        <f t="shared" si="1651"/>
        <v>0</v>
      </c>
      <c r="BH544" s="70">
        <f t="shared" si="1563"/>
        <v>-9.0205620750793969E-17</v>
      </c>
      <c r="BI544" s="62"/>
      <c r="BJ544" s="69">
        <v>0.53300000000000003</v>
      </c>
      <c r="BK544" s="69">
        <v>0.30099999999999999</v>
      </c>
      <c r="BL544" s="69">
        <v>6.0999999999999999E-2</v>
      </c>
      <c r="BM544" s="69">
        <v>7.0000000000000007E-2</v>
      </c>
      <c r="BN544" s="69">
        <v>3.5000000000000003E-2</v>
      </c>
      <c r="BO544" s="69">
        <v>0</v>
      </c>
      <c r="BP544" s="69">
        <v>0</v>
      </c>
      <c r="BQ544" s="69">
        <v>1E-3</v>
      </c>
      <c r="BR544" s="62"/>
      <c r="BS544" s="72">
        <f t="shared" ref="BS544:BW544" si="1652">AP544-BJ544</f>
        <v>-6.6788306245528783E-3</v>
      </c>
      <c r="BT544" s="72">
        <f t="shared" si="1652"/>
        <v>-0.16320995604620259</v>
      </c>
      <c r="BU544" s="72">
        <f t="shared" si="1652"/>
        <v>9.1969436778084446E-2</v>
      </c>
      <c r="BV544" s="72">
        <f t="shared" si="1652"/>
        <v>-1.9274251252172143E-2</v>
      </c>
      <c r="BW544" s="72">
        <f t="shared" si="1652"/>
        <v>7.0616886435653684E-2</v>
      </c>
      <c r="BX544" s="72"/>
      <c r="BY544" s="72"/>
      <c r="BZ544" s="72">
        <f t="shared" si="1565"/>
        <v>2.5576714709189319E-2</v>
      </c>
    </row>
    <row r="545" spans="1:78" ht="13.15">
      <c r="A545" s="73" t="s">
        <v>6</v>
      </c>
      <c r="B545" s="74" t="s">
        <v>1133</v>
      </c>
      <c r="C545" s="75" t="s">
        <v>1134</v>
      </c>
      <c r="D545" s="75" t="s">
        <v>85</v>
      </c>
      <c r="E545" s="76"/>
      <c r="F545" s="59"/>
      <c r="G545" s="60"/>
      <c r="H545" s="77">
        <v>3002</v>
      </c>
      <c r="I545" s="77">
        <v>11497</v>
      </c>
      <c r="J545" s="77">
        <v>7677</v>
      </c>
      <c r="K545" s="77">
        <v>23765</v>
      </c>
      <c r="L545" s="77">
        <v>2403</v>
      </c>
      <c r="M545" s="77"/>
      <c r="N545" s="77"/>
      <c r="O545" s="77">
        <v>608</v>
      </c>
      <c r="P545" s="77"/>
      <c r="Q545" s="77"/>
      <c r="R545" s="77"/>
      <c r="S545" s="77"/>
      <c r="T545" s="77"/>
      <c r="U545" s="77"/>
      <c r="V545" s="77"/>
      <c r="W545" s="77"/>
      <c r="X545" s="77"/>
      <c r="Y545" s="77"/>
      <c r="Z545" s="77"/>
      <c r="AA545" s="77"/>
      <c r="AB545" s="77"/>
      <c r="AC545" s="77"/>
      <c r="AD545" s="77"/>
      <c r="AE545" s="62"/>
      <c r="AF545" s="63" t="b">
        <v>0</v>
      </c>
      <c r="AG545" s="63" t="b">
        <v>0</v>
      </c>
      <c r="AH545" s="62"/>
      <c r="AI545" s="64">
        <f t="shared" si="1557"/>
        <v>48952</v>
      </c>
      <c r="AJ545" s="65" t="str">
        <f t="shared" si="1116"/>
        <v>LDM</v>
      </c>
      <c r="AK545" s="66" t="str">
        <f t="shared" si="1558"/>
        <v>GAIN</v>
      </c>
      <c r="AL545" s="67" t="e">
        <f t="shared" ca="1" si="1559"/>
        <v>#NAME?</v>
      </c>
      <c r="AM545" s="68">
        <f t="shared" si="1408"/>
        <v>12268</v>
      </c>
      <c r="AN545" s="69">
        <f t="shared" si="1409"/>
        <v>0.25061284523614968</v>
      </c>
      <c r="AO545" s="62"/>
      <c r="AP545" s="70">
        <f t="shared" ref="AP545:AT545" si="1653">H545/$AI545</f>
        <v>6.1325379964046411E-2</v>
      </c>
      <c r="AQ545" s="70">
        <f t="shared" si="1653"/>
        <v>0.23486272266710248</v>
      </c>
      <c r="AR545" s="70">
        <f t="shared" si="1653"/>
        <v>0.15682709593070762</v>
      </c>
      <c r="AS545" s="70">
        <f t="shared" si="1653"/>
        <v>0.48547556790325219</v>
      </c>
      <c r="AT545" s="70">
        <f t="shared" si="1653"/>
        <v>4.908890341559078E-2</v>
      </c>
      <c r="AU545" s="70"/>
      <c r="AV545" s="70"/>
      <c r="AW545" s="81">
        <f t="shared" si="1561"/>
        <v>1.2420330119300438E-2</v>
      </c>
      <c r="AX545" s="70">
        <f t="shared" ref="AX545:BG545" si="1654">O545/$AI545</f>
        <v>1.2420330119300538E-2</v>
      </c>
      <c r="AY545" s="70">
        <f t="shared" si="1654"/>
        <v>0</v>
      </c>
      <c r="AZ545" s="70">
        <f t="shared" si="1654"/>
        <v>0</v>
      </c>
      <c r="BA545" s="70">
        <f t="shared" si="1654"/>
        <v>0</v>
      </c>
      <c r="BB545" s="70">
        <f t="shared" si="1654"/>
        <v>0</v>
      </c>
      <c r="BC545" s="70">
        <f t="shared" si="1654"/>
        <v>0</v>
      </c>
      <c r="BD545" s="70">
        <f t="shared" si="1654"/>
        <v>0</v>
      </c>
      <c r="BE545" s="70">
        <f t="shared" si="1654"/>
        <v>0</v>
      </c>
      <c r="BF545" s="70">
        <f t="shared" si="1654"/>
        <v>0</v>
      </c>
      <c r="BG545" s="70">
        <f t="shared" si="1654"/>
        <v>0</v>
      </c>
      <c r="BH545" s="70">
        <f t="shared" si="1563"/>
        <v>-1.0061396160665481E-16</v>
      </c>
      <c r="BI545" s="62"/>
      <c r="BJ545" s="69">
        <v>6.3E-2</v>
      </c>
      <c r="BK545" s="69">
        <v>0.58199999999999996</v>
      </c>
      <c r="BL545" s="69">
        <v>0</v>
      </c>
      <c r="BM545" s="69">
        <v>0.311</v>
      </c>
      <c r="BN545" s="69">
        <v>2.8000000000000001E-2</v>
      </c>
      <c r="BO545" s="69">
        <v>0</v>
      </c>
      <c r="BP545" s="69">
        <v>0</v>
      </c>
      <c r="BQ545" s="69">
        <v>1.6E-2</v>
      </c>
      <c r="BR545" s="62"/>
      <c r="BS545" s="72">
        <f t="shared" ref="BS545:BW545" si="1655">AP545-BJ545</f>
        <v>-1.674620035953589E-3</v>
      </c>
      <c r="BT545" s="72">
        <f t="shared" si="1655"/>
        <v>-0.34713727733289745</v>
      </c>
      <c r="BU545" s="72">
        <f t="shared" si="1655"/>
        <v>0.15682709593070762</v>
      </c>
      <c r="BV545" s="72">
        <f t="shared" si="1655"/>
        <v>0.17447556790325219</v>
      </c>
      <c r="BW545" s="72">
        <f t="shared" si="1655"/>
        <v>2.108890341559078E-2</v>
      </c>
      <c r="BX545" s="72"/>
      <c r="BY545" s="72"/>
      <c r="BZ545" s="72">
        <f t="shared" si="1565"/>
        <v>-3.5796698806995625E-3</v>
      </c>
    </row>
    <row r="546" spans="1:78" ht="13.15">
      <c r="A546" s="78" t="s">
        <v>5</v>
      </c>
      <c r="B546" s="74" t="s">
        <v>1135</v>
      </c>
      <c r="C546" s="75" t="s">
        <v>1136</v>
      </c>
      <c r="D546" s="75" t="s">
        <v>71</v>
      </c>
      <c r="E546" s="76"/>
      <c r="F546" s="59"/>
      <c r="G546" s="60"/>
      <c r="H546" s="77">
        <v>24537</v>
      </c>
      <c r="I546" s="77">
        <v>5383</v>
      </c>
      <c r="J546" s="77">
        <v>4721</v>
      </c>
      <c r="K546" s="77">
        <v>3051</v>
      </c>
      <c r="L546" s="77">
        <v>5185</v>
      </c>
      <c r="M546" s="77"/>
      <c r="N546" s="77"/>
      <c r="O546" s="77">
        <v>133</v>
      </c>
      <c r="P546" s="77"/>
      <c r="Q546" s="77"/>
      <c r="R546" s="77"/>
      <c r="S546" s="77"/>
      <c r="T546" s="77"/>
      <c r="U546" s="77"/>
      <c r="V546" s="77"/>
      <c r="W546" s="77"/>
      <c r="X546" s="77"/>
      <c r="Y546" s="77">
        <v>131</v>
      </c>
      <c r="Z546" s="77">
        <v>98</v>
      </c>
      <c r="AA546" s="77">
        <v>84</v>
      </c>
      <c r="AB546" s="77"/>
      <c r="AC546" s="77"/>
      <c r="AD546" s="77"/>
      <c r="AE546" s="62"/>
      <c r="AF546" s="63" t="b">
        <v>0</v>
      </c>
      <c r="AG546" s="63" t="b">
        <v>0</v>
      </c>
      <c r="AH546" s="62"/>
      <c r="AI546" s="64">
        <f t="shared" si="1557"/>
        <v>43323</v>
      </c>
      <c r="AJ546" s="65" t="str">
        <f t="shared" si="1116"/>
        <v>LAB</v>
      </c>
      <c r="AK546" s="66" t="str">
        <f t="shared" si="1558"/>
        <v>HOLD</v>
      </c>
      <c r="AL546" s="67" t="e">
        <f t="shared" ca="1" si="1559"/>
        <v>#NAME?</v>
      </c>
      <c r="AM546" s="68">
        <f t="shared" si="1408"/>
        <v>19154</v>
      </c>
      <c r="AN546" s="69">
        <f t="shared" si="1409"/>
        <v>0.44212081342473969</v>
      </c>
      <c r="AO546" s="62"/>
      <c r="AP546" s="70">
        <f t="shared" ref="AP546:AT546" si="1656">H546/$AI546</f>
        <v>0.56637351983934625</v>
      </c>
      <c r="AQ546" s="70">
        <f t="shared" si="1656"/>
        <v>0.12425270641460656</v>
      </c>
      <c r="AR546" s="70">
        <f t="shared" si="1656"/>
        <v>0.10897213951019089</v>
      </c>
      <c r="AS546" s="70">
        <f t="shared" si="1656"/>
        <v>7.0424485838930823E-2</v>
      </c>
      <c r="AT546" s="70">
        <f t="shared" si="1656"/>
        <v>0.11968238579969069</v>
      </c>
      <c r="AU546" s="70"/>
      <c r="AV546" s="70"/>
      <c r="AW546" s="81">
        <f t="shared" si="1561"/>
        <v>1.0294762597234719E-2</v>
      </c>
      <c r="AX546" s="70">
        <f t="shared" ref="AX546:BG546" si="1657">O546/$AI546</f>
        <v>3.0699628372919696E-3</v>
      </c>
      <c r="AY546" s="70">
        <f t="shared" si="1657"/>
        <v>0</v>
      </c>
      <c r="AZ546" s="70">
        <f t="shared" si="1657"/>
        <v>0</v>
      </c>
      <c r="BA546" s="70">
        <f t="shared" si="1657"/>
        <v>0</v>
      </c>
      <c r="BB546" s="70">
        <f t="shared" si="1657"/>
        <v>0</v>
      </c>
      <c r="BC546" s="70">
        <f t="shared" si="1657"/>
        <v>0</v>
      </c>
      <c r="BD546" s="70">
        <f t="shared" si="1657"/>
        <v>0</v>
      </c>
      <c r="BE546" s="70">
        <f t="shared" si="1657"/>
        <v>0</v>
      </c>
      <c r="BF546" s="70">
        <f t="shared" si="1657"/>
        <v>0</v>
      </c>
      <c r="BG546" s="70">
        <f t="shared" si="1657"/>
        <v>0</v>
      </c>
      <c r="BH546" s="70">
        <f t="shared" si="1563"/>
        <v>7.2247997599427499E-3</v>
      </c>
      <c r="BI546" s="62"/>
      <c r="BJ546" s="69">
        <v>0.56399999999999995</v>
      </c>
      <c r="BK546" s="69">
        <v>0.27800000000000002</v>
      </c>
      <c r="BL546" s="69">
        <v>2.4E-2</v>
      </c>
      <c r="BM546" s="69">
        <v>7.8E-2</v>
      </c>
      <c r="BN546" s="69">
        <v>4.2000000000000003E-2</v>
      </c>
      <c r="BO546" s="69">
        <v>0</v>
      </c>
      <c r="BP546" s="69">
        <v>0</v>
      </c>
      <c r="BQ546" s="69">
        <v>1.4E-2</v>
      </c>
      <c r="BR546" s="62"/>
      <c r="BS546" s="72">
        <f t="shared" ref="BS546:BW546" si="1658">AP546-BJ546</f>
        <v>2.3735198393463053E-3</v>
      </c>
      <c r="BT546" s="72">
        <f t="shared" si="1658"/>
        <v>-0.15374729358539346</v>
      </c>
      <c r="BU546" s="72">
        <f t="shared" si="1658"/>
        <v>8.4972139510190892E-2</v>
      </c>
      <c r="BV546" s="72">
        <f t="shared" si="1658"/>
        <v>-7.5755141610691773E-3</v>
      </c>
      <c r="BW546" s="72">
        <f t="shared" si="1658"/>
        <v>7.7682385799690695E-2</v>
      </c>
      <c r="BX546" s="72"/>
      <c r="BY546" s="72"/>
      <c r="BZ546" s="72">
        <f t="shared" si="1565"/>
        <v>-3.7052374027652813E-3</v>
      </c>
    </row>
    <row r="547" spans="1:78" ht="13.15">
      <c r="A547" s="73" t="s">
        <v>6</v>
      </c>
      <c r="B547" s="74" t="s">
        <v>1137</v>
      </c>
      <c r="C547" s="75" t="s">
        <v>1138</v>
      </c>
      <c r="D547" s="75" t="s">
        <v>71</v>
      </c>
      <c r="E547" s="76"/>
      <c r="F547" s="59"/>
      <c r="G547" s="60"/>
      <c r="H547" s="77">
        <v>23161</v>
      </c>
      <c r="I547" s="77">
        <v>13770</v>
      </c>
      <c r="J547" s="77">
        <v>5912</v>
      </c>
      <c r="K547" s="77">
        <v>5496</v>
      </c>
      <c r="L547" s="77">
        <v>2212</v>
      </c>
      <c r="M547" s="77"/>
      <c r="N547" s="77"/>
      <c r="O547" s="77">
        <v>141</v>
      </c>
      <c r="P547" s="77"/>
      <c r="Q547" s="77"/>
      <c r="R547" s="77"/>
      <c r="S547" s="77"/>
      <c r="T547" s="77"/>
      <c r="U547" s="77"/>
      <c r="V547" s="77"/>
      <c r="W547" s="77"/>
      <c r="X547" s="77"/>
      <c r="Y547" s="77">
        <v>260</v>
      </c>
      <c r="Z547" s="77">
        <v>88</v>
      </c>
      <c r="AA547" s="77">
        <v>66</v>
      </c>
      <c r="AB547" s="77"/>
      <c r="AC547" s="77"/>
      <c r="AD547" s="77"/>
      <c r="AE547" s="62"/>
      <c r="AF547" s="63" t="b">
        <v>0</v>
      </c>
      <c r="AG547" s="63" t="b">
        <v>0</v>
      </c>
      <c r="AH547" s="62"/>
      <c r="AI547" s="64">
        <f t="shared" si="1557"/>
        <v>51106</v>
      </c>
      <c r="AJ547" s="65" t="str">
        <f t="shared" si="1116"/>
        <v>LAB</v>
      </c>
      <c r="AK547" s="66" t="str">
        <f t="shared" si="1558"/>
        <v>GAIN</v>
      </c>
      <c r="AL547" s="67" t="e">
        <f t="shared" ca="1" si="1559"/>
        <v>#NAME?</v>
      </c>
      <c r="AM547" s="68">
        <f t="shared" si="1408"/>
        <v>9391</v>
      </c>
      <c r="AN547" s="69">
        <f t="shared" si="1409"/>
        <v>0.1837553320549446</v>
      </c>
      <c r="AO547" s="62"/>
      <c r="AP547" s="70">
        <f t="shared" ref="AP547:AT547" si="1659">H547/$AI547</f>
        <v>0.45319531953195319</v>
      </c>
      <c r="AQ547" s="70">
        <f t="shared" si="1659"/>
        <v>0.26943998747700859</v>
      </c>
      <c r="AR547" s="70">
        <f t="shared" si="1659"/>
        <v>0.11568113333072437</v>
      </c>
      <c r="AS547" s="70">
        <f t="shared" si="1659"/>
        <v>0.10754118890149884</v>
      </c>
      <c r="AT547" s="70">
        <f t="shared" si="1659"/>
        <v>4.3282589128478065E-2</v>
      </c>
      <c r="AU547" s="70"/>
      <c r="AV547" s="70"/>
      <c r="AW547" s="81">
        <f t="shared" si="1561"/>
        <v>1.0859781630336962E-2</v>
      </c>
      <c r="AX547" s="70">
        <f t="shared" ref="AX547:BG547" si="1660">O547/$AI547</f>
        <v>2.7589715493288461E-3</v>
      </c>
      <c r="AY547" s="70">
        <f t="shared" si="1660"/>
        <v>0</v>
      </c>
      <c r="AZ547" s="70">
        <f t="shared" si="1660"/>
        <v>0</v>
      </c>
      <c r="BA547" s="70">
        <f t="shared" si="1660"/>
        <v>0</v>
      </c>
      <c r="BB547" s="70">
        <f t="shared" si="1660"/>
        <v>0</v>
      </c>
      <c r="BC547" s="70">
        <f t="shared" si="1660"/>
        <v>0</v>
      </c>
      <c r="BD547" s="70">
        <f t="shared" si="1660"/>
        <v>0</v>
      </c>
      <c r="BE547" s="70">
        <f t="shared" si="1660"/>
        <v>0</v>
      </c>
      <c r="BF547" s="70">
        <f t="shared" si="1660"/>
        <v>0</v>
      </c>
      <c r="BG547" s="70">
        <f t="shared" si="1660"/>
        <v>0</v>
      </c>
      <c r="BH547" s="70">
        <f t="shared" si="1563"/>
        <v>8.1008100810081168E-3</v>
      </c>
      <c r="BI547" s="62"/>
      <c r="BJ547" s="69">
        <v>0.29899999999999999</v>
      </c>
      <c r="BK547" s="69">
        <v>0.496</v>
      </c>
      <c r="BL547" s="69">
        <v>5.0000000000000001E-3</v>
      </c>
      <c r="BM547" s="69">
        <v>0.187</v>
      </c>
      <c r="BN547" s="69">
        <v>0</v>
      </c>
      <c r="BO547" s="69">
        <v>0</v>
      </c>
      <c r="BP547" s="69">
        <v>0</v>
      </c>
      <c r="BQ547" s="69">
        <v>1.2999999999999999E-2</v>
      </c>
      <c r="BR547" s="62"/>
      <c r="BS547" s="72">
        <f t="shared" ref="BS547:BW547" si="1661">AP547-BJ547</f>
        <v>0.1541953195319532</v>
      </c>
      <c r="BT547" s="72">
        <f t="shared" si="1661"/>
        <v>-0.22656001252299141</v>
      </c>
      <c r="BU547" s="72">
        <f t="shared" si="1661"/>
        <v>0.11068113333072437</v>
      </c>
      <c r="BV547" s="72">
        <f t="shared" si="1661"/>
        <v>-7.9458811098501156E-2</v>
      </c>
      <c r="BW547" s="72">
        <f t="shared" si="1661"/>
        <v>4.3282589128478065E-2</v>
      </c>
      <c r="BX547" s="72"/>
      <c r="BY547" s="72"/>
      <c r="BZ547" s="72">
        <f t="shared" si="1565"/>
        <v>-2.1402183696630373E-3</v>
      </c>
    </row>
    <row r="548" spans="1:78" ht="13.15">
      <c r="A548" s="90" t="s">
        <v>16</v>
      </c>
      <c r="B548" s="74" t="s">
        <v>1139</v>
      </c>
      <c r="C548" s="75" t="s">
        <v>1140</v>
      </c>
      <c r="D548" s="75" t="s">
        <v>1141</v>
      </c>
      <c r="E548" s="76"/>
      <c r="F548" s="59"/>
      <c r="G548" s="60"/>
      <c r="H548" s="77"/>
      <c r="I548" s="77"/>
      <c r="J548" s="77"/>
      <c r="K548" s="77"/>
      <c r="L548" s="77">
        <v>1077</v>
      </c>
      <c r="M548" s="77"/>
      <c r="N548" s="77"/>
      <c r="O548" s="77"/>
      <c r="P548" s="77"/>
      <c r="Q548" s="77"/>
      <c r="R548" s="77"/>
      <c r="S548" s="77">
        <v>19894</v>
      </c>
      <c r="T548" s="77"/>
      <c r="U548" s="77">
        <v>17218</v>
      </c>
      <c r="V548" s="77">
        <v>619</v>
      </c>
      <c r="W548" s="77">
        <v>1818</v>
      </c>
      <c r="X548" s="77">
        <v>1918</v>
      </c>
      <c r="Y548" s="77">
        <v>162</v>
      </c>
      <c r="Z548" s="77"/>
      <c r="AA548" s="77"/>
      <c r="AB548" s="77"/>
      <c r="AC548" s="77"/>
      <c r="AD548" s="77"/>
      <c r="AE548" s="62"/>
      <c r="AF548" s="63" t="b">
        <v>0</v>
      </c>
      <c r="AG548" s="63" t="b">
        <v>0</v>
      </c>
      <c r="AH548" s="62"/>
      <c r="AI548" s="64">
        <f t="shared" si="1557"/>
        <v>42706</v>
      </c>
      <c r="AJ548" s="65" t="str">
        <f t="shared" si="1116"/>
        <v>DUP</v>
      </c>
      <c r="AK548" s="66" t="str">
        <f t="shared" si="1558"/>
        <v>HOLD</v>
      </c>
      <c r="AL548" s="67" t="e">
        <f t="shared" ca="1" si="1559"/>
        <v>#NAME?</v>
      </c>
      <c r="AM548" s="68">
        <f t="shared" si="1408"/>
        <v>2676</v>
      </c>
      <c r="AN548" s="69">
        <f t="shared" si="1409"/>
        <v>6.2660984405001618E-2</v>
      </c>
      <c r="AO548" s="62"/>
      <c r="AP548" s="70">
        <f t="shared" ref="AP548:AT548" si="1662">H548/$AI548</f>
        <v>0</v>
      </c>
      <c r="AQ548" s="70">
        <f t="shared" si="1662"/>
        <v>0</v>
      </c>
      <c r="AR548" s="70">
        <f t="shared" si="1662"/>
        <v>0</v>
      </c>
      <c r="AS548" s="70">
        <f t="shared" si="1662"/>
        <v>0</v>
      </c>
      <c r="AT548" s="70">
        <f t="shared" si="1662"/>
        <v>2.5218938790802229E-2</v>
      </c>
      <c r="AU548" s="70"/>
      <c r="AV548" s="70"/>
      <c r="AW548" s="81">
        <f t="shared" si="1561"/>
        <v>0.97478106120919772</v>
      </c>
      <c r="AX548" s="70">
        <f t="shared" ref="AX548:BG548" si="1663">O548/$AI548</f>
        <v>0</v>
      </c>
      <c r="AY548" s="70">
        <f t="shared" si="1663"/>
        <v>0</v>
      </c>
      <c r="AZ548" s="70">
        <f t="shared" si="1663"/>
        <v>0</v>
      </c>
      <c r="BA548" s="70">
        <f t="shared" si="1663"/>
        <v>0</v>
      </c>
      <c r="BB548" s="70">
        <f t="shared" si="1663"/>
        <v>0.46583618226947032</v>
      </c>
      <c r="BC548" s="70">
        <f t="shared" si="1663"/>
        <v>0</v>
      </c>
      <c r="BD548" s="70">
        <f t="shared" si="1663"/>
        <v>0.4031751978644687</v>
      </c>
      <c r="BE548" s="70">
        <f t="shared" si="1663"/>
        <v>1.4494450428511217E-2</v>
      </c>
      <c r="BF548" s="70">
        <f t="shared" si="1663"/>
        <v>4.2570130660797074E-2</v>
      </c>
      <c r="BG548" s="70">
        <f t="shared" si="1663"/>
        <v>4.4911722006275467E-2</v>
      </c>
      <c r="BH548" s="70">
        <f t="shared" si="1563"/>
        <v>3.79337797967505E-3</v>
      </c>
      <c r="BI548" s="62"/>
      <c r="BJ548" s="69">
        <v>0</v>
      </c>
      <c r="BK548" s="69">
        <v>0</v>
      </c>
      <c r="BL548" s="69">
        <v>0</v>
      </c>
      <c r="BM548" s="69">
        <v>0</v>
      </c>
      <c r="BN548" s="69">
        <v>0</v>
      </c>
      <c r="BO548" s="69">
        <v>0</v>
      </c>
      <c r="BP548" s="69">
        <v>0</v>
      </c>
      <c r="BQ548" s="69">
        <v>0</v>
      </c>
      <c r="BR548" s="62"/>
      <c r="BS548" s="72">
        <f t="shared" ref="BS548:BW548" si="1664">AP548-BJ548</f>
        <v>0</v>
      </c>
      <c r="BT548" s="72">
        <f t="shared" si="1664"/>
        <v>0</v>
      </c>
      <c r="BU548" s="72">
        <f t="shared" si="1664"/>
        <v>0</v>
      </c>
      <c r="BV548" s="72">
        <f t="shared" si="1664"/>
        <v>0</v>
      </c>
      <c r="BW548" s="72">
        <f t="shared" si="1664"/>
        <v>2.5218938790802229E-2</v>
      </c>
      <c r="BX548" s="72"/>
      <c r="BY548" s="72"/>
      <c r="BZ548" s="72">
        <f t="shared" si="1565"/>
        <v>0.97478106120919772</v>
      </c>
    </row>
    <row r="549" spans="1:78" ht="13.15">
      <c r="A549" s="91" t="s">
        <v>17</v>
      </c>
      <c r="B549" s="74" t="s">
        <v>1142</v>
      </c>
      <c r="C549" s="75" t="s">
        <v>1143</v>
      </c>
      <c r="D549" s="75" t="s">
        <v>1141</v>
      </c>
      <c r="E549" s="76"/>
      <c r="F549" s="59"/>
      <c r="G549" s="60"/>
      <c r="H549" s="77"/>
      <c r="I549" s="77"/>
      <c r="J549" s="77"/>
      <c r="K549" s="77"/>
      <c r="L549" s="77">
        <v>1206</v>
      </c>
      <c r="M549" s="77"/>
      <c r="N549" s="77"/>
      <c r="O549" s="77"/>
      <c r="P549" s="77"/>
      <c r="Q549" s="77"/>
      <c r="R549" s="77"/>
      <c r="S549" s="77">
        <v>12062</v>
      </c>
      <c r="T549" s="77">
        <v>17674</v>
      </c>
      <c r="U549" s="77">
        <v>4274</v>
      </c>
      <c r="V549" s="77">
        <v>1413</v>
      </c>
      <c r="W549" s="77"/>
      <c r="X549" s="77">
        <v>2877</v>
      </c>
      <c r="Y549" s="77">
        <v>946</v>
      </c>
      <c r="Z549" s="77"/>
      <c r="AA549" s="77"/>
      <c r="AB549" s="77"/>
      <c r="AC549" s="77"/>
      <c r="AD549" s="77"/>
      <c r="AE549" s="62"/>
      <c r="AF549" s="63" t="b">
        <v>0</v>
      </c>
      <c r="AG549" s="63" t="b">
        <v>0</v>
      </c>
      <c r="AH549" s="62"/>
      <c r="AI549" s="64">
        <f t="shared" si="1557"/>
        <v>40452</v>
      </c>
      <c r="AJ549" s="65" t="str">
        <f t="shared" si="1116"/>
        <v>SF</v>
      </c>
      <c r="AK549" s="66" t="str">
        <f t="shared" si="1558"/>
        <v>HOLD</v>
      </c>
      <c r="AL549" s="67" t="e">
        <f t="shared" ca="1" si="1559"/>
        <v>#NAME?</v>
      </c>
      <c r="AM549" s="68">
        <f t="shared" si="1408"/>
        <v>5612</v>
      </c>
      <c r="AN549" s="69">
        <f t="shared" si="1409"/>
        <v>0.13873232473054486</v>
      </c>
      <c r="AO549" s="62"/>
      <c r="AP549" s="70">
        <f t="shared" ref="AP549:AT549" si="1665">H549/$AI549</f>
        <v>0</v>
      </c>
      <c r="AQ549" s="70">
        <f t="shared" si="1665"/>
        <v>0</v>
      </c>
      <c r="AR549" s="70">
        <f t="shared" si="1665"/>
        <v>0</v>
      </c>
      <c r="AS549" s="70">
        <f t="shared" si="1665"/>
        <v>0</v>
      </c>
      <c r="AT549" s="70">
        <f t="shared" si="1665"/>
        <v>2.9813111836250371E-2</v>
      </c>
      <c r="AU549" s="70"/>
      <c r="AV549" s="70"/>
      <c r="AW549" s="81">
        <f t="shared" si="1561"/>
        <v>0.97018688816374965</v>
      </c>
      <c r="AX549" s="70">
        <f t="shared" ref="AX549:BG549" si="1666">O549/$AI549</f>
        <v>0</v>
      </c>
      <c r="AY549" s="70">
        <f t="shared" si="1666"/>
        <v>0</v>
      </c>
      <c r="AZ549" s="70">
        <f t="shared" si="1666"/>
        <v>0</v>
      </c>
      <c r="BA549" s="70">
        <f t="shared" si="1666"/>
        <v>0</v>
      </c>
      <c r="BB549" s="70">
        <f t="shared" si="1666"/>
        <v>0.29818055967566498</v>
      </c>
      <c r="BC549" s="70">
        <f t="shared" si="1666"/>
        <v>0.43691288440620984</v>
      </c>
      <c r="BD549" s="70">
        <f t="shared" si="1666"/>
        <v>0.10565608622565015</v>
      </c>
      <c r="BE549" s="70">
        <f t="shared" si="1666"/>
        <v>3.4930287748442597E-2</v>
      </c>
      <c r="BF549" s="70">
        <f t="shared" si="1666"/>
        <v>0</v>
      </c>
      <c r="BG549" s="70">
        <f t="shared" si="1666"/>
        <v>7.1121328982497775E-2</v>
      </c>
      <c r="BH549" s="70">
        <f t="shared" si="1563"/>
        <v>2.3385741125284243E-2</v>
      </c>
      <c r="BI549" s="62"/>
      <c r="BJ549" s="69">
        <v>0</v>
      </c>
      <c r="BK549" s="69">
        <v>0</v>
      </c>
      <c r="BL549" s="69">
        <v>0</v>
      </c>
      <c r="BM549" s="69">
        <v>0</v>
      </c>
      <c r="BN549" s="69">
        <v>0</v>
      </c>
      <c r="BO549" s="69">
        <v>0</v>
      </c>
      <c r="BP549" s="69">
        <v>0</v>
      </c>
      <c r="BQ549" s="69">
        <v>1E-3</v>
      </c>
      <c r="BR549" s="62"/>
      <c r="BS549" s="72">
        <f t="shared" ref="BS549:BW549" si="1667">AP549-BJ549</f>
        <v>0</v>
      </c>
      <c r="BT549" s="72">
        <f t="shared" si="1667"/>
        <v>0</v>
      </c>
      <c r="BU549" s="72">
        <f t="shared" si="1667"/>
        <v>0</v>
      </c>
      <c r="BV549" s="72">
        <f t="shared" si="1667"/>
        <v>0</v>
      </c>
      <c r="BW549" s="72">
        <f t="shared" si="1667"/>
        <v>2.9813111836250371E-2</v>
      </c>
      <c r="BX549" s="72"/>
      <c r="BY549" s="72"/>
      <c r="BZ549" s="72">
        <f t="shared" si="1565"/>
        <v>0.96918688816374965</v>
      </c>
    </row>
    <row r="550" spans="1:78" ht="13.15">
      <c r="A550" s="92" t="s">
        <v>19</v>
      </c>
      <c r="B550" s="74" t="s">
        <v>1144</v>
      </c>
      <c r="C550" s="75" t="s">
        <v>1145</v>
      </c>
      <c r="D550" s="75" t="s">
        <v>1141</v>
      </c>
      <c r="E550" s="76"/>
      <c r="F550" s="59"/>
      <c r="G550" s="60"/>
      <c r="H550" s="77"/>
      <c r="I550" s="77"/>
      <c r="J550" s="77"/>
      <c r="K550" s="77"/>
      <c r="L550" s="77">
        <v>1577</v>
      </c>
      <c r="M550" s="77"/>
      <c r="N550" s="77"/>
      <c r="O550" s="77"/>
      <c r="P550" s="77"/>
      <c r="Q550" s="77"/>
      <c r="R550" s="77"/>
      <c r="S550" s="77">
        <v>6859</v>
      </c>
      <c r="T550" s="77"/>
      <c r="U550" s="77">
        <v>8839</v>
      </c>
      <c r="V550" s="77">
        <v>21345</v>
      </c>
      <c r="W550" s="77">
        <v>2653</v>
      </c>
      <c r="X550" s="77">
        <v>2218</v>
      </c>
      <c r="Y550" s="77"/>
      <c r="Z550" s="77"/>
      <c r="AA550" s="77"/>
      <c r="AB550" s="77"/>
      <c r="AC550" s="77"/>
      <c r="AD550" s="77"/>
      <c r="AE550" s="62"/>
      <c r="AF550" s="63" t="b">
        <v>0</v>
      </c>
      <c r="AG550" s="63" t="b">
        <v>0</v>
      </c>
      <c r="AH550" s="62"/>
      <c r="AI550" s="64">
        <f t="shared" si="1557"/>
        <v>43491</v>
      </c>
      <c r="AJ550" s="65" t="str">
        <f t="shared" si="1116"/>
        <v>SDLP</v>
      </c>
      <c r="AK550" s="66" t="str">
        <f t="shared" si="1558"/>
        <v>HOLD</v>
      </c>
      <c r="AL550" s="67" t="e">
        <f t="shared" ca="1" si="1559"/>
        <v>#NAME?</v>
      </c>
      <c r="AM550" s="68">
        <f t="shared" si="1408"/>
        <v>12506</v>
      </c>
      <c r="AN550" s="69">
        <f t="shared" si="1409"/>
        <v>0.28755374675220158</v>
      </c>
      <c r="AO550" s="62"/>
      <c r="AP550" s="70">
        <f t="shared" ref="AP550:AT550" si="1668">H550/$AI550</f>
        <v>0</v>
      </c>
      <c r="AQ550" s="70">
        <f t="shared" si="1668"/>
        <v>0</v>
      </c>
      <c r="AR550" s="70">
        <f t="shared" si="1668"/>
        <v>0</v>
      </c>
      <c r="AS550" s="70">
        <f t="shared" si="1668"/>
        <v>0</v>
      </c>
      <c r="AT550" s="70">
        <f t="shared" si="1668"/>
        <v>3.6260375709916998E-2</v>
      </c>
      <c r="AU550" s="70"/>
      <c r="AV550" s="70"/>
      <c r="AW550" s="81">
        <f t="shared" si="1561"/>
        <v>0.96373962429008297</v>
      </c>
      <c r="AX550" s="70">
        <f t="shared" ref="AX550:BG550" si="1669">O550/$AI550</f>
        <v>0</v>
      </c>
      <c r="AY550" s="70">
        <f t="shared" si="1669"/>
        <v>0</v>
      </c>
      <c r="AZ550" s="70">
        <f t="shared" si="1669"/>
        <v>0</v>
      </c>
      <c r="BA550" s="70">
        <f t="shared" si="1669"/>
        <v>0</v>
      </c>
      <c r="BB550" s="70">
        <f t="shared" si="1669"/>
        <v>0.15771079073831368</v>
      </c>
      <c r="BC550" s="70">
        <f t="shared" si="1669"/>
        <v>0</v>
      </c>
      <c r="BD550" s="70">
        <f t="shared" si="1669"/>
        <v>0.20323745142673197</v>
      </c>
      <c r="BE550" s="70">
        <f t="shared" si="1669"/>
        <v>0.49079119817893357</v>
      </c>
      <c r="BF550" s="70">
        <f t="shared" si="1669"/>
        <v>6.1001126669885726E-2</v>
      </c>
      <c r="BG550" s="70">
        <f t="shared" si="1669"/>
        <v>5.099905727621807E-2</v>
      </c>
      <c r="BH550" s="70">
        <f t="shared" si="1563"/>
        <v>0</v>
      </c>
      <c r="BI550" s="62"/>
      <c r="BJ550" s="69">
        <v>0</v>
      </c>
      <c r="BK550" s="69">
        <v>4.0000000000000001E-3</v>
      </c>
      <c r="BL550" s="69">
        <v>0</v>
      </c>
      <c r="BM550" s="69">
        <v>0</v>
      </c>
      <c r="BN550" s="69">
        <v>2E-3</v>
      </c>
      <c r="BO550" s="69">
        <v>0</v>
      </c>
      <c r="BP550" s="69">
        <v>0</v>
      </c>
      <c r="BQ550" s="69">
        <v>1.2E-2</v>
      </c>
      <c r="BR550" s="62"/>
      <c r="BS550" s="72">
        <f t="shared" ref="BS550:BW550" si="1670">AP550-BJ550</f>
        <v>0</v>
      </c>
      <c r="BT550" s="72">
        <f t="shared" si="1670"/>
        <v>-4.0000000000000001E-3</v>
      </c>
      <c r="BU550" s="72">
        <f t="shared" si="1670"/>
        <v>0</v>
      </c>
      <c r="BV550" s="72">
        <f t="shared" si="1670"/>
        <v>0</v>
      </c>
      <c r="BW550" s="72">
        <f t="shared" si="1670"/>
        <v>3.4260375709916996E-2</v>
      </c>
      <c r="BX550" s="72"/>
      <c r="BY550" s="72"/>
      <c r="BZ550" s="72">
        <f t="shared" si="1565"/>
        <v>0.95173962429008307</v>
      </c>
    </row>
    <row r="551" spans="1:78" ht="13.15">
      <c r="A551" s="91" t="s">
        <v>17</v>
      </c>
      <c r="B551" s="74" t="s">
        <v>1146</v>
      </c>
      <c r="C551" s="75" t="s">
        <v>1147</v>
      </c>
      <c r="D551" s="75" t="s">
        <v>1141</v>
      </c>
      <c r="E551" s="76"/>
      <c r="F551" s="59"/>
      <c r="G551" s="60"/>
      <c r="H551" s="77"/>
      <c r="I551" s="77"/>
      <c r="J551" s="77"/>
      <c r="K551" s="77"/>
      <c r="L551" s="77">
        <v>451</v>
      </c>
      <c r="M551" s="77"/>
      <c r="N551" s="77"/>
      <c r="O551" s="77"/>
      <c r="P551" s="77"/>
      <c r="Q551" s="77"/>
      <c r="R551" s="77"/>
      <c r="S551" s="77">
        <v>4304</v>
      </c>
      <c r="T551" s="77">
        <v>21009</v>
      </c>
      <c r="U551" s="77">
        <v>1077</v>
      </c>
      <c r="V551" s="77">
        <v>4318</v>
      </c>
      <c r="W551" s="77">
        <v>461</v>
      </c>
      <c r="X551" s="77">
        <v>2010</v>
      </c>
      <c r="Y551" s="77">
        <v>5048</v>
      </c>
      <c r="Z551" s="77">
        <v>904</v>
      </c>
      <c r="AA551" s="77">
        <v>161</v>
      </c>
      <c r="AB551" s="77"/>
      <c r="AC551" s="77"/>
      <c r="AD551" s="77"/>
      <c r="AE551" s="62"/>
      <c r="AF551" s="63" t="b">
        <v>0</v>
      </c>
      <c r="AG551" s="63" t="b">
        <v>0</v>
      </c>
      <c r="AH551" s="62"/>
      <c r="AI551" s="64">
        <f t="shared" si="1557"/>
        <v>39743</v>
      </c>
      <c r="AJ551" s="65" t="str">
        <f t="shared" si="1116"/>
        <v>SF</v>
      </c>
      <c r="AK551" s="66" t="str">
        <f t="shared" si="1558"/>
        <v>HOLD</v>
      </c>
      <c r="AL551" s="67" t="e">
        <f t="shared" ca="1" si="1559"/>
        <v>#NAME?</v>
      </c>
      <c r="AM551" s="68">
        <f t="shared" si="1408"/>
        <v>16691</v>
      </c>
      <c r="AN551" s="69">
        <f t="shared" si="1409"/>
        <v>0.41997332863648945</v>
      </c>
      <c r="AO551" s="62"/>
      <c r="AP551" s="70">
        <f t="shared" ref="AP551:AT551" si="1671">H551/$AI551</f>
        <v>0</v>
      </c>
      <c r="AQ551" s="70">
        <f t="shared" si="1671"/>
        <v>0</v>
      </c>
      <c r="AR551" s="70">
        <f t="shared" si="1671"/>
        <v>0</v>
      </c>
      <c r="AS551" s="70">
        <f t="shared" si="1671"/>
        <v>0</v>
      </c>
      <c r="AT551" s="70">
        <f t="shared" si="1671"/>
        <v>1.1347910323830611E-2</v>
      </c>
      <c r="AU551" s="70"/>
      <c r="AV551" s="70"/>
      <c r="AW551" s="81">
        <f t="shared" si="1561"/>
        <v>0.98865208967616935</v>
      </c>
      <c r="AX551" s="70">
        <f t="shared" ref="AX551:BG551" si="1672">O551/$AI551</f>
        <v>0</v>
      </c>
      <c r="AY551" s="70">
        <f t="shared" si="1672"/>
        <v>0</v>
      </c>
      <c r="AZ551" s="70">
        <f t="shared" si="1672"/>
        <v>0</v>
      </c>
      <c r="BA551" s="70">
        <f t="shared" si="1672"/>
        <v>0</v>
      </c>
      <c r="BB551" s="70">
        <f t="shared" si="1672"/>
        <v>0.10829580051833027</v>
      </c>
      <c r="BC551" s="70">
        <f t="shared" si="1672"/>
        <v>0.52862139244646855</v>
      </c>
      <c r="BD551" s="70">
        <f t="shared" si="1672"/>
        <v>2.709911179327177E-2</v>
      </c>
      <c r="BE551" s="70">
        <f t="shared" si="1672"/>
        <v>0.10864806380997911</v>
      </c>
      <c r="BF551" s="70">
        <f t="shared" si="1672"/>
        <v>1.1599526960722643E-2</v>
      </c>
      <c r="BG551" s="70">
        <f t="shared" si="1672"/>
        <v>5.0574944015298294E-2</v>
      </c>
      <c r="BH551" s="70">
        <f t="shared" si="1563"/>
        <v>0.15381325013209879</v>
      </c>
      <c r="BI551" s="62"/>
      <c r="BJ551" s="69">
        <v>0</v>
      </c>
      <c r="BK551" s="69">
        <v>1E-3</v>
      </c>
      <c r="BL551" s="69">
        <v>0</v>
      </c>
      <c r="BM551" s="69">
        <v>0</v>
      </c>
      <c r="BN551" s="69">
        <v>0</v>
      </c>
      <c r="BO551" s="69">
        <v>0</v>
      </c>
      <c r="BP551" s="69">
        <v>0</v>
      </c>
      <c r="BQ551" s="69">
        <v>0.14099999999999999</v>
      </c>
      <c r="BR551" s="62"/>
      <c r="BS551" s="72">
        <f t="shared" ref="BS551:BW551" si="1673">AP551-BJ551</f>
        <v>0</v>
      </c>
      <c r="BT551" s="72">
        <f t="shared" si="1673"/>
        <v>-1E-3</v>
      </c>
      <c r="BU551" s="72">
        <f t="shared" si="1673"/>
        <v>0</v>
      </c>
      <c r="BV551" s="72">
        <f t="shared" si="1673"/>
        <v>0</v>
      </c>
      <c r="BW551" s="72">
        <f t="shared" si="1673"/>
        <v>1.1347910323830611E-2</v>
      </c>
      <c r="BX551" s="72"/>
      <c r="BY551" s="72"/>
      <c r="BZ551" s="72">
        <f t="shared" si="1565"/>
        <v>0.84765208967616934</v>
      </c>
    </row>
    <row r="552" spans="1:78" ht="13.15">
      <c r="A552" s="90" t="s">
        <v>16</v>
      </c>
      <c r="B552" s="74" t="s">
        <v>1148</v>
      </c>
      <c r="C552" s="75" t="s">
        <v>1149</v>
      </c>
      <c r="D552" s="75" t="s">
        <v>1141</v>
      </c>
      <c r="E552" s="76"/>
      <c r="F552" s="59"/>
      <c r="G552" s="60"/>
      <c r="H552" s="77"/>
      <c r="I552" s="77"/>
      <c r="J552" s="77"/>
      <c r="K552" s="77"/>
      <c r="L552" s="77">
        <v>568</v>
      </c>
      <c r="M552" s="77"/>
      <c r="N552" s="77"/>
      <c r="O552" s="77"/>
      <c r="P552" s="77"/>
      <c r="Q552" s="77"/>
      <c r="R552" s="77"/>
      <c r="S552" s="77">
        <v>11462</v>
      </c>
      <c r="T552" s="77">
        <v>2986</v>
      </c>
      <c r="U552" s="77">
        <v>10156</v>
      </c>
      <c r="V552" s="77">
        <v>892</v>
      </c>
      <c r="W552" s="77">
        <v>9476</v>
      </c>
      <c r="X552" s="77">
        <v>4135</v>
      </c>
      <c r="Y552" s="77"/>
      <c r="Z552" s="77"/>
      <c r="AA552" s="77"/>
      <c r="AB552" s="77"/>
      <c r="AC552" s="77"/>
      <c r="AD552" s="77"/>
      <c r="AE552" s="62"/>
      <c r="AF552" s="63" t="b">
        <v>0</v>
      </c>
      <c r="AG552" s="63" t="b">
        <v>0</v>
      </c>
      <c r="AH552" s="62"/>
      <c r="AI552" s="64">
        <f t="shared" si="1557"/>
        <v>39675</v>
      </c>
      <c r="AJ552" s="65" t="str">
        <f t="shared" si="1116"/>
        <v>DUP</v>
      </c>
      <c r="AK552" s="66" t="str">
        <f t="shared" si="1558"/>
        <v>HOLD</v>
      </c>
      <c r="AL552" s="67" t="e">
        <f t="shared" ca="1" si="1559"/>
        <v>#NAME?</v>
      </c>
      <c r="AM552" s="68">
        <f t="shared" si="1408"/>
        <v>1306</v>
      </c>
      <c r="AN552" s="69">
        <f t="shared" si="1409"/>
        <v>3.2917454316320094E-2</v>
      </c>
      <c r="AO552" s="62"/>
      <c r="AP552" s="70">
        <f t="shared" ref="AP552:AT552" si="1674">H552/$AI552</f>
        <v>0</v>
      </c>
      <c r="AQ552" s="70">
        <f t="shared" si="1674"/>
        <v>0</v>
      </c>
      <c r="AR552" s="70">
        <f t="shared" si="1674"/>
        <v>0</v>
      </c>
      <c r="AS552" s="70">
        <f t="shared" si="1674"/>
        <v>0</v>
      </c>
      <c r="AT552" s="70">
        <f t="shared" si="1674"/>
        <v>1.4316320100819156E-2</v>
      </c>
      <c r="AU552" s="70"/>
      <c r="AV552" s="70"/>
      <c r="AW552" s="81">
        <f t="shared" si="1561"/>
        <v>0.98568367989918082</v>
      </c>
      <c r="AX552" s="70">
        <f t="shared" ref="AX552:BG552" si="1675">O552/$AI552</f>
        <v>0</v>
      </c>
      <c r="AY552" s="70">
        <f t="shared" si="1675"/>
        <v>0</v>
      </c>
      <c r="AZ552" s="70">
        <f t="shared" si="1675"/>
        <v>0</v>
      </c>
      <c r="BA552" s="70">
        <f t="shared" si="1675"/>
        <v>0</v>
      </c>
      <c r="BB552" s="70">
        <f t="shared" si="1675"/>
        <v>0.28889729048519219</v>
      </c>
      <c r="BC552" s="70">
        <f t="shared" si="1675"/>
        <v>7.5261499684940142E-2</v>
      </c>
      <c r="BD552" s="70">
        <f t="shared" si="1675"/>
        <v>0.2559798361688721</v>
      </c>
      <c r="BE552" s="70">
        <f t="shared" si="1675"/>
        <v>2.2482671707624448E-2</v>
      </c>
      <c r="BF552" s="70">
        <f t="shared" si="1675"/>
        <v>0.23884057971014494</v>
      </c>
      <c r="BG552" s="70">
        <f t="shared" si="1675"/>
        <v>0.10422180214240706</v>
      </c>
      <c r="BH552" s="70">
        <f t="shared" si="1563"/>
        <v>0</v>
      </c>
      <c r="BI552" s="62"/>
      <c r="BJ552" s="69">
        <v>0</v>
      </c>
      <c r="BK552" s="69">
        <v>2.5000000000000001E-2</v>
      </c>
      <c r="BL552" s="69">
        <v>0</v>
      </c>
      <c r="BM552" s="69">
        <v>0</v>
      </c>
      <c r="BN552" s="69">
        <v>1.7000000000000001E-2</v>
      </c>
      <c r="BO552" s="69">
        <v>0</v>
      </c>
      <c r="BP552" s="69">
        <v>0</v>
      </c>
      <c r="BQ552" s="69">
        <v>0</v>
      </c>
      <c r="BR552" s="62"/>
      <c r="BS552" s="72">
        <f t="shared" ref="BS552:BW552" si="1676">AP552-BJ552</f>
        <v>0</v>
      </c>
      <c r="BT552" s="72">
        <f t="shared" si="1676"/>
        <v>-2.5000000000000001E-2</v>
      </c>
      <c r="BU552" s="72">
        <f t="shared" si="1676"/>
        <v>0</v>
      </c>
      <c r="BV552" s="72">
        <f t="shared" si="1676"/>
        <v>0</v>
      </c>
      <c r="BW552" s="72">
        <f t="shared" si="1676"/>
        <v>-2.6836798991808457E-3</v>
      </c>
      <c r="BX552" s="72"/>
      <c r="BY552" s="72"/>
      <c r="BZ552" s="72">
        <f t="shared" si="1565"/>
        <v>0.98568367989918082</v>
      </c>
    </row>
    <row r="553" spans="1:78" ht="13.15">
      <c r="A553" s="90" t="s">
        <v>16</v>
      </c>
      <c r="B553" s="74" t="s">
        <v>1150</v>
      </c>
      <c r="C553" s="75" t="s">
        <v>1151</v>
      </c>
      <c r="D553" s="75" t="s">
        <v>1141</v>
      </c>
      <c r="E553" s="76"/>
      <c r="F553" s="59"/>
      <c r="G553" s="60"/>
      <c r="H553" s="77"/>
      <c r="I553" s="77">
        <v>187</v>
      </c>
      <c r="J553" s="77"/>
      <c r="K553" s="77"/>
      <c r="L553" s="77">
        <v>445</v>
      </c>
      <c r="M553" s="77"/>
      <c r="N553" s="77"/>
      <c r="O553" s="77"/>
      <c r="P553" s="77"/>
      <c r="Q553" s="77"/>
      <c r="R553" s="77"/>
      <c r="S553" s="77">
        <v>11506</v>
      </c>
      <c r="T553" s="77">
        <v>11327</v>
      </c>
      <c r="U553" s="77">
        <v>3734</v>
      </c>
      <c r="V553" s="77">
        <v>5260</v>
      </c>
      <c r="W553" s="77">
        <v>3412</v>
      </c>
      <c r="X553" s="77">
        <v>4363</v>
      </c>
      <c r="Y553" s="77">
        <v>1043</v>
      </c>
      <c r="Z553" s="77"/>
      <c r="AA553" s="77"/>
      <c r="AB553" s="77"/>
      <c r="AC553" s="77"/>
      <c r="AD553" s="77"/>
      <c r="AE553" s="62"/>
      <c r="AF553" s="63" t="b">
        <v>0</v>
      </c>
      <c r="AG553" s="63" t="b">
        <v>0</v>
      </c>
      <c r="AH553" s="62"/>
      <c r="AI553" s="64">
        <f t="shared" si="1557"/>
        <v>41277</v>
      </c>
      <c r="AJ553" s="65" t="str">
        <f t="shared" si="1116"/>
        <v>DUP</v>
      </c>
      <c r="AK553" s="66" t="str">
        <f t="shared" si="1558"/>
        <v>HOLD</v>
      </c>
      <c r="AL553" s="67" t="e">
        <f t="shared" ca="1" si="1559"/>
        <v>#NAME?</v>
      </c>
      <c r="AM553" s="68">
        <f t="shared" si="1408"/>
        <v>179</v>
      </c>
      <c r="AN553" s="69">
        <f t="shared" si="1409"/>
        <v>4.3365554667248452E-3</v>
      </c>
      <c r="AO553" s="62"/>
      <c r="AP553" s="70">
        <f t="shared" ref="AP553:AT553" si="1677">H553/$AI553</f>
        <v>0</v>
      </c>
      <c r="AQ553" s="70">
        <f t="shared" si="1677"/>
        <v>4.5303680015505001E-3</v>
      </c>
      <c r="AR553" s="70">
        <f t="shared" si="1677"/>
        <v>0</v>
      </c>
      <c r="AS553" s="70">
        <f t="shared" si="1677"/>
        <v>0</v>
      </c>
      <c r="AT553" s="70">
        <f t="shared" si="1677"/>
        <v>1.0780822249678999E-2</v>
      </c>
      <c r="AU553" s="70"/>
      <c r="AV553" s="70"/>
      <c r="AW553" s="81">
        <f t="shared" si="1561"/>
        <v>0.98468880974877049</v>
      </c>
      <c r="AX553" s="70">
        <f t="shared" ref="AX553:BG553" si="1678">O553/$AI553</f>
        <v>0</v>
      </c>
      <c r="AY553" s="70">
        <f t="shared" si="1678"/>
        <v>0</v>
      </c>
      <c r="AZ553" s="70">
        <f t="shared" si="1678"/>
        <v>0</v>
      </c>
      <c r="BA553" s="70">
        <f t="shared" si="1678"/>
        <v>0</v>
      </c>
      <c r="BB553" s="70">
        <f t="shared" si="1678"/>
        <v>0.27875087821304845</v>
      </c>
      <c r="BC553" s="70">
        <f t="shared" si="1678"/>
        <v>0.2744143227463236</v>
      </c>
      <c r="BD553" s="70">
        <f t="shared" si="1678"/>
        <v>9.0462000629890738E-2</v>
      </c>
      <c r="BE553" s="70">
        <f t="shared" si="1678"/>
        <v>0.12743174164789109</v>
      </c>
      <c r="BF553" s="70">
        <f t="shared" si="1678"/>
        <v>8.2661046103156721E-2</v>
      </c>
      <c r="BG553" s="70">
        <f t="shared" si="1678"/>
        <v>0.10570051118056061</v>
      </c>
      <c r="BH553" s="70">
        <f t="shared" si="1563"/>
        <v>2.5268309227899355E-2</v>
      </c>
      <c r="BI553" s="62"/>
      <c r="BJ553" s="69">
        <v>0</v>
      </c>
      <c r="BK553" s="69">
        <v>0</v>
      </c>
      <c r="BL553" s="69">
        <v>0</v>
      </c>
      <c r="BM553" s="69">
        <v>0</v>
      </c>
      <c r="BN553" s="69">
        <v>0</v>
      </c>
      <c r="BO553" s="69">
        <v>0</v>
      </c>
      <c r="BP553" s="69">
        <v>0</v>
      </c>
      <c r="BQ553" s="69">
        <v>4.2999999999999997E-2</v>
      </c>
      <c r="BR553" s="62"/>
      <c r="BS553" s="72">
        <f t="shared" ref="BS553:BW553" si="1679">AP553-BJ553</f>
        <v>0</v>
      </c>
      <c r="BT553" s="72">
        <f t="shared" si="1679"/>
        <v>4.5303680015505001E-3</v>
      </c>
      <c r="BU553" s="72">
        <f t="shared" si="1679"/>
        <v>0</v>
      </c>
      <c r="BV553" s="72">
        <f t="shared" si="1679"/>
        <v>0</v>
      </c>
      <c r="BW553" s="72">
        <f t="shared" si="1679"/>
        <v>1.0780822249678999E-2</v>
      </c>
      <c r="BX553" s="72"/>
      <c r="BY553" s="72"/>
      <c r="BZ553" s="72">
        <f t="shared" si="1565"/>
        <v>0.94168880974877045</v>
      </c>
    </row>
    <row r="554" spans="1:78" ht="13.15">
      <c r="A554" s="91" t="s">
        <v>17</v>
      </c>
      <c r="B554" s="74" t="s">
        <v>1152</v>
      </c>
      <c r="C554" s="75" t="s">
        <v>1153</v>
      </c>
      <c r="D554" s="75" t="s">
        <v>1141</v>
      </c>
      <c r="E554" s="76"/>
      <c r="F554" s="59"/>
      <c r="G554" s="60"/>
      <c r="H554" s="77"/>
      <c r="I554" s="77"/>
      <c r="J554" s="77"/>
      <c r="K554" s="77"/>
      <c r="L554" s="77"/>
      <c r="M554" s="77"/>
      <c r="N554" s="77"/>
      <c r="O554" s="77"/>
      <c r="P554" s="77"/>
      <c r="Q554" s="77"/>
      <c r="R554" s="77"/>
      <c r="S554" s="77"/>
      <c r="T554" s="77">
        <v>24844</v>
      </c>
      <c r="U554" s="77">
        <v>2420</v>
      </c>
      <c r="V554" s="77">
        <v>2386</v>
      </c>
      <c r="W554" s="77">
        <v>20273</v>
      </c>
      <c r="X554" s="77"/>
      <c r="Y554" s="77">
        <v>624</v>
      </c>
      <c r="Z554" s="77">
        <v>529</v>
      </c>
      <c r="AA554" s="77"/>
      <c r="AB554" s="77"/>
      <c r="AC554" s="77"/>
      <c r="AD554" s="77"/>
      <c r="AE554" s="62"/>
      <c r="AF554" s="63" t="b">
        <v>0</v>
      </c>
      <c r="AG554" s="63" t="b">
        <v>0</v>
      </c>
      <c r="AH554" s="62"/>
      <c r="AI554" s="64">
        <f t="shared" si="1557"/>
        <v>51076</v>
      </c>
      <c r="AJ554" s="65" t="str">
        <f t="shared" si="1116"/>
        <v>SF</v>
      </c>
      <c r="AK554" s="66" t="str">
        <f t="shared" si="1558"/>
        <v>HOLD</v>
      </c>
      <c r="AL554" s="67" t="e">
        <f t="shared" ca="1" si="1559"/>
        <v>#NAME?</v>
      </c>
      <c r="AM554" s="68">
        <f t="shared" si="1408"/>
        <v>4571</v>
      </c>
      <c r="AN554" s="69">
        <f t="shared" si="1409"/>
        <v>8.9494087242540543E-2</v>
      </c>
      <c r="AO554" s="62"/>
      <c r="AP554" s="70">
        <f t="shared" ref="AP554:AT554" si="1680">H554/$AI554</f>
        <v>0</v>
      </c>
      <c r="AQ554" s="70">
        <f t="shared" si="1680"/>
        <v>0</v>
      </c>
      <c r="AR554" s="70">
        <f t="shared" si="1680"/>
        <v>0</v>
      </c>
      <c r="AS554" s="70">
        <f t="shared" si="1680"/>
        <v>0</v>
      </c>
      <c r="AT554" s="70">
        <f t="shared" si="1680"/>
        <v>0</v>
      </c>
      <c r="AU554" s="70"/>
      <c r="AV554" s="70"/>
      <c r="AW554" s="81">
        <f t="shared" si="1561"/>
        <v>1</v>
      </c>
      <c r="AX554" s="70">
        <f t="shared" ref="AX554:BG554" si="1681">O554/$AI554</f>
        <v>0</v>
      </c>
      <c r="AY554" s="70">
        <f t="shared" si="1681"/>
        <v>0</v>
      </c>
      <c r="AZ554" s="70">
        <f t="shared" si="1681"/>
        <v>0</v>
      </c>
      <c r="BA554" s="70">
        <f t="shared" si="1681"/>
        <v>0</v>
      </c>
      <c r="BB554" s="70">
        <f t="shared" si="1681"/>
        <v>0</v>
      </c>
      <c r="BC554" s="70">
        <f t="shared" si="1681"/>
        <v>0.48641240504346467</v>
      </c>
      <c r="BD554" s="70">
        <f t="shared" si="1681"/>
        <v>4.7380374344114649E-2</v>
      </c>
      <c r="BE554" s="70">
        <f t="shared" si="1681"/>
        <v>4.6714699663246928E-2</v>
      </c>
      <c r="BF554" s="70">
        <f t="shared" si="1681"/>
        <v>0.39691831780092413</v>
      </c>
      <c r="BG554" s="70">
        <f t="shared" si="1681"/>
        <v>0</v>
      </c>
      <c r="BH554" s="70">
        <f t="shared" si="1563"/>
        <v>2.257420314824965E-2</v>
      </c>
      <c r="BI554" s="62"/>
      <c r="BJ554" s="69">
        <v>0</v>
      </c>
      <c r="BK554" s="69">
        <v>0</v>
      </c>
      <c r="BL554" s="69">
        <v>0</v>
      </c>
      <c r="BM554" s="69">
        <v>0</v>
      </c>
      <c r="BN554" s="69">
        <v>0</v>
      </c>
      <c r="BO554" s="69">
        <v>0</v>
      </c>
      <c r="BP554" s="69">
        <v>0</v>
      </c>
      <c r="BQ554" s="69">
        <v>1.4999999999999999E-2</v>
      </c>
      <c r="BR554" s="62"/>
      <c r="BS554" s="72">
        <f t="shared" ref="BS554:BW554" si="1682">AP554-BJ554</f>
        <v>0</v>
      </c>
      <c r="BT554" s="72">
        <f t="shared" si="1682"/>
        <v>0</v>
      </c>
      <c r="BU554" s="72">
        <f t="shared" si="1682"/>
        <v>0</v>
      </c>
      <c r="BV554" s="72">
        <f t="shared" si="1682"/>
        <v>0</v>
      </c>
      <c r="BW554" s="72">
        <f t="shared" si="1682"/>
        <v>0</v>
      </c>
      <c r="BX554" s="72"/>
      <c r="BY554" s="72"/>
      <c r="BZ554" s="72">
        <f t="shared" si="1565"/>
        <v>0.98499999999999999</v>
      </c>
    </row>
    <row r="555" spans="1:78" ht="13.15">
      <c r="A555" s="92" t="s">
        <v>19</v>
      </c>
      <c r="B555" s="74" t="s">
        <v>1154</v>
      </c>
      <c r="C555" s="75" t="s">
        <v>1155</v>
      </c>
      <c r="D555" s="75" t="s">
        <v>1141</v>
      </c>
      <c r="E555" s="76"/>
      <c r="F555" s="59"/>
      <c r="G555" s="60"/>
      <c r="H555" s="77"/>
      <c r="I555" s="77"/>
      <c r="J555" s="77"/>
      <c r="K555" s="77"/>
      <c r="L555" s="77"/>
      <c r="M555" s="77"/>
      <c r="N555" s="77"/>
      <c r="O555" s="77">
        <v>1519</v>
      </c>
      <c r="P555" s="77"/>
      <c r="Q555" s="77"/>
      <c r="R555" s="77"/>
      <c r="S555" s="77">
        <v>3915</v>
      </c>
      <c r="T555" s="77">
        <v>11481</v>
      </c>
      <c r="U555" s="77">
        <v>1268</v>
      </c>
      <c r="V555" s="77">
        <v>15647</v>
      </c>
      <c r="W555" s="77">
        <v>1422</v>
      </c>
      <c r="X555" s="77"/>
      <c r="Y555" s="77">
        <v>2444</v>
      </c>
      <c r="Z555" s="77">
        <v>662</v>
      </c>
      <c r="AA555" s="77"/>
      <c r="AB555" s="77"/>
      <c r="AC555" s="77"/>
      <c r="AD555" s="77"/>
      <c r="AE555" s="62"/>
      <c r="AF555" s="63" t="b">
        <v>0</v>
      </c>
      <c r="AG555" s="63" t="b">
        <v>0</v>
      </c>
      <c r="AH555" s="62"/>
      <c r="AI555" s="64">
        <f t="shared" si="1557"/>
        <v>38358</v>
      </c>
      <c r="AJ555" s="65" t="str">
        <f t="shared" si="1116"/>
        <v>SDLP</v>
      </c>
      <c r="AK555" s="66" t="str">
        <f t="shared" si="1558"/>
        <v>HOLD</v>
      </c>
      <c r="AL555" s="67" t="e">
        <f t="shared" ca="1" si="1559"/>
        <v>#NAME?</v>
      </c>
      <c r="AM555" s="68">
        <f t="shared" si="1408"/>
        <v>4166</v>
      </c>
      <c r="AN555" s="69">
        <f t="shared" si="1409"/>
        <v>0.1086083737421138</v>
      </c>
      <c r="AO555" s="62"/>
      <c r="AP555" s="70">
        <f t="shared" ref="AP555:AT555" si="1683">H555/$AI555</f>
        <v>0</v>
      </c>
      <c r="AQ555" s="70">
        <f t="shared" si="1683"/>
        <v>0</v>
      </c>
      <c r="AR555" s="70">
        <f t="shared" si="1683"/>
        <v>0</v>
      </c>
      <c r="AS555" s="70">
        <f t="shared" si="1683"/>
        <v>0</v>
      </c>
      <c r="AT555" s="70">
        <f t="shared" si="1683"/>
        <v>0</v>
      </c>
      <c r="AU555" s="70"/>
      <c r="AV555" s="70"/>
      <c r="AW555" s="81">
        <f t="shared" si="1561"/>
        <v>1</v>
      </c>
      <c r="AX555" s="70">
        <f t="shared" ref="AX555:BG555" si="1684">O555/$AI555</f>
        <v>3.9600604828197508E-2</v>
      </c>
      <c r="AY555" s="70">
        <f t="shared" si="1684"/>
        <v>0</v>
      </c>
      <c r="AZ555" s="70">
        <f t="shared" si="1684"/>
        <v>0</v>
      </c>
      <c r="BA555" s="70">
        <f t="shared" si="1684"/>
        <v>0</v>
      </c>
      <c r="BB555" s="70">
        <f t="shared" si="1684"/>
        <v>0.1020647583294228</v>
      </c>
      <c r="BC555" s="70">
        <f t="shared" si="1684"/>
        <v>0.29931174722352571</v>
      </c>
      <c r="BD555" s="70">
        <f t="shared" si="1684"/>
        <v>3.3056989415506541E-2</v>
      </c>
      <c r="BE555" s="70">
        <f t="shared" si="1684"/>
        <v>0.40792012096563951</v>
      </c>
      <c r="BF555" s="70">
        <f t="shared" si="1684"/>
        <v>3.7071797278273109E-2</v>
      </c>
      <c r="BG555" s="70">
        <f t="shared" si="1684"/>
        <v>0</v>
      </c>
      <c r="BH555" s="70">
        <f t="shared" si="1563"/>
        <v>8.0973981959434727E-2</v>
      </c>
      <c r="BI555" s="62"/>
      <c r="BJ555" s="69">
        <v>0</v>
      </c>
      <c r="BK555" s="69">
        <v>0</v>
      </c>
      <c r="BL555" s="69">
        <v>0</v>
      </c>
      <c r="BM555" s="69">
        <v>0</v>
      </c>
      <c r="BN555" s="69">
        <v>0</v>
      </c>
      <c r="BO555" s="69">
        <v>0</v>
      </c>
      <c r="BP555" s="69">
        <v>0</v>
      </c>
      <c r="BQ555" s="69">
        <v>4.3999999999999997E-2</v>
      </c>
      <c r="BR555" s="62"/>
      <c r="BS555" s="72">
        <f t="shared" ref="BS555:BW555" si="1685">AP555-BJ555</f>
        <v>0</v>
      </c>
      <c r="BT555" s="72">
        <f t="shared" si="1685"/>
        <v>0</v>
      </c>
      <c r="BU555" s="72">
        <f t="shared" si="1685"/>
        <v>0</v>
      </c>
      <c r="BV555" s="72">
        <f t="shared" si="1685"/>
        <v>0</v>
      </c>
      <c r="BW555" s="72">
        <f t="shared" si="1685"/>
        <v>0</v>
      </c>
      <c r="BX555" s="72"/>
      <c r="BY555" s="72"/>
      <c r="BZ555" s="72">
        <f t="shared" si="1565"/>
        <v>0.95599999999999996</v>
      </c>
    </row>
    <row r="556" spans="1:78" ht="13.15">
      <c r="A556" s="90" t="s">
        <v>16</v>
      </c>
      <c r="B556" s="74" t="s">
        <v>1156</v>
      </c>
      <c r="C556" s="75" t="s">
        <v>1157</v>
      </c>
      <c r="D556" s="75" t="s">
        <v>1141</v>
      </c>
      <c r="E556" s="76"/>
      <c r="F556" s="59"/>
      <c r="G556" s="60"/>
      <c r="H556" s="77"/>
      <c r="I556" s="77"/>
      <c r="J556" s="77"/>
      <c r="K556" s="77"/>
      <c r="L556" s="77">
        <v>433</v>
      </c>
      <c r="M556" s="77"/>
      <c r="N556" s="77"/>
      <c r="O556" s="77"/>
      <c r="P556" s="77"/>
      <c r="Q556" s="77"/>
      <c r="R556" s="77"/>
      <c r="S556" s="77">
        <v>15659</v>
      </c>
      <c r="T556" s="77"/>
      <c r="U556" s="77">
        <v>18618</v>
      </c>
      <c r="V556" s="77">
        <v>1028</v>
      </c>
      <c r="W556" s="77">
        <v>11157</v>
      </c>
      <c r="X556" s="77">
        <v>2186</v>
      </c>
      <c r="Y556" s="77"/>
      <c r="Z556" s="77"/>
      <c r="AA556" s="77"/>
      <c r="AB556" s="77"/>
      <c r="AC556" s="77"/>
      <c r="AD556" s="77"/>
      <c r="AE556" s="62"/>
      <c r="AF556" s="63" t="b">
        <v>0</v>
      </c>
      <c r="AG556" s="63" t="b">
        <v>0</v>
      </c>
      <c r="AH556" s="62"/>
      <c r="AI556" s="64">
        <f t="shared" si="1557"/>
        <v>49081</v>
      </c>
      <c r="AJ556" s="65" t="str">
        <f t="shared" si="1116"/>
        <v>ALL</v>
      </c>
      <c r="AK556" s="66" t="str">
        <f t="shared" si="1558"/>
        <v>GAIN</v>
      </c>
      <c r="AL556" s="67" t="e">
        <f t="shared" ca="1" si="1559"/>
        <v>#NAME?</v>
      </c>
      <c r="AM556" s="68">
        <f t="shared" si="1408"/>
        <v>2959</v>
      </c>
      <c r="AN556" s="69">
        <f t="shared" si="1409"/>
        <v>6.0288095189584556E-2</v>
      </c>
      <c r="AO556" s="62"/>
      <c r="AP556" s="70">
        <f t="shared" ref="AP556:AT556" si="1686">H556/$AI556</f>
        <v>0</v>
      </c>
      <c r="AQ556" s="70">
        <f t="shared" si="1686"/>
        <v>0</v>
      </c>
      <c r="AR556" s="70">
        <f t="shared" si="1686"/>
        <v>0</v>
      </c>
      <c r="AS556" s="70">
        <f t="shared" si="1686"/>
        <v>0</v>
      </c>
      <c r="AT556" s="70">
        <f t="shared" si="1686"/>
        <v>8.822151137914876E-3</v>
      </c>
      <c r="AU556" s="70"/>
      <c r="AV556" s="70"/>
      <c r="AW556" s="81">
        <f t="shared" si="1561"/>
        <v>0.99117784886208515</v>
      </c>
      <c r="AX556" s="70">
        <f t="shared" ref="AX556:BG556" si="1687">O556/$AI556</f>
        <v>0</v>
      </c>
      <c r="AY556" s="70">
        <f t="shared" si="1687"/>
        <v>0</v>
      </c>
      <c r="AZ556" s="70">
        <f t="shared" si="1687"/>
        <v>0</v>
      </c>
      <c r="BA556" s="70">
        <f t="shared" si="1687"/>
        <v>0</v>
      </c>
      <c r="BB556" s="70">
        <f t="shared" si="1687"/>
        <v>0.3190440292577576</v>
      </c>
      <c r="BC556" s="70">
        <f t="shared" si="1687"/>
        <v>0</v>
      </c>
      <c r="BD556" s="70">
        <f t="shared" si="1687"/>
        <v>0.37933212444734216</v>
      </c>
      <c r="BE556" s="70">
        <f t="shared" si="1687"/>
        <v>2.094496852142377E-2</v>
      </c>
      <c r="BF556" s="70">
        <f t="shared" si="1687"/>
        <v>0.22731810680303988</v>
      </c>
      <c r="BG556" s="70">
        <f t="shared" si="1687"/>
        <v>4.4538619832521747E-2</v>
      </c>
      <c r="BH556" s="70">
        <f t="shared" si="1563"/>
        <v>0</v>
      </c>
      <c r="BI556" s="62"/>
      <c r="BJ556" s="69">
        <v>0</v>
      </c>
      <c r="BK556" s="69">
        <v>1.9E-2</v>
      </c>
      <c r="BL556" s="69">
        <v>0</v>
      </c>
      <c r="BM556" s="69">
        <v>0</v>
      </c>
      <c r="BN556" s="69">
        <v>0</v>
      </c>
      <c r="BO556" s="69">
        <v>0</v>
      </c>
      <c r="BP556" s="69">
        <v>0</v>
      </c>
      <c r="BQ556" s="69">
        <v>7.0000000000000001E-3</v>
      </c>
      <c r="BR556" s="62"/>
      <c r="BS556" s="72">
        <f t="shared" ref="BS556:BW556" si="1688">AP556-BJ556</f>
        <v>0</v>
      </c>
      <c r="BT556" s="72">
        <f t="shared" si="1688"/>
        <v>-1.9E-2</v>
      </c>
      <c r="BU556" s="72">
        <f t="shared" si="1688"/>
        <v>0</v>
      </c>
      <c r="BV556" s="72">
        <f t="shared" si="1688"/>
        <v>0</v>
      </c>
      <c r="BW556" s="72">
        <f t="shared" si="1688"/>
        <v>8.822151137914876E-3</v>
      </c>
      <c r="BX556" s="72"/>
      <c r="BY556" s="72"/>
      <c r="BZ556" s="72">
        <f t="shared" si="1565"/>
        <v>0.98417784886208515</v>
      </c>
    </row>
    <row r="557" spans="1:78" ht="13.15">
      <c r="A557" s="91" t="s">
        <v>17</v>
      </c>
      <c r="B557" s="74" t="s">
        <v>1158</v>
      </c>
      <c r="C557" s="75" t="s">
        <v>1159</v>
      </c>
      <c r="D557" s="75" t="s">
        <v>1141</v>
      </c>
      <c r="E557" s="76"/>
      <c r="F557" s="59"/>
      <c r="G557" s="60"/>
      <c r="H557" s="77"/>
      <c r="I557" s="77"/>
      <c r="J557" s="77"/>
      <c r="K557" s="77"/>
      <c r="L557" s="77"/>
      <c r="M557" s="77"/>
      <c r="N557" s="77"/>
      <c r="O557" s="77">
        <v>181</v>
      </c>
      <c r="P557" s="77"/>
      <c r="Q557" s="77"/>
      <c r="R557" s="77"/>
      <c r="S557" s="77">
        <v>9162</v>
      </c>
      <c r="T557" s="77">
        <v>24085</v>
      </c>
      <c r="U557" s="77">
        <v>2001</v>
      </c>
      <c r="V557" s="77">
        <v>3722</v>
      </c>
      <c r="W557" s="77">
        <v>2269</v>
      </c>
      <c r="X557" s="77">
        <v>2978</v>
      </c>
      <c r="Y557" s="77">
        <v>1047</v>
      </c>
      <c r="Z557" s="77"/>
      <c r="AA557" s="77"/>
      <c r="AB557" s="77"/>
      <c r="AC557" s="77"/>
      <c r="AD557" s="77"/>
      <c r="AE557" s="62"/>
      <c r="AF557" s="63" t="b">
        <v>0</v>
      </c>
      <c r="AG557" s="63" t="b">
        <v>0</v>
      </c>
      <c r="AH557" s="62"/>
      <c r="AI557" s="64">
        <f t="shared" si="1557"/>
        <v>45445</v>
      </c>
      <c r="AJ557" s="65" t="str">
        <f t="shared" si="1116"/>
        <v>SF</v>
      </c>
      <c r="AK557" s="66" t="str">
        <f t="shared" si="1558"/>
        <v>HOLD</v>
      </c>
      <c r="AL557" s="67" t="e">
        <f t="shared" ca="1" si="1559"/>
        <v>#NAME?</v>
      </c>
      <c r="AM557" s="68">
        <f t="shared" si="1408"/>
        <v>14923</v>
      </c>
      <c r="AN557" s="69">
        <f t="shared" si="1409"/>
        <v>0.32837495874133571</v>
      </c>
      <c r="AO557" s="62"/>
      <c r="AP557" s="70">
        <f t="shared" ref="AP557:AT557" si="1689">H557/$AI557</f>
        <v>0</v>
      </c>
      <c r="AQ557" s="70">
        <f t="shared" si="1689"/>
        <v>0</v>
      </c>
      <c r="AR557" s="70">
        <f t="shared" si="1689"/>
        <v>0</v>
      </c>
      <c r="AS557" s="70">
        <f t="shared" si="1689"/>
        <v>0</v>
      </c>
      <c r="AT557" s="70">
        <f t="shared" si="1689"/>
        <v>0</v>
      </c>
      <c r="AU557" s="70"/>
      <c r="AV557" s="70"/>
      <c r="AW557" s="81">
        <f t="shared" si="1561"/>
        <v>1</v>
      </c>
      <c r="AX557" s="70">
        <f t="shared" ref="AX557:BG557" si="1690">O557/$AI557</f>
        <v>3.9828363956430851E-3</v>
      </c>
      <c r="AY557" s="70">
        <f t="shared" si="1690"/>
        <v>0</v>
      </c>
      <c r="AZ557" s="70">
        <f t="shared" si="1690"/>
        <v>0</v>
      </c>
      <c r="BA557" s="70">
        <f t="shared" si="1690"/>
        <v>0</v>
      </c>
      <c r="BB557" s="70">
        <f t="shared" si="1690"/>
        <v>0.20160633733083946</v>
      </c>
      <c r="BC557" s="70">
        <f t="shared" si="1690"/>
        <v>0.52998129607217515</v>
      </c>
      <c r="BD557" s="70">
        <f t="shared" si="1690"/>
        <v>4.4031246561777974E-2</v>
      </c>
      <c r="BE557" s="70">
        <f t="shared" si="1690"/>
        <v>8.1901199251842888E-2</v>
      </c>
      <c r="BF557" s="70">
        <f t="shared" si="1690"/>
        <v>4.992848498184619E-2</v>
      </c>
      <c r="BG557" s="70">
        <f t="shared" si="1690"/>
        <v>6.552976124986247E-2</v>
      </c>
      <c r="BH557" s="70">
        <f t="shared" si="1563"/>
        <v>2.303883815601282E-2</v>
      </c>
      <c r="BI557" s="62"/>
      <c r="BJ557" s="69">
        <v>0</v>
      </c>
      <c r="BK557" s="69">
        <v>0</v>
      </c>
      <c r="BL557" s="69">
        <v>0</v>
      </c>
      <c r="BM557" s="69">
        <v>0</v>
      </c>
      <c r="BN557" s="69">
        <v>0</v>
      </c>
      <c r="BO557" s="69">
        <v>0</v>
      </c>
      <c r="BP557" s="69">
        <v>0</v>
      </c>
      <c r="BQ557" s="69">
        <v>1.6E-2</v>
      </c>
      <c r="BR557" s="62"/>
      <c r="BS557" s="72">
        <f t="shared" ref="BS557:BW557" si="1691">AP557-BJ557</f>
        <v>0</v>
      </c>
      <c r="BT557" s="72">
        <f t="shared" si="1691"/>
        <v>0</v>
      </c>
      <c r="BU557" s="72">
        <f t="shared" si="1691"/>
        <v>0</v>
      </c>
      <c r="BV557" s="72">
        <f t="shared" si="1691"/>
        <v>0</v>
      </c>
      <c r="BW557" s="72">
        <f t="shared" si="1691"/>
        <v>0</v>
      </c>
      <c r="BX557" s="72"/>
      <c r="BY557" s="72"/>
      <c r="BZ557" s="72">
        <f t="shared" si="1565"/>
        <v>0.98399999999999999</v>
      </c>
    </row>
    <row r="558" spans="1:78" ht="13.15">
      <c r="A558" s="91" t="s">
        <v>17</v>
      </c>
      <c r="B558" s="74" t="s">
        <v>1160</v>
      </c>
      <c r="C558" s="75" t="s">
        <v>1161</v>
      </c>
      <c r="D558" s="75" t="s">
        <v>1141</v>
      </c>
      <c r="E558" s="76"/>
      <c r="F558" s="59"/>
      <c r="G558" s="60"/>
      <c r="H558" s="77"/>
      <c r="I558" s="77">
        <v>83</v>
      </c>
      <c r="J558" s="77"/>
      <c r="K558" s="77"/>
      <c r="L558" s="77"/>
      <c r="M558" s="77"/>
      <c r="N558" s="77"/>
      <c r="O558" s="77"/>
      <c r="P558" s="77"/>
      <c r="Q558" s="77"/>
      <c r="R558" s="77"/>
      <c r="S558" s="77">
        <v>5900</v>
      </c>
      <c r="T558" s="77">
        <v>22299</v>
      </c>
      <c r="U558" s="77">
        <v>2692</v>
      </c>
      <c r="V558" s="77">
        <v>6806</v>
      </c>
      <c r="W558" s="77">
        <v>3175</v>
      </c>
      <c r="X558" s="77">
        <v>4099</v>
      </c>
      <c r="Y558" s="77">
        <v>888</v>
      </c>
      <c r="Z558" s="77"/>
      <c r="AA558" s="77"/>
      <c r="AB558" s="77"/>
      <c r="AC558" s="77"/>
      <c r="AD558" s="77"/>
      <c r="AE558" s="62"/>
      <c r="AF558" s="63" t="b">
        <v>0</v>
      </c>
      <c r="AG558" s="63" t="b">
        <v>0</v>
      </c>
      <c r="AH558" s="62"/>
      <c r="AI558" s="64">
        <f t="shared" si="1557"/>
        <v>45942</v>
      </c>
      <c r="AJ558" s="65" t="str">
        <f t="shared" si="1116"/>
        <v>SF</v>
      </c>
      <c r="AK558" s="66" t="str">
        <f t="shared" si="1558"/>
        <v>HOLD</v>
      </c>
      <c r="AL558" s="67" t="e">
        <f t="shared" ca="1" si="1559"/>
        <v>#NAME?</v>
      </c>
      <c r="AM558" s="68">
        <f t="shared" si="1408"/>
        <v>15493</v>
      </c>
      <c r="AN558" s="69">
        <f t="shared" si="1409"/>
        <v>0.33722955030255536</v>
      </c>
      <c r="AO558" s="62"/>
      <c r="AP558" s="70">
        <f t="shared" ref="AP558:AT558" si="1692">H558/$AI558</f>
        <v>0</v>
      </c>
      <c r="AQ558" s="70">
        <f t="shared" si="1692"/>
        <v>1.8066257455052021E-3</v>
      </c>
      <c r="AR558" s="70">
        <f t="shared" si="1692"/>
        <v>0</v>
      </c>
      <c r="AS558" s="70">
        <f t="shared" si="1692"/>
        <v>0</v>
      </c>
      <c r="AT558" s="70">
        <f t="shared" si="1692"/>
        <v>0</v>
      </c>
      <c r="AU558" s="70"/>
      <c r="AV558" s="70"/>
      <c r="AW558" s="81">
        <f t="shared" si="1561"/>
        <v>0.99819337425449484</v>
      </c>
      <c r="AX558" s="70">
        <f t="shared" ref="AX558:BG558" si="1693">O558/$AI558</f>
        <v>0</v>
      </c>
      <c r="AY558" s="70">
        <f t="shared" si="1693"/>
        <v>0</v>
      </c>
      <c r="AZ558" s="70">
        <f t="shared" si="1693"/>
        <v>0</v>
      </c>
      <c r="BA558" s="70">
        <f t="shared" si="1693"/>
        <v>0</v>
      </c>
      <c r="BB558" s="70">
        <f t="shared" si="1693"/>
        <v>0.1284227939575987</v>
      </c>
      <c r="BC558" s="70">
        <f t="shared" si="1693"/>
        <v>0.48537286143398195</v>
      </c>
      <c r="BD558" s="70">
        <f t="shared" si="1693"/>
        <v>5.8595620565060291E-2</v>
      </c>
      <c r="BE558" s="70">
        <f t="shared" si="1693"/>
        <v>0.14814331113142659</v>
      </c>
      <c r="BF558" s="70">
        <f t="shared" si="1693"/>
        <v>6.9108876409385747E-2</v>
      </c>
      <c r="BG558" s="70">
        <f t="shared" si="1693"/>
        <v>8.9221191937660524E-2</v>
      </c>
      <c r="BH558" s="70">
        <f t="shared" si="1563"/>
        <v>1.9328718819380919E-2</v>
      </c>
      <c r="BI558" s="62"/>
      <c r="BJ558" s="69">
        <v>0</v>
      </c>
      <c r="BK558" s="69">
        <v>0</v>
      </c>
      <c r="BL558" s="69">
        <v>0</v>
      </c>
      <c r="BM558" s="69">
        <v>0</v>
      </c>
      <c r="BN558" s="69">
        <v>0</v>
      </c>
      <c r="BO558" s="69">
        <v>0</v>
      </c>
      <c r="BP558" s="69">
        <v>0</v>
      </c>
      <c r="BQ558" s="69">
        <v>3.3000000000000002E-2</v>
      </c>
      <c r="BR558" s="62"/>
      <c r="BS558" s="72">
        <f t="shared" ref="BS558:BW558" si="1694">AP558-BJ558</f>
        <v>0</v>
      </c>
      <c r="BT558" s="72">
        <f t="shared" si="1694"/>
        <v>1.8066257455052021E-3</v>
      </c>
      <c r="BU558" s="72">
        <f t="shared" si="1694"/>
        <v>0</v>
      </c>
      <c r="BV558" s="72">
        <f t="shared" si="1694"/>
        <v>0</v>
      </c>
      <c r="BW558" s="72">
        <f t="shared" si="1694"/>
        <v>0</v>
      </c>
      <c r="BX558" s="72"/>
      <c r="BY558" s="72"/>
      <c r="BZ558" s="72">
        <f t="shared" si="1565"/>
        <v>0.96519337425449481</v>
      </c>
    </row>
    <row r="559" spans="1:78" ht="13.15">
      <c r="A559" s="90" t="s">
        <v>16</v>
      </c>
      <c r="B559" s="74" t="s">
        <v>1162</v>
      </c>
      <c r="C559" s="75" t="s">
        <v>1163</v>
      </c>
      <c r="D559" s="75" t="s">
        <v>1141</v>
      </c>
      <c r="E559" s="76"/>
      <c r="F559" s="59"/>
      <c r="G559" s="60"/>
      <c r="H559" s="77"/>
      <c r="I559" s="77"/>
      <c r="J559" s="77"/>
      <c r="K559" s="77"/>
      <c r="L559" s="77"/>
      <c r="M559" s="77"/>
      <c r="N559" s="77"/>
      <c r="O559" s="77"/>
      <c r="P559" s="77"/>
      <c r="Q559" s="77"/>
      <c r="R559" s="77"/>
      <c r="S559" s="77">
        <v>11192</v>
      </c>
      <c r="T559" s="77">
        <v>7714</v>
      </c>
      <c r="U559" s="77">
        <v>4488</v>
      </c>
      <c r="V559" s="77">
        <v>1661</v>
      </c>
      <c r="W559" s="77">
        <v>3901</v>
      </c>
      <c r="X559" s="77">
        <v>11642</v>
      </c>
      <c r="Y559" s="77">
        <v>451</v>
      </c>
      <c r="Z559" s="77">
        <v>136</v>
      </c>
      <c r="AA559" s="77"/>
      <c r="AB559" s="77"/>
      <c r="AC559" s="77"/>
      <c r="AD559" s="77"/>
      <c r="AE559" s="62"/>
      <c r="AF559" s="63" t="b">
        <v>0</v>
      </c>
      <c r="AG559" s="63" t="b">
        <v>0</v>
      </c>
      <c r="AH559" s="62"/>
      <c r="AI559" s="64">
        <f t="shared" si="1557"/>
        <v>41185</v>
      </c>
      <c r="AJ559" s="65" t="str">
        <f t="shared" si="1116"/>
        <v>TUV</v>
      </c>
      <c r="AK559" s="66" t="str">
        <f t="shared" si="1558"/>
        <v>GAIN</v>
      </c>
      <c r="AL559" s="67" t="e">
        <f t="shared" ca="1" si="1559"/>
        <v>#NAME?</v>
      </c>
      <c r="AM559" s="68">
        <f t="shared" si="1408"/>
        <v>450</v>
      </c>
      <c r="AN559" s="69">
        <f t="shared" si="1409"/>
        <v>1.0926308121888995E-2</v>
      </c>
      <c r="AO559" s="62"/>
      <c r="AP559" s="70">
        <f t="shared" ref="AP559:AT559" si="1695">H559/$AI559</f>
        <v>0</v>
      </c>
      <c r="AQ559" s="70">
        <f t="shared" si="1695"/>
        <v>0</v>
      </c>
      <c r="AR559" s="70">
        <f t="shared" si="1695"/>
        <v>0</v>
      </c>
      <c r="AS559" s="70">
        <f t="shared" si="1695"/>
        <v>0</v>
      </c>
      <c r="AT559" s="70">
        <f t="shared" si="1695"/>
        <v>0</v>
      </c>
      <c r="AU559" s="70"/>
      <c r="AV559" s="70"/>
      <c r="AW559" s="81">
        <f t="shared" si="1561"/>
        <v>1</v>
      </c>
      <c r="AX559" s="70">
        <f t="shared" ref="AX559:BG559" si="1696">O559/$AI559</f>
        <v>0</v>
      </c>
      <c r="AY559" s="70">
        <f t="shared" si="1696"/>
        <v>0</v>
      </c>
      <c r="AZ559" s="70">
        <f t="shared" si="1696"/>
        <v>0</v>
      </c>
      <c r="BA559" s="70">
        <f t="shared" si="1696"/>
        <v>0</v>
      </c>
      <c r="BB559" s="70">
        <f t="shared" si="1696"/>
        <v>0.27174942333373803</v>
      </c>
      <c r="BC559" s="70">
        <f t="shared" si="1696"/>
        <v>0.1873012018938934</v>
      </c>
      <c r="BD559" s="70">
        <f t="shared" si="1696"/>
        <v>0.10897171300230667</v>
      </c>
      <c r="BE559" s="70">
        <f t="shared" si="1696"/>
        <v>4.03302173121282E-2</v>
      </c>
      <c r="BF559" s="70">
        <f t="shared" si="1696"/>
        <v>9.4718951074420299E-2</v>
      </c>
      <c r="BG559" s="70">
        <f t="shared" si="1696"/>
        <v>0.28267573145562702</v>
      </c>
      <c r="BH559" s="70">
        <f t="shared" si="1563"/>
        <v>1.4252761927886493E-2</v>
      </c>
      <c r="BI559" s="62"/>
      <c r="BJ559" s="69">
        <v>0</v>
      </c>
      <c r="BK559" s="69">
        <v>0</v>
      </c>
      <c r="BL559" s="69">
        <v>0</v>
      </c>
      <c r="BM559" s="69">
        <v>0</v>
      </c>
      <c r="BN559" s="69">
        <v>0</v>
      </c>
      <c r="BO559" s="69">
        <v>0</v>
      </c>
      <c r="BP559" s="69">
        <v>0</v>
      </c>
      <c r="BQ559" s="69">
        <v>6.0000000000000001E-3</v>
      </c>
      <c r="BR559" s="62"/>
      <c r="BS559" s="72">
        <f t="shared" ref="BS559:BW559" si="1697">AP559-BJ559</f>
        <v>0</v>
      </c>
      <c r="BT559" s="72">
        <f t="shared" si="1697"/>
        <v>0</v>
      </c>
      <c r="BU559" s="72">
        <f t="shared" si="1697"/>
        <v>0</v>
      </c>
      <c r="BV559" s="72">
        <f t="shared" si="1697"/>
        <v>0</v>
      </c>
      <c r="BW559" s="72">
        <f t="shared" si="1697"/>
        <v>0</v>
      </c>
      <c r="BX559" s="72"/>
      <c r="BY559" s="72"/>
      <c r="BZ559" s="72">
        <f t="shared" si="1565"/>
        <v>0.99399999999999999</v>
      </c>
    </row>
    <row r="560" spans="1:78" ht="13.15">
      <c r="A560" s="93" t="s">
        <v>18</v>
      </c>
      <c r="B560" s="74" t="s">
        <v>1164</v>
      </c>
      <c r="C560" s="75" t="s">
        <v>1165</v>
      </c>
      <c r="D560" s="75" t="s">
        <v>1141</v>
      </c>
      <c r="E560" s="76"/>
      <c r="F560" s="59"/>
      <c r="G560" s="60"/>
      <c r="H560" s="77"/>
      <c r="I560" s="77"/>
      <c r="J560" s="77"/>
      <c r="K560" s="77"/>
      <c r="L560" s="77">
        <v>1247</v>
      </c>
      <c r="M560" s="77"/>
      <c r="N560" s="77"/>
      <c r="O560" s="77">
        <v>20913</v>
      </c>
      <c r="P560" s="77"/>
      <c r="Q560" s="77"/>
      <c r="R560" s="77"/>
      <c r="S560" s="77"/>
      <c r="T560" s="77"/>
      <c r="U560" s="77">
        <v>13608</v>
      </c>
      <c r="V560" s="77">
        <v>657</v>
      </c>
      <c r="W560" s="77">
        <v>6754</v>
      </c>
      <c r="X560" s="77"/>
      <c r="Y560" s="77">
        <v>117</v>
      </c>
      <c r="Z560" s="77"/>
      <c r="AA560" s="77"/>
      <c r="AB560" s="77"/>
      <c r="AC560" s="77"/>
      <c r="AD560" s="77"/>
      <c r="AE560" s="62"/>
      <c r="AF560" s="63" t="b">
        <v>0</v>
      </c>
      <c r="AG560" s="63" t="b">
        <v>0</v>
      </c>
      <c r="AH560" s="62"/>
      <c r="AI560" s="64">
        <f t="shared" si="1557"/>
        <v>43296</v>
      </c>
      <c r="AJ560" s="65" t="str">
        <f t="shared" si="1116"/>
        <v>IND</v>
      </c>
      <c r="AK560" s="66" t="str">
        <f t="shared" si="1558"/>
        <v>GAIN</v>
      </c>
      <c r="AL560" s="67" t="e">
        <f t="shared" ca="1" si="1559"/>
        <v>#NAME?</v>
      </c>
      <c r="AM560" s="68">
        <f t="shared" si="1408"/>
        <v>7305</v>
      </c>
      <c r="AN560" s="69">
        <f t="shared" si="1409"/>
        <v>0.16872228381374721</v>
      </c>
      <c r="AO560" s="62"/>
      <c r="AP560" s="70">
        <f t="shared" ref="AP560:AT560" si="1698">H560/$AI560</f>
        <v>0</v>
      </c>
      <c r="AQ560" s="70">
        <f t="shared" si="1698"/>
        <v>0</v>
      </c>
      <c r="AR560" s="70">
        <f t="shared" si="1698"/>
        <v>0</v>
      </c>
      <c r="AS560" s="70">
        <f t="shared" si="1698"/>
        <v>0</v>
      </c>
      <c r="AT560" s="70">
        <f t="shared" si="1698"/>
        <v>2.8801736881005173E-2</v>
      </c>
      <c r="AU560" s="70"/>
      <c r="AV560" s="70"/>
      <c r="AW560" s="81">
        <f t="shared" si="1561"/>
        <v>0.97119826311899482</v>
      </c>
      <c r="AX560" s="70">
        <f t="shared" ref="AX560:BG560" si="1699">O560/$AI560</f>
        <v>0.48302383592017739</v>
      </c>
      <c r="AY560" s="70">
        <f t="shared" si="1699"/>
        <v>0</v>
      </c>
      <c r="AZ560" s="70">
        <f t="shared" si="1699"/>
        <v>0</v>
      </c>
      <c r="BA560" s="70">
        <f t="shared" si="1699"/>
        <v>0</v>
      </c>
      <c r="BB560" s="70">
        <f t="shared" si="1699"/>
        <v>0</v>
      </c>
      <c r="BC560" s="70">
        <f t="shared" si="1699"/>
        <v>0</v>
      </c>
      <c r="BD560" s="70">
        <f t="shared" si="1699"/>
        <v>0.31430155210643018</v>
      </c>
      <c r="BE560" s="70">
        <f t="shared" si="1699"/>
        <v>1.5174611973392461E-2</v>
      </c>
      <c r="BF560" s="70">
        <f t="shared" si="1699"/>
        <v>0.1559959349593496</v>
      </c>
      <c r="BG560" s="70">
        <f t="shared" si="1699"/>
        <v>0</v>
      </c>
      <c r="BH560" s="70">
        <f t="shared" si="1563"/>
        <v>2.7023281596452176E-3</v>
      </c>
      <c r="BI560" s="62"/>
      <c r="BJ560" s="69">
        <v>0</v>
      </c>
      <c r="BK560" s="69">
        <v>4.5999999999999999E-2</v>
      </c>
      <c r="BL560" s="69">
        <v>0</v>
      </c>
      <c r="BM560" s="69">
        <v>0</v>
      </c>
      <c r="BN560" s="69">
        <v>0</v>
      </c>
      <c r="BO560" s="69">
        <v>0</v>
      </c>
      <c r="BP560" s="69">
        <v>0</v>
      </c>
      <c r="BQ560" s="69">
        <v>0</v>
      </c>
      <c r="BR560" s="62"/>
      <c r="BS560" s="72">
        <f t="shared" ref="BS560:BW560" si="1700">AP560-BJ560</f>
        <v>0</v>
      </c>
      <c r="BT560" s="72">
        <f t="shared" si="1700"/>
        <v>-4.5999999999999999E-2</v>
      </c>
      <c r="BU560" s="72">
        <f t="shared" si="1700"/>
        <v>0</v>
      </c>
      <c r="BV560" s="72">
        <f t="shared" si="1700"/>
        <v>0</v>
      </c>
      <c r="BW560" s="72">
        <f t="shared" si="1700"/>
        <v>2.8801736881005173E-2</v>
      </c>
      <c r="BX560" s="72"/>
      <c r="BY560" s="72"/>
      <c r="BZ560" s="72">
        <f t="shared" si="1565"/>
        <v>0.97119826311899482</v>
      </c>
    </row>
    <row r="561" spans="1:78" ht="13.15">
      <c r="A561" s="90" t="s">
        <v>16</v>
      </c>
      <c r="B561" s="74" t="s">
        <v>1166</v>
      </c>
      <c r="C561" s="75" t="s">
        <v>1167</v>
      </c>
      <c r="D561" s="75" t="s">
        <v>1141</v>
      </c>
      <c r="E561" s="76"/>
      <c r="F561" s="59"/>
      <c r="G561" s="60"/>
      <c r="H561" s="77"/>
      <c r="I561" s="77"/>
      <c r="J561" s="77"/>
      <c r="K561" s="77"/>
      <c r="L561" s="77">
        <v>541</v>
      </c>
      <c r="M561" s="77"/>
      <c r="N561" s="77"/>
      <c r="O561" s="77"/>
      <c r="P561" s="77"/>
      <c r="Q561" s="77"/>
      <c r="R561" s="77"/>
      <c r="S561" s="77">
        <v>8799</v>
      </c>
      <c r="T561" s="77">
        <v>8034</v>
      </c>
      <c r="U561" s="77">
        <v>4574</v>
      </c>
      <c r="V561" s="77">
        <v>1589</v>
      </c>
      <c r="W561" s="77">
        <v>16311</v>
      </c>
      <c r="X561" s="77">
        <v>2693</v>
      </c>
      <c r="Y561" s="77">
        <v>367</v>
      </c>
      <c r="Z561" s="77"/>
      <c r="AA561" s="77"/>
      <c r="AB561" s="77"/>
      <c r="AC561" s="77"/>
      <c r="AD561" s="77"/>
      <c r="AE561" s="62"/>
      <c r="AF561" s="63" t="b">
        <v>0</v>
      </c>
      <c r="AG561" s="63" t="b">
        <v>0</v>
      </c>
      <c r="AH561" s="62"/>
      <c r="AI561" s="64">
        <f t="shared" si="1557"/>
        <v>42908</v>
      </c>
      <c r="AJ561" s="65" t="str">
        <f t="shared" si="1116"/>
        <v>UUP</v>
      </c>
      <c r="AK561" s="66" t="str">
        <f t="shared" si="1558"/>
        <v>GAIN</v>
      </c>
      <c r="AL561" s="67" t="e">
        <f t="shared" ca="1" si="1559"/>
        <v>#NAME?</v>
      </c>
      <c r="AM561" s="68">
        <f t="shared" si="1408"/>
        <v>7512</v>
      </c>
      <c r="AN561" s="69">
        <f t="shared" si="1409"/>
        <v>0.17507224759951523</v>
      </c>
      <c r="AO561" s="62"/>
      <c r="AP561" s="70">
        <f t="shared" ref="AP561:AT561" si="1701">H561/$AI561</f>
        <v>0</v>
      </c>
      <c r="AQ561" s="70">
        <f t="shared" si="1701"/>
        <v>0</v>
      </c>
      <c r="AR561" s="70">
        <f t="shared" si="1701"/>
        <v>0</v>
      </c>
      <c r="AS561" s="70">
        <f t="shared" si="1701"/>
        <v>0</v>
      </c>
      <c r="AT561" s="70">
        <f t="shared" si="1701"/>
        <v>1.2608371399272863E-2</v>
      </c>
      <c r="AU561" s="70"/>
      <c r="AV561" s="70"/>
      <c r="AW561" s="81">
        <f t="shared" si="1561"/>
        <v>0.98739162860072716</v>
      </c>
      <c r="AX561" s="70">
        <f t="shared" ref="AX561:BG561" si="1702">O561/$AI561</f>
        <v>0</v>
      </c>
      <c r="AY561" s="70">
        <f t="shared" si="1702"/>
        <v>0</v>
      </c>
      <c r="AZ561" s="70">
        <f t="shared" si="1702"/>
        <v>0</v>
      </c>
      <c r="BA561" s="70">
        <f t="shared" si="1702"/>
        <v>0</v>
      </c>
      <c r="BB561" s="70">
        <f t="shared" si="1702"/>
        <v>0.20506665423697212</v>
      </c>
      <c r="BC561" s="70">
        <f t="shared" si="1702"/>
        <v>0.18723781113079146</v>
      </c>
      <c r="BD561" s="70">
        <f t="shared" si="1702"/>
        <v>0.10660016780087629</v>
      </c>
      <c r="BE561" s="70">
        <f t="shared" si="1702"/>
        <v>3.7032721170877227E-2</v>
      </c>
      <c r="BF561" s="70">
        <f t="shared" si="1702"/>
        <v>0.38013890183648735</v>
      </c>
      <c r="BG561" s="70">
        <f t="shared" si="1702"/>
        <v>6.2762188869208535E-2</v>
      </c>
      <c r="BH561" s="70">
        <f t="shared" si="1563"/>
        <v>8.5531835555141544E-3</v>
      </c>
      <c r="BI561" s="62"/>
      <c r="BJ561" s="69">
        <v>0</v>
      </c>
      <c r="BK561" s="69">
        <v>0</v>
      </c>
      <c r="BL561" s="69">
        <v>0</v>
      </c>
      <c r="BM561" s="69">
        <v>0</v>
      </c>
      <c r="BN561" s="69">
        <v>0</v>
      </c>
      <c r="BO561" s="69">
        <v>0</v>
      </c>
      <c r="BP561" s="69">
        <v>0</v>
      </c>
      <c r="BQ561" s="69">
        <v>0</v>
      </c>
      <c r="BR561" s="62"/>
      <c r="BS561" s="72">
        <f t="shared" ref="BS561:BW561" si="1703">AP561-BJ561</f>
        <v>0</v>
      </c>
      <c r="BT561" s="72">
        <f t="shared" si="1703"/>
        <v>0</v>
      </c>
      <c r="BU561" s="72">
        <f t="shared" si="1703"/>
        <v>0</v>
      </c>
      <c r="BV561" s="72">
        <f t="shared" si="1703"/>
        <v>0</v>
      </c>
      <c r="BW561" s="72">
        <f t="shared" si="1703"/>
        <v>1.2608371399272863E-2</v>
      </c>
      <c r="BX561" s="72"/>
      <c r="BY561" s="72"/>
      <c r="BZ561" s="72">
        <f t="shared" si="1565"/>
        <v>0.98739162860072716</v>
      </c>
    </row>
    <row r="562" spans="1:78" ht="13.15">
      <c r="A562" s="91" t="s">
        <v>17</v>
      </c>
      <c r="B562" s="74" t="s">
        <v>1168</v>
      </c>
      <c r="C562" s="75" t="s">
        <v>1169</v>
      </c>
      <c r="D562" s="75" t="s">
        <v>1141</v>
      </c>
      <c r="E562" s="76"/>
      <c r="F562" s="59"/>
      <c r="G562" s="60"/>
      <c r="H562" s="77"/>
      <c r="I562" s="77">
        <v>46</v>
      </c>
      <c r="J562" s="77"/>
      <c r="K562" s="77"/>
      <c r="L562" s="77">
        <v>444</v>
      </c>
      <c r="M562" s="77"/>
      <c r="N562" s="77"/>
      <c r="O562" s="77"/>
      <c r="P562" s="77"/>
      <c r="Q562" s="77"/>
      <c r="R562" s="77"/>
      <c r="S562" s="77">
        <v>7349</v>
      </c>
      <c r="T562" s="77">
        <v>19698</v>
      </c>
      <c r="U562" s="77">
        <v>3187</v>
      </c>
      <c r="V562" s="77">
        <v>10418</v>
      </c>
      <c r="W562" s="77">
        <v>1411</v>
      </c>
      <c r="X562" s="77">
        <v>1893</v>
      </c>
      <c r="Y562" s="77">
        <v>797</v>
      </c>
      <c r="Z562" s="77"/>
      <c r="AA562" s="77"/>
      <c r="AB562" s="77"/>
      <c r="AC562" s="77"/>
      <c r="AD562" s="77"/>
      <c r="AE562" s="62"/>
      <c r="AF562" s="63" t="b">
        <v>0</v>
      </c>
      <c r="AG562" s="63" t="b">
        <v>0</v>
      </c>
      <c r="AH562" s="62"/>
      <c r="AI562" s="64">
        <f t="shared" si="1557"/>
        <v>45243</v>
      </c>
      <c r="AJ562" s="65" t="str">
        <f t="shared" si="1116"/>
        <v>SF</v>
      </c>
      <c r="AK562" s="66" t="str">
        <f t="shared" si="1558"/>
        <v>HOLD</v>
      </c>
      <c r="AL562" s="67" t="e">
        <f t="shared" ca="1" si="1559"/>
        <v>#NAME?</v>
      </c>
      <c r="AM562" s="68">
        <f t="shared" si="1408"/>
        <v>9280</v>
      </c>
      <c r="AN562" s="69">
        <f t="shared" si="1409"/>
        <v>0.20511460336405629</v>
      </c>
      <c r="AO562" s="62"/>
      <c r="AP562" s="70">
        <f t="shared" ref="AP562:AT562" si="1704">H562/$AI562</f>
        <v>0</v>
      </c>
      <c r="AQ562" s="70">
        <f t="shared" si="1704"/>
        <v>1.0167318701235551E-3</v>
      </c>
      <c r="AR562" s="70">
        <f t="shared" si="1704"/>
        <v>0</v>
      </c>
      <c r="AS562" s="70">
        <f t="shared" si="1704"/>
        <v>0</v>
      </c>
      <c r="AT562" s="70">
        <f t="shared" si="1704"/>
        <v>9.8136728333664876E-3</v>
      </c>
      <c r="AU562" s="70"/>
      <c r="AV562" s="70"/>
      <c r="AW562" s="81">
        <f t="shared" si="1561"/>
        <v>0.98916959529650994</v>
      </c>
      <c r="AX562" s="70">
        <f t="shared" ref="AX562:BG562" si="1705">O562/$AI562</f>
        <v>0</v>
      </c>
      <c r="AY562" s="70">
        <f t="shared" si="1705"/>
        <v>0</v>
      </c>
      <c r="AZ562" s="70">
        <f t="shared" si="1705"/>
        <v>0</v>
      </c>
      <c r="BA562" s="70">
        <f t="shared" si="1705"/>
        <v>0</v>
      </c>
      <c r="BB562" s="70">
        <f t="shared" si="1705"/>
        <v>0.16243396768560883</v>
      </c>
      <c r="BC562" s="70">
        <f t="shared" si="1705"/>
        <v>0.4353822690802997</v>
      </c>
      <c r="BD562" s="70">
        <f t="shared" si="1705"/>
        <v>7.0441836306168903E-2</v>
      </c>
      <c r="BE562" s="70">
        <f t="shared" si="1705"/>
        <v>0.23026766571624341</v>
      </c>
      <c r="BF562" s="70">
        <f t="shared" si="1705"/>
        <v>3.118714497270296E-2</v>
      </c>
      <c r="BG562" s="70">
        <f t="shared" si="1705"/>
        <v>4.1840726742258472E-2</v>
      </c>
      <c r="BH562" s="70">
        <f t="shared" si="1563"/>
        <v>1.7615984793227568E-2</v>
      </c>
      <c r="BI562" s="62"/>
      <c r="BJ562" s="69">
        <v>0</v>
      </c>
      <c r="BK562" s="69">
        <v>0</v>
      </c>
      <c r="BL562" s="69">
        <v>0</v>
      </c>
      <c r="BM562" s="69">
        <v>0</v>
      </c>
      <c r="BN562" s="69">
        <v>0</v>
      </c>
      <c r="BO562" s="69">
        <v>0</v>
      </c>
      <c r="BP562" s="69">
        <v>0</v>
      </c>
      <c r="BQ562" s="69">
        <v>2.4E-2</v>
      </c>
      <c r="BR562" s="62"/>
      <c r="BS562" s="72">
        <f t="shared" ref="BS562:BW562" si="1706">AP562-BJ562</f>
        <v>0</v>
      </c>
      <c r="BT562" s="72">
        <f t="shared" si="1706"/>
        <v>1.0167318701235551E-3</v>
      </c>
      <c r="BU562" s="72">
        <f t="shared" si="1706"/>
        <v>0</v>
      </c>
      <c r="BV562" s="72">
        <f t="shared" si="1706"/>
        <v>0</v>
      </c>
      <c r="BW562" s="72">
        <f t="shared" si="1706"/>
        <v>9.8136728333664876E-3</v>
      </c>
      <c r="BX562" s="72"/>
      <c r="BY562" s="72"/>
      <c r="BZ562" s="72">
        <f t="shared" si="1565"/>
        <v>0.96516959529650992</v>
      </c>
    </row>
    <row r="563" spans="1:78" ht="13.15">
      <c r="A563" s="90" t="s">
        <v>16</v>
      </c>
      <c r="B563" s="74" t="s">
        <v>1170</v>
      </c>
      <c r="C563" s="75" t="s">
        <v>1171</v>
      </c>
      <c r="D563" s="75" t="s">
        <v>1141</v>
      </c>
      <c r="E563" s="76"/>
      <c r="F563" s="59"/>
      <c r="G563" s="60"/>
      <c r="H563" s="77"/>
      <c r="I563" s="77">
        <v>146</v>
      </c>
      <c r="J563" s="77"/>
      <c r="K563" s="77"/>
      <c r="L563" s="77">
        <v>703</v>
      </c>
      <c r="M563" s="77"/>
      <c r="N563" s="77"/>
      <c r="O563" s="77">
        <v>256</v>
      </c>
      <c r="P563" s="77"/>
      <c r="Q563" s="77"/>
      <c r="R563" s="77"/>
      <c r="S563" s="77">
        <v>15559</v>
      </c>
      <c r="T563" s="77">
        <v>2793</v>
      </c>
      <c r="U563" s="77">
        <v>10428</v>
      </c>
      <c r="V563" s="77">
        <v>1783</v>
      </c>
      <c r="W563" s="77">
        <v>3941</v>
      </c>
      <c r="X563" s="77">
        <v>3143</v>
      </c>
      <c r="Y563" s="77">
        <v>157</v>
      </c>
      <c r="Z563" s="77"/>
      <c r="AA563" s="77"/>
      <c r="AB563" s="77"/>
      <c r="AC563" s="77"/>
      <c r="AD563" s="77"/>
      <c r="AE563" s="62"/>
      <c r="AF563" s="63" t="b">
        <v>0</v>
      </c>
      <c r="AG563" s="63" t="b">
        <v>0</v>
      </c>
      <c r="AH563" s="62"/>
      <c r="AI563" s="64">
        <f t="shared" si="1557"/>
        <v>38909</v>
      </c>
      <c r="AJ563" s="65" t="str">
        <f t="shared" si="1116"/>
        <v>DUP</v>
      </c>
      <c r="AK563" s="66" t="str">
        <f t="shared" si="1558"/>
        <v>HOLD</v>
      </c>
      <c r="AL563" s="67" t="e">
        <f t="shared" ca="1" si="1559"/>
        <v>#NAME?</v>
      </c>
      <c r="AM563" s="68">
        <f t="shared" si="1408"/>
        <v>5131</v>
      </c>
      <c r="AN563" s="69">
        <f t="shared" si="1409"/>
        <v>0.13187180343879307</v>
      </c>
      <c r="AO563" s="62"/>
      <c r="AP563" s="70">
        <f t="shared" ref="AP563:AT563" si="1707">H563/$AI563</f>
        <v>0</v>
      </c>
      <c r="AQ563" s="70">
        <f t="shared" si="1707"/>
        <v>3.7523452157598499E-3</v>
      </c>
      <c r="AR563" s="70">
        <f t="shared" si="1707"/>
        <v>0</v>
      </c>
      <c r="AS563" s="70">
        <f t="shared" si="1707"/>
        <v>0</v>
      </c>
      <c r="AT563" s="70">
        <f t="shared" si="1707"/>
        <v>1.8067799223829964E-2</v>
      </c>
      <c r="AU563" s="70"/>
      <c r="AV563" s="70"/>
      <c r="AW563" s="81">
        <f t="shared" si="1561"/>
        <v>0.97817985556041021</v>
      </c>
      <c r="AX563" s="70">
        <f t="shared" ref="AX563:BG563" si="1708">O563/$AI563</f>
        <v>6.5794546248939831E-3</v>
      </c>
      <c r="AY563" s="70">
        <f t="shared" si="1708"/>
        <v>0</v>
      </c>
      <c r="AZ563" s="70">
        <f t="shared" si="1708"/>
        <v>0</v>
      </c>
      <c r="BA563" s="70">
        <f t="shared" si="1708"/>
        <v>0</v>
      </c>
      <c r="BB563" s="70">
        <f t="shared" si="1708"/>
        <v>0.39988177542470893</v>
      </c>
      <c r="BC563" s="70">
        <f t="shared" si="1708"/>
        <v>7.1782877997378494E-2</v>
      </c>
      <c r="BD563" s="70">
        <f t="shared" si="1708"/>
        <v>0.26800997198591586</v>
      </c>
      <c r="BE563" s="70">
        <f t="shared" si="1708"/>
        <v>4.5824873422601456E-2</v>
      </c>
      <c r="BF563" s="70">
        <f t="shared" si="1708"/>
        <v>0.10128761983088745</v>
      </c>
      <c r="BG563" s="70">
        <f t="shared" si="1708"/>
        <v>8.0778226117350735E-2</v>
      </c>
      <c r="BH563" s="70">
        <f t="shared" si="1563"/>
        <v>4.0350561566733223E-3</v>
      </c>
      <c r="BI563" s="62"/>
      <c r="BJ563" s="69">
        <v>0</v>
      </c>
      <c r="BK563" s="69">
        <v>3.4000000000000002E-2</v>
      </c>
      <c r="BL563" s="69">
        <v>0</v>
      </c>
      <c r="BM563" s="69">
        <v>0</v>
      </c>
      <c r="BN563" s="69">
        <v>1.7999999999999999E-2</v>
      </c>
      <c r="BO563" s="69">
        <v>0</v>
      </c>
      <c r="BP563" s="69">
        <v>0</v>
      </c>
      <c r="BQ563" s="69">
        <v>8.0000000000000002E-3</v>
      </c>
      <c r="BR563" s="62"/>
      <c r="BS563" s="72">
        <f t="shared" ref="BS563:BW563" si="1709">AP563-BJ563</f>
        <v>0</v>
      </c>
      <c r="BT563" s="72">
        <f t="shared" si="1709"/>
        <v>-3.0247654784240151E-2</v>
      </c>
      <c r="BU563" s="72">
        <f t="shared" si="1709"/>
        <v>0</v>
      </c>
      <c r="BV563" s="72">
        <f t="shared" si="1709"/>
        <v>0</v>
      </c>
      <c r="BW563" s="72">
        <f t="shared" si="1709"/>
        <v>6.779922382996531E-5</v>
      </c>
      <c r="BX563" s="72"/>
      <c r="BY563" s="72"/>
      <c r="BZ563" s="72">
        <f t="shared" si="1565"/>
        <v>0.9701798555604102</v>
      </c>
    </row>
    <row r="564" spans="1:78" ht="13.15">
      <c r="A564" s="90" t="s">
        <v>16</v>
      </c>
      <c r="B564" s="74" t="s">
        <v>1172</v>
      </c>
      <c r="C564" s="75" t="s">
        <v>1173</v>
      </c>
      <c r="D564" s="75" t="s">
        <v>1141</v>
      </c>
      <c r="E564" s="76"/>
      <c r="F564" s="59"/>
      <c r="G564" s="60"/>
      <c r="H564" s="77"/>
      <c r="I564" s="77"/>
      <c r="J564" s="77"/>
      <c r="K564" s="77"/>
      <c r="L564" s="77"/>
      <c r="M564" s="77"/>
      <c r="N564" s="77"/>
      <c r="O564" s="77"/>
      <c r="P564" s="77"/>
      <c r="Q564" s="77"/>
      <c r="R564" s="77"/>
      <c r="S564" s="77">
        <v>21642</v>
      </c>
      <c r="T564" s="77">
        <v>14236</v>
      </c>
      <c r="U564" s="77">
        <v>6322</v>
      </c>
      <c r="V564" s="77">
        <v>1496</v>
      </c>
      <c r="W564" s="77">
        <v>3662</v>
      </c>
      <c r="X564" s="77"/>
      <c r="Y564" s="77"/>
      <c r="Z564" s="77"/>
      <c r="AA564" s="77"/>
      <c r="AB564" s="77"/>
      <c r="AC564" s="77"/>
      <c r="AD564" s="77"/>
      <c r="AE564" s="62"/>
      <c r="AF564" s="63" t="b">
        <v>0</v>
      </c>
      <c r="AG564" s="63" t="b">
        <v>0</v>
      </c>
      <c r="AH564" s="62"/>
      <c r="AI564" s="64">
        <f t="shared" si="1557"/>
        <v>47358</v>
      </c>
      <c r="AJ564" s="65" t="str">
        <f t="shared" si="1116"/>
        <v>DUP</v>
      </c>
      <c r="AK564" s="66" t="str">
        <f t="shared" si="1558"/>
        <v>HOLD</v>
      </c>
      <c r="AL564" s="67" t="e">
        <f t="shared" ca="1" si="1559"/>
        <v>#NAME?</v>
      </c>
      <c r="AM564" s="68">
        <f t="shared" si="1408"/>
        <v>7406</v>
      </c>
      <c r="AN564" s="69">
        <f t="shared" si="1409"/>
        <v>0.15638329321339584</v>
      </c>
      <c r="AO564" s="62"/>
      <c r="AP564" s="70">
        <f t="shared" ref="AP564:AT564" si="1710">H564/$AI564</f>
        <v>0</v>
      </c>
      <c r="AQ564" s="70">
        <f t="shared" si="1710"/>
        <v>0</v>
      </c>
      <c r="AR564" s="70">
        <f t="shared" si="1710"/>
        <v>0</v>
      </c>
      <c r="AS564" s="70">
        <f t="shared" si="1710"/>
        <v>0</v>
      </c>
      <c r="AT564" s="70">
        <f t="shared" si="1710"/>
        <v>0</v>
      </c>
      <c r="AU564" s="70"/>
      <c r="AV564" s="70"/>
      <c r="AW564" s="81">
        <f t="shared" si="1561"/>
        <v>1</v>
      </c>
      <c r="AX564" s="70">
        <f t="shared" ref="AX564:BG564" si="1711">O564/$AI564</f>
        <v>0</v>
      </c>
      <c r="AY564" s="70">
        <f t="shared" si="1711"/>
        <v>0</v>
      </c>
      <c r="AZ564" s="70">
        <f t="shared" si="1711"/>
        <v>0</v>
      </c>
      <c r="BA564" s="70">
        <f t="shared" si="1711"/>
        <v>0</v>
      </c>
      <c r="BB564" s="70">
        <f t="shared" si="1711"/>
        <v>0.45698720385151398</v>
      </c>
      <c r="BC564" s="70">
        <f t="shared" si="1711"/>
        <v>0.30060391063811814</v>
      </c>
      <c r="BD564" s="70">
        <f t="shared" si="1711"/>
        <v>0.13349381308332278</v>
      </c>
      <c r="BE564" s="70">
        <f t="shared" si="1711"/>
        <v>3.1589171840027026E-2</v>
      </c>
      <c r="BF564" s="70">
        <f t="shared" si="1711"/>
        <v>7.7325900587018034E-2</v>
      </c>
      <c r="BG564" s="70">
        <f t="shared" si="1711"/>
        <v>0</v>
      </c>
      <c r="BH564" s="70">
        <f t="shared" si="1563"/>
        <v>0</v>
      </c>
      <c r="BI564" s="62"/>
      <c r="BJ564" s="69">
        <v>0</v>
      </c>
      <c r="BK564" s="69">
        <v>0</v>
      </c>
      <c r="BL564" s="69">
        <v>0</v>
      </c>
      <c r="BM564" s="69">
        <v>0</v>
      </c>
      <c r="BN564" s="69">
        <v>0</v>
      </c>
      <c r="BO564" s="69">
        <v>0</v>
      </c>
      <c r="BP564" s="69">
        <v>0</v>
      </c>
      <c r="BQ564" s="69">
        <v>1E-3</v>
      </c>
      <c r="BR564" s="62"/>
      <c r="BS564" s="72">
        <f t="shared" ref="BS564:BW564" si="1712">AP564-BJ564</f>
        <v>0</v>
      </c>
      <c r="BT564" s="72">
        <f t="shared" si="1712"/>
        <v>0</v>
      </c>
      <c r="BU564" s="72">
        <f t="shared" si="1712"/>
        <v>0</v>
      </c>
      <c r="BV564" s="72">
        <f t="shared" si="1712"/>
        <v>0</v>
      </c>
      <c r="BW564" s="72">
        <f t="shared" si="1712"/>
        <v>0</v>
      </c>
      <c r="BX564" s="72"/>
      <c r="BY564" s="72"/>
      <c r="BZ564" s="72">
        <f t="shared" si="1565"/>
        <v>0.999</v>
      </c>
    </row>
    <row r="565" spans="1:78" ht="13.15">
      <c r="A565" s="91" t="s">
        <v>17</v>
      </c>
      <c r="B565" s="74" t="s">
        <v>1174</v>
      </c>
      <c r="C565" s="75" t="s">
        <v>1175</v>
      </c>
      <c r="D565" s="75" t="s">
        <v>1141</v>
      </c>
      <c r="E565" s="76"/>
      <c r="F565" s="59"/>
      <c r="G565" s="60"/>
      <c r="H565" s="77"/>
      <c r="I565" s="77">
        <v>91</v>
      </c>
      <c r="J565" s="77"/>
      <c r="K565" s="77"/>
      <c r="L565" s="77"/>
      <c r="M565" s="77"/>
      <c r="N565" s="77"/>
      <c r="O565" s="77"/>
      <c r="P565" s="77"/>
      <c r="Q565" s="77"/>
      <c r="R565" s="77"/>
      <c r="S565" s="77">
        <v>6794</v>
      </c>
      <c r="T565" s="77">
        <v>22711</v>
      </c>
      <c r="U565" s="77">
        <v>2287</v>
      </c>
      <c r="V565" s="77">
        <v>5821</v>
      </c>
      <c r="W565" s="77">
        <v>2683</v>
      </c>
      <c r="X565" s="77">
        <v>2530</v>
      </c>
      <c r="Y565" s="77">
        <v>778</v>
      </c>
      <c r="Z565" s="77"/>
      <c r="AA565" s="77"/>
      <c r="AB565" s="77"/>
      <c r="AC565" s="77"/>
      <c r="AD565" s="77"/>
      <c r="AE565" s="62"/>
      <c r="AF565" s="63" t="b">
        <v>0</v>
      </c>
      <c r="AG565" s="63" t="b">
        <v>0</v>
      </c>
      <c r="AH565" s="62"/>
      <c r="AI565" s="64">
        <f t="shared" si="1557"/>
        <v>43695</v>
      </c>
      <c r="AJ565" s="65" t="str">
        <f t="shared" si="1116"/>
        <v>SF</v>
      </c>
      <c r="AK565" s="66" t="str">
        <f t="shared" si="1558"/>
        <v>HOLD</v>
      </c>
      <c r="AL565" s="67" t="e">
        <f t="shared" ca="1" si="1559"/>
        <v>#NAME?</v>
      </c>
      <c r="AM565" s="68">
        <f t="shared" si="1408"/>
        <v>15917</v>
      </c>
      <c r="AN565" s="69">
        <f t="shared" si="1409"/>
        <v>0.36427508868291564</v>
      </c>
      <c r="AO565" s="62"/>
      <c r="AP565" s="70">
        <f t="shared" ref="AP565:AT565" si="1713">H565/$AI565</f>
        <v>0</v>
      </c>
      <c r="AQ565" s="70">
        <f t="shared" si="1713"/>
        <v>2.0826181485295802E-3</v>
      </c>
      <c r="AR565" s="70">
        <f t="shared" si="1713"/>
        <v>0</v>
      </c>
      <c r="AS565" s="70">
        <f t="shared" si="1713"/>
        <v>0</v>
      </c>
      <c r="AT565" s="70">
        <f t="shared" si="1713"/>
        <v>0</v>
      </c>
      <c r="AU565" s="70"/>
      <c r="AV565" s="70"/>
      <c r="AW565" s="81">
        <f t="shared" si="1561"/>
        <v>0.99791738185147039</v>
      </c>
      <c r="AX565" s="70">
        <f t="shared" ref="AX565:BG565" si="1714">O565/$AI565</f>
        <v>0</v>
      </c>
      <c r="AY565" s="70">
        <f t="shared" si="1714"/>
        <v>0</v>
      </c>
      <c r="AZ565" s="70">
        <f t="shared" si="1714"/>
        <v>0</v>
      </c>
      <c r="BA565" s="70">
        <f t="shared" si="1714"/>
        <v>0</v>
      </c>
      <c r="BB565" s="70">
        <f t="shared" si="1714"/>
        <v>0.15548689781439523</v>
      </c>
      <c r="BC565" s="70">
        <f t="shared" si="1714"/>
        <v>0.51976198649731087</v>
      </c>
      <c r="BD565" s="70">
        <f t="shared" si="1714"/>
        <v>5.2340084677880767E-2</v>
      </c>
      <c r="BE565" s="70">
        <f t="shared" si="1714"/>
        <v>0.1332189037647328</v>
      </c>
      <c r="BF565" s="70">
        <f t="shared" si="1714"/>
        <v>6.1402906511042452E-2</v>
      </c>
      <c r="BG565" s="70">
        <f t="shared" si="1714"/>
        <v>5.7901361711866349E-2</v>
      </c>
      <c r="BH565" s="70">
        <f t="shared" si="1563"/>
        <v>1.7805240874241957E-2</v>
      </c>
      <c r="BI565" s="62"/>
      <c r="BJ565" s="69">
        <v>0</v>
      </c>
      <c r="BK565" s="69">
        <v>0</v>
      </c>
      <c r="BL565" s="69">
        <v>0</v>
      </c>
      <c r="BM565" s="69">
        <v>0</v>
      </c>
      <c r="BN565" s="69">
        <v>1.2E-2</v>
      </c>
      <c r="BO565" s="69">
        <v>0</v>
      </c>
      <c r="BP565" s="69">
        <v>0</v>
      </c>
      <c r="BQ565" s="69">
        <v>2.3E-2</v>
      </c>
      <c r="BR565" s="62"/>
      <c r="BS565" s="72">
        <f t="shared" ref="BS565:BW565" si="1715">AP565-BJ565</f>
        <v>0</v>
      </c>
      <c r="BT565" s="72">
        <f t="shared" si="1715"/>
        <v>2.0826181485295802E-3</v>
      </c>
      <c r="BU565" s="72">
        <f t="shared" si="1715"/>
        <v>0</v>
      </c>
      <c r="BV565" s="72">
        <f t="shared" si="1715"/>
        <v>0</v>
      </c>
      <c r="BW565" s="72">
        <f t="shared" si="1715"/>
        <v>-1.2E-2</v>
      </c>
      <c r="BX565" s="72"/>
      <c r="BY565" s="72"/>
      <c r="BZ565" s="72">
        <f t="shared" si="1565"/>
        <v>0.97491738185147037</v>
      </c>
    </row>
    <row r="566" spans="1:78" ht="13.15">
      <c r="A566" s="94" t="s">
        <v>10</v>
      </c>
      <c r="B566" s="74" t="s">
        <v>1176</v>
      </c>
      <c r="C566" s="75" t="s">
        <v>2058</v>
      </c>
      <c r="D566" s="75" t="s">
        <v>1178</v>
      </c>
      <c r="E566" s="76"/>
      <c r="F566" s="59"/>
      <c r="G566" s="60"/>
      <c r="H566" s="77">
        <v>14930</v>
      </c>
      <c r="I566" s="77">
        <v>9247</v>
      </c>
      <c r="J566" s="77">
        <v>3544</v>
      </c>
      <c r="K566" s="77">
        <v>1081</v>
      </c>
      <c r="L566" s="77">
        <v>886</v>
      </c>
      <c r="M566" s="77">
        <v>10776</v>
      </c>
      <c r="N566" s="77"/>
      <c r="O566" s="77"/>
      <c r="P566" s="77"/>
      <c r="Q566" s="77"/>
      <c r="R566" s="77"/>
      <c r="S566" s="77"/>
      <c r="T566" s="77"/>
      <c r="U566" s="77"/>
      <c r="V566" s="77"/>
      <c r="W566" s="77"/>
      <c r="X566" s="77"/>
      <c r="Y566" s="77">
        <v>472</v>
      </c>
      <c r="Z566" s="77"/>
      <c r="AA566" s="77"/>
      <c r="AB566" s="77"/>
      <c r="AC566" s="77"/>
      <c r="AD566" s="77"/>
      <c r="AE566" s="62"/>
      <c r="AF566" s="63" t="b">
        <v>0</v>
      </c>
      <c r="AG566" s="63" t="b">
        <v>0</v>
      </c>
      <c r="AH566" s="62"/>
      <c r="AI566" s="64">
        <f t="shared" si="1557"/>
        <v>40936</v>
      </c>
      <c r="AJ566" s="65" t="str">
        <f t="shared" si="1116"/>
        <v>LAB</v>
      </c>
      <c r="AK566" s="66" t="str">
        <f t="shared" si="1558"/>
        <v>GAIN</v>
      </c>
      <c r="AL566" s="67" t="e">
        <f t="shared" ca="1" si="1559"/>
        <v>#NAME?</v>
      </c>
      <c r="AM566" s="68">
        <f t="shared" si="1408"/>
        <v>4154</v>
      </c>
      <c r="AN566" s="69">
        <f t="shared" si="1409"/>
        <v>0.10147547391049444</v>
      </c>
      <c r="AO566" s="62"/>
      <c r="AP566" s="70">
        <f t="shared" ref="AP566:AU566" si="1716">H566/$AI566</f>
        <v>0.3647156537033418</v>
      </c>
      <c r="AQ566" s="70">
        <f t="shared" si="1716"/>
        <v>0.2258891928864569</v>
      </c>
      <c r="AR566" s="70">
        <f t="shared" si="1716"/>
        <v>8.6574164549540741E-2</v>
      </c>
      <c r="AS566" s="70">
        <f t="shared" si="1716"/>
        <v>2.6407074457690052E-2</v>
      </c>
      <c r="AT566" s="70">
        <f t="shared" si="1716"/>
        <v>2.1643541137385185E-2</v>
      </c>
      <c r="AU566" s="70">
        <f t="shared" si="1716"/>
        <v>0.26324017979284736</v>
      </c>
      <c r="AV566" s="70"/>
      <c r="AW566" s="81">
        <f t="shared" si="1561"/>
        <v>1.1530193472737871E-2</v>
      </c>
      <c r="AX566" s="70">
        <f t="shared" ref="AX566:BG566" si="1717">O566/$AI566</f>
        <v>0</v>
      </c>
      <c r="AY566" s="70">
        <f t="shared" si="1717"/>
        <v>0</v>
      </c>
      <c r="AZ566" s="70">
        <f t="shared" si="1717"/>
        <v>0</v>
      </c>
      <c r="BA566" s="70">
        <f t="shared" si="1717"/>
        <v>0</v>
      </c>
      <c r="BB566" s="70">
        <f t="shared" si="1717"/>
        <v>0</v>
      </c>
      <c r="BC566" s="70">
        <f t="shared" si="1717"/>
        <v>0</v>
      </c>
      <c r="BD566" s="70">
        <f t="shared" si="1717"/>
        <v>0</v>
      </c>
      <c r="BE566" s="70">
        <f t="shared" si="1717"/>
        <v>0</v>
      </c>
      <c r="BF566" s="70">
        <f t="shared" si="1717"/>
        <v>0</v>
      </c>
      <c r="BG566" s="70">
        <f t="shared" si="1717"/>
        <v>0</v>
      </c>
      <c r="BH566" s="70">
        <f t="shared" si="1563"/>
        <v>1.1530193472737871E-2</v>
      </c>
      <c r="BI566" s="62"/>
      <c r="BJ566" s="69">
        <v>0.13400000000000001</v>
      </c>
      <c r="BK566" s="69">
        <v>0.38500000000000001</v>
      </c>
      <c r="BL566" s="69">
        <v>0</v>
      </c>
      <c r="BM566" s="69">
        <v>4.5999999999999999E-2</v>
      </c>
      <c r="BN566" s="69">
        <v>0</v>
      </c>
      <c r="BO566" s="69">
        <v>0.435</v>
      </c>
      <c r="BP566" s="69">
        <v>0</v>
      </c>
      <c r="BQ566" s="69">
        <v>0</v>
      </c>
      <c r="BR566" s="62"/>
      <c r="BS566" s="72">
        <f t="shared" ref="BS566:BX566" si="1718">AP566-BJ566</f>
        <v>0.23071565370334179</v>
      </c>
      <c r="BT566" s="72">
        <f t="shared" si="1718"/>
        <v>-0.15911080711354311</v>
      </c>
      <c r="BU566" s="72">
        <f t="shared" si="1718"/>
        <v>8.6574164549540741E-2</v>
      </c>
      <c r="BV566" s="72">
        <f t="shared" si="1718"/>
        <v>-1.9592925542309948E-2</v>
      </c>
      <c r="BW566" s="72">
        <f t="shared" si="1718"/>
        <v>2.1643541137385185E-2</v>
      </c>
      <c r="BX566" s="72">
        <f t="shared" si="1718"/>
        <v>-0.17175982020715264</v>
      </c>
      <c r="BY566" s="72"/>
      <c r="BZ566" s="72">
        <f t="shared" si="1565"/>
        <v>1.1530193472737871E-2</v>
      </c>
    </row>
    <row r="567" spans="1:78" ht="13.15">
      <c r="A567" s="73" t="s">
        <v>6</v>
      </c>
      <c r="B567" s="74" t="s">
        <v>1179</v>
      </c>
      <c r="C567" s="75" t="s">
        <v>2057</v>
      </c>
      <c r="D567" s="75" t="s">
        <v>1178</v>
      </c>
      <c r="E567" s="76"/>
      <c r="F567" s="59"/>
      <c r="G567" s="60"/>
      <c r="H567" s="77">
        <v>6311</v>
      </c>
      <c r="I567" s="77">
        <v>18872</v>
      </c>
      <c r="J567" s="77">
        <v>3340</v>
      </c>
      <c r="K567" s="77">
        <v>3686</v>
      </c>
      <c r="L567" s="77">
        <v>1526</v>
      </c>
      <c r="M567" s="77">
        <v>12273</v>
      </c>
      <c r="N567" s="77"/>
      <c r="O567" s="77">
        <v>329</v>
      </c>
      <c r="P567" s="77"/>
      <c r="Q567" s="77"/>
      <c r="R567" s="77"/>
      <c r="S567" s="77"/>
      <c r="T567" s="77"/>
      <c r="U567" s="77"/>
      <c r="V567" s="77"/>
      <c r="W567" s="77"/>
      <c r="X567" s="77"/>
      <c r="Y567" s="77">
        <v>221</v>
      </c>
      <c r="Z567" s="77"/>
      <c r="AA567" s="77"/>
      <c r="AB567" s="77"/>
      <c r="AC567" s="77"/>
      <c r="AD567" s="77"/>
      <c r="AE567" s="62"/>
      <c r="AF567" s="63" t="b">
        <v>0</v>
      </c>
      <c r="AG567" s="63" t="b">
        <v>0</v>
      </c>
      <c r="AH567" s="62"/>
      <c r="AI567" s="64">
        <f t="shared" si="1557"/>
        <v>46558</v>
      </c>
      <c r="AJ567" s="65" t="str">
        <f t="shared" si="1116"/>
        <v>CON</v>
      </c>
      <c r="AK567" s="66" t="str">
        <f t="shared" si="1558"/>
        <v>HOLD</v>
      </c>
      <c r="AL567" s="67" t="e">
        <f t="shared" ca="1" si="1559"/>
        <v>#NAME?</v>
      </c>
      <c r="AM567" s="68">
        <f t="shared" si="1408"/>
        <v>6599</v>
      </c>
      <c r="AN567" s="69">
        <f t="shared" si="1409"/>
        <v>0.14173718802354052</v>
      </c>
      <c r="AO567" s="62"/>
      <c r="AP567" s="70">
        <f t="shared" ref="AP567:AU567" si="1719">H567/$AI567</f>
        <v>0.13555135529876713</v>
      </c>
      <c r="AQ567" s="70">
        <f t="shared" si="1719"/>
        <v>0.405343872159457</v>
      </c>
      <c r="AR567" s="70">
        <f t="shared" si="1719"/>
        <v>7.173847673869152E-2</v>
      </c>
      <c r="AS567" s="70">
        <f t="shared" si="1719"/>
        <v>7.9170067442759562E-2</v>
      </c>
      <c r="AT567" s="70">
        <f t="shared" si="1719"/>
        <v>3.2776322006959062E-2</v>
      </c>
      <c r="AU567" s="70">
        <f t="shared" si="1719"/>
        <v>0.26360668413591648</v>
      </c>
      <c r="AV567" s="70"/>
      <c r="AW567" s="81">
        <f t="shared" si="1561"/>
        <v>1.1813222217449293E-2</v>
      </c>
      <c r="AX567" s="70">
        <f t="shared" ref="AX567:BG567" si="1720">O567/$AI567</f>
        <v>7.066454744619614E-3</v>
      </c>
      <c r="AY567" s="70">
        <f t="shared" si="1720"/>
        <v>0</v>
      </c>
      <c r="AZ567" s="70">
        <f t="shared" si="1720"/>
        <v>0</v>
      </c>
      <c r="BA567" s="70">
        <f t="shared" si="1720"/>
        <v>0</v>
      </c>
      <c r="BB567" s="70">
        <f t="shared" si="1720"/>
        <v>0</v>
      </c>
      <c r="BC567" s="70">
        <f t="shared" si="1720"/>
        <v>0</v>
      </c>
      <c r="BD567" s="70">
        <f t="shared" si="1720"/>
        <v>0</v>
      </c>
      <c r="BE567" s="70">
        <f t="shared" si="1720"/>
        <v>0</v>
      </c>
      <c r="BF567" s="70">
        <f t="shared" si="1720"/>
        <v>0</v>
      </c>
      <c r="BG567" s="70">
        <f t="shared" si="1720"/>
        <v>0</v>
      </c>
      <c r="BH567" s="70">
        <f t="shared" si="1563"/>
        <v>4.7467674728296789E-3</v>
      </c>
      <c r="BI567" s="62"/>
      <c r="BJ567" s="69">
        <v>4.7E-2</v>
      </c>
      <c r="BK567" s="69">
        <v>0.48499999999999999</v>
      </c>
      <c r="BL567" s="69">
        <v>0</v>
      </c>
      <c r="BM567" s="69">
        <v>8.1000000000000003E-2</v>
      </c>
      <c r="BN567" s="69">
        <v>0</v>
      </c>
      <c r="BO567" s="69">
        <v>0.38800000000000001</v>
      </c>
      <c r="BP567" s="69">
        <v>0</v>
      </c>
      <c r="BQ567" s="69">
        <v>0</v>
      </c>
      <c r="BR567" s="62"/>
      <c r="BS567" s="72">
        <f t="shared" ref="BS567:BX567" si="1721">AP567-BJ567</f>
        <v>8.8551355298767134E-2</v>
      </c>
      <c r="BT567" s="72">
        <f t="shared" si="1721"/>
        <v>-7.965612784054299E-2</v>
      </c>
      <c r="BU567" s="72">
        <f t="shared" si="1721"/>
        <v>7.173847673869152E-2</v>
      </c>
      <c r="BV567" s="72">
        <f t="shared" si="1721"/>
        <v>-1.8299325572404407E-3</v>
      </c>
      <c r="BW567" s="72">
        <f t="shared" si="1721"/>
        <v>3.2776322006959062E-2</v>
      </c>
      <c r="BX567" s="72">
        <f t="shared" si="1721"/>
        <v>-0.12439331586408353</v>
      </c>
      <c r="BY567" s="72"/>
      <c r="BZ567" s="72">
        <f t="shared" si="1565"/>
        <v>1.1813222217449293E-2</v>
      </c>
    </row>
    <row r="568" spans="1:78" ht="13.15">
      <c r="A568" s="94" t="s">
        <v>10</v>
      </c>
      <c r="B568" s="74" t="s">
        <v>1181</v>
      </c>
      <c r="C568" s="75" t="s">
        <v>2061</v>
      </c>
      <c r="D568" s="75" t="s">
        <v>1178</v>
      </c>
      <c r="E568" s="76"/>
      <c r="F568" s="59"/>
      <c r="G568" s="60"/>
      <c r="H568" s="77">
        <v>18091</v>
      </c>
      <c r="I568" s="77">
        <v>6147</v>
      </c>
      <c r="J568" s="77">
        <v>3420</v>
      </c>
      <c r="K568" s="77">
        <v>983</v>
      </c>
      <c r="L568" s="77">
        <v>1039</v>
      </c>
      <c r="M568" s="77">
        <v>11222</v>
      </c>
      <c r="N568" s="77"/>
      <c r="O568" s="77"/>
      <c r="P568" s="77"/>
      <c r="Q568" s="77">
        <v>188</v>
      </c>
      <c r="R568" s="77"/>
      <c r="S568" s="77"/>
      <c r="T568" s="77"/>
      <c r="U568" s="77"/>
      <c r="V568" s="77"/>
      <c r="W568" s="77"/>
      <c r="X568" s="77"/>
      <c r="Y568" s="77">
        <v>329</v>
      </c>
      <c r="Z568" s="77"/>
      <c r="AA568" s="77"/>
      <c r="AB568" s="77"/>
      <c r="AC568" s="77"/>
      <c r="AD568" s="77"/>
      <c r="AE568" s="62"/>
      <c r="AF568" s="63" t="b">
        <v>0</v>
      </c>
      <c r="AG568" s="63" t="b">
        <v>0</v>
      </c>
      <c r="AH568" s="62"/>
      <c r="AI568" s="64">
        <f t="shared" si="1557"/>
        <v>41419</v>
      </c>
      <c r="AJ568" s="65" t="str">
        <f t="shared" si="1116"/>
        <v>LAB</v>
      </c>
      <c r="AK568" s="66" t="str">
        <f t="shared" si="1558"/>
        <v>GAIN</v>
      </c>
      <c r="AL568" s="67" t="e">
        <f t="shared" ca="1" si="1559"/>
        <v>#NAME?</v>
      </c>
      <c r="AM568" s="68">
        <f t="shared" si="1408"/>
        <v>6869</v>
      </c>
      <c r="AN568" s="69">
        <f t="shared" si="1409"/>
        <v>0.1658417634418986</v>
      </c>
      <c r="AO568" s="62"/>
      <c r="AP568" s="70">
        <f t="shared" ref="AP568:AU568" si="1722">H568/$AI568</f>
        <v>0.43678022163741276</v>
      </c>
      <c r="AQ568" s="70">
        <f t="shared" si="1722"/>
        <v>0.148410149931191</v>
      </c>
      <c r="AR568" s="70">
        <f t="shared" si="1722"/>
        <v>8.2570800840194108E-2</v>
      </c>
      <c r="AS568" s="70">
        <f t="shared" si="1722"/>
        <v>2.3733069364301407E-2</v>
      </c>
      <c r="AT568" s="70">
        <f t="shared" si="1722"/>
        <v>2.5085105869287042E-2</v>
      </c>
      <c r="AU568" s="70">
        <f t="shared" si="1722"/>
        <v>0.27093845819551415</v>
      </c>
      <c r="AV568" s="70"/>
      <c r="AW568" s="81">
        <f t="shared" si="1561"/>
        <v>1.2482194162099614E-2</v>
      </c>
      <c r="AX568" s="70">
        <f t="shared" ref="AX568:BG568" si="1723">O568/$AI568</f>
        <v>0</v>
      </c>
      <c r="AY568" s="70">
        <f t="shared" si="1723"/>
        <v>0</v>
      </c>
      <c r="AZ568" s="70">
        <f t="shared" si="1723"/>
        <v>4.5389796953089166E-3</v>
      </c>
      <c r="BA568" s="70">
        <f t="shared" si="1723"/>
        <v>0</v>
      </c>
      <c r="BB568" s="70">
        <f t="shared" si="1723"/>
        <v>0</v>
      </c>
      <c r="BC568" s="70">
        <f t="shared" si="1723"/>
        <v>0</v>
      </c>
      <c r="BD568" s="70">
        <f t="shared" si="1723"/>
        <v>0</v>
      </c>
      <c r="BE568" s="70">
        <f t="shared" si="1723"/>
        <v>0</v>
      </c>
      <c r="BF568" s="70">
        <f t="shared" si="1723"/>
        <v>0</v>
      </c>
      <c r="BG568" s="70">
        <f t="shared" si="1723"/>
        <v>0</v>
      </c>
      <c r="BH568" s="70">
        <f t="shared" si="1563"/>
        <v>7.9432144667906969E-3</v>
      </c>
      <c r="BI568" s="62"/>
      <c r="BJ568" s="69">
        <v>0.14199999999999999</v>
      </c>
      <c r="BK568" s="69">
        <v>0.34799999999999998</v>
      </c>
      <c r="BL568" s="69">
        <v>0</v>
      </c>
      <c r="BM568" s="69">
        <v>4.9000000000000002E-2</v>
      </c>
      <c r="BN568" s="69">
        <v>0</v>
      </c>
      <c r="BO568" s="69">
        <v>0.46200000000000002</v>
      </c>
      <c r="BP568" s="69">
        <v>0</v>
      </c>
      <c r="BQ568" s="69">
        <v>0</v>
      </c>
      <c r="BR568" s="62"/>
      <c r="BS568" s="72">
        <f t="shared" ref="BS568:BX568" si="1724">AP568-BJ568</f>
        <v>0.2947802216374128</v>
      </c>
      <c r="BT568" s="72">
        <f t="shared" si="1724"/>
        <v>-0.19958985006880897</v>
      </c>
      <c r="BU568" s="72">
        <f t="shared" si="1724"/>
        <v>8.2570800840194108E-2</v>
      </c>
      <c r="BV568" s="72">
        <f t="shared" si="1724"/>
        <v>-2.5266930635698594E-2</v>
      </c>
      <c r="BW568" s="72">
        <f t="shared" si="1724"/>
        <v>2.5085105869287042E-2</v>
      </c>
      <c r="BX568" s="72">
        <f t="shared" si="1724"/>
        <v>-0.19106154180448587</v>
      </c>
      <c r="BY568" s="72"/>
      <c r="BZ568" s="72">
        <f t="shared" si="1565"/>
        <v>1.2482194162099614E-2</v>
      </c>
    </row>
    <row r="569" spans="1:78" ht="13.15">
      <c r="A569" s="94" t="s">
        <v>10</v>
      </c>
      <c r="B569" s="74" t="s">
        <v>1183</v>
      </c>
      <c r="C569" s="75" t="s">
        <v>1184</v>
      </c>
      <c r="D569" s="75" t="s">
        <v>1178</v>
      </c>
      <c r="E569" s="76"/>
      <c r="F569" s="59"/>
      <c r="G569" s="60"/>
      <c r="H569" s="77">
        <v>21935</v>
      </c>
      <c r="I569" s="77">
        <v>8494</v>
      </c>
      <c r="J569" s="77">
        <v>2360</v>
      </c>
      <c r="K569" s="77">
        <v>1150</v>
      </c>
      <c r="L569" s="77">
        <v>1510</v>
      </c>
      <c r="M569" s="77">
        <v>13514</v>
      </c>
      <c r="N569" s="77"/>
      <c r="O569" s="77"/>
      <c r="P569" s="77"/>
      <c r="Q569" s="77"/>
      <c r="R569" s="77"/>
      <c r="S569" s="77"/>
      <c r="T569" s="77"/>
      <c r="U569" s="77"/>
      <c r="V569" s="77"/>
      <c r="W569" s="77"/>
      <c r="X569" s="77"/>
      <c r="Y569" s="77">
        <v>487</v>
      </c>
      <c r="Z569" s="77">
        <v>481</v>
      </c>
      <c r="AA569" s="77">
        <v>296</v>
      </c>
      <c r="AB569" s="77"/>
      <c r="AC569" s="77"/>
      <c r="AD569" s="77"/>
      <c r="AE569" s="62"/>
      <c r="AF569" s="63" t="b">
        <v>0</v>
      </c>
      <c r="AG569" s="63" t="b">
        <v>0</v>
      </c>
      <c r="AH569" s="62"/>
      <c r="AI569" s="64">
        <f t="shared" si="1557"/>
        <v>50227</v>
      </c>
      <c r="AJ569" s="65" t="str">
        <f t="shared" si="1116"/>
        <v>LAB</v>
      </c>
      <c r="AK569" s="66" t="str">
        <f t="shared" si="1558"/>
        <v>GAIN</v>
      </c>
      <c r="AL569" s="67" t="e">
        <f t="shared" ca="1" si="1559"/>
        <v>#NAME?</v>
      </c>
      <c r="AM569" s="68">
        <f t="shared" si="1408"/>
        <v>8421</v>
      </c>
      <c r="AN569" s="69">
        <f t="shared" si="1409"/>
        <v>0.16765882891671813</v>
      </c>
      <c r="AO569" s="62"/>
      <c r="AP569" s="70">
        <f t="shared" ref="AP569:AU569" si="1725">H569/$AI569</f>
        <v>0.43671730344237164</v>
      </c>
      <c r="AQ569" s="70">
        <f t="shared" si="1725"/>
        <v>0.16911223047364962</v>
      </c>
      <c r="AR569" s="70">
        <f t="shared" si="1725"/>
        <v>4.6986680470663192E-2</v>
      </c>
      <c r="AS569" s="70">
        <f t="shared" si="1725"/>
        <v>2.2896051924263843E-2</v>
      </c>
      <c r="AT569" s="70">
        <f t="shared" si="1725"/>
        <v>3.006351165707687E-2</v>
      </c>
      <c r="AU569" s="70">
        <f t="shared" si="1725"/>
        <v>0.26905847452565351</v>
      </c>
      <c r="AV569" s="70"/>
      <c r="AW569" s="81">
        <f t="shared" si="1561"/>
        <v>2.516574750632139E-2</v>
      </c>
      <c r="AX569" s="70">
        <f t="shared" ref="AX569:BG569" si="1726">O569/$AI569</f>
        <v>0</v>
      </c>
      <c r="AY569" s="70">
        <f t="shared" si="1726"/>
        <v>0</v>
      </c>
      <c r="AZ569" s="70">
        <f t="shared" si="1726"/>
        <v>0</v>
      </c>
      <c r="BA569" s="70">
        <f t="shared" si="1726"/>
        <v>0</v>
      </c>
      <c r="BB569" s="70">
        <f t="shared" si="1726"/>
        <v>0</v>
      </c>
      <c r="BC569" s="70">
        <f t="shared" si="1726"/>
        <v>0</v>
      </c>
      <c r="BD569" s="70">
        <f t="shared" si="1726"/>
        <v>0</v>
      </c>
      <c r="BE569" s="70">
        <f t="shared" si="1726"/>
        <v>0</v>
      </c>
      <c r="BF569" s="70">
        <f t="shared" si="1726"/>
        <v>0</v>
      </c>
      <c r="BG569" s="70">
        <f t="shared" si="1726"/>
        <v>0</v>
      </c>
      <c r="BH569" s="70">
        <f t="shared" si="1563"/>
        <v>2.516574750632139E-2</v>
      </c>
      <c r="BI569" s="62"/>
      <c r="BJ569" s="69">
        <v>0.124</v>
      </c>
      <c r="BK569" s="69">
        <v>0.35099999999999998</v>
      </c>
      <c r="BL569" s="69">
        <v>0</v>
      </c>
      <c r="BM569" s="69">
        <v>7.4999999999999997E-2</v>
      </c>
      <c r="BN569" s="69">
        <v>0</v>
      </c>
      <c r="BO569" s="69">
        <v>0.44900000000000001</v>
      </c>
      <c r="BP569" s="69">
        <v>0</v>
      </c>
      <c r="BQ569" s="69">
        <v>0</v>
      </c>
      <c r="BR569" s="62"/>
      <c r="BS569" s="72">
        <f t="shared" ref="BS569:BX569" si="1727">AP569-BJ569</f>
        <v>0.31271730344237164</v>
      </c>
      <c r="BT569" s="72">
        <f t="shared" si="1727"/>
        <v>-0.18188776952635036</v>
      </c>
      <c r="BU569" s="72">
        <f t="shared" si="1727"/>
        <v>4.6986680470663192E-2</v>
      </c>
      <c r="BV569" s="72">
        <f t="shared" si="1727"/>
        <v>-5.2103948075736151E-2</v>
      </c>
      <c r="BW569" s="72">
        <f t="shared" si="1727"/>
        <v>3.006351165707687E-2</v>
      </c>
      <c r="BX569" s="72">
        <f t="shared" si="1727"/>
        <v>-0.1799415254743465</v>
      </c>
      <c r="BY569" s="72"/>
      <c r="BZ569" s="72">
        <f t="shared" si="1565"/>
        <v>2.516574750632139E-2</v>
      </c>
    </row>
    <row r="570" spans="1:78" ht="13.15">
      <c r="A570" s="94" t="s">
        <v>10</v>
      </c>
      <c r="B570" s="74" t="s">
        <v>1185</v>
      </c>
      <c r="C570" s="75" t="s">
        <v>1186</v>
      </c>
      <c r="D570" s="75" t="s">
        <v>1178</v>
      </c>
      <c r="E570" s="76"/>
      <c r="F570" s="59"/>
      <c r="G570" s="60"/>
      <c r="H570" s="77">
        <v>6692</v>
      </c>
      <c r="I570" s="77">
        <v>647</v>
      </c>
      <c r="J570" s="77">
        <v>697</v>
      </c>
      <c r="K570" s="77">
        <v>382</v>
      </c>
      <c r="L570" s="77"/>
      <c r="M570" s="77">
        <v>2856</v>
      </c>
      <c r="N570" s="77"/>
      <c r="O570" s="77">
        <v>1370</v>
      </c>
      <c r="P570" s="77"/>
      <c r="Q570" s="77"/>
      <c r="R570" s="77"/>
      <c r="S570" s="77"/>
      <c r="T570" s="77"/>
      <c r="U570" s="77"/>
      <c r="V570" s="77"/>
      <c r="W570" s="77"/>
      <c r="X570" s="77"/>
      <c r="Y570" s="77">
        <v>496</v>
      </c>
      <c r="Z570" s="77">
        <v>388</v>
      </c>
      <c r="AA570" s="77"/>
      <c r="AB570" s="77"/>
      <c r="AC570" s="77"/>
      <c r="AD570" s="77"/>
      <c r="AE570" s="62"/>
      <c r="AF570" s="63" t="b">
        <v>0</v>
      </c>
      <c r="AG570" s="63" t="b">
        <v>0</v>
      </c>
      <c r="AH570" s="62"/>
      <c r="AI570" s="64">
        <f t="shared" si="1557"/>
        <v>13528</v>
      </c>
      <c r="AJ570" s="65" t="str">
        <f t="shared" si="1116"/>
        <v>LAB</v>
      </c>
      <c r="AK570" s="66" t="str">
        <f t="shared" si="1558"/>
        <v>GAIN</v>
      </c>
      <c r="AL570" s="67" t="e">
        <f t="shared" ca="1" si="1559"/>
        <v>#NAME?</v>
      </c>
      <c r="AM570" s="68">
        <f t="shared" si="1408"/>
        <v>3836</v>
      </c>
      <c r="AN570" s="69">
        <f t="shared" si="1409"/>
        <v>0.28356002365464217</v>
      </c>
      <c r="AO570" s="62"/>
      <c r="AP570" s="70">
        <f t="shared" ref="AP570:AU570" si="1728">H570/$AI570</f>
        <v>0.4946777054997043</v>
      </c>
      <c r="AQ570" s="70">
        <f t="shared" si="1728"/>
        <v>4.7826729745712594E-2</v>
      </c>
      <c r="AR570" s="70">
        <f t="shared" si="1728"/>
        <v>5.1522767593140152E-2</v>
      </c>
      <c r="AS570" s="70">
        <f t="shared" si="1728"/>
        <v>2.8237729154346542E-2</v>
      </c>
      <c r="AT570" s="70">
        <f t="shared" si="1728"/>
        <v>0</v>
      </c>
      <c r="AU570" s="70">
        <f t="shared" si="1728"/>
        <v>0.21111768184506211</v>
      </c>
      <c r="AV570" s="70"/>
      <c r="AW570" s="81">
        <f t="shared" si="1561"/>
        <v>0.16661738616203436</v>
      </c>
      <c r="AX570" s="70">
        <f t="shared" ref="AX570:BG570" si="1729">O570/$AI570</f>
        <v>0.10127143701951508</v>
      </c>
      <c r="AY570" s="70">
        <f t="shared" si="1729"/>
        <v>0</v>
      </c>
      <c r="AZ570" s="70">
        <f t="shared" si="1729"/>
        <v>0</v>
      </c>
      <c r="BA570" s="70">
        <f t="shared" si="1729"/>
        <v>0</v>
      </c>
      <c r="BB570" s="70">
        <f t="shared" si="1729"/>
        <v>0</v>
      </c>
      <c r="BC570" s="70">
        <f t="shared" si="1729"/>
        <v>0</v>
      </c>
      <c r="BD570" s="70">
        <f t="shared" si="1729"/>
        <v>0</v>
      </c>
      <c r="BE570" s="70">
        <f t="shared" si="1729"/>
        <v>0</v>
      </c>
      <c r="BF570" s="70">
        <f t="shared" si="1729"/>
        <v>0</v>
      </c>
      <c r="BG570" s="70">
        <f t="shared" si="1729"/>
        <v>0</v>
      </c>
      <c r="BH570" s="70">
        <f t="shared" si="1563"/>
        <v>6.5345949142519288E-2</v>
      </c>
      <c r="BI570" s="62"/>
      <c r="BJ570" s="69">
        <v>0.28299999999999997</v>
      </c>
      <c r="BK570" s="69">
        <v>0.222</v>
      </c>
      <c r="BL570" s="69">
        <v>0</v>
      </c>
      <c r="BM570" s="69">
        <v>4.3999999999999997E-2</v>
      </c>
      <c r="BN570" s="69">
        <v>0</v>
      </c>
      <c r="BO570" s="69">
        <v>0.45100000000000001</v>
      </c>
      <c r="BP570" s="69">
        <v>0</v>
      </c>
      <c r="BQ570" s="69">
        <v>0</v>
      </c>
      <c r="BR570" s="62"/>
      <c r="BS570" s="72">
        <f t="shared" ref="BS570:BX570" si="1730">AP570-BJ570</f>
        <v>0.21167770549970433</v>
      </c>
      <c r="BT570" s="72">
        <f t="shared" si="1730"/>
        <v>-0.17417327025428742</v>
      </c>
      <c r="BU570" s="72">
        <f t="shared" si="1730"/>
        <v>5.1522767593140152E-2</v>
      </c>
      <c r="BV570" s="72">
        <f t="shared" si="1730"/>
        <v>-1.5762270845653455E-2</v>
      </c>
      <c r="BW570" s="72">
        <f t="shared" si="1730"/>
        <v>0</v>
      </c>
      <c r="BX570" s="72">
        <f t="shared" si="1730"/>
        <v>-0.23988231815493791</v>
      </c>
      <c r="BY570" s="72"/>
      <c r="BZ570" s="72">
        <f t="shared" si="1565"/>
        <v>0.16661738616203436</v>
      </c>
    </row>
    <row r="571" spans="1:78" ht="13.15">
      <c r="A571" s="94" t="s">
        <v>10</v>
      </c>
      <c r="B571" s="74" t="s">
        <v>1187</v>
      </c>
      <c r="C571" s="75" t="s">
        <v>2060</v>
      </c>
      <c r="D571" s="75" t="s">
        <v>1178</v>
      </c>
      <c r="E571" s="76">
        <v>74528</v>
      </c>
      <c r="F571" s="59">
        <v>0.56899999999999995</v>
      </c>
      <c r="G571" s="60"/>
      <c r="H571" s="77">
        <v>19065</v>
      </c>
      <c r="I571" s="77">
        <v>3527</v>
      </c>
      <c r="J571" s="77">
        <v>3472</v>
      </c>
      <c r="K571" s="77">
        <v>850</v>
      </c>
      <c r="L571" s="77">
        <v>1237</v>
      </c>
      <c r="M571" s="77">
        <v>13936</v>
      </c>
      <c r="N571" s="77"/>
      <c r="O571" s="77">
        <v>401</v>
      </c>
      <c r="P571" s="77"/>
      <c r="Q571" s="77"/>
      <c r="R571" s="77"/>
      <c r="S571" s="77"/>
      <c r="T571" s="77"/>
      <c r="U571" s="77"/>
      <c r="V571" s="77"/>
      <c r="W571" s="77"/>
      <c r="X571" s="77"/>
      <c r="Y571" s="77"/>
      <c r="Z571" s="77"/>
      <c r="AA571" s="77"/>
      <c r="AB571" s="77"/>
      <c r="AC571" s="77"/>
      <c r="AD571" s="77"/>
      <c r="AE571" s="62"/>
      <c r="AF571" s="63" t="b">
        <v>1</v>
      </c>
      <c r="AG571" s="63" t="b">
        <v>0</v>
      </c>
      <c r="AH571" s="62"/>
      <c r="AI571" s="64">
        <f t="shared" si="1557"/>
        <v>42488</v>
      </c>
      <c r="AJ571" s="65" t="str">
        <f t="shared" si="1116"/>
        <v>LAB</v>
      </c>
      <c r="AK571" s="66" t="str">
        <f t="shared" si="1558"/>
        <v>GAIN</v>
      </c>
      <c r="AL571" s="67" t="e">
        <f t="shared" ca="1" si="1559"/>
        <v>#NAME?</v>
      </c>
      <c r="AM571" s="68">
        <f t="shared" si="1408"/>
        <v>5129</v>
      </c>
      <c r="AN571" s="69">
        <f t="shared" si="1409"/>
        <v>0.12071643758237621</v>
      </c>
      <c r="AO571" s="62"/>
      <c r="AP571" s="70">
        <f t="shared" ref="AP571:AU571" si="1731">H571/$AI571</f>
        <v>0.44871493127471285</v>
      </c>
      <c r="AQ571" s="70">
        <f t="shared" si="1731"/>
        <v>8.3011673884390888E-2</v>
      </c>
      <c r="AR571" s="70">
        <f t="shared" si="1731"/>
        <v>8.1717190736207868E-2</v>
      </c>
      <c r="AS571" s="70">
        <f t="shared" si="1731"/>
        <v>2.0005648653737527E-2</v>
      </c>
      <c r="AT571" s="70">
        <f t="shared" si="1731"/>
        <v>2.9114102805498022E-2</v>
      </c>
      <c r="AU571" s="70">
        <f t="shared" si="1731"/>
        <v>0.32799849369233663</v>
      </c>
      <c r="AV571" s="70"/>
      <c r="AW571" s="81">
        <f t="shared" si="1561"/>
        <v>9.4379589531161656E-3</v>
      </c>
      <c r="AX571" s="70">
        <f t="shared" ref="AX571:BG571" si="1732">O571/$AI571</f>
        <v>9.4379589531161743E-3</v>
      </c>
      <c r="AY571" s="70">
        <f t="shared" si="1732"/>
        <v>0</v>
      </c>
      <c r="AZ571" s="70">
        <f t="shared" si="1732"/>
        <v>0</v>
      </c>
      <c r="BA571" s="70">
        <f t="shared" si="1732"/>
        <v>0</v>
      </c>
      <c r="BB571" s="70">
        <f t="shared" si="1732"/>
        <v>0</v>
      </c>
      <c r="BC571" s="70">
        <f t="shared" si="1732"/>
        <v>0</v>
      </c>
      <c r="BD571" s="70">
        <f t="shared" si="1732"/>
        <v>0</v>
      </c>
      <c r="BE571" s="70">
        <f t="shared" si="1732"/>
        <v>0</v>
      </c>
      <c r="BF571" s="70">
        <f t="shared" si="1732"/>
        <v>0</v>
      </c>
      <c r="BG571" s="70">
        <f t="shared" si="1732"/>
        <v>0</v>
      </c>
      <c r="BH571" s="70">
        <f t="shared" si="1563"/>
        <v>0</v>
      </c>
      <c r="BI571" s="62"/>
      <c r="BJ571" s="69">
        <v>0.189</v>
      </c>
      <c r="BK571" s="69">
        <v>0.24299999999999999</v>
      </c>
      <c r="BL571" s="69">
        <v>0</v>
      </c>
      <c r="BM571" s="69">
        <v>5.0999999999999997E-2</v>
      </c>
      <c r="BN571" s="69">
        <v>0</v>
      </c>
      <c r="BO571" s="69">
        <v>0.50800000000000001</v>
      </c>
      <c r="BP571" s="69">
        <v>0</v>
      </c>
      <c r="BQ571" s="69">
        <v>8.9999999999999993E-3</v>
      </c>
      <c r="BR571" s="62"/>
      <c r="BS571" s="72">
        <f t="shared" ref="BS571:BX571" si="1733">AP571-BJ571</f>
        <v>0.25971493127471285</v>
      </c>
      <c r="BT571" s="72">
        <f t="shared" si="1733"/>
        <v>-0.15998832611560909</v>
      </c>
      <c r="BU571" s="72">
        <f t="shared" si="1733"/>
        <v>8.1717190736207868E-2</v>
      </c>
      <c r="BV571" s="72">
        <f t="shared" si="1733"/>
        <v>-3.099435134626247E-2</v>
      </c>
      <c r="BW571" s="72">
        <f t="shared" si="1733"/>
        <v>2.9114102805498022E-2</v>
      </c>
      <c r="BX571" s="72">
        <f t="shared" si="1733"/>
        <v>-0.18000150630766337</v>
      </c>
      <c r="BY571" s="72"/>
      <c r="BZ571" s="72">
        <f t="shared" si="1565"/>
        <v>4.3795895311617497E-4</v>
      </c>
    </row>
    <row r="572" spans="1:78" ht="13.15">
      <c r="A572" s="94" t="s">
        <v>10</v>
      </c>
      <c r="B572" s="74" t="s">
        <v>1189</v>
      </c>
      <c r="C572" s="75" t="s">
        <v>1190</v>
      </c>
      <c r="D572" s="75" t="s">
        <v>1178</v>
      </c>
      <c r="E572" s="76"/>
      <c r="F572" s="59"/>
      <c r="G572" s="60"/>
      <c r="H572" s="77">
        <v>21480</v>
      </c>
      <c r="I572" s="77">
        <v>3248</v>
      </c>
      <c r="J572" s="77">
        <v>3276</v>
      </c>
      <c r="K572" s="77">
        <v>2589</v>
      </c>
      <c r="L572" s="77"/>
      <c r="M572" s="77">
        <v>13313</v>
      </c>
      <c r="N572" s="77"/>
      <c r="O572" s="77"/>
      <c r="P572" s="77"/>
      <c r="Q572" s="77"/>
      <c r="R572" s="77"/>
      <c r="S572" s="77"/>
      <c r="T572" s="77"/>
      <c r="U572" s="77"/>
      <c r="V572" s="77"/>
      <c r="W572" s="77"/>
      <c r="X572" s="77"/>
      <c r="Y572" s="77">
        <v>259</v>
      </c>
      <c r="Z572" s="77"/>
      <c r="AA572" s="77"/>
      <c r="AB572" s="77"/>
      <c r="AC572" s="77"/>
      <c r="AD572" s="77"/>
      <c r="AE572" s="62"/>
      <c r="AF572" s="63" t="b">
        <v>0</v>
      </c>
      <c r="AG572" s="63" t="b">
        <v>0</v>
      </c>
      <c r="AH572" s="62"/>
      <c r="AI572" s="64">
        <f t="shared" si="1557"/>
        <v>44165</v>
      </c>
      <c r="AJ572" s="65" t="str">
        <f t="shared" si="1116"/>
        <v>LAB</v>
      </c>
      <c r="AK572" s="66" t="str">
        <f t="shared" si="1558"/>
        <v>GAIN</v>
      </c>
      <c r="AL572" s="67" t="e">
        <f t="shared" ca="1" si="1559"/>
        <v>#NAME?</v>
      </c>
      <c r="AM572" s="68">
        <f t="shared" si="1408"/>
        <v>8167</v>
      </c>
      <c r="AN572" s="69">
        <f t="shared" si="1409"/>
        <v>0.18492018566738366</v>
      </c>
      <c r="AO572" s="62"/>
      <c r="AP572" s="70">
        <f t="shared" ref="AP572:AU572" si="1734">H572/$AI572</f>
        <v>0.48635797577267065</v>
      </c>
      <c r="AQ572" s="70">
        <f t="shared" si="1734"/>
        <v>7.3542397826333067E-2</v>
      </c>
      <c r="AR572" s="70">
        <f t="shared" si="1734"/>
        <v>7.4176384014491115E-2</v>
      </c>
      <c r="AS572" s="70">
        <f t="shared" si="1734"/>
        <v>5.8621080040756252E-2</v>
      </c>
      <c r="AT572" s="70">
        <f t="shared" si="1734"/>
        <v>0</v>
      </c>
      <c r="AU572" s="70">
        <f t="shared" si="1734"/>
        <v>0.30143779010528698</v>
      </c>
      <c r="AV572" s="70"/>
      <c r="AW572" s="81">
        <f t="shared" si="1561"/>
        <v>5.8643722404618792E-3</v>
      </c>
      <c r="AX572" s="70">
        <f t="shared" ref="AX572:BG572" si="1735">O572/$AI572</f>
        <v>0</v>
      </c>
      <c r="AY572" s="70">
        <f t="shared" si="1735"/>
        <v>0</v>
      </c>
      <c r="AZ572" s="70">
        <f t="shared" si="1735"/>
        <v>0</v>
      </c>
      <c r="BA572" s="70">
        <f t="shared" si="1735"/>
        <v>0</v>
      </c>
      <c r="BB572" s="70">
        <f t="shared" si="1735"/>
        <v>0</v>
      </c>
      <c r="BC572" s="70">
        <f t="shared" si="1735"/>
        <v>0</v>
      </c>
      <c r="BD572" s="70">
        <f t="shared" si="1735"/>
        <v>0</v>
      </c>
      <c r="BE572" s="70">
        <f t="shared" si="1735"/>
        <v>0</v>
      </c>
      <c r="BF572" s="70">
        <f t="shared" si="1735"/>
        <v>0</v>
      </c>
      <c r="BG572" s="70">
        <f t="shared" si="1735"/>
        <v>0</v>
      </c>
      <c r="BH572" s="70">
        <f t="shared" si="1563"/>
        <v>5.8643722404618792E-3</v>
      </c>
      <c r="BI572" s="62"/>
      <c r="BJ572" s="69">
        <v>0.29699999999999999</v>
      </c>
      <c r="BK572" s="69">
        <v>0.217</v>
      </c>
      <c r="BL572" s="69">
        <v>0</v>
      </c>
      <c r="BM572" s="69">
        <v>7.0000000000000007E-2</v>
      </c>
      <c r="BN572" s="69">
        <v>0</v>
      </c>
      <c r="BO572" s="69">
        <v>0.41499999999999998</v>
      </c>
      <c r="BP572" s="69">
        <v>0</v>
      </c>
      <c r="BQ572" s="69">
        <v>0</v>
      </c>
      <c r="BR572" s="62"/>
      <c r="BS572" s="72">
        <f t="shared" ref="BS572:BX572" si="1736">AP572-BJ572</f>
        <v>0.18935797577267066</v>
      </c>
      <c r="BT572" s="72">
        <f t="shared" si="1736"/>
        <v>-0.14345760217366693</v>
      </c>
      <c r="BU572" s="72">
        <f t="shared" si="1736"/>
        <v>7.4176384014491115E-2</v>
      </c>
      <c r="BV572" s="72">
        <f t="shared" si="1736"/>
        <v>-1.1378919959243755E-2</v>
      </c>
      <c r="BW572" s="72">
        <f t="shared" si="1736"/>
        <v>0</v>
      </c>
      <c r="BX572" s="72">
        <f t="shared" si="1736"/>
        <v>-0.113562209894713</v>
      </c>
      <c r="BY572" s="72"/>
      <c r="BZ572" s="72">
        <f t="shared" si="1565"/>
        <v>5.8643722404618792E-3</v>
      </c>
    </row>
    <row r="573" spans="1:78" ht="13.15">
      <c r="A573" s="94" t="s">
        <v>10</v>
      </c>
      <c r="B573" s="74" t="s">
        <v>1191</v>
      </c>
      <c r="C573" s="75" t="s">
        <v>1192</v>
      </c>
      <c r="D573" s="75" t="s">
        <v>1178</v>
      </c>
      <c r="E573" s="76"/>
      <c r="F573" s="59"/>
      <c r="G573" s="60"/>
      <c r="H573" s="77">
        <v>16821</v>
      </c>
      <c r="I573" s="77">
        <v>5954</v>
      </c>
      <c r="J573" s="77">
        <v>3415</v>
      </c>
      <c r="K573" s="77">
        <v>1005</v>
      </c>
      <c r="L573" s="77">
        <v>1327</v>
      </c>
      <c r="M573" s="77">
        <v>13270</v>
      </c>
      <c r="N573" s="77"/>
      <c r="O573" s="77"/>
      <c r="P573" s="77"/>
      <c r="Q573" s="77">
        <v>238</v>
      </c>
      <c r="R573" s="77"/>
      <c r="S573" s="77"/>
      <c r="T573" s="77"/>
      <c r="U573" s="77"/>
      <c r="V573" s="77"/>
      <c r="W573" s="77"/>
      <c r="X573" s="77"/>
      <c r="Y573" s="77">
        <v>232</v>
      </c>
      <c r="Z573" s="77"/>
      <c r="AA573" s="77"/>
      <c r="AB573" s="77"/>
      <c r="AC573" s="77"/>
      <c r="AD573" s="77"/>
      <c r="AE573" s="62"/>
      <c r="AF573" s="63" t="b">
        <v>0</v>
      </c>
      <c r="AG573" s="63" t="b">
        <v>0</v>
      </c>
      <c r="AH573" s="62"/>
      <c r="AI573" s="64">
        <f t="shared" si="1557"/>
        <v>42262</v>
      </c>
      <c r="AJ573" s="65" t="str">
        <f t="shared" si="1116"/>
        <v>LAB</v>
      </c>
      <c r="AK573" s="66" t="str">
        <f t="shared" si="1558"/>
        <v>GAIN</v>
      </c>
      <c r="AL573" s="67" t="e">
        <f t="shared" ca="1" si="1559"/>
        <v>#NAME?</v>
      </c>
      <c r="AM573" s="68">
        <f t="shared" si="1408"/>
        <v>3551</v>
      </c>
      <c r="AN573" s="69">
        <f t="shared" si="1409"/>
        <v>8.4023472623160289E-2</v>
      </c>
      <c r="AO573" s="62"/>
      <c r="AP573" s="70">
        <f t="shared" ref="AP573:AU573" si="1737">H573/$AI573</f>
        <v>0.39801713122900007</v>
      </c>
      <c r="AQ573" s="70">
        <f t="shared" si="1737"/>
        <v>0.14088306279873172</v>
      </c>
      <c r="AR573" s="70">
        <f t="shared" si="1737"/>
        <v>8.0805451706024323E-2</v>
      </c>
      <c r="AS573" s="70">
        <f t="shared" si="1737"/>
        <v>2.3780228100894422E-2</v>
      </c>
      <c r="AT573" s="70">
        <f t="shared" si="1737"/>
        <v>3.1399365860583978E-2</v>
      </c>
      <c r="AU573" s="70">
        <f t="shared" si="1737"/>
        <v>0.31399365860583978</v>
      </c>
      <c r="AV573" s="70"/>
      <c r="AW573" s="81">
        <f t="shared" si="1561"/>
        <v>1.1121101698925662E-2</v>
      </c>
      <c r="AX573" s="70">
        <f t="shared" ref="AX573:BG573" si="1738">O573/$AI573</f>
        <v>0</v>
      </c>
      <c r="AY573" s="70">
        <f t="shared" si="1738"/>
        <v>0</v>
      </c>
      <c r="AZ573" s="70">
        <f t="shared" si="1738"/>
        <v>5.6315366049879325E-3</v>
      </c>
      <c r="BA573" s="70">
        <f t="shared" si="1738"/>
        <v>0</v>
      </c>
      <c r="BB573" s="70">
        <f t="shared" si="1738"/>
        <v>0</v>
      </c>
      <c r="BC573" s="70">
        <f t="shared" si="1738"/>
        <v>0</v>
      </c>
      <c r="BD573" s="70">
        <f t="shared" si="1738"/>
        <v>0</v>
      </c>
      <c r="BE573" s="70">
        <f t="shared" si="1738"/>
        <v>0</v>
      </c>
      <c r="BF573" s="70">
        <f t="shared" si="1738"/>
        <v>0</v>
      </c>
      <c r="BG573" s="70">
        <f t="shared" si="1738"/>
        <v>0</v>
      </c>
      <c r="BH573" s="70">
        <f t="shared" si="1563"/>
        <v>5.4895650939377292E-3</v>
      </c>
      <c r="BI573" s="62"/>
      <c r="BJ573" s="69">
        <v>0.13900000000000001</v>
      </c>
      <c r="BK573" s="69">
        <v>0.309</v>
      </c>
      <c r="BL573" s="69">
        <v>0</v>
      </c>
      <c r="BM573" s="69">
        <v>4.3999999999999997E-2</v>
      </c>
      <c r="BN573" s="69">
        <v>2.3E-2</v>
      </c>
      <c r="BO573" s="69">
        <v>0.48499999999999999</v>
      </c>
      <c r="BP573" s="69">
        <v>0</v>
      </c>
      <c r="BQ573" s="69">
        <v>0</v>
      </c>
      <c r="BR573" s="62"/>
      <c r="BS573" s="72">
        <f t="shared" ref="BS573:BX573" si="1739">AP573-BJ573</f>
        <v>0.25901713122900005</v>
      </c>
      <c r="BT573" s="72">
        <f t="shared" si="1739"/>
        <v>-0.16811693720126827</v>
      </c>
      <c r="BU573" s="72">
        <f t="shared" si="1739"/>
        <v>8.0805451706024323E-2</v>
      </c>
      <c r="BV573" s="72">
        <f t="shared" si="1739"/>
        <v>-2.0219771899105576E-2</v>
      </c>
      <c r="BW573" s="72">
        <f t="shared" si="1739"/>
        <v>8.399365860583978E-3</v>
      </c>
      <c r="BX573" s="72">
        <f t="shared" si="1739"/>
        <v>-0.17100634139416021</v>
      </c>
      <c r="BY573" s="72"/>
      <c r="BZ573" s="72">
        <f t="shared" si="1565"/>
        <v>1.1121101698925662E-2</v>
      </c>
    </row>
    <row r="574" spans="1:78" ht="13.15">
      <c r="A574" s="79" t="s">
        <v>8</v>
      </c>
      <c r="B574" s="74" t="s">
        <v>1193</v>
      </c>
      <c r="C574" s="75" t="s">
        <v>1194</v>
      </c>
      <c r="D574" s="75" t="s">
        <v>1178</v>
      </c>
      <c r="E574" s="76"/>
      <c r="F574" s="59"/>
      <c r="G574" s="60"/>
      <c r="H574" s="77">
        <v>1493</v>
      </c>
      <c r="I574" s="77">
        <v>586</v>
      </c>
      <c r="J574" s="77">
        <v>1586</v>
      </c>
      <c r="K574" s="77">
        <v>11392</v>
      </c>
      <c r="L574" s="77">
        <v>2046</v>
      </c>
      <c r="M574" s="77">
        <v>3585</v>
      </c>
      <c r="N574" s="77"/>
      <c r="O574" s="77"/>
      <c r="P574" s="77"/>
      <c r="Q574" s="77"/>
      <c r="R574" s="77"/>
      <c r="S574" s="77"/>
      <c r="T574" s="77"/>
      <c r="U574" s="77"/>
      <c r="V574" s="77"/>
      <c r="W574" s="77"/>
      <c r="X574" s="77"/>
      <c r="Y574" s="77"/>
      <c r="Z574" s="77"/>
      <c r="AA574" s="77"/>
      <c r="AB574" s="77"/>
      <c r="AC574" s="77"/>
      <c r="AD574" s="77"/>
      <c r="AE574" s="62"/>
      <c r="AF574" s="63" t="b">
        <v>0</v>
      </c>
      <c r="AG574" s="63" t="b">
        <v>0</v>
      </c>
      <c r="AH574" s="62"/>
      <c r="AI574" s="64">
        <f t="shared" si="1557"/>
        <v>20688</v>
      </c>
      <c r="AJ574" s="65" t="str">
        <f t="shared" si="1116"/>
        <v>LDM</v>
      </c>
      <c r="AK574" s="66" t="str">
        <f t="shared" si="1558"/>
        <v>HOLD</v>
      </c>
      <c r="AL574" s="67" t="e">
        <f t="shared" ca="1" si="1559"/>
        <v>#NAME?</v>
      </c>
      <c r="AM574" s="68">
        <f t="shared" si="1408"/>
        <v>7807</v>
      </c>
      <c r="AN574" s="69">
        <f t="shared" si="1409"/>
        <v>0.37736852281515859</v>
      </c>
      <c r="AO574" s="62"/>
      <c r="AP574" s="70">
        <f t="shared" ref="AP574:AU574" si="1740">H574/$AI574</f>
        <v>7.2167440061871618E-2</v>
      </c>
      <c r="AQ574" s="70">
        <f t="shared" si="1740"/>
        <v>2.8325599381283838E-2</v>
      </c>
      <c r="AR574" s="70">
        <f t="shared" si="1740"/>
        <v>7.6662799690641922E-2</v>
      </c>
      <c r="AS574" s="70">
        <f t="shared" si="1740"/>
        <v>0.55065738592420732</v>
      </c>
      <c r="AT574" s="70">
        <f t="shared" si="1740"/>
        <v>9.8897911832946633E-2</v>
      </c>
      <c r="AU574" s="70">
        <f t="shared" si="1740"/>
        <v>0.17328886310904873</v>
      </c>
      <c r="AV574" s="70"/>
      <c r="AW574" s="81">
        <f t="shared" si="1561"/>
        <v>0</v>
      </c>
      <c r="AX574" s="70">
        <f t="shared" ref="AX574:BG574" si="1741">O574/$AI574</f>
        <v>0</v>
      </c>
      <c r="AY574" s="70">
        <f t="shared" si="1741"/>
        <v>0</v>
      </c>
      <c r="AZ574" s="70">
        <f t="shared" si="1741"/>
        <v>0</v>
      </c>
      <c r="BA574" s="70">
        <f t="shared" si="1741"/>
        <v>0</v>
      </c>
      <c r="BB574" s="70">
        <f t="shared" si="1741"/>
        <v>0</v>
      </c>
      <c r="BC574" s="70">
        <f t="shared" si="1741"/>
        <v>0</v>
      </c>
      <c r="BD574" s="70">
        <f t="shared" si="1741"/>
        <v>0</v>
      </c>
      <c r="BE574" s="70">
        <f t="shared" si="1741"/>
        <v>0</v>
      </c>
      <c r="BF574" s="70">
        <f t="shared" si="1741"/>
        <v>0</v>
      </c>
      <c r="BG574" s="70">
        <f t="shared" si="1741"/>
        <v>0</v>
      </c>
      <c r="BH574" s="70">
        <f t="shared" si="1563"/>
        <v>0</v>
      </c>
      <c r="BI574" s="62"/>
      <c r="BJ574" s="69">
        <v>6.7000000000000004E-2</v>
      </c>
      <c r="BK574" s="69">
        <v>9.9000000000000005E-2</v>
      </c>
      <c r="BL574" s="69">
        <v>3.9E-2</v>
      </c>
      <c r="BM574" s="69">
        <v>0.44800000000000001</v>
      </c>
      <c r="BN574" s="69">
        <v>0</v>
      </c>
      <c r="BO574" s="69">
        <v>0.34</v>
      </c>
      <c r="BP574" s="69">
        <v>0</v>
      </c>
      <c r="BQ574" s="69">
        <v>7.0000000000000001E-3</v>
      </c>
      <c r="BR574" s="62"/>
      <c r="BS574" s="72">
        <f t="shared" ref="BS574:BX574" si="1742">AP574-BJ574</f>
        <v>5.1674400618716143E-3</v>
      </c>
      <c r="BT574" s="72">
        <f t="shared" si="1742"/>
        <v>-7.067440061871616E-2</v>
      </c>
      <c r="BU574" s="72">
        <f t="shared" si="1742"/>
        <v>3.7662799690641922E-2</v>
      </c>
      <c r="BV574" s="72">
        <f t="shared" si="1742"/>
        <v>0.10265738592420731</v>
      </c>
      <c r="BW574" s="72">
        <f t="shared" si="1742"/>
        <v>9.8897911832946633E-2</v>
      </c>
      <c r="BX574" s="72">
        <f t="shared" si="1742"/>
        <v>-0.16671113689095129</v>
      </c>
      <c r="BY574" s="72"/>
      <c r="BZ574" s="72">
        <f t="shared" si="1565"/>
        <v>-7.0000000000000001E-3</v>
      </c>
    </row>
    <row r="575" spans="1:78" ht="13.15">
      <c r="A575" s="73" t="s">
        <v>6</v>
      </c>
      <c r="B575" s="74" t="s">
        <v>1195</v>
      </c>
      <c r="C575" s="75" t="s">
        <v>2059</v>
      </c>
      <c r="D575" s="75" t="s">
        <v>1178</v>
      </c>
      <c r="E575" s="76"/>
      <c r="F575" s="59"/>
      <c r="G575" s="60"/>
      <c r="H575" s="77">
        <v>6397</v>
      </c>
      <c r="I575" s="77">
        <v>17428</v>
      </c>
      <c r="J575" s="77">
        <v>3497</v>
      </c>
      <c r="K575" s="77">
        <v>6342</v>
      </c>
      <c r="L575" s="77">
        <v>1032</v>
      </c>
      <c r="M575" s="77">
        <v>13987</v>
      </c>
      <c r="N575" s="77"/>
      <c r="O575" s="77">
        <v>219</v>
      </c>
      <c r="P575" s="77"/>
      <c r="Q575" s="77"/>
      <c r="R575" s="77"/>
      <c r="S575" s="77"/>
      <c r="T575" s="77"/>
      <c r="U575" s="77"/>
      <c r="V575" s="77"/>
      <c r="W575" s="77"/>
      <c r="X575" s="77"/>
      <c r="Y575" s="77">
        <v>56</v>
      </c>
      <c r="Z575" s="77"/>
      <c r="AA575" s="77"/>
      <c r="AB575" s="77"/>
      <c r="AC575" s="77"/>
      <c r="AD575" s="77"/>
      <c r="AE575" s="62"/>
      <c r="AF575" s="63" t="b">
        <v>0</v>
      </c>
      <c r="AG575" s="63" t="b">
        <v>0</v>
      </c>
      <c r="AH575" s="62"/>
      <c r="AI575" s="64">
        <f t="shared" si="1557"/>
        <v>48958</v>
      </c>
      <c r="AJ575" s="65" t="str">
        <f t="shared" si="1116"/>
        <v>CON</v>
      </c>
      <c r="AK575" s="66" t="str">
        <f t="shared" si="1558"/>
        <v>HOLD</v>
      </c>
      <c r="AL575" s="67" t="e">
        <f t="shared" ca="1" si="1559"/>
        <v>#NAME?</v>
      </c>
      <c r="AM575" s="68">
        <f t="shared" si="1408"/>
        <v>3441</v>
      </c>
      <c r="AN575" s="69">
        <f t="shared" si="1409"/>
        <v>7.0284733853507086E-2</v>
      </c>
      <c r="AO575" s="62"/>
      <c r="AP575" s="70">
        <f t="shared" ref="AP575:AU575" si="1743">H575/$AI575</f>
        <v>0.13066301728011764</v>
      </c>
      <c r="AQ575" s="70">
        <f t="shared" si="1743"/>
        <v>0.35597859389680953</v>
      </c>
      <c r="AR575" s="70">
        <f t="shared" si="1743"/>
        <v>7.1428571428571425E-2</v>
      </c>
      <c r="AS575" s="70">
        <f t="shared" si="1743"/>
        <v>0.12953960537603659</v>
      </c>
      <c r="AT575" s="70">
        <f t="shared" si="1743"/>
        <v>2.1079292454757138E-2</v>
      </c>
      <c r="AU575" s="70">
        <f t="shared" si="1743"/>
        <v>0.28569386004330244</v>
      </c>
      <c r="AV575" s="70"/>
      <c r="AW575" s="81">
        <f t="shared" si="1561"/>
        <v>5.6170595204052542E-3</v>
      </c>
      <c r="AX575" s="70">
        <f t="shared" ref="AX575:BG575" si="1744">O575/$AI575</f>
        <v>4.4732219453409048E-3</v>
      </c>
      <c r="AY575" s="70">
        <f t="shared" si="1744"/>
        <v>0</v>
      </c>
      <c r="AZ575" s="70">
        <f t="shared" si="1744"/>
        <v>0</v>
      </c>
      <c r="BA575" s="70">
        <f t="shared" si="1744"/>
        <v>0</v>
      </c>
      <c r="BB575" s="70">
        <f t="shared" si="1744"/>
        <v>0</v>
      </c>
      <c r="BC575" s="70">
        <f t="shared" si="1744"/>
        <v>0</v>
      </c>
      <c r="BD575" s="70">
        <f t="shared" si="1744"/>
        <v>0</v>
      </c>
      <c r="BE575" s="70">
        <f t="shared" si="1744"/>
        <v>0</v>
      </c>
      <c r="BF575" s="70">
        <f t="shared" si="1744"/>
        <v>0</v>
      </c>
      <c r="BG575" s="70">
        <f t="shared" si="1744"/>
        <v>0</v>
      </c>
      <c r="BH575" s="70">
        <f t="shared" si="1563"/>
        <v>1.1438375750643494E-3</v>
      </c>
      <c r="BI575" s="62"/>
      <c r="BJ575" s="69">
        <v>4.5999999999999999E-2</v>
      </c>
      <c r="BK575" s="69">
        <v>0.42699999999999999</v>
      </c>
      <c r="BL575" s="69">
        <v>0</v>
      </c>
      <c r="BM575" s="69">
        <v>0.11700000000000001</v>
      </c>
      <c r="BN575" s="69">
        <v>0</v>
      </c>
      <c r="BO575" s="69">
        <v>0.41099999999999998</v>
      </c>
      <c r="BP575" s="69">
        <v>0</v>
      </c>
      <c r="BQ575" s="69">
        <v>0</v>
      </c>
      <c r="BR575" s="62"/>
      <c r="BS575" s="72">
        <f t="shared" ref="BS575:BX575" si="1745">AP575-BJ575</f>
        <v>8.4663017280117644E-2</v>
      </c>
      <c r="BT575" s="72">
        <f t="shared" si="1745"/>
        <v>-7.1021406103190465E-2</v>
      </c>
      <c r="BU575" s="72">
        <f t="shared" si="1745"/>
        <v>7.1428571428571425E-2</v>
      </c>
      <c r="BV575" s="72">
        <f t="shared" si="1745"/>
        <v>1.2539605376036586E-2</v>
      </c>
      <c r="BW575" s="72">
        <f t="shared" si="1745"/>
        <v>2.1079292454757138E-2</v>
      </c>
      <c r="BX575" s="72">
        <f t="shared" si="1745"/>
        <v>-0.12530613995669754</v>
      </c>
      <c r="BY575" s="72"/>
      <c r="BZ575" s="72">
        <f t="shared" si="1565"/>
        <v>5.6170595204052542E-3</v>
      </c>
    </row>
    <row r="576" spans="1:78" ht="13.15">
      <c r="A576" s="94" t="s">
        <v>10</v>
      </c>
      <c r="B576" s="74" t="s">
        <v>1197</v>
      </c>
      <c r="C576" s="75" t="s">
        <v>1198</v>
      </c>
      <c r="D576" s="75" t="s">
        <v>1178</v>
      </c>
      <c r="E576" s="76"/>
      <c r="F576" s="59"/>
      <c r="G576" s="60"/>
      <c r="H576" s="77">
        <v>12773</v>
      </c>
      <c r="I576" s="77">
        <v>5881</v>
      </c>
      <c r="J576" s="77">
        <v>3781</v>
      </c>
      <c r="K576" s="77">
        <v>2583</v>
      </c>
      <c r="L576" s="77">
        <v>1275</v>
      </c>
      <c r="M576" s="77">
        <v>14533</v>
      </c>
      <c r="N576" s="77"/>
      <c r="O576" s="77"/>
      <c r="P576" s="77"/>
      <c r="Q576" s="77"/>
      <c r="R576" s="77"/>
      <c r="S576" s="77"/>
      <c r="T576" s="77"/>
      <c r="U576" s="77"/>
      <c r="V576" s="77"/>
      <c r="W576" s="77"/>
      <c r="X576" s="77"/>
      <c r="Y576" s="77">
        <v>703</v>
      </c>
      <c r="Z576" s="77">
        <v>352</v>
      </c>
      <c r="AA576" s="77">
        <v>214</v>
      </c>
      <c r="AB576" s="77"/>
      <c r="AC576" s="77"/>
      <c r="AD576" s="77"/>
      <c r="AE576" s="62"/>
      <c r="AF576" s="63" t="b">
        <v>0</v>
      </c>
      <c r="AG576" s="63" t="b">
        <v>0</v>
      </c>
      <c r="AH576" s="62"/>
      <c r="AI576" s="64">
        <f t="shared" si="1557"/>
        <v>42095</v>
      </c>
      <c r="AJ576" s="65" t="str">
        <f t="shared" si="1116"/>
        <v>SNP</v>
      </c>
      <c r="AK576" s="66" t="str">
        <f t="shared" si="1558"/>
        <v>HOLD</v>
      </c>
      <c r="AL576" s="67" t="e">
        <f t="shared" ca="1" si="1559"/>
        <v>#NAME?</v>
      </c>
      <c r="AM576" s="68">
        <f t="shared" si="1408"/>
        <v>1760</v>
      </c>
      <c r="AN576" s="69">
        <f t="shared" si="1409"/>
        <v>4.1810191234113336E-2</v>
      </c>
      <c r="AO576" s="62"/>
      <c r="AP576" s="70">
        <f t="shared" ref="AP576:AU576" si="1746">H576/$AI576</f>
        <v>0.30343271172348257</v>
      </c>
      <c r="AQ576" s="70">
        <f t="shared" si="1746"/>
        <v>0.13970780377717068</v>
      </c>
      <c r="AR576" s="70">
        <f t="shared" si="1746"/>
        <v>8.9820643781921838E-2</v>
      </c>
      <c r="AS576" s="70">
        <f t="shared" si="1746"/>
        <v>6.1361206794156076E-2</v>
      </c>
      <c r="AT576" s="70">
        <f t="shared" si="1746"/>
        <v>3.0288632854258226E-2</v>
      </c>
      <c r="AU576" s="70">
        <f t="shared" si="1746"/>
        <v>0.34524290295759591</v>
      </c>
      <c r="AV576" s="70"/>
      <c r="AW576" s="81">
        <f t="shared" si="1561"/>
        <v>3.0146098111414776E-2</v>
      </c>
      <c r="AX576" s="70">
        <f t="shared" ref="AX576:BG576" si="1747">O576/$AI576</f>
        <v>0</v>
      </c>
      <c r="AY576" s="70">
        <f t="shared" si="1747"/>
        <v>0</v>
      </c>
      <c r="AZ576" s="70">
        <f t="shared" si="1747"/>
        <v>0</v>
      </c>
      <c r="BA576" s="70">
        <f t="shared" si="1747"/>
        <v>0</v>
      </c>
      <c r="BB576" s="70">
        <f t="shared" si="1747"/>
        <v>0</v>
      </c>
      <c r="BC576" s="70">
        <f t="shared" si="1747"/>
        <v>0</v>
      </c>
      <c r="BD576" s="70">
        <f t="shared" si="1747"/>
        <v>0</v>
      </c>
      <c r="BE576" s="70">
        <f t="shared" si="1747"/>
        <v>0</v>
      </c>
      <c r="BF576" s="70">
        <f t="shared" si="1747"/>
        <v>0</v>
      </c>
      <c r="BG576" s="70">
        <f t="shared" si="1747"/>
        <v>0</v>
      </c>
      <c r="BH576" s="70">
        <f t="shared" si="1563"/>
        <v>3.0146098111414776E-2</v>
      </c>
      <c r="BI576" s="62"/>
      <c r="BJ576" s="69">
        <v>0.12</v>
      </c>
      <c r="BK576" s="69">
        <v>0.246</v>
      </c>
      <c r="BL576" s="69">
        <v>1.6E-2</v>
      </c>
      <c r="BM576" s="69">
        <v>7.6999999999999999E-2</v>
      </c>
      <c r="BN576" s="69">
        <v>1.2E-2</v>
      </c>
      <c r="BO576" s="69">
        <v>0.52900000000000003</v>
      </c>
      <c r="BP576" s="69">
        <v>0</v>
      </c>
      <c r="BQ576" s="69">
        <v>0</v>
      </c>
      <c r="BR576" s="62"/>
      <c r="BS576" s="72">
        <f t="shared" ref="BS576:BX576" si="1748">AP576-BJ576</f>
        <v>0.18343271172348258</v>
      </c>
      <c r="BT576" s="72">
        <f t="shared" si="1748"/>
        <v>-0.10629219622282932</v>
      </c>
      <c r="BU576" s="72">
        <f t="shared" si="1748"/>
        <v>7.3820643781921838E-2</v>
      </c>
      <c r="BV576" s="72">
        <f t="shared" si="1748"/>
        <v>-1.5638793205843923E-2</v>
      </c>
      <c r="BW576" s="72">
        <f t="shared" si="1748"/>
        <v>1.8288632854258226E-2</v>
      </c>
      <c r="BX576" s="72">
        <f t="shared" si="1748"/>
        <v>-0.18375709704240412</v>
      </c>
      <c r="BY576" s="72"/>
      <c r="BZ576" s="72">
        <f t="shared" si="1565"/>
        <v>3.0146098111414776E-2</v>
      </c>
    </row>
    <row r="577" spans="1:78" ht="13.15">
      <c r="A577" s="94" t="s">
        <v>10</v>
      </c>
      <c r="B577" s="74" t="s">
        <v>1199</v>
      </c>
      <c r="C577" s="75" t="s">
        <v>1200</v>
      </c>
      <c r="D577" s="75" t="s">
        <v>1178</v>
      </c>
      <c r="E577" s="76"/>
      <c r="F577" s="59"/>
      <c r="G577" s="60"/>
      <c r="H577" s="77">
        <v>11455</v>
      </c>
      <c r="I577" s="77">
        <v>11300</v>
      </c>
      <c r="J577" s="77">
        <v>3199</v>
      </c>
      <c r="K577" s="77">
        <v>2921</v>
      </c>
      <c r="L577" s="77">
        <v>1609</v>
      </c>
      <c r="M577" s="77">
        <v>15213</v>
      </c>
      <c r="N577" s="77"/>
      <c r="O577" s="77">
        <v>225</v>
      </c>
      <c r="P577" s="77"/>
      <c r="Q577" s="77"/>
      <c r="R577" s="77"/>
      <c r="S577" s="77"/>
      <c r="T577" s="77"/>
      <c r="U577" s="77"/>
      <c r="V577" s="77"/>
      <c r="W577" s="77"/>
      <c r="X577" s="77"/>
      <c r="Y577" s="77">
        <v>423</v>
      </c>
      <c r="Z577" s="77"/>
      <c r="AA577" s="77"/>
      <c r="AB577" s="77"/>
      <c r="AC577" s="77"/>
      <c r="AD577" s="77"/>
      <c r="AE577" s="62"/>
      <c r="AF577" s="63" t="b">
        <v>0</v>
      </c>
      <c r="AG577" s="63" t="b">
        <v>0</v>
      </c>
      <c r="AH577" s="62"/>
      <c r="AI577" s="64">
        <f t="shared" si="1557"/>
        <v>46345</v>
      </c>
      <c r="AJ577" s="65" t="str">
        <f t="shared" si="1116"/>
        <v>SNP</v>
      </c>
      <c r="AK577" s="66" t="str">
        <f t="shared" si="1558"/>
        <v>HOLD</v>
      </c>
      <c r="AL577" s="67" t="e">
        <f t="shared" ca="1" si="1559"/>
        <v>#NAME?</v>
      </c>
      <c r="AM577" s="68">
        <f t="shared" si="1408"/>
        <v>3758</v>
      </c>
      <c r="AN577" s="69">
        <f t="shared" si="1409"/>
        <v>8.10874959542561E-2</v>
      </c>
      <c r="AO577" s="62"/>
      <c r="AP577" s="70">
        <f t="shared" ref="AP577:AU577" si="1749">H577/$AI577</f>
        <v>0.24716797928579134</v>
      </c>
      <c r="AQ577" s="70">
        <f t="shared" si="1749"/>
        <v>0.24382349768044018</v>
      </c>
      <c r="AR577" s="70">
        <f t="shared" si="1749"/>
        <v>6.9025784874312227E-2</v>
      </c>
      <c r="AS577" s="70">
        <f t="shared" si="1749"/>
        <v>6.3027295285359802E-2</v>
      </c>
      <c r="AT577" s="70">
        <f t="shared" si="1749"/>
        <v>3.4717876793613121E-2</v>
      </c>
      <c r="AU577" s="70">
        <f t="shared" si="1749"/>
        <v>0.32825547524004745</v>
      </c>
      <c r="AV577" s="70"/>
      <c r="AW577" s="81">
        <f t="shared" si="1561"/>
        <v>1.3982090840435779E-2</v>
      </c>
      <c r="AX577" s="70">
        <f t="shared" ref="AX577:BG577" si="1750">O577/$AI577</f>
        <v>4.8548926529291183E-3</v>
      </c>
      <c r="AY577" s="70">
        <f t="shared" si="1750"/>
        <v>0</v>
      </c>
      <c r="AZ577" s="70">
        <f t="shared" si="1750"/>
        <v>0</v>
      </c>
      <c r="BA577" s="70">
        <f t="shared" si="1750"/>
        <v>0</v>
      </c>
      <c r="BB577" s="70">
        <f t="shared" si="1750"/>
        <v>0</v>
      </c>
      <c r="BC577" s="70">
        <f t="shared" si="1750"/>
        <v>0</v>
      </c>
      <c r="BD577" s="70">
        <f t="shared" si="1750"/>
        <v>0</v>
      </c>
      <c r="BE577" s="70">
        <f t="shared" si="1750"/>
        <v>0</v>
      </c>
      <c r="BF577" s="70">
        <f t="shared" si="1750"/>
        <v>0</v>
      </c>
      <c r="BG577" s="70">
        <f t="shared" si="1750"/>
        <v>0</v>
      </c>
      <c r="BH577" s="70">
        <f t="shared" si="1563"/>
        <v>9.1271981875066608E-3</v>
      </c>
      <c r="BI577" s="62"/>
      <c r="BJ577" s="69">
        <v>8.7999999999999995E-2</v>
      </c>
      <c r="BK577" s="69">
        <v>0.34399999999999997</v>
      </c>
      <c r="BL577" s="69">
        <v>4.0000000000000001E-3</v>
      </c>
      <c r="BM577" s="69">
        <v>0.107</v>
      </c>
      <c r="BN577" s="69">
        <v>5.0000000000000001E-3</v>
      </c>
      <c r="BO577" s="69">
        <v>0.45300000000000001</v>
      </c>
      <c r="BP577" s="69">
        <v>0</v>
      </c>
      <c r="BQ577" s="69">
        <v>0</v>
      </c>
      <c r="BR577" s="62"/>
      <c r="BS577" s="72">
        <f t="shared" ref="BS577:BX577" si="1751">AP577-BJ577</f>
        <v>0.15916797928579135</v>
      </c>
      <c r="BT577" s="72">
        <f t="shared" si="1751"/>
        <v>-0.1001765023195598</v>
      </c>
      <c r="BU577" s="72">
        <f t="shared" si="1751"/>
        <v>6.5025784874312223E-2</v>
      </c>
      <c r="BV577" s="72">
        <f t="shared" si="1751"/>
        <v>-4.3972704714640196E-2</v>
      </c>
      <c r="BW577" s="72">
        <f t="shared" si="1751"/>
        <v>2.971787679361312E-2</v>
      </c>
      <c r="BX577" s="72">
        <f t="shared" si="1751"/>
        <v>-0.12474452475995257</v>
      </c>
      <c r="BY577" s="72"/>
      <c r="BZ577" s="72">
        <f t="shared" si="1565"/>
        <v>1.3982090840435779E-2</v>
      </c>
    </row>
    <row r="578" spans="1:78" ht="13.15">
      <c r="A578" s="73" t="s">
        <v>6</v>
      </c>
      <c r="B578" s="74" t="s">
        <v>1201</v>
      </c>
      <c r="C578" s="75" t="s">
        <v>1202</v>
      </c>
      <c r="D578" s="75" t="s">
        <v>1178</v>
      </c>
      <c r="E578" s="76"/>
      <c r="F578" s="59"/>
      <c r="G578" s="60"/>
      <c r="H578" s="77">
        <v>3876</v>
      </c>
      <c r="I578" s="77">
        <v>12513</v>
      </c>
      <c r="J578" s="77">
        <v>5562</v>
      </c>
      <c r="K578" s="77">
        <v>2782</v>
      </c>
      <c r="L578" s="77"/>
      <c r="M578" s="77">
        <v>13455</v>
      </c>
      <c r="N578" s="77"/>
      <c r="O578" s="77"/>
      <c r="P578" s="77"/>
      <c r="Q578" s="77"/>
      <c r="R578" s="77"/>
      <c r="S578" s="77"/>
      <c r="T578" s="77"/>
      <c r="U578" s="77"/>
      <c r="V578" s="77"/>
      <c r="W578" s="77"/>
      <c r="X578" s="77"/>
      <c r="Y578" s="77"/>
      <c r="Z578" s="77"/>
      <c r="AA578" s="77"/>
      <c r="AB578" s="77"/>
      <c r="AC578" s="77"/>
      <c r="AD578" s="77"/>
      <c r="AE578" s="62"/>
      <c r="AF578" s="63" t="b">
        <v>0</v>
      </c>
      <c r="AG578" s="63" t="b">
        <v>0</v>
      </c>
      <c r="AH578" s="62"/>
      <c r="AI578" s="64">
        <f t="shared" si="1557"/>
        <v>38188</v>
      </c>
      <c r="AJ578" s="65" t="str">
        <f t="shared" si="1116"/>
        <v>SNP</v>
      </c>
      <c r="AK578" s="66" t="str">
        <f t="shared" si="1558"/>
        <v>GAIN</v>
      </c>
      <c r="AL578" s="67" t="e">
        <f t="shared" ca="1" si="1559"/>
        <v>#NAME?</v>
      </c>
      <c r="AM578" s="68">
        <f t="shared" si="1408"/>
        <v>942</v>
      </c>
      <c r="AN578" s="69">
        <f t="shared" si="1409"/>
        <v>2.4667434796271093E-2</v>
      </c>
      <c r="AO578" s="62"/>
      <c r="AP578" s="70">
        <f t="shared" ref="AP578:AU578" si="1752">H578/$AI578</f>
        <v>0.10149785272860584</v>
      </c>
      <c r="AQ578" s="70">
        <f t="shared" si="1752"/>
        <v>0.32766837750078559</v>
      </c>
      <c r="AR578" s="70">
        <f t="shared" si="1752"/>
        <v>0.14564784749135853</v>
      </c>
      <c r="AS578" s="70">
        <f t="shared" si="1752"/>
        <v>7.2850109982193365E-2</v>
      </c>
      <c r="AT578" s="70">
        <f t="shared" si="1752"/>
        <v>0</v>
      </c>
      <c r="AU578" s="70">
        <f t="shared" si="1752"/>
        <v>0.35233581229705668</v>
      </c>
      <c r="AV578" s="70"/>
      <c r="AW578" s="81">
        <f t="shared" si="1561"/>
        <v>0</v>
      </c>
      <c r="AX578" s="70">
        <f t="shared" ref="AX578:BG578" si="1753">O578/$AI578</f>
        <v>0</v>
      </c>
      <c r="AY578" s="70">
        <f t="shared" si="1753"/>
        <v>0</v>
      </c>
      <c r="AZ578" s="70">
        <f t="shared" si="1753"/>
        <v>0</v>
      </c>
      <c r="BA578" s="70">
        <f t="shared" si="1753"/>
        <v>0</v>
      </c>
      <c r="BB578" s="70">
        <f t="shared" si="1753"/>
        <v>0</v>
      </c>
      <c r="BC578" s="70">
        <f t="shared" si="1753"/>
        <v>0</v>
      </c>
      <c r="BD578" s="70">
        <f t="shared" si="1753"/>
        <v>0</v>
      </c>
      <c r="BE578" s="70">
        <f t="shared" si="1753"/>
        <v>0</v>
      </c>
      <c r="BF578" s="70">
        <f t="shared" si="1753"/>
        <v>0</v>
      </c>
      <c r="BG578" s="70">
        <f t="shared" si="1753"/>
        <v>0</v>
      </c>
      <c r="BH578" s="70">
        <f t="shared" si="1563"/>
        <v>0</v>
      </c>
      <c r="BI578" s="62"/>
      <c r="BJ578" s="69">
        <v>4.2000000000000003E-2</v>
      </c>
      <c r="BK578" s="69">
        <v>0.48299999999999998</v>
      </c>
      <c r="BL578" s="69">
        <v>0</v>
      </c>
      <c r="BM578" s="69">
        <v>4.3999999999999997E-2</v>
      </c>
      <c r="BN578" s="69">
        <v>0</v>
      </c>
      <c r="BO578" s="69">
        <v>0.43099999999999999</v>
      </c>
      <c r="BP578" s="69">
        <v>0</v>
      </c>
      <c r="BQ578" s="69">
        <v>0</v>
      </c>
      <c r="BR578" s="62"/>
      <c r="BS578" s="72">
        <f t="shared" ref="BS578:BX578" si="1754">AP578-BJ578</f>
        <v>5.9497852728605839E-2</v>
      </c>
      <c r="BT578" s="72">
        <f t="shared" si="1754"/>
        <v>-0.15533162249921439</v>
      </c>
      <c r="BU578" s="72">
        <f t="shared" si="1754"/>
        <v>0.14564784749135853</v>
      </c>
      <c r="BV578" s="72">
        <f t="shared" si="1754"/>
        <v>2.8850109982193367E-2</v>
      </c>
      <c r="BW578" s="72">
        <f t="shared" si="1754"/>
        <v>0</v>
      </c>
      <c r="BX578" s="72">
        <f t="shared" si="1754"/>
        <v>-7.8664187702943311E-2</v>
      </c>
      <c r="BY578" s="72"/>
      <c r="BZ578" s="72">
        <f t="shared" si="1565"/>
        <v>0</v>
      </c>
    </row>
    <row r="579" spans="1:78" ht="13.15">
      <c r="A579" s="94" t="s">
        <v>10</v>
      </c>
      <c r="B579" s="74" t="s">
        <v>1203</v>
      </c>
      <c r="C579" s="75" t="s">
        <v>1204</v>
      </c>
      <c r="D579" s="75" t="s">
        <v>1178</v>
      </c>
      <c r="E579" s="76"/>
      <c r="F579" s="59"/>
      <c r="G579" s="60"/>
      <c r="H579" s="77">
        <v>18871</v>
      </c>
      <c r="I579" s="77">
        <v>1696</v>
      </c>
      <c r="J579" s="77">
        <v>2971</v>
      </c>
      <c r="K579" s="77">
        <v>725</v>
      </c>
      <c r="L579" s="77"/>
      <c r="M579" s="77">
        <v>11324</v>
      </c>
      <c r="N579" s="77"/>
      <c r="O579" s="77"/>
      <c r="P579" s="77"/>
      <c r="Q579" s="77"/>
      <c r="R579" s="77"/>
      <c r="S579" s="77"/>
      <c r="T579" s="77"/>
      <c r="U579" s="77"/>
      <c r="V579" s="77"/>
      <c r="W579" s="77"/>
      <c r="X579" s="77"/>
      <c r="Y579" s="77">
        <v>623</v>
      </c>
      <c r="Z579" s="77">
        <v>456</v>
      </c>
      <c r="AA579" s="77"/>
      <c r="AB579" s="77"/>
      <c r="AC579" s="77"/>
      <c r="AD579" s="77"/>
      <c r="AE579" s="62"/>
      <c r="AF579" s="63" t="b">
        <v>0</v>
      </c>
      <c r="AG579" s="63" t="b">
        <v>0</v>
      </c>
      <c r="AH579" s="62"/>
      <c r="AI579" s="64">
        <f t="shared" si="1557"/>
        <v>36666</v>
      </c>
      <c r="AJ579" s="65" t="str">
        <f t="shared" si="1116"/>
        <v>LAB</v>
      </c>
      <c r="AK579" s="66" t="str">
        <f t="shared" si="1558"/>
        <v>GAIN</v>
      </c>
      <c r="AL579" s="67" t="e">
        <f t="shared" ca="1" si="1559"/>
        <v>#NAME?</v>
      </c>
      <c r="AM579" s="68">
        <f t="shared" si="1408"/>
        <v>7547</v>
      </c>
      <c r="AN579" s="69">
        <f t="shared" si="1409"/>
        <v>0.20583101510936563</v>
      </c>
      <c r="AO579" s="62"/>
      <c r="AP579" s="70">
        <f t="shared" ref="AP579:AU579" si="1755">H579/$AI579</f>
        <v>0.51467299405443734</v>
      </c>
      <c r="AQ579" s="70">
        <f t="shared" si="1755"/>
        <v>4.6255386461572026E-2</v>
      </c>
      <c r="AR579" s="70">
        <f t="shared" si="1755"/>
        <v>8.1028745977199584E-2</v>
      </c>
      <c r="AS579" s="70">
        <f t="shared" si="1755"/>
        <v>1.9773086783396062E-2</v>
      </c>
      <c r="AT579" s="70">
        <f t="shared" si="1755"/>
        <v>0</v>
      </c>
      <c r="AU579" s="70">
        <f t="shared" si="1755"/>
        <v>0.3088419789450717</v>
      </c>
      <c r="AV579" s="70"/>
      <c r="AW579" s="81">
        <f t="shared" si="1561"/>
        <v>2.9427807778323323E-2</v>
      </c>
      <c r="AX579" s="70">
        <f t="shared" ref="AX579:BG579" si="1756">O579/$AI579</f>
        <v>0</v>
      </c>
      <c r="AY579" s="70">
        <f t="shared" si="1756"/>
        <v>0</v>
      </c>
      <c r="AZ579" s="70">
        <f t="shared" si="1756"/>
        <v>0</v>
      </c>
      <c r="BA579" s="70">
        <f t="shared" si="1756"/>
        <v>0</v>
      </c>
      <c r="BB579" s="70">
        <f t="shared" si="1756"/>
        <v>0</v>
      </c>
      <c r="BC579" s="70">
        <f t="shared" si="1756"/>
        <v>0</v>
      </c>
      <c r="BD579" s="70">
        <f t="shared" si="1756"/>
        <v>0</v>
      </c>
      <c r="BE579" s="70">
        <f t="shared" si="1756"/>
        <v>0</v>
      </c>
      <c r="BF579" s="70">
        <f t="shared" si="1756"/>
        <v>0</v>
      </c>
      <c r="BG579" s="70">
        <f t="shared" si="1756"/>
        <v>0</v>
      </c>
      <c r="BH579" s="70">
        <f t="shared" si="1563"/>
        <v>2.9427807778323323E-2</v>
      </c>
      <c r="BI579" s="62"/>
      <c r="BJ579" s="69">
        <v>0.33100000000000002</v>
      </c>
      <c r="BK579" s="69">
        <v>0.17299999999999999</v>
      </c>
      <c r="BL579" s="69">
        <v>0</v>
      </c>
      <c r="BM579" s="69">
        <v>3.5999999999999997E-2</v>
      </c>
      <c r="BN579" s="69">
        <v>1.4999999999999999E-2</v>
      </c>
      <c r="BO579" s="69">
        <v>0.44600000000000001</v>
      </c>
      <c r="BP579" s="69">
        <v>0</v>
      </c>
      <c r="BQ579" s="69">
        <v>0</v>
      </c>
      <c r="BR579" s="62"/>
      <c r="BS579" s="72">
        <f t="shared" ref="BS579:BX579" si="1757">AP579-BJ579</f>
        <v>0.18367299405443732</v>
      </c>
      <c r="BT579" s="72">
        <f t="shared" si="1757"/>
        <v>-0.12674461353842797</v>
      </c>
      <c r="BU579" s="72">
        <f t="shared" si="1757"/>
        <v>8.1028745977199584E-2</v>
      </c>
      <c r="BV579" s="72">
        <f t="shared" si="1757"/>
        <v>-1.6226913216603935E-2</v>
      </c>
      <c r="BW579" s="72">
        <f t="shared" si="1757"/>
        <v>-1.4999999999999999E-2</v>
      </c>
      <c r="BX579" s="72">
        <f t="shared" si="1757"/>
        <v>-0.1371580210549283</v>
      </c>
      <c r="BY579" s="72"/>
      <c r="BZ579" s="72">
        <f t="shared" si="1565"/>
        <v>2.9427807778323323E-2</v>
      </c>
    </row>
    <row r="580" spans="1:78" ht="13.15">
      <c r="A580" s="94" t="s">
        <v>10</v>
      </c>
      <c r="B580" s="74" t="s">
        <v>1205</v>
      </c>
      <c r="C580" s="75" t="s">
        <v>1206</v>
      </c>
      <c r="D580" s="75" t="s">
        <v>1178</v>
      </c>
      <c r="E580" s="76"/>
      <c r="F580" s="59"/>
      <c r="G580" s="60"/>
      <c r="H580" s="77">
        <v>18039</v>
      </c>
      <c r="I580" s="77">
        <v>3127</v>
      </c>
      <c r="J580" s="77">
        <v>3804</v>
      </c>
      <c r="K580" s="77">
        <v>1151</v>
      </c>
      <c r="L580" s="77">
        <v>1421</v>
      </c>
      <c r="M580" s="77">
        <v>11917</v>
      </c>
      <c r="N580" s="77"/>
      <c r="O580" s="77">
        <v>881</v>
      </c>
      <c r="P580" s="77">
        <v>223</v>
      </c>
      <c r="Q580" s="77"/>
      <c r="R580" s="77"/>
      <c r="S580" s="77"/>
      <c r="T580" s="77"/>
      <c r="U580" s="77"/>
      <c r="V580" s="77"/>
      <c r="W580" s="77"/>
      <c r="X580" s="77"/>
      <c r="Y580" s="77">
        <v>638</v>
      </c>
      <c r="Z580" s="77"/>
      <c r="AA580" s="77"/>
      <c r="AB580" s="77"/>
      <c r="AC580" s="77"/>
      <c r="AD580" s="77"/>
      <c r="AE580" s="62"/>
      <c r="AF580" s="63" t="b">
        <v>0</v>
      </c>
      <c r="AG580" s="63" t="b">
        <v>0</v>
      </c>
      <c r="AH580" s="62"/>
      <c r="AI580" s="64">
        <f t="shared" si="1557"/>
        <v>41201</v>
      </c>
      <c r="AJ580" s="65" t="str">
        <f t="shared" si="1116"/>
        <v>LAB</v>
      </c>
      <c r="AK580" s="66" t="str">
        <f t="shared" si="1558"/>
        <v>GAIN</v>
      </c>
      <c r="AL580" s="67" t="e">
        <f t="shared" ca="1" si="1559"/>
        <v>#NAME?</v>
      </c>
      <c r="AM580" s="68">
        <f t="shared" si="1408"/>
        <v>6122</v>
      </c>
      <c r="AN580" s="69">
        <f t="shared" si="1409"/>
        <v>0.14858862648964827</v>
      </c>
      <c r="AO580" s="62"/>
      <c r="AP580" s="70">
        <f t="shared" ref="AP580:AU580" si="1758">H580/$AI580</f>
        <v>0.43782917890342465</v>
      </c>
      <c r="AQ580" s="70">
        <f t="shared" si="1758"/>
        <v>7.5896216111259435E-2</v>
      </c>
      <c r="AR580" s="70">
        <f t="shared" si="1758"/>
        <v>9.2327856119997082E-2</v>
      </c>
      <c r="AS580" s="70">
        <f t="shared" si="1758"/>
        <v>2.7936215140409212E-2</v>
      </c>
      <c r="AT580" s="70">
        <f t="shared" si="1758"/>
        <v>3.4489454139462632E-2</v>
      </c>
      <c r="AU580" s="70">
        <f t="shared" si="1758"/>
        <v>0.28924055241377639</v>
      </c>
      <c r="AV580" s="70"/>
      <c r="AW580" s="81">
        <f t="shared" si="1561"/>
        <v>4.2280527171670634E-2</v>
      </c>
      <c r="AX580" s="70">
        <f t="shared" ref="AX580:BG580" si="1759">O580/$AI580</f>
        <v>2.1382976141355793E-2</v>
      </c>
      <c r="AY580" s="70">
        <f t="shared" si="1759"/>
        <v>5.4124899881070844E-3</v>
      </c>
      <c r="AZ580" s="70">
        <f t="shared" si="1759"/>
        <v>0</v>
      </c>
      <c r="BA580" s="70">
        <f t="shared" si="1759"/>
        <v>0</v>
      </c>
      <c r="BB580" s="70">
        <f t="shared" si="1759"/>
        <v>0</v>
      </c>
      <c r="BC580" s="70">
        <f t="shared" si="1759"/>
        <v>0</v>
      </c>
      <c r="BD580" s="70">
        <f t="shared" si="1759"/>
        <v>0</v>
      </c>
      <c r="BE580" s="70">
        <f t="shared" si="1759"/>
        <v>0</v>
      </c>
      <c r="BF580" s="70">
        <f t="shared" si="1759"/>
        <v>0</v>
      </c>
      <c r="BG580" s="70">
        <f t="shared" si="1759"/>
        <v>0</v>
      </c>
      <c r="BH580" s="70">
        <f t="shared" si="1563"/>
        <v>1.5485061042207756E-2</v>
      </c>
      <c r="BI580" s="62"/>
      <c r="BJ580" s="69">
        <v>0.14499999999999999</v>
      </c>
      <c r="BK580" s="69">
        <v>0.248</v>
      </c>
      <c r="BL580" s="69">
        <v>4.0000000000000001E-3</v>
      </c>
      <c r="BM580" s="69">
        <v>5.2999999999999999E-2</v>
      </c>
      <c r="BN580" s="69">
        <v>1.4999999999999999E-2</v>
      </c>
      <c r="BO580" s="69">
        <v>0.52700000000000002</v>
      </c>
      <c r="BP580" s="69">
        <v>0</v>
      </c>
      <c r="BQ580" s="69">
        <v>8.0000000000000002E-3</v>
      </c>
      <c r="BR580" s="62"/>
      <c r="BS580" s="72">
        <f t="shared" ref="BS580:BX580" si="1760">AP580-BJ580</f>
        <v>0.29282917890342464</v>
      </c>
      <c r="BT580" s="72">
        <f t="shared" si="1760"/>
        <v>-0.17210378388874056</v>
      </c>
      <c r="BU580" s="72">
        <f t="shared" si="1760"/>
        <v>8.8327856119997078E-2</v>
      </c>
      <c r="BV580" s="72">
        <f t="shared" si="1760"/>
        <v>-2.5063784859590786E-2</v>
      </c>
      <c r="BW580" s="72">
        <f t="shared" si="1760"/>
        <v>1.9489454139462632E-2</v>
      </c>
      <c r="BX580" s="72">
        <f t="shared" si="1760"/>
        <v>-0.23775944758622364</v>
      </c>
      <c r="BY580" s="72"/>
      <c r="BZ580" s="72">
        <f t="shared" si="1565"/>
        <v>3.4280527171670634E-2</v>
      </c>
    </row>
    <row r="581" spans="1:78" ht="13.15">
      <c r="A581" s="94" t="s">
        <v>10</v>
      </c>
      <c r="B581" s="74" t="s">
        <v>1207</v>
      </c>
      <c r="C581" s="75" t="s">
        <v>1208</v>
      </c>
      <c r="D581" s="75" t="s">
        <v>1178</v>
      </c>
      <c r="E581" s="76"/>
      <c r="F581" s="59"/>
      <c r="G581" s="60"/>
      <c r="H581" s="77">
        <v>6799</v>
      </c>
      <c r="I581" s="77">
        <v>14272</v>
      </c>
      <c r="J581" s="77">
        <v>3246</v>
      </c>
      <c r="K581" s="77">
        <v>3156</v>
      </c>
      <c r="L581" s="77"/>
      <c r="M581" s="77">
        <v>19142</v>
      </c>
      <c r="N581" s="77"/>
      <c r="O581" s="77">
        <v>733</v>
      </c>
      <c r="P581" s="77"/>
      <c r="Q581" s="77"/>
      <c r="R581" s="77"/>
      <c r="S581" s="77"/>
      <c r="T581" s="77"/>
      <c r="U581" s="77"/>
      <c r="V581" s="77"/>
      <c r="W581" s="77"/>
      <c r="X581" s="77"/>
      <c r="Y581" s="77"/>
      <c r="Z581" s="77"/>
      <c r="AA581" s="77"/>
      <c r="AB581" s="77"/>
      <c r="AC581" s="77"/>
      <c r="AD581" s="77"/>
      <c r="AE581" s="62"/>
      <c r="AF581" s="63" t="b">
        <v>0</v>
      </c>
      <c r="AG581" s="63" t="b">
        <v>0</v>
      </c>
      <c r="AH581" s="62"/>
      <c r="AI581" s="64">
        <f t="shared" si="1557"/>
        <v>47348</v>
      </c>
      <c r="AJ581" s="65" t="str">
        <f t="shared" si="1116"/>
        <v>SNP</v>
      </c>
      <c r="AK581" s="66" t="str">
        <f t="shared" si="1558"/>
        <v>HOLD</v>
      </c>
      <c r="AL581" s="67" t="e">
        <f t="shared" ca="1" si="1559"/>
        <v>#NAME?</v>
      </c>
      <c r="AM581" s="68">
        <f t="shared" si="1408"/>
        <v>4870</v>
      </c>
      <c r="AN581" s="69">
        <f t="shared" si="1409"/>
        <v>0.10285545323984119</v>
      </c>
      <c r="AO581" s="62"/>
      <c r="AP581" s="70">
        <f t="shared" ref="AP581:AU581" si="1761">H581/$AI581</f>
        <v>0.14359635042662836</v>
      </c>
      <c r="AQ581" s="70">
        <f t="shared" si="1761"/>
        <v>0.30142772661992057</v>
      </c>
      <c r="AR581" s="70">
        <f t="shared" si="1761"/>
        <v>6.8556222015713444E-2</v>
      </c>
      <c r="AS581" s="70">
        <f t="shared" si="1761"/>
        <v>6.6655402551322129E-2</v>
      </c>
      <c r="AT581" s="70">
        <f t="shared" si="1761"/>
        <v>0</v>
      </c>
      <c r="AU581" s="70">
        <f t="shared" si="1761"/>
        <v>0.40428317985976175</v>
      </c>
      <c r="AV581" s="70"/>
      <c r="AW581" s="81">
        <f t="shared" si="1561"/>
        <v>1.5481118526653903E-2</v>
      </c>
      <c r="AX581" s="70">
        <f t="shared" ref="AX581:BG581" si="1762">O581/$AI581</f>
        <v>1.5481118526653712E-2</v>
      </c>
      <c r="AY581" s="70">
        <f t="shared" si="1762"/>
        <v>0</v>
      </c>
      <c r="AZ581" s="70">
        <f t="shared" si="1762"/>
        <v>0</v>
      </c>
      <c r="BA581" s="70">
        <f t="shared" si="1762"/>
        <v>0</v>
      </c>
      <c r="BB581" s="70">
        <f t="shared" si="1762"/>
        <v>0</v>
      </c>
      <c r="BC581" s="70">
        <f t="shared" si="1762"/>
        <v>0</v>
      </c>
      <c r="BD581" s="70">
        <f t="shared" si="1762"/>
        <v>0</v>
      </c>
      <c r="BE581" s="70">
        <f t="shared" si="1762"/>
        <v>0</v>
      </c>
      <c r="BF581" s="70">
        <f t="shared" si="1762"/>
        <v>0</v>
      </c>
      <c r="BG581" s="70">
        <f t="shared" si="1762"/>
        <v>0</v>
      </c>
      <c r="BH581" s="70">
        <f t="shared" si="1563"/>
        <v>1.9081958235744878E-16</v>
      </c>
      <c r="BI581" s="62"/>
      <c r="BJ581" s="69">
        <v>4.2999999999999997E-2</v>
      </c>
      <c r="BK581" s="69">
        <v>0.39800000000000002</v>
      </c>
      <c r="BL581" s="69">
        <v>6.0000000000000001E-3</v>
      </c>
      <c r="BM581" s="69">
        <v>0.05</v>
      </c>
      <c r="BN581" s="69">
        <v>0</v>
      </c>
      <c r="BO581" s="69">
        <v>0.504</v>
      </c>
      <c r="BP581" s="69">
        <v>0</v>
      </c>
      <c r="BQ581" s="69">
        <v>0</v>
      </c>
      <c r="BR581" s="62"/>
      <c r="BS581" s="72">
        <f t="shared" ref="BS581:BX581" si="1763">AP581-BJ581</f>
        <v>0.10059635042662836</v>
      </c>
      <c r="BT581" s="72">
        <f t="shared" si="1763"/>
        <v>-9.6572273380079454E-2</v>
      </c>
      <c r="BU581" s="72">
        <f t="shared" si="1763"/>
        <v>6.2556222015713439E-2</v>
      </c>
      <c r="BV581" s="72">
        <f t="shared" si="1763"/>
        <v>1.6655402551322127E-2</v>
      </c>
      <c r="BW581" s="72">
        <f t="shared" si="1763"/>
        <v>0</v>
      </c>
      <c r="BX581" s="72">
        <f t="shared" si="1763"/>
        <v>-9.9716820140238249E-2</v>
      </c>
      <c r="BY581" s="72"/>
      <c r="BZ581" s="72">
        <f t="shared" si="1565"/>
        <v>1.5481118526653903E-2</v>
      </c>
    </row>
    <row r="582" spans="1:78" ht="13.15">
      <c r="A582" s="94" t="s">
        <v>10</v>
      </c>
      <c r="B582" s="74" t="s">
        <v>1209</v>
      </c>
      <c r="C582" s="75" t="s">
        <v>1210</v>
      </c>
      <c r="D582" s="75" t="s">
        <v>1178</v>
      </c>
      <c r="E582" s="76"/>
      <c r="F582" s="59"/>
      <c r="G582" s="60"/>
      <c r="H582" s="77">
        <v>14722</v>
      </c>
      <c r="I582" s="77">
        <v>6841</v>
      </c>
      <c r="J582" s="77">
        <v>3800</v>
      </c>
      <c r="K582" s="77">
        <v>2249</v>
      </c>
      <c r="L582" s="77"/>
      <c r="M582" s="77">
        <v>15581</v>
      </c>
      <c r="N582" s="77"/>
      <c r="O582" s="77"/>
      <c r="P582" s="77"/>
      <c r="Q582" s="77"/>
      <c r="R582" s="77"/>
      <c r="S582" s="77"/>
      <c r="T582" s="77"/>
      <c r="U582" s="77"/>
      <c r="V582" s="77"/>
      <c r="W582" s="77"/>
      <c r="X582" s="77"/>
      <c r="Y582" s="77">
        <v>693</v>
      </c>
      <c r="Z582" s="77">
        <v>231</v>
      </c>
      <c r="AA582" s="77"/>
      <c r="AB582" s="77"/>
      <c r="AC582" s="77"/>
      <c r="AD582" s="77"/>
      <c r="AE582" s="62"/>
      <c r="AF582" s="63" t="b">
        <v>0</v>
      </c>
      <c r="AG582" s="63" t="b">
        <v>0</v>
      </c>
      <c r="AH582" s="62"/>
      <c r="AI582" s="64">
        <f t="shared" si="1557"/>
        <v>44117</v>
      </c>
      <c r="AJ582" s="65" t="str">
        <f t="shared" si="1116"/>
        <v>SNP</v>
      </c>
      <c r="AK582" s="66" t="str">
        <f t="shared" si="1558"/>
        <v>HOLD</v>
      </c>
      <c r="AL582" s="67" t="e">
        <f t="shared" ca="1" si="1559"/>
        <v>#NAME?</v>
      </c>
      <c r="AM582" s="68">
        <f t="shared" si="1408"/>
        <v>859</v>
      </c>
      <c r="AN582" s="69">
        <f t="shared" si="1409"/>
        <v>1.9470952240632833E-2</v>
      </c>
      <c r="AO582" s="62"/>
      <c r="AP582" s="70">
        <f t="shared" ref="AP582:AU582" si="1764">H582/$AI582</f>
        <v>0.33370356098556114</v>
      </c>
      <c r="AQ582" s="70">
        <f t="shared" si="1764"/>
        <v>0.15506494095246731</v>
      </c>
      <c r="AR582" s="70">
        <f t="shared" si="1764"/>
        <v>8.6134596640750724E-2</v>
      </c>
      <c r="AS582" s="70">
        <f t="shared" si="1764"/>
        <v>5.0978081011854838E-2</v>
      </c>
      <c r="AT582" s="70">
        <f t="shared" si="1764"/>
        <v>0</v>
      </c>
      <c r="AU582" s="70">
        <f t="shared" si="1764"/>
        <v>0.35317451322619398</v>
      </c>
      <c r="AV582" s="70"/>
      <c r="AW582" s="81">
        <f t="shared" si="1561"/>
        <v>2.0944307183171973E-2</v>
      </c>
      <c r="AX582" s="70">
        <f t="shared" ref="AX582:BG582" si="1765">O582/$AI582</f>
        <v>0</v>
      </c>
      <c r="AY582" s="70">
        <f t="shared" si="1765"/>
        <v>0</v>
      </c>
      <c r="AZ582" s="70">
        <f t="shared" si="1765"/>
        <v>0</v>
      </c>
      <c r="BA582" s="70">
        <f t="shared" si="1765"/>
        <v>0</v>
      </c>
      <c r="BB582" s="70">
        <f t="shared" si="1765"/>
        <v>0</v>
      </c>
      <c r="BC582" s="70">
        <f t="shared" si="1765"/>
        <v>0</v>
      </c>
      <c r="BD582" s="70">
        <f t="shared" si="1765"/>
        <v>0</v>
      </c>
      <c r="BE582" s="70">
        <f t="shared" si="1765"/>
        <v>0</v>
      </c>
      <c r="BF582" s="70">
        <f t="shared" si="1765"/>
        <v>0</v>
      </c>
      <c r="BG582" s="70">
        <f t="shared" si="1765"/>
        <v>0</v>
      </c>
      <c r="BH582" s="70">
        <f t="shared" si="1563"/>
        <v>2.0944307183171973E-2</v>
      </c>
      <c r="BI582" s="62"/>
      <c r="BJ582" s="69">
        <v>0.10199999999999999</v>
      </c>
      <c r="BK582" s="69">
        <v>0.30299999999999999</v>
      </c>
      <c r="BL582" s="69">
        <v>0</v>
      </c>
      <c r="BM582" s="69">
        <v>0.08</v>
      </c>
      <c r="BN582" s="69">
        <v>0</v>
      </c>
      <c r="BO582" s="69">
        <v>0.50900000000000001</v>
      </c>
      <c r="BP582" s="69">
        <v>0</v>
      </c>
      <c r="BQ582" s="69">
        <v>6.0000000000000001E-3</v>
      </c>
      <c r="BR582" s="62"/>
      <c r="BS582" s="72">
        <f t="shared" ref="BS582:BX582" si="1766">AP582-BJ582</f>
        <v>0.23170356098556116</v>
      </c>
      <c r="BT582" s="72">
        <f t="shared" si="1766"/>
        <v>-0.14793505904753268</v>
      </c>
      <c r="BU582" s="72">
        <f t="shared" si="1766"/>
        <v>8.6134596640750724E-2</v>
      </c>
      <c r="BV582" s="72">
        <f t="shared" si="1766"/>
        <v>-2.9021918988145164E-2</v>
      </c>
      <c r="BW582" s="72">
        <f t="shared" si="1766"/>
        <v>0</v>
      </c>
      <c r="BX582" s="72">
        <f t="shared" si="1766"/>
        <v>-0.15582548677380603</v>
      </c>
      <c r="BY582" s="72"/>
      <c r="BZ582" s="72">
        <f t="shared" si="1565"/>
        <v>1.4944307183171973E-2</v>
      </c>
    </row>
    <row r="583" spans="1:78" ht="13.15">
      <c r="A583" s="94" t="s">
        <v>10</v>
      </c>
      <c r="B583" s="74" t="s">
        <v>1211</v>
      </c>
      <c r="C583" s="75" t="s">
        <v>1212</v>
      </c>
      <c r="D583" s="75" t="s">
        <v>1178</v>
      </c>
      <c r="E583" s="76"/>
      <c r="F583" s="59"/>
      <c r="G583" s="60"/>
      <c r="H583" s="77">
        <v>8585</v>
      </c>
      <c r="I583" s="77">
        <v>9350</v>
      </c>
      <c r="J583" s="77">
        <v>3045</v>
      </c>
      <c r="K583" s="77">
        <v>7359</v>
      </c>
      <c r="L583" s="77"/>
      <c r="M583" s="77">
        <v>15582</v>
      </c>
      <c r="N583" s="77"/>
      <c r="O583" s="77">
        <v>941</v>
      </c>
      <c r="P583" s="77"/>
      <c r="Q583" s="77"/>
      <c r="R583" s="77"/>
      <c r="S583" s="77"/>
      <c r="T583" s="77"/>
      <c r="U583" s="77"/>
      <c r="V583" s="77"/>
      <c r="W583" s="77"/>
      <c r="X583" s="77"/>
      <c r="Y583" s="77"/>
      <c r="Z583" s="77"/>
      <c r="AA583" s="77"/>
      <c r="AB583" s="77"/>
      <c r="AC583" s="77"/>
      <c r="AD583" s="77"/>
      <c r="AE583" s="62"/>
      <c r="AF583" s="63" t="b">
        <v>0</v>
      </c>
      <c r="AG583" s="63" t="b">
        <v>0</v>
      </c>
      <c r="AH583" s="62"/>
      <c r="AI583" s="64">
        <f t="shared" si="1557"/>
        <v>44862</v>
      </c>
      <c r="AJ583" s="65" t="str">
        <f t="shared" si="1116"/>
        <v>SNP</v>
      </c>
      <c r="AK583" s="66" t="str">
        <f t="shared" si="1558"/>
        <v>HOLD</v>
      </c>
      <c r="AL583" s="67" t="e">
        <f t="shared" ca="1" si="1559"/>
        <v>#NAME?</v>
      </c>
      <c r="AM583" s="68">
        <f t="shared" si="1408"/>
        <v>6232</v>
      </c>
      <c r="AN583" s="69">
        <f t="shared" si="1409"/>
        <v>0.13891489456555658</v>
      </c>
      <c r="AO583" s="62"/>
      <c r="AP583" s="70">
        <f t="shared" ref="AP583:AU583" si="1767">H583/$AI583</f>
        <v>0.19136462930765458</v>
      </c>
      <c r="AQ583" s="70">
        <f t="shared" si="1767"/>
        <v>0.20841692300833667</v>
      </c>
      <c r="AR583" s="70">
        <f t="shared" si="1767"/>
        <v>6.7874816102714994E-2</v>
      </c>
      <c r="AS583" s="70">
        <f t="shared" si="1767"/>
        <v>0.16403637822656145</v>
      </c>
      <c r="AT583" s="70">
        <f t="shared" si="1767"/>
        <v>0</v>
      </c>
      <c r="AU583" s="70">
        <f t="shared" si="1767"/>
        <v>0.34733181757389325</v>
      </c>
      <c r="AV583" s="70"/>
      <c r="AW583" s="81">
        <f t="shared" si="1561"/>
        <v>2.0975435780839158E-2</v>
      </c>
      <c r="AX583" s="70">
        <f t="shared" ref="AX583:BG583" si="1768">O583/$AI583</f>
        <v>2.0975435780839019E-2</v>
      </c>
      <c r="AY583" s="70">
        <f t="shared" si="1768"/>
        <v>0</v>
      </c>
      <c r="AZ583" s="70">
        <f t="shared" si="1768"/>
        <v>0</v>
      </c>
      <c r="BA583" s="70">
        <f t="shared" si="1768"/>
        <v>0</v>
      </c>
      <c r="BB583" s="70">
        <f t="shared" si="1768"/>
        <v>0</v>
      </c>
      <c r="BC583" s="70">
        <f t="shared" si="1768"/>
        <v>0</v>
      </c>
      <c r="BD583" s="70">
        <f t="shared" si="1768"/>
        <v>0</v>
      </c>
      <c r="BE583" s="70">
        <f t="shared" si="1768"/>
        <v>0</v>
      </c>
      <c r="BF583" s="70">
        <f t="shared" si="1768"/>
        <v>0</v>
      </c>
      <c r="BG583" s="70">
        <f t="shared" si="1768"/>
        <v>0</v>
      </c>
      <c r="BH583" s="70">
        <f t="shared" si="1563"/>
        <v>1.3877787807814457E-16</v>
      </c>
      <c r="BI583" s="62"/>
      <c r="BJ583" s="69">
        <v>7.0999999999999994E-2</v>
      </c>
      <c r="BK583" s="69">
        <v>0.34499999999999997</v>
      </c>
      <c r="BL583" s="69">
        <v>1E-3</v>
      </c>
      <c r="BM583" s="69">
        <v>0.14099999999999999</v>
      </c>
      <c r="BN583" s="69">
        <v>0</v>
      </c>
      <c r="BO583" s="69">
        <v>0.442</v>
      </c>
      <c r="BP583" s="69">
        <v>0</v>
      </c>
      <c r="BQ583" s="69">
        <v>0</v>
      </c>
      <c r="BR583" s="62"/>
      <c r="BS583" s="72">
        <f t="shared" ref="BS583:BX583" si="1769">AP583-BJ583</f>
        <v>0.12036462930765458</v>
      </c>
      <c r="BT583" s="72">
        <f t="shared" si="1769"/>
        <v>-0.1365830769916633</v>
      </c>
      <c r="BU583" s="72">
        <f t="shared" si="1769"/>
        <v>6.6874816102714993E-2</v>
      </c>
      <c r="BV583" s="72">
        <f t="shared" si="1769"/>
        <v>2.303637822656146E-2</v>
      </c>
      <c r="BW583" s="72">
        <f t="shared" si="1769"/>
        <v>0</v>
      </c>
      <c r="BX583" s="72">
        <f t="shared" si="1769"/>
        <v>-9.4668182426106751E-2</v>
      </c>
      <c r="BY583" s="72"/>
      <c r="BZ583" s="72">
        <f t="shared" si="1565"/>
        <v>2.0975435780839158E-2</v>
      </c>
    </row>
    <row r="584" spans="1:78" ht="13.15">
      <c r="A584" s="94" t="s">
        <v>10</v>
      </c>
      <c r="B584" s="74" t="s">
        <v>1213</v>
      </c>
      <c r="C584" s="75" t="s">
        <v>1214</v>
      </c>
      <c r="D584" s="75" t="s">
        <v>1178</v>
      </c>
      <c r="E584" s="76"/>
      <c r="F584" s="59"/>
      <c r="G584" s="60"/>
      <c r="H584" s="77">
        <v>19774</v>
      </c>
      <c r="I584" s="77">
        <v>3144</v>
      </c>
      <c r="J584" s="77">
        <v>3524</v>
      </c>
      <c r="K584" s="77">
        <v>2171</v>
      </c>
      <c r="L584" s="77">
        <v>1390</v>
      </c>
      <c r="M584" s="77">
        <v>11451</v>
      </c>
      <c r="N584" s="77"/>
      <c r="O584" s="77">
        <v>229</v>
      </c>
      <c r="P584" s="77"/>
      <c r="Q584" s="77"/>
      <c r="R584" s="77"/>
      <c r="S584" s="77"/>
      <c r="T584" s="77"/>
      <c r="U584" s="77"/>
      <c r="V584" s="77"/>
      <c r="W584" s="77"/>
      <c r="X584" s="77"/>
      <c r="Y584" s="77">
        <v>382</v>
      </c>
      <c r="Z584" s="77"/>
      <c r="AA584" s="77"/>
      <c r="AB584" s="77"/>
      <c r="AC584" s="77"/>
      <c r="AD584" s="77"/>
      <c r="AE584" s="62"/>
      <c r="AF584" s="63" t="b">
        <v>0</v>
      </c>
      <c r="AG584" s="63" t="b">
        <v>0</v>
      </c>
      <c r="AH584" s="62"/>
      <c r="AI584" s="64">
        <f t="shared" si="1557"/>
        <v>42065</v>
      </c>
      <c r="AJ584" s="65" t="str">
        <f t="shared" si="1116"/>
        <v>LAB</v>
      </c>
      <c r="AK584" s="66" t="str">
        <f t="shared" si="1558"/>
        <v>GAIN</v>
      </c>
      <c r="AL584" s="67" t="e">
        <f t="shared" ca="1" si="1559"/>
        <v>#NAME?</v>
      </c>
      <c r="AM584" s="68">
        <f t="shared" si="1408"/>
        <v>8323</v>
      </c>
      <c r="AN584" s="69">
        <f t="shared" si="1409"/>
        <v>0.19786045405919411</v>
      </c>
      <c r="AO584" s="62"/>
      <c r="AP584" s="70">
        <f t="shared" ref="AP584:AU584" si="1770">H584/$AI584</f>
        <v>0.47008201592773091</v>
      </c>
      <c r="AQ584" s="70">
        <f t="shared" si="1770"/>
        <v>7.4741471532152617E-2</v>
      </c>
      <c r="AR584" s="70">
        <f t="shared" si="1770"/>
        <v>8.3775109948888621E-2</v>
      </c>
      <c r="AS584" s="70">
        <f t="shared" si="1770"/>
        <v>5.1610602638773324E-2</v>
      </c>
      <c r="AT584" s="70">
        <f t="shared" si="1770"/>
        <v>3.304409841911328E-2</v>
      </c>
      <c r="AU584" s="70">
        <f t="shared" si="1770"/>
        <v>0.2722215618685368</v>
      </c>
      <c r="AV584" s="70"/>
      <c r="AW584" s="81">
        <f t="shared" si="1561"/>
        <v>1.4525139664804509E-2</v>
      </c>
      <c r="AX584" s="70">
        <f t="shared" ref="AX584:BG584" si="1771">O584/$AI584</f>
        <v>5.443955782717223E-3</v>
      </c>
      <c r="AY584" s="70">
        <f t="shared" si="1771"/>
        <v>0</v>
      </c>
      <c r="AZ584" s="70">
        <f t="shared" si="1771"/>
        <v>0</v>
      </c>
      <c r="BA584" s="70">
        <f t="shared" si="1771"/>
        <v>0</v>
      </c>
      <c r="BB584" s="70">
        <f t="shared" si="1771"/>
        <v>0</v>
      </c>
      <c r="BC584" s="70">
        <f t="shared" si="1771"/>
        <v>0</v>
      </c>
      <c r="BD584" s="70">
        <f t="shared" si="1771"/>
        <v>0</v>
      </c>
      <c r="BE584" s="70">
        <f t="shared" si="1771"/>
        <v>0</v>
      </c>
      <c r="BF584" s="70">
        <f t="shared" si="1771"/>
        <v>0</v>
      </c>
      <c r="BG584" s="70">
        <f t="shared" si="1771"/>
        <v>0</v>
      </c>
      <c r="BH584" s="70">
        <f t="shared" si="1563"/>
        <v>9.0811838820872865E-3</v>
      </c>
      <c r="BI584" s="62"/>
      <c r="BJ584" s="69">
        <v>0.188</v>
      </c>
      <c r="BK584" s="69">
        <v>0.246</v>
      </c>
      <c r="BL584" s="69">
        <v>1.9E-2</v>
      </c>
      <c r="BM584" s="69">
        <v>8.2000000000000003E-2</v>
      </c>
      <c r="BN584" s="69">
        <v>2.1999999999999999E-2</v>
      </c>
      <c r="BO584" s="69">
        <v>0.43</v>
      </c>
      <c r="BP584" s="69">
        <v>0</v>
      </c>
      <c r="BQ584" s="69">
        <v>1.2999999999999999E-2</v>
      </c>
      <c r="BR584" s="62"/>
      <c r="BS584" s="72">
        <f t="shared" ref="BS584:BX584" si="1772">AP584-BJ584</f>
        <v>0.28208201592773091</v>
      </c>
      <c r="BT584" s="72">
        <f t="shared" si="1772"/>
        <v>-0.17125852846784739</v>
      </c>
      <c r="BU584" s="72">
        <f t="shared" si="1772"/>
        <v>6.4775109948888618E-2</v>
      </c>
      <c r="BV584" s="72">
        <f t="shared" si="1772"/>
        <v>-3.0389397361226679E-2</v>
      </c>
      <c r="BW584" s="72">
        <f t="shared" si="1772"/>
        <v>1.1044098419113281E-2</v>
      </c>
      <c r="BX584" s="72">
        <f t="shared" si="1772"/>
        <v>-0.15777843813146319</v>
      </c>
      <c r="BY584" s="72"/>
      <c r="BZ584" s="72">
        <f t="shared" si="1565"/>
        <v>1.5251396648045101E-3</v>
      </c>
    </row>
    <row r="585" spans="1:78" ht="13.15">
      <c r="A585" s="94" t="s">
        <v>10</v>
      </c>
      <c r="B585" s="74" t="s">
        <v>1215</v>
      </c>
      <c r="C585" s="75" t="s">
        <v>1216</v>
      </c>
      <c r="D585" s="75" t="s">
        <v>1178</v>
      </c>
      <c r="E585" s="76"/>
      <c r="F585" s="59"/>
      <c r="G585" s="60"/>
      <c r="H585" s="77">
        <v>3409</v>
      </c>
      <c r="I585" s="77">
        <v>1860</v>
      </c>
      <c r="J585" s="77">
        <v>3360</v>
      </c>
      <c r="K585" s="77">
        <v>22736</v>
      </c>
      <c r="L585" s="77">
        <v>1641</v>
      </c>
      <c r="M585" s="77">
        <v>12247</v>
      </c>
      <c r="N585" s="77"/>
      <c r="O585" s="77"/>
      <c r="P585" s="77"/>
      <c r="Q585" s="77"/>
      <c r="R585" s="77"/>
      <c r="S585" s="77"/>
      <c r="T585" s="77"/>
      <c r="U585" s="77"/>
      <c r="V585" s="77"/>
      <c r="W585" s="77"/>
      <c r="X585" s="77"/>
      <c r="Y585" s="77">
        <v>795</v>
      </c>
      <c r="Z585" s="77"/>
      <c r="AA585" s="77"/>
      <c r="AB585" s="77"/>
      <c r="AC585" s="77"/>
      <c r="AD585" s="77"/>
      <c r="AE585" s="62"/>
      <c r="AF585" s="63" t="b">
        <v>0</v>
      </c>
      <c r="AG585" s="63" t="b">
        <v>0</v>
      </c>
      <c r="AH585" s="62"/>
      <c r="AI585" s="64">
        <f t="shared" si="1557"/>
        <v>46048</v>
      </c>
      <c r="AJ585" s="65" t="str">
        <f t="shared" si="1116"/>
        <v>LDM</v>
      </c>
      <c r="AK585" s="66" t="str">
        <f t="shared" si="1558"/>
        <v>GAIN</v>
      </c>
      <c r="AL585" s="67" t="e">
        <f t="shared" ca="1" si="1559"/>
        <v>#NAME?</v>
      </c>
      <c r="AM585" s="68">
        <f t="shared" si="1408"/>
        <v>10489</v>
      </c>
      <c r="AN585" s="69">
        <f t="shared" si="1409"/>
        <v>0.2277840514246004</v>
      </c>
      <c r="AO585" s="62"/>
      <c r="AP585" s="70">
        <f t="shared" ref="AP585:AU585" si="1773">H585/$AI585</f>
        <v>7.4031445448227942E-2</v>
      </c>
      <c r="AQ585" s="70">
        <f t="shared" si="1773"/>
        <v>4.0392633773453784E-2</v>
      </c>
      <c r="AR585" s="70">
        <f t="shared" si="1773"/>
        <v>7.2967338429464901E-2</v>
      </c>
      <c r="AS585" s="70">
        <f t="shared" si="1773"/>
        <v>0.49374565670604587</v>
      </c>
      <c r="AT585" s="70">
        <f t="shared" si="1773"/>
        <v>3.5636726893676161E-2</v>
      </c>
      <c r="AU585" s="70">
        <f t="shared" si="1773"/>
        <v>0.26596160528144547</v>
      </c>
      <c r="AV585" s="70"/>
      <c r="AW585" s="81">
        <f t="shared" si="1561"/>
        <v>1.7264593467685829E-2</v>
      </c>
      <c r="AX585" s="70">
        <f t="shared" ref="AX585:BG585" si="1774">O585/$AI585</f>
        <v>0</v>
      </c>
      <c r="AY585" s="70">
        <f t="shared" si="1774"/>
        <v>0</v>
      </c>
      <c r="AZ585" s="70">
        <f t="shared" si="1774"/>
        <v>0</v>
      </c>
      <c r="BA585" s="70">
        <f t="shared" si="1774"/>
        <v>0</v>
      </c>
      <c r="BB585" s="70">
        <f t="shared" si="1774"/>
        <v>0</v>
      </c>
      <c r="BC585" s="70">
        <f t="shared" si="1774"/>
        <v>0</v>
      </c>
      <c r="BD585" s="70">
        <f t="shared" si="1774"/>
        <v>0</v>
      </c>
      <c r="BE585" s="70">
        <f t="shared" si="1774"/>
        <v>0</v>
      </c>
      <c r="BF585" s="70">
        <f t="shared" si="1774"/>
        <v>0</v>
      </c>
      <c r="BG585" s="70">
        <f t="shared" si="1774"/>
        <v>0</v>
      </c>
      <c r="BH585" s="70">
        <f t="shared" si="1563"/>
        <v>1.7264593467685829E-2</v>
      </c>
      <c r="BI585" s="62"/>
      <c r="BJ585" s="69">
        <v>5.2999999999999999E-2</v>
      </c>
      <c r="BK585" s="69">
        <v>0.17299999999999999</v>
      </c>
      <c r="BL585" s="69">
        <v>2.9000000000000001E-2</v>
      </c>
      <c r="BM585" s="69">
        <v>0.33600000000000002</v>
      </c>
      <c r="BN585" s="69">
        <v>6.0000000000000001E-3</v>
      </c>
      <c r="BO585" s="69">
        <v>0.38900000000000001</v>
      </c>
      <c r="BP585" s="69">
        <v>0</v>
      </c>
      <c r="BQ585" s="69">
        <v>1.4E-2</v>
      </c>
      <c r="BR585" s="62"/>
      <c r="BS585" s="72">
        <f t="shared" ref="BS585:BX585" si="1775">AP585-BJ585</f>
        <v>2.1031445448227944E-2</v>
      </c>
      <c r="BT585" s="72">
        <f t="shared" si="1775"/>
        <v>-0.1326073662265462</v>
      </c>
      <c r="BU585" s="72">
        <f t="shared" si="1775"/>
        <v>4.3967338429464903E-2</v>
      </c>
      <c r="BV585" s="72">
        <f t="shared" si="1775"/>
        <v>0.15774565670604584</v>
      </c>
      <c r="BW585" s="72">
        <f t="shared" si="1775"/>
        <v>2.9636726893676163E-2</v>
      </c>
      <c r="BX585" s="72">
        <f t="shared" si="1775"/>
        <v>-0.12303839471855454</v>
      </c>
      <c r="BY585" s="72"/>
      <c r="BZ585" s="72">
        <f t="shared" si="1565"/>
        <v>3.264593467685829E-3</v>
      </c>
    </row>
    <row r="586" spans="1:78" ht="13.15">
      <c r="A586" s="94" t="s">
        <v>10</v>
      </c>
      <c r="B586" s="74" t="s">
        <v>1217</v>
      </c>
      <c r="C586" s="75" t="s">
        <v>1218</v>
      </c>
      <c r="D586" s="75" t="s">
        <v>1178</v>
      </c>
      <c r="E586" s="76"/>
      <c r="F586" s="59"/>
      <c r="G586" s="60"/>
      <c r="H586" s="77">
        <v>19291</v>
      </c>
      <c r="I586" s="77">
        <v>1382</v>
      </c>
      <c r="J586" s="77">
        <v>2601</v>
      </c>
      <c r="K586" s="77">
        <v>671</v>
      </c>
      <c r="L586" s="77">
        <v>1229</v>
      </c>
      <c r="M586" s="77">
        <v>12947</v>
      </c>
      <c r="N586" s="77"/>
      <c r="O586" s="77"/>
      <c r="P586" s="77"/>
      <c r="Q586" s="77"/>
      <c r="R586" s="77"/>
      <c r="S586" s="77"/>
      <c r="T586" s="77"/>
      <c r="U586" s="77"/>
      <c r="V586" s="77"/>
      <c r="W586" s="77"/>
      <c r="X586" s="77"/>
      <c r="Y586" s="77">
        <v>429</v>
      </c>
      <c r="Z586" s="77">
        <v>181</v>
      </c>
      <c r="AA586" s="77"/>
      <c r="AB586" s="77"/>
      <c r="AC586" s="77"/>
      <c r="AD586" s="77"/>
      <c r="AE586" s="62"/>
      <c r="AF586" s="63" t="b">
        <v>0</v>
      </c>
      <c r="AG586" s="63" t="b">
        <v>0</v>
      </c>
      <c r="AH586" s="62"/>
      <c r="AI586" s="64">
        <f t="shared" si="1557"/>
        <v>38731</v>
      </c>
      <c r="AJ586" s="65" t="str">
        <f t="shared" si="1116"/>
        <v>LAB</v>
      </c>
      <c r="AK586" s="66" t="str">
        <f t="shared" si="1558"/>
        <v>GAIN</v>
      </c>
      <c r="AL586" s="67" t="e">
        <f t="shared" ca="1" si="1559"/>
        <v>#NAME?</v>
      </c>
      <c r="AM586" s="68">
        <f t="shared" si="1408"/>
        <v>6344</v>
      </c>
      <c r="AN586" s="69">
        <f t="shared" si="1409"/>
        <v>0.16379644212646199</v>
      </c>
      <c r="AO586" s="62"/>
      <c r="AP586" s="70">
        <f t="shared" ref="AP586:AU586" si="1776">H586/$AI586</f>
        <v>0.49807647620768891</v>
      </c>
      <c r="AQ586" s="70">
        <f t="shared" si="1776"/>
        <v>3.568201182515298E-2</v>
      </c>
      <c r="AR586" s="70">
        <f t="shared" si="1776"/>
        <v>6.7155508507397169E-2</v>
      </c>
      <c r="AS586" s="70">
        <f t="shared" si="1776"/>
        <v>1.7324623686452711E-2</v>
      </c>
      <c r="AT586" s="70">
        <f t="shared" si="1776"/>
        <v>3.1731687795306086E-2</v>
      </c>
      <c r="AU586" s="70">
        <f t="shared" si="1776"/>
        <v>0.33428003408122692</v>
      </c>
      <c r="AV586" s="70"/>
      <c r="AW586" s="81">
        <f t="shared" si="1561"/>
        <v>1.5749657896775293E-2</v>
      </c>
      <c r="AX586" s="70">
        <f t="shared" ref="AX586:BG586" si="1777">O586/$AI586</f>
        <v>0</v>
      </c>
      <c r="AY586" s="70">
        <f t="shared" si="1777"/>
        <v>0</v>
      </c>
      <c r="AZ586" s="70">
        <f t="shared" si="1777"/>
        <v>0</v>
      </c>
      <c r="BA586" s="70">
        <f t="shared" si="1777"/>
        <v>0</v>
      </c>
      <c r="BB586" s="70">
        <f t="shared" si="1777"/>
        <v>0</v>
      </c>
      <c r="BC586" s="70">
        <f t="shared" si="1777"/>
        <v>0</v>
      </c>
      <c r="BD586" s="70">
        <f t="shared" si="1777"/>
        <v>0</v>
      </c>
      <c r="BE586" s="70">
        <f t="shared" si="1777"/>
        <v>0</v>
      </c>
      <c r="BF586" s="70">
        <f t="shared" si="1777"/>
        <v>0</v>
      </c>
      <c r="BG586" s="70">
        <f t="shared" si="1777"/>
        <v>0</v>
      </c>
      <c r="BH586" s="70">
        <f t="shared" si="1563"/>
        <v>1.5749657896775293E-2</v>
      </c>
      <c r="BI586" s="62"/>
      <c r="BJ586" s="69">
        <v>0.36299999999999999</v>
      </c>
      <c r="BK586" s="69">
        <v>0.11899999999999999</v>
      </c>
      <c r="BL586" s="69">
        <v>0</v>
      </c>
      <c r="BM586" s="69">
        <v>0.03</v>
      </c>
      <c r="BN586" s="69">
        <v>1.4999999999999999E-2</v>
      </c>
      <c r="BO586" s="69">
        <v>0.47399999999999998</v>
      </c>
      <c r="BP586" s="69">
        <v>0</v>
      </c>
      <c r="BQ586" s="69">
        <v>0</v>
      </c>
      <c r="BR586" s="62"/>
      <c r="BS586" s="72">
        <f t="shared" ref="BS586:BX586" si="1778">AP586-BJ586</f>
        <v>0.13507647620768892</v>
      </c>
      <c r="BT586" s="72">
        <f t="shared" si="1778"/>
        <v>-8.3317988174847007E-2</v>
      </c>
      <c r="BU586" s="72">
        <f t="shared" si="1778"/>
        <v>6.7155508507397169E-2</v>
      </c>
      <c r="BV586" s="72">
        <f t="shared" si="1778"/>
        <v>-1.2675376313547287E-2</v>
      </c>
      <c r="BW586" s="72">
        <f t="shared" si="1778"/>
        <v>1.6731687795306087E-2</v>
      </c>
      <c r="BX586" s="72">
        <f t="shared" si="1778"/>
        <v>-0.13971996591877306</v>
      </c>
      <c r="BY586" s="72"/>
      <c r="BZ586" s="72">
        <f t="shared" si="1565"/>
        <v>1.5749657896775293E-2</v>
      </c>
    </row>
    <row r="587" spans="1:78" ht="13.15">
      <c r="A587" s="94" t="s">
        <v>10</v>
      </c>
      <c r="B587" s="74" t="s">
        <v>1219</v>
      </c>
      <c r="C587" s="75" t="s">
        <v>1220</v>
      </c>
      <c r="D587" s="75" t="s">
        <v>1178</v>
      </c>
      <c r="E587" s="76"/>
      <c r="F587" s="59"/>
      <c r="G587" s="60"/>
      <c r="H587" s="77">
        <v>18662</v>
      </c>
      <c r="I587" s="77">
        <v>3203</v>
      </c>
      <c r="J587" s="77">
        <v>3128</v>
      </c>
      <c r="K587" s="77">
        <v>1593</v>
      </c>
      <c r="L587" s="77">
        <v>1556</v>
      </c>
      <c r="M587" s="77">
        <v>11414</v>
      </c>
      <c r="N587" s="77"/>
      <c r="O587" s="77"/>
      <c r="P587" s="77"/>
      <c r="Q587" s="77"/>
      <c r="R587" s="77"/>
      <c r="S587" s="77"/>
      <c r="T587" s="77"/>
      <c r="U587" s="77"/>
      <c r="V587" s="77"/>
      <c r="W587" s="77"/>
      <c r="X587" s="77"/>
      <c r="Y587" s="77">
        <v>1132</v>
      </c>
      <c r="Z587" s="77">
        <v>126</v>
      </c>
      <c r="AA587" s="77"/>
      <c r="AB587" s="77"/>
      <c r="AC587" s="77"/>
      <c r="AD587" s="77"/>
      <c r="AE587" s="62"/>
      <c r="AF587" s="63" t="b">
        <v>0</v>
      </c>
      <c r="AG587" s="63" t="b">
        <v>0</v>
      </c>
      <c r="AH587" s="62"/>
      <c r="AI587" s="64">
        <f t="shared" si="1557"/>
        <v>40814</v>
      </c>
      <c r="AJ587" s="65" t="str">
        <f t="shared" si="1116"/>
        <v>LAB</v>
      </c>
      <c r="AK587" s="66" t="str">
        <f t="shared" si="1558"/>
        <v>GAIN</v>
      </c>
      <c r="AL587" s="67" t="e">
        <f t="shared" ca="1" si="1559"/>
        <v>#NAME?</v>
      </c>
      <c r="AM587" s="68">
        <f t="shared" si="1408"/>
        <v>7248</v>
      </c>
      <c r="AN587" s="69">
        <f t="shared" si="1409"/>
        <v>0.17758612240897731</v>
      </c>
      <c r="AO587" s="62"/>
      <c r="AP587" s="70">
        <f t="shared" ref="AP587:AU587" si="1779">H587/$AI587</f>
        <v>0.45724506296858919</v>
      </c>
      <c r="AQ587" s="70">
        <f t="shared" si="1779"/>
        <v>7.8477973244474933E-2</v>
      </c>
      <c r="AR587" s="70">
        <f t="shared" si="1779"/>
        <v>7.6640368501004558E-2</v>
      </c>
      <c r="AS587" s="70">
        <f t="shared" si="1779"/>
        <v>3.9030724751310822E-2</v>
      </c>
      <c r="AT587" s="70">
        <f t="shared" si="1779"/>
        <v>3.8124173077865441E-2</v>
      </c>
      <c r="AU587" s="70">
        <f t="shared" si="1779"/>
        <v>0.27965894055961188</v>
      </c>
      <c r="AV587" s="70"/>
      <c r="AW587" s="81">
        <f t="shared" si="1561"/>
        <v>3.0822756897143089E-2</v>
      </c>
      <c r="AX587" s="70">
        <f t="shared" ref="AX587:BG587" si="1780">O587/$AI587</f>
        <v>0</v>
      </c>
      <c r="AY587" s="70">
        <f t="shared" si="1780"/>
        <v>0</v>
      </c>
      <c r="AZ587" s="70">
        <f t="shared" si="1780"/>
        <v>0</v>
      </c>
      <c r="BA587" s="70">
        <f t="shared" si="1780"/>
        <v>0</v>
      </c>
      <c r="BB587" s="70">
        <f t="shared" si="1780"/>
        <v>0</v>
      </c>
      <c r="BC587" s="70">
        <f t="shared" si="1780"/>
        <v>0</v>
      </c>
      <c r="BD587" s="70">
        <f t="shared" si="1780"/>
        <v>0</v>
      </c>
      <c r="BE587" s="70">
        <f t="shared" si="1780"/>
        <v>0</v>
      </c>
      <c r="BF587" s="70">
        <f t="shared" si="1780"/>
        <v>0</v>
      </c>
      <c r="BG587" s="70">
        <f t="shared" si="1780"/>
        <v>0</v>
      </c>
      <c r="BH587" s="70">
        <f t="shared" si="1563"/>
        <v>3.0822756897143089E-2</v>
      </c>
      <c r="BI587" s="62"/>
      <c r="BJ587" s="69">
        <v>0.29499999999999998</v>
      </c>
      <c r="BK587" s="69">
        <v>0.222</v>
      </c>
      <c r="BL587" s="69">
        <v>0.02</v>
      </c>
      <c r="BM587" s="69">
        <v>6.5000000000000002E-2</v>
      </c>
      <c r="BN587" s="69">
        <v>3.5000000000000003E-2</v>
      </c>
      <c r="BO587" s="69">
        <v>0.36299999999999999</v>
      </c>
      <c r="BP587" s="69">
        <v>0</v>
      </c>
      <c r="BQ587" s="69">
        <v>0</v>
      </c>
      <c r="BR587" s="62"/>
      <c r="BS587" s="72">
        <f t="shared" ref="BS587:BX587" si="1781">AP587-BJ587</f>
        <v>0.1622450629685892</v>
      </c>
      <c r="BT587" s="72">
        <f t="shared" si="1781"/>
        <v>-0.14352202675552506</v>
      </c>
      <c r="BU587" s="72">
        <f t="shared" si="1781"/>
        <v>5.6640368501004554E-2</v>
      </c>
      <c r="BV587" s="72">
        <f t="shared" si="1781"/>
        <v>-2.596927524868918E-2</v>
      </c>
      <c r="BW587" s="72">
        <f t="shared" si="1781"/>
        <v>3.1241730778654372E-3</v>
      </c>
      <c r="BX587" s="72">
        <f t="shared" si="1781"/>
        <v>-8.334105944038811E-2</v>
      </c>
      <c r="BY587" s="72"/>
      <c r="BZ587" s="72">
        <f t="shared" si="1565"/>
        <v>3.0822756897143089E-2</v>
      </c>
    </row>
    <row r="588" spans="1:78" ht="13.15">
      <c r="A588" s="94" t="s">
        <v>10</v>
      </c>
      <c r="B588" s="74" t="s">
        <v>1221</v>
      </c>
      <c r="C588" s="75" t="s">
        <v>1222</v>
      </c>
      <c r="D588" s="75" t="s">
        <v>1178</v>
      </c>
      <c r="E588" s="76"/>
      <c r="F588" s="59"/>
      <c r="G588" s="60"/>
      <c r="H588" s="77">
        <v>18513</v>
      </c>
      <c r="I588" s="77">
        <v>1939</v>
      </c>
      <c r="J588" s="77">
        <v>3167</v>
      </c>
      <c r="K588" s="77">
        <v>1294</v>
      </c>
      <c r="L588" s="77">
        <v>1694</v>
      </c>
      <c r="M588" s="77">
        <v>14369</v>
      </c>
      <c r="N588" s="77"/>
      <c r="O588" s="77"/>
      <c r="P588" s="77"/>
      <c r="Q588" s="77"/>
      <c r="R588" s="77"/>
      <c r="S588" s="77"/>
      <c r="T588" s="77"/>
      <c r="U588" s="77"/>
      <c r="V588" s="77"/>
      <c r="W588" s="77"/>
      <c r="X588" s="77"/>
      <c r="Y588" s="77"/>
      <c r="Z588" s="77"/>
      <c r="AA588" s="77"/>
      <c r="AB588" s="77"/>
      <c r="AC588" s="77"/>
      <c r="AD588" s="77"/>
      <c r="AE588" s="62"/>
      <c r="AF588" s="63" t="b">
        <v>0</v>
      </c>
      <c r="AG588" s="63" t="b">
        <v>0</v>
      </c>
      <c r="AH588" s="62"/>
      <c r="AI588" s="64">
        <f t="shared" si="1557"/>
        <v>40976</v>
      </c>
      <c r="AJ588" s="65" t="str">
        <f t="shared" si="1116"/>
        <v>LAB</v>
      </c>
      <c r="AK588" s="66" t="str">
        <f t="shared" si="1558"/>
        <v>GAIN</v>
      </c>
      <c r="AL588" s="67" t="e">
        <f t="shared" ca="1" si="1559"/>
        <v>#NAME?</v>
      </c>
      <c r="AM588" s="68">
        <f t="shared" si="1408"/>
        <v>4144</v>
      </c>
      <c r="AN588" s="69">
        <f t="shared" si="1409"/>
        <v>0.10113237016790316</v>
      </c>
      <c r="AO588" s="62"/>
      <c r="AP588" s="70">
        <f t="shared" ref="AP588:AU588" si="1782">H588/$AI588</f>
        <v>0.45180105427567357</v>
      </c>
      <c r="AQ588" s="70">
        <f t="shared" si="1782"/>
        <v>4.7320382663022256E-2</v>
      </c>
      <c r="AR588" s="70">
        <f t="shared" si="1782"/>
        <v>7.7289144865286999E-2</v>
      </c>
      <c r="AS588" s="70">
        <f t="shared" si="1782"/>
        <v>3.1579461147989069E-2</v>
      </c>
      <c r="AT588" s="70">
        <f t="shared" si="1782"/>
        <v>4.134127294025771E-2</v>
      </c>
      <c r="AU588" s="70">
        <f t="shared" si="1782"/>
        <v>0.35066868410777041</v>
      </c>
      <c r="AV588" s="70"/>
      <c r="AW588" s="81">
        <f t="shared" si="1561"/>
        <v>0</v>
      </c>
      <c r="AX588" s="70">
        <f t="shared" ref="AX588:BG588" si="1783">O588/$AI588</f>
        <v>0</v>
      </c>
      <c r="AY588" s="70">
        <f t="shared" si="1783"/>
        <v>0</v>
      </c>
      <c r="AZ588" s="70">
        <f t="shared" si="1783"/>
        <v>0</v>
      </c>
      <c r="BA588" s="70">
        <f t="shared" si="1783"/>
        <v>0</v>
      </c>
      <c r="BB588" s="70">
        <f t="shared" si="1783"/>
        <v>0</v>
      </c>
      <c r="BC588" s="70">
        <f t="shared" si="1783"/>
        <v>0</v>
      </c>
      <c r="BD588" s="70">
        <f t="shared" si="1783"/>
        <v>0</v>
      </c>
      <c r="BE588" s="70">
        <f t="shared" si="1783"/>
        <v>0</v>
      </c>
      <c r="BF588" s="70">
        <f t="shared" si="1783"/>
        <v>0</v>
      </c>
      <c r="BG588" s="70">
        <f t="shared" si="1783"/>
        <v>0</v>
      </c>
      <c r="BH588" s="70">
        <f t="shared" si="1563"/>
        <v>0</v>
      </c>
      <c r="BI588" s="62"/>
      <c r="BJ588" s="69">
        <v>0.27100000000000002</v>
      </c>
      <c r="BK588" s="69">
        <v>0.15</v>
      </c>
      <c r="BL588" s="69">
        <v>0</v>
      </c>
      <c r="BM588" s="69">
        <v>5.6000000000000001E-2</v>
      </c>
      <c r="BN588" s="69">
        <v>2E-3</v>
      </c>
      <c r="BO588" s="69">
        <v>0.52</v>
      </c>
      <c r="BP588" s="69">
        <v>0</v>
      </c>
      <c r="BQ588" s="69">
        <v>0</v>
      </c>
      <c r="BR588" s="62"/>
      <c r="BS588" s="72">
        <f t="shared" ref="BS588:BX588" si="1784">AP588-BJ588</f>
        <v>0.18080105427567356</v>
      </c>
      <c r="BT588" s="72">
        <f t="shared" si="1784"/>
        <v>-0.10267961733697774</v>
      </c>
      <c r="BU588" s="72">
        <f t="shared" si="1784"/>
        <v>7.7289144865286999E-2</v>
      </c>
      <c r="BV588" s="72">
        <f t="shared" si="1784"/>
        <v>-2.4420538852010933E-2</v>
      </c>
      <c r="BW588" s="72">
        <f t="shared" si="1784"/>
        <v>3.9341272940257709E-2</v>
      </c>
      <c r="BX588" s="72">
        <f t="shared" si="1784"/>
        <v>-0.16933131589222961</v>
      </c>
      <c r="BY588" s="72"/>
      <c r="BZ588" s="72">
        <f t="shared" si="1565"/>
        <v>0</v>
      </c>
    </row>
    <row r="589" spans="1:78" ht="13.15">
      <c r="A589" s="73" t="s">
        <v>6</v>
      </c>
      <c r="B589" s="74" t="s">
        <v>1223</v>
      </c>
      <c r="C589" s="75" t="s">
        <v>1224</v>
      </c>
      <c r="D589" s="75" t="s">
        <v>1178</v>
      </c>
      <c r="E589" s="76"/>
      <c r="F589" s="59"/>
      <c r="G589" s="60"/>
      <c r="H589" s="77">
        <v>11767</v>
      </c>
      <c r="I589" s="77">
        <v>13527</v>
      </c>
      <c r="J589" s="77">
        <v>4313</v>
      </c>
      <c r="K589" s="77">
        <v>2092</v>
      </c>
      <c r="L589" s="77">
        <v>1249</v>
      </c>
      <c r="M589" s="77">
        <v>12597</v>
      </c>
      <c r="N589" s="77"/>
      <c r="O589" s="77"/>
      <c r="P589" s="77"/>
      <c r="Q589" s="77"/>
      <c r="R589" s="77"/>
      <c r="S589" s="77"/>
      <c r="T589" s="77"/>
      <c r="U589" s="77"/>
      <c r="V589" s="77"/>
      <c r="W589" s="77"/>
      <c r="X589" s="77"/>
      <c r="Y589" s="77">
        <v>230</v>
      </c>
      <c r="Z589" s="77"/>
      <c r="AA589" s="77"/>
      <c r="AB589" s="77"/>
      <c r="AC589" s="77"/>
      <c r="AD589" s="77"/>
      <c r="AE589" s="62"/>
      <c r="AF589" s="63" t="b">
        <v>0</v>
      </c>
      <c r="AG589" s="63" t="b">
        <v>0</v>
      </c>
      <c r="AH589" s="62"/>
      <c r="AI589" s="64">
        <f t="shared" si="1557"/>
        <v>45775</v>
      </c>
      <c r="AJ589" s="65" t="str">
        <f t="shared" si="1116"/>
        <v>CON</v>
      </c>
      <c r="AK589" s="66" t="str">
        <f t="shared" si="1558"/>
        <v>HOLD</v>
      </c>
      <c r="AL589" s="67" t="e">
        <f t="shared" ca="1" si="1559"/>
        <v>#NAME?</v>
      </c>
      <c r="AM589" s="68">
        <f t="shared" si="1408"/>
        <v>930</v>
      </c>
      <c r="AN589" s="69">
        <f t="shared" si="1409"/>
        <v>2.0316766794101604E-2</v>
      </c>
      <c r="AO589" s="62"/>
      <c r="AP589" s="70">
        <f t="shared" ref="AP589:AU589" si="1785">H589/$AI589</f>
        <v>0.25706171490988533</v>
      </c>
      <c r="AQ589" s="70">
        <f t="shared" si="1785"/>
        <v>0.29551064991807757</v>
      </c>
      <c r="AR589" s="70">
        <f t="shared" si="1785"/>
        <v>9.4221736755871102E-2</v>
      </c>
      <c r="AS589" s="70">
        <f t="shared" si="1785"/>
        <v>4.570180229382851E-2</v>
      </c>
      <c r="AT589" s="70">
        <f t="shared" si="1785"/>
        <v>2.728563626433643E-2</v>
      </c>
      <c r="AU589" s="70">
        <f t="shared" si="1785"/>
        <v>0.27519388312397597</v>
      </c>
      <c r="AV589" s="70"/>
      <c r="AW589" s="81">
        <f t="shared" si="1561"/>
        <v>5.0245767340251213E-3</v>
      </c>
      <c r="AX589" s="70">
        <f t="shared" ref="AX589:BG589" si="1786">O589/$AI589</f>
        <v>0</v>
      </c>
      <c r="AY589" s="70">
        <f t="shared" si="1786"/>
        <v>0</v>
      </c>
      <c r="AZ589" s="70">
        <f t="shared" si="1786"/>
        <v>0</v>
      </c>
      <c r="BA589" s="70">
        <f t="shared" si="1786"/>
        <v>0</v>
      </c>
      <c r="BB589" s="70">
        <f t="shared" si="1786"/>
        <v>0</v>
      </c>
      <c r="BC589" s="70">
        <f t="shared" si="1786"/>
        <v>0</v>
      </c>
      <c r="BD589" s="70">
        <f t="shared" si="1786"/>
        <v>0</v>
      </c>
      <c r="BE589" s="70">
        <f t="shared" si="1786"/>
        <v>0</v>
      </c>
      <c r="BF589" s="70">
        <f t="shared" si="1786"/>
        <v>0</v>
      </c>
      <c r="BG589" s="70">
        <f t="shared" si="1786"/>
        <v>0</v>
      </c>
      <c r="BH589" s="70">
        <f t="shared" si="1563"/>
        <v>5.0245767340251213E-3</v>
      </c>
      <c r="BI589" s="62"/>
      <c r="BJ589" s="69">
        <v>9.4E-2</v>
      </c>
      <c r="BK589" s="69">
        <v>0.438</v>
      </c>
      <c r="BL589" s="69">
        <v>0</v>
      </c>
      <c r="BM589" s="69">
        <v>0.06</v>
      </c>
      <c r="BN589" s="69">
        <v>0</v>
      </c>
      <c r="BO589" s="69">
        <v>0.40799999999999997</v>
      </c>
      <c r="BP589" s="69">
        <v>0</v>
      </c>
      <c r="BQ589" s="69">
        <v>0</v>
      </c>
      <c r="BR589" s="62"/>
      <c r="BS589" s="72">
        <f t="shared" ref="BS589:BX589" si="1787">AP589-BJ589</f>
        <v>0.16306171490988533</v>
      </c>
      <c r="BT589" s="72">
        <f t="shared" si="1787"/>
        <v>-0.14248935008192243</v>
      </c>
      <c r="BU589" s="72">
        <f t="shared" si="1787"/>
        <v>9.4221736755871102E-2</v>
      </c>
      <c r="BV589" s="72">
        <f t="shared" si="1787"/>
        <v>-1.4298197706171488E-2</v>
      </c>
      <c r="BW589" s="72">
        <f t="shared" si="1787"/>
        <v>2.728563626433643E-2</v>
      </c>
      <c r="BX589" s="72">
        <f t="shared" si="1787"/>
        <v>-0.13280611687602401</v>
      </c>
      <c r="BY589" s="72"/>
      <c r="BZ589" s="72">
        <f t="shared" si="1565"/>
        <v>5.0245767340251213E-3</v>
      </c>
    </row>
    <row r="590" spans="1:78" ht="13.15">
      <c r="A590" s="73" t="s">
        <v>6</v>
      </c>
      <c r="B590" s="74" t="s">
        <v>1225</v>
      </c>
      <c r="C590" s="75" t="s">
        <v>1226</v>
      </c>
      <c r="D590" s="75" t="s">
        <v>1178</v>
      </c>
      <c r="E590" s="76"/>
      <c r="F590" s="59"/>
      <c r="G590" s="60"/>
      <c r="H590" s="77">
        <v>10140</v>
      </c>
      <c r="I590" s="77">
        <v>14999</v>
      </c>
      <c r="J590" s="77">
        <v>3822</v>
      </c>
      <c r="K590" s="77">
        <v>2400</v>
      </c>
      <c r="L590" s="77">
        <v>1488</v>
      </c>
      <c r="M590" s="77">
        <v>10757</v>
      </c>
      <c r="N590" s="77"/>
      <c r="O590" s="77"/>
      <c r="P590" s="77"/>
      <c r="Q590" s="77"/>
      <c r="R590" s="77"/>
      <c r="S590" s="77"/>
      <c r="T590" s="77"/>
      <c r="U590" s="77"/>
      <c r="V590" s="77"/>
      <c r="W590" s="77"/>
      <c r="X590" s="77"/>
      <c r="Y590" s="77">
        <v>208</v>
      </c>
      <c r="Z590" s="77"/>
      <c r="AA590" s="77"/>
      <c r="AB590" s="77"/>
      <c r="AC590" s="77"/>
      <c r="AD590" s="77"/>
      <c r="AE590" s="62"/>
      <c r="AF590" s="63" t="b">
        <v>0</v>
      </c>
      <c r="AG590" s="63" t="b">
        <v>0</v>
      </c>
      <c r="AH590" s="62"/>
      <c r="AI590" s="64">
        <f t="shared" si="1557"/>
        <v>43814</v>
      </c>
      <c r="AJ590" s="65" t="str">
        <f t="shared" si="1116"/>
        <v>CON</v>
      </c>
      <c r="AK590" s="66" t="str">
        <f t="shared" si="1558"/>
        <v>HOLD</v>
      </c>
      <c r="AL590" s="67" t="e">
        <f t="shared" ca="1" si="1559"/>
        <v>#NAME?</v>
      </c>
      <c r="AM590" s="68">
        <f t="shared" si="1408"/>
        <v>4242</v>
      </c>
      <c r="AN590" s="69">
        <f t="shared" si="1409"/>
        <v>9.6818368557995194E-2</v>
      </c>
      <c r="AO590" s="62"/>
      <c r="AP590" s="70">
        <f t="shared" ref="AP590:AU590" si="1788">H590/$AI590</f>
        <v>0.23143287533665038</v>
      </c>
      <c r="AQ590" s="70">
        <f t="shared" si="1788"/>
        <v>0.34233350070753643</v>
      </c>
      <c r="AR590" s="70">
        <f t="shared" si="1788"/>
        <v>8.7232391473045151E-2</v>
      </c>
      <c r="AS590" s="70">
        <f t="shared" si="1788"/>
        <v>5.4777011914000091E-2</v>
      </c>
      <c r="AT590" s="70">
        <f t="shared" si="1788"/>
        <v>3.3961747386680056E-2</v>
      </c>
      <c r="AU590" s="70">
        <f t="shared" si="1788"/>
        <v>0.24551513214954124</v>
      </c>
      <c r="AV590" s="70"/>
      <c r="AW590" s="81">
        <f t="shared" si="1561"/>
        <v>4.7473410325467036E-3</v>
      </c>
      <c r="AX590" s="70">
        <f t="shared" ref="AX590:BG590" si="1789">O590/$AI590</f>
        <v>0</v>
      </c>
      <c r="AY590" s="70">
        <f t="shared" si="1789"/>
        <v>0</v>
      </c>
      <c r="AZ590" s="70">
        <f t="shared" si="1789"/>
        <v>0</v>
      </c>
      <c r="BA590" s="70">
        <f t="shared" si="1789"/>
        <v>0</v>
      </c>
      <c r="BB590" s="70">
        <f t="shared" si="1789"/>
        <v>0</v>
      </c>
      <c r="BC590" s="70">
        <f t="shared" si="1789"/>
        <v>0</v>
      </c>
      <c r="BD590" s="70">
        <f t="shared" si="1789"/>
        <v>0</v>
      </c>
      <c r="BE590" s="70">
        <f t="shared" si="1789"/>
        <v>0</v>
      </c>
      <c r="BF590" s="70">
        <f t="shared" si="1789"/>
        <v>0</v>
      </c>
      <c r="BG590" s="70">
        <f t="shared" si="1789"/>
        <v>0</v>
      </c>
      <c r="BH590" s="70">
        <f t="shared" si="1563"/>
        <v>4.7473410325467036E-3</v>
      </c>
      <c r="BI590" s="62"/>
      <c r="BJ590" s="69">
        <v>8.3000000000000004E-2</v>
      </c>
      <c r="BK590" s="69">
        <v>0.46500000000000002</v>
      </c>
      <c r="BL590" s="69">
        <v>0</v>
      </c>
      <c r="BM590" s="69">
        <v>7.2999999999999995E-2</v>
      </c>
      <c r="BN590" s="69">
        <v>0</v>
      </c>
      <c r="BO590" s="69">
        <v>0.379</v>
      </c>
      <c r="BP590" s="69">
        <v>0</v>
      </c>
      <c r="BQ590" s="69">
        <v>0</v>
      </c>
      <c r="BR590" s="62"/>
      <c r="BS590" s="72">
        <f t="shared" ref="BS590:BX590" si="1790">AP590-BJ590</f>
        <v>0.14843287533665039</v>
      </c>
      <c r="BT590" s="72">
        <f t="shared" si="1790"/>
        <v>-0.12266649929246359</v>
      </c>
      <c r="BU590" s="72">
        <f t="shared" si="1790"/>
        <v>8.7232391473045151E-2</v>
      </c>
      <c r="BV590" s="72">
        <f t="shared" si="1790"/>
        <v>-1.8222988085999904E-2</v>
      </c>
      <c r="BW590" s="72">
        <f t="shared" si="1790"/>
        <v>3.3961747386680056E-2</v>
      </c>
      <c r="BX590" s="72">
        <f t="shared" si="1790"/>
        <v>-0.13348486785045877</v>
      </c>
      <c r="BY590" s="72"/>
      <c r="BZ590" s="72">
        <f t="shared" si="1565"/>
        <v>4.7473410325467036E-3</v>
      </c>
    </row>
    <row r="591" spans="1:78" ht="13.15">
      <c r="A591" s="94" t="s">
        <v>10</v>
      </c>
      <c r="B591" s="74" t="s">
        <v>1227</v>
      </c>
      <c r="C591" s="75" t="s">
        <v>1228</v>
      </c>
      <c r="D591" s="75" t="s">
        <v>1178</v>
      </c>
      <c r="E591" s="76"/>
      <c r="F591" s="59"/>
      <c r="G591" s="60"/>
      <c r="H591" s="77">
        <v>14869</v>
      </c>
      <c r="I591" s="77">
        <v>1569</v>
      </c>
      <c r="J591" s="77">
        <v>2363</v>
      </c>
      <c r="K591" s="77">
        <v>2402</v>
      </c>
      <c r="L591" s="77"/>
      <c r="M591" s="77">
        <v>15544</v>
      </c>
      <c r="N591" s="77"/>
      <c r="O591" s="77">
        <v>139</v>
      </c>
      <c r="P591" s="77">
        <v>192</v>
      </c>
      <c r="Q591" s="77"/>
      <c r="R591" s="77"/>
      <c r="S591" s="77"/>
      <c r="T591" s="77"/>
      <c r="U591" s="77"/>
      <c r="V591" s="77"/>
      <c r="W591" s="77"/>
      <c r="X591" s="77"/>
      <c r="Y591" s="77">
        <v>813</v>
      </c>
      <c r="Z591" s="77">
        <v>600</v>
      </c>
      <c r="AA591" s="77">
        <v>357</v>
      </c>
      <c r="AB591" s="77"/>
      <c r="AC591" s="77"/>
      <c r="AD591" s="77"/>
      <c r="AE591" s="62"/>
      <c r="AF591" s="63" t="b">
        <v>0</v>
      </c>
      <c r="AG591" s="63" t="b">
        <v>0</v>
      </c>
      <c r="AH591" s="62"/>
      <c r="AI591" s="64">
        <f t="shared" si="1557"/>
        <v>38848</v>
      </c>
      <c r="AJ591" s="65" t="str">
        <f t="shared" si="1116"/>
        <v>SNP</v>
      </c>
      <c r="AK591" s="66" t="str">
        <f t="shared" si="1558"/>
        <v>HOLD</v>
      </c>
      <c r="AL591" s="67" t="e">
        <f t="shared" ca="1" si="1559"/>
        <v>#NAME?</v>
      </c>
      <c r="AM591" s="68">
        <f t="shared" si="1408"/>
        <v>675</v>
      </c>
      <c r="AN591" s="69">
        <f t="shared" si="1409"/>
        <v>1.7375411861614509E-2</v>
      </c>
      <c r="AO591" s="62"/>
      <c r="AP591" s="70">
        <f t="shared" ref="AP591:AU591" si="1791">H591/$AI591</f>
        <v>0.38274814662273476</v>
      </c>
      <c r="AQ591" s="70">
        <f t="shared" si="1791"/>
        <v>4.0388179571663921E-2</v>
      </c>
      <c r="AR591" s="70">
        <f t="shared" si="1791"/>
        <v>6.0826812191103787E-2</v>
      </c>
      <c r="AS591" s="70">
        <f t="shared" si="1791"/>
        <v>6.1830724876441513E-2</v>
      </c>
      <c r="AT591" s="70">
        <f t="shared" si="1791"/>
        <v>0</v>
      </c>
      <c r="AU591" s="70">
        <f t="shared" si="1791"/>
        <v>0.40012355848434927</v>
      </c>
      <c r="AV591" s="70"/>
      <c r="AW591" s="81">
        <f t="shared" si="1561"/>
        <v>5.4082578253706659E-2</v>
      </c>
      <c r="AX591" s="70">
        <f t="shared" ref="AX591:BG591" si="1792">O591/$AI591</f>
        <v>3.5780477759472817E-3</v>
      </c>
      <c r="AY591" s="70">
        <f t="shared" si="1792"/>
        <v>4.9423393739703456E-3</v>
      </c>
      <c r="AZ591" s="70">
        <f t="shared" si="1792"/>
        <v>0</v>
      </c>
      <c r="BA591" s="70">
        <f t="shared" si="1792"/>
        <v>0</v>
      </c>
      <c r="BB591" s="70">
        <f t="shared" si="1792"/>
        <v>0</v>
      </c>
      <c r="BC591" s="70">
        <f t="shared" si="1792"/>
        <v>0</v>
      </c>
      <c r="BD591" s="70">
        <f t="shared" si="1792"/>
        <v>0</v>
      </c>
      <c r="BE591" s="70">
        <f t="shared" si="1792"/>
        <v>0</v>
      </c>
      <c r="BF591" s="70">
        <f t="shared" si="1792"/>
        <v>0</v>
      </c>
      <c r="BG591" s="70">
        <f t="shared" si="1792"/>
        <v>0</v>
      </c>
      <c r="BH591" s="70">
        <f t="shared" si="1563"/>
        <v>4.5562191103789035E-2</v>
      </c>
      <c r="BI591" s="62"/>
      <c r="BJ591" s="69">
        <v>0.23899999999999999</v>
      </c>
      <c r="BK591" s="69">
        <v>0.111</v>
      </c>
      <c r="BL591" s="69">
        <v>2.5999999999999999E-2</v>
      </c>
      <c r="BM591" s="69">
        <v>5.5E-2</v>
      </c>
      <c r="BN591" s="69">
        <v>0</v>
      </c>
      <c r="BO591" s="69">
        <v>0.56499999999999995</v>
      </c>
      <c r="BP591" s="69">
        <v>0</v>
      </c>
      <c r="BQ591" s="69">
        <v>5.0000000000000001E-3</v>
      </c>
      <c r="BR591" s="62"/>
      <c r="BS591" s="72">
        <f t="shared" ref="BS591:BX591" si="1793">AP591-BJ591</f>
        <v>0.14374814662273477</v>
      </c>
      <c r="BT591" s="72">
        <f t="shared" si="1793"/>
        <v>-7.0611820428336081E-2</v>
      </c>
      <c r="BU591" s="72">
        <f t="shared" si="1793"/>
        <v>3.4826812191103784E-2</v>
      </c>
      <c r="BV591" s="72">
        <f t="shared" si="1793"/>
        <v>6.8307248764415129E-3</v>
      </c>
      <c r="BW591" s="72">
        <f t="shared" si="1793"/>
        <v>0</v>
      </c>
      <c r="BX591" s="72">
        <f t="shared" si="1793"/>
        <v>-0.16487644151565067</v>
      </c>
      <c r="BY591" s="72"/>
      <c r="BZ591" s="72">
        <f t="shared" si="1565"/>
        <v>4.9082578253706662E-2</v>
      </c>
    </row>
    <row r="592" spans="1:78" ht="13.15">
      <c r="A592" s="94" t="s">
        <v>10</v>
      </c>
      <c r="B592" s="74" t="s">
        <v>1229</v>
      </c>
      <c r="C592" s="75" t="s">
        <v>1230</v>
      </c>
      <c r="D592" s="75" t="s">
        <v>1178</v>
      </c>
      <c r="E592" s="76"/>
      <c r="F592" s="59"/>
      <c r="G592" s="60"/>
      <c r="H592" s="77">
        <v>20336</v>
      </c>
      <c r="I592" s="77">
        <v>3297</v>
      </c>
      <c r="J592" s="77">
        <v>2887</v>
      </c>
      <c r="K592" s="77">
        <v>3181</v>
      </c>
      <c r="L592" s="77">
        <v>2078</v>
      </c>
      <c r="M592" s="77">
        <v>12095</v>
      </c>
      <c r="N592" s="77"/>
      <c r="O592" s="77">
        <v>324</v>
      </c>
      <c r="P592" s="77"/>
      <c r="Q592" s="77"/>
      <c r="R592" s="77"/>
      <c r="S592" s="77"/>
      <c r="T592" s="77"/>
      <c r="U592" s="77"/>
      <c r="V592" s="77"/>
      <c r="W592" s="77"/>
      <c r="X592" s="77"/>
      <c r="Y592" s="77">
        <v>251</v>
      </c>
      <c r="Z592" s="77">
        <v>88</v>
      </c>
      <c r="AA592" s="77"/>
      <c r="AB592" s="77"/>
      <c r="AC592" s="77"/>
      <c r="AD592" s="77"/>
      <c r="AE592" s="62"/>
      <c r="AF592" s="63" t="b">
        <v>0</v>
      </c>
      <c r="AG592" s="63" t="b">
        <v>0</v>
      </c>
      <c r="AH592" s="62"/>
      <c r="AI592" s="64">
        <f t="shared" si="1557"/>
        <v>44537</v>
      </c>
      <c r="AJ592" s="65" t="str">
        <f t="shared" si="1116"/>
        <v>LAB</v>
      </c>
      <c r="AK592" s="66" t="str">
        <f t="shared" si="1558"/>
        <v>GAIN</v>
      </c>
      <c r="AL592" s="67" t="e">
        <f t="shared" ca="1" si="1559"/>
        <v>#NAME?</v>
      </c>
      <c r="AM592" s="68">
        <f t="shared" si="1408"/>
        <v>8241</v>
      </c>
      <c r="AN592" s="69">
        <f t="shared" si="1409"/>
        <v>0.18503716011406246</v>
      </c>
      <c r="AO592" s="62"/>
      <c r="AP592" s="70">
        <f t="shared" ref="AP592:AU592" si="1794">H592/$AI592</f>
        <v>0.45660911152524869</v>
      </c>
      <c r="AQ592" s="70">
        <f t="shared" si="1794"/>
        <v>7.4028335990300204E-2</v>
      </c>
      <c r="AR592" s="70">
        <f t="shared" si="1794"/>
        <v>6.4822507128904056E-2</v>
      </c>
      <c r="AS592" s="70">
        <f t="shared" si="1794"/>
        <v>7.142376001975885E-2</v>
      </c>
      <c r="AT592" s="70">
        <f t="shared" si="1794"/>
        <v>4.6657835058490693E-2</v>
      </c>
      <c r="AU592" s="70">
        <f t="shared" si="1794"/>
        <v>0.27157195141118623</v>
      </c>
      <c r="AV592" s="70"/>
      <c r="AW592" s="81">
        <f t="shared" si="1561"/>
        <v>1.4886498866111264E-2</v>
      </c>
      <c r="AX592" s="70">
        <f t="shared" ref="AX592:BG592" si="1795">O592/$AI592</f>
        <v>7.2748501246154883E-3</v>
      </c>
      <c r="AY592" s="70">
        <f t="shared" si="1795"/>
        <v>0</v>
      </c>
      <c r="AZ592" s="70">
        <f t="shared" si="1795"/>
        <v>0</v>
      </c>
      <c r="BA592" s="70">
        <f t="shared" si="1795"/>
        <v>0</v>
      </c>
      <c r="BB592" s="70">
        <f t="shared" si="1795"/>
        <v>0</v>
      </c>
      <c r="BC592" s="70">
        <f t="shared" si="1795"/>
        <v>0</v>
      </c>
      <c r="BD592" s="70">
        <f t="shared" si="1795"/>
        <v>0</v>
      </c>
      <c r="BE592" s="70">
        <f t="shared" si="1795"/>
        <v>0</v>
      </c>
      <c r="BF592" s="70">
        <f t="shared" si="1795"/>
        <v>0</v>
      </c>
      <c r="BG592" s="70">
        <f t="shared" si="1795"/>
        <v>0</v>
      </c>
      <c r="BH592" s="70">
        <f t="shared" si="1563"/>
        <v>7.6116487414957757E-3</v>
      </c>
      <c r="BI592" s="62"/>
      <c r="BJ592" s="69">
        <v>0.23599999999999999</v>
      </c>
      <c r="BK592" s="69">
        <v>0.215</v>
      </c>
      <c r="BL592" s="69">
        <v>0</v>
      </c>
      <c r="BM592" s="69">
        <v>8.4000000000000005E-2</v>
      </c>
      <c r="BN592" s="69">
        <v>2.1999999999999999E-2</v>
      </c>
      <c r="BO592" s="69">
        <v>0.443</v>
      </c>
      <c r="BP592" s="69">
        <v>0</v>
      </c>
      <c r="BQ592" s="69">
        <v>0</v>
      </c>
      <c r="BR592" s="62"/>
      <c r="BS592" s="72">
        <f t="shared" ref="BS592:BX592" si="1796">AP592-BJ592</f>
        <v>0.2206091115252487</v>
      </c>
      <c r="BT592" s="72">
        <f t="shared" si="1796"/>
        <v>-0.14097166400969979</v>
      </c>
      <c r="BU592" s="72">
        <f t="shared" si="1796"/>
        <v>6.4822507128904056E-2</v>
      </c>
      <c r="BV592" s="72">
        <f t="shared" si="1796"/>
        <v>-1.2576239980241155E-2</v>
      </c>
      <c r="BW592" s="72">
        <f t="shared" si="1796"/>
        <v>2.4657835058490694E-2</v>
      </c>
      <c r="BX592" s="72">
        <f t="shared" si="1796"/>
        <v>-0.17142804858881378</v>
      </c>
      <c r="BY592" s="72"/>
      <c r="BZ592" s="72">
        <f t="shared" si="1565"/>
        <v>1.4886498866111264E-2</v>
      </c>
    </row>
    <row r="593" spans="1:78" ht="13.15">
      <c r="A593" s="94" t="s">
        <v>10</v>
      </c>
      <c r="B593" s="74" t="s">
        <v>1231</v>
      </c>
      <c r="C593" s="75" t="s">
        <v>1232</v>
      </c>
      <c r="D593" s="75" t="s">
        <v>1178</v>
      </c>
      <c r="E593" s="76"/>
      <c r="F593" s="59"/>
      <c r="G593" s="60"/>
      <c r="H593" s="77">
        <v>22682</v>
      </c>
      <c r="I593" s="77">
        <v>3547</v>
      </c>
      <c r="J593" s="77">
        <v>3377</v>
      </c>
      <c r="K593" s="77">
        <v>1074</v>
      </c>
      <c r="L593" s="77">
        <v>1811</v>
      </c>
      <c r="M593" s="77">
        <v>13625</v>
      </c>
      <c r="N593" s="77"/>
      <c r="O593" s="77"/>
      <c r="P593" s="77"/>
      <c r="Q593" s="77"/>
      <c r="R593" s="77"/>
      <c r="S593" s="77"/>
      <c r="T593" s="77"/>
      <c r="U593" s="77"/>
      <c r="V593" s="77"/>
      <c r="W593" s="77"/>
      <c r="X593" s="77"/>
      <c r="Y593" s="77">
        <v>505</v>
      </c>
      <c r="Z593" s="77"/>
      <c r="AA593" s="77"/>
      <c r="AB593" s="77"/>
      <c r="AC593" s="77"/>
      <c r="AD593" s="77"/>
      <c r="AE593" s="62"/>
      <c r="AF593" s="63" t="b">
        <v>0</v>
      </c>
      <c r="AG593" s="63" t="b">
        <v>0</v>
      </c>
      <c r="AH593" s="62"/>
      <c r="AI593" s="64">
        <f t="shared" si="1557"/>
        <v>46621</v>
      </c>
      <c r="AJ593" s="65" t="str">
        <f t="shared" si="1116"/>
        <v>LAB</v>
      </c>
      <c r="AK593" s="66" t="str">
        <f t="shared" si="1558"/>
        <v>GAIN</v>
      </c>
      <c r="AL593" s="67" t="e">
        <f t="shared" ca="1" si="1559"/>
        <v>#NAME?</v>
      </c>
      <c r="AM593" s="68">
        <f t="shared" si="1408"/>
        <v>9057</v>
      </c>
      <c r="AN593" s="69">
        <f t="shared" si="1409"/>
        <v>0.19426867720555113</v>
      </c>
      <c r="AO593" s="62"/>
      <c r="AP593" s="70">
        <f t="shared" ref="AP593:AU593" si="1797">H593/$AI593</f>
        <v>0.48651895068745843</v>
      </c>
      <c r="AQ593" s="70">
        <f t="shared" si="1797"/>
        <v>7.6081594131400018E-2</v>
      </c>
      <c r="AR593" s="70">
        <f t="shared" si="1797"/>
        <v>7.2435168700800065E-2</v>
      </c>
      <c r="AS593" s="70">
        <f t="shared" si="1797"/>
        <v>2.3036828896849059E-2</v>
      </c>
      <c r="AT593" s="70">
        <f t="shared" si="1797"/>
        <v>3.8845155616567643E-2</v>
      </c>
      <c r="AU593" s="70">
        <f t="shared" si="1797"/>
        <v>0.2922502734819073</v>
      </c>
      <c r="AV593" s="70"/>
      <c r="AW593" s="81">
        <f t="shared" si="1561"/>
        <v>1.0832028485017409E-2</v>
      </c>
      <c r="AX593" s="70">
        <f t="shared" ref="AX593:BG593" si="1798">O593/$AI593</f>
        <v>0</v>
      </c>
      <c r="AY593" s="70">
        <f t="shared" si="1798"/>
        <v>0</v>
      </c>
      <c r="AZ593" s="70">
        <f t="shared" si="1798"/>
        <v>0</v>
      </c>
      <c r="BA593" s="70">
        <f t="shared" si="1798"/>
        <v>0</v>
      </c>
      <c r="BB593" s="70">
        <f t="shared" si="1798"/>
        <v>0</v>
      </c>
      <c r="BC593" s="70">
        <f t="shared" si="1798"/>
        <v>0</v>
      </c>
      <c r="BD593" s="70">
        <f t="shared" si="1798"/>
        <v>0</v>
      </c>
      <c r="BE593" s="70">
        <f t="shared" si="1798"/>
        <v>0</v>
      </c>
      <c r="BF593" s="70">
        <f t="shared" si="1798"/>
        <v>0</v>
      </c>
      <c r="BG593" s="70">
        <f t="shared" si="1798"/>
        <v>0</v>
      </c>
      <c r="BH593" s="70">
        <f t="shared" si="1563"/>
        <v>1.0832028485017409E-2</v>
      </c>
      <c r="BI593" s="62"/>
      <c r="BJ593" s="69">
        <v>0.216</v>
      </c>
      <c r="BK593" s="69">
        <v>0.214</v>
      </c>
      <c r="BL593" s="69">
        <v>0</v>
      </c>
      <c r="BM593" s="69">
        <v>6.9000000000000006E-2</v>
      </c>
      <c r="BN593" s="69">
        <v>2.1000000000000001E-2</v>
      </c>
      <c r="BO593" s="69">
        <v>0.47</v>
      </c>
      <c r="BP593" s="69">
        <v>0</v>
      </c>
      <c r="BQ593" s="69">
        <v>1.0999999999999999E-2</v>
      </c>
      <c r="BR593" s="62"/>
      <c r="BS593" s="72">
        <f t="shared" ref="BS593:BX593" si="1799">AP593-BJ593</f>
        <v>0.27051895068745846</v>
      </c>
      <c r="BT593" s="72">
        <f t="shared" si="1799"/>
        <v>-0.13791840586859999</v>
      </c>
      <c r="BU593" s="72">
        <f t="shared" si="1799"/>
        <v>7.2435168700800065E-2</v>
      </c>
      <c r="BV593" s="72">
        <f t="shared" si="1799"/>
        <v>-4.5963171103150943E-2</v>
      </c>
      <c r="BW593" s="72">
        <f t="shared" si="1799"/>
        <v>1.7845155616567642E-2</v>
      </c>
      <c r="BX593" s="72">
        <f t="shared" si="1799"/>
        <v>-0.17774972651809268</v>
      </c>
      <c r="BY593" s="72"/>
      <c r="BZ593" s="72">
        <f t="shared" si="1565"/>
        <v>-1.6797151498259069E-4</v>
      </c>
    </row>
    <row r="594" spans="1:78" ht="13.15">
      <c r="A594" s="94" t="s">
        <v>10</v>
      </c>
      <c r="B594" s="74" t="s">
        <v>1233</v>
      </c>
      <c r="C594" s="75" t="s">
        <v>1234</v>
      </c>
      <c r="D594" s="75" t="s">
        <v>1178</v>
      </c>
      <c r="E594" s="76"/>
      <c r="F594" s="59"/>
      <c r="G594" s="60"/>
      <c r="H594" s="77">
        <v>18790</v>
      </c>
      <c r="I594" s="77">
        <v>2598</v>
      </c>
      <c r="J594" s="77">
        <v>2129</v>
      </c>
      <c r="K594" s="77">
        <v>1949</v>
      </c>
      <c r="L594" s="77">
        <v>4669</v>
      </c>
      <c r="M594" s="77">
        <v>15075</v>
      </c>
      <c r="N594" s="77"/>
      <c r="O594" s="77">
        <v>365</v>
      </c>
      <c r="P594" s="77"/>
      <c r="Q594" s="77"/>
      <c r="R594" s="77"/>
      <c r="S594" s="77"/>
      <c r="T594" s="77"/>
      <c r="U594" s="77"/>
      <c r="V594" s="77"/>
      <c r="W594" s="77"/>
      <c r="X594" s="77"/>
      <c r="Y594" s="77"/>
      <c r="Z594" s="77"/>
      <c r="AA594" s="77"/>
      <c r="AB594" s="77"/>
      <c r="AC594" s="77"/>
      <c r="AD594" s="77"/>
      <c r="AE594" s="62"/>
      <c r="AF594" s="63" t="b">
        <v>0</v>
      </c>
      <c r="AG594" s="63" t="b">
        <v>0</v>
      </c>
      <c r="AH594" s="62"/>
      <c r="AI594" s="64">
        <f t="shared" si="1557"/>
        <v>45575</v>
      </c>
      <c r="AJ594" s="65" t="str">
        <f t="shared" si="1116"/>
        <v>LAB</v>
      </c>
      <c r="AK594" s="66" t="str">
        <f t="shared" si="1558"/>
        <v>GAIN</v>
      </c>
      <c r="AL594" s="67" t="e">
        <f t="shared" ca="1" si="1559"/>
        <v>#NAME?</v>
      </c>
      <c r="AM594" s="68">
        <f t="shared" si="1408"/>
        <v>3715</v>
      </c>
      <c r="AN594" s="69">
        <f t="shared" si="1409"/>
        <v>8.1513987931980225E-2</v>
      </c>
      <c r="AO594" s="62"/>
      <c r="AP594" s="70">
        <f t="shared" ref="AP594:AU594" si="1800">H594/$AI594</f>
        <v>0.41228743828853537</v>
      </c>
      <c r="AQ594" s="70">
        <f t="shared" si="1800"/>
        <v>5.7004936917169499E-2</v>
      </c>
      <c r="AR594" s="70">
        <f t="shared" si="1800"/>
        <v>4.671420735052112E-2</v>
      </c>
      <c r="AS594" s="70">
        <f t="shared" si="1800"/>
        <v>4.2764673614920458E-2</v>
      </c>
      <c r="AT594" s="70">
        <f t="shared" si="1800"/>
        <v>0.10244651673066374</v>
      </c>
      <c r="AU594" s="70">
        <f t="shared" si="1800"/>
        <v>0.33077345035655514</v>
      </c>
      <c r="AV594" s="70"/>
      <c r="AW594" s="81">
        <f t="shared" si="1561"/>
        <v>8.0087767416346933E-3</v>
      </c>
      <c r="AX594" s="70">
        <f t="shared" ref="AX594:BG594" si="1801">O594/$AI594</f>
        <v>8.0087767416346673E-3</v>
      </c>
      <c r="AY594" s="70">
        <f t="shared" si="1801"/>
        <v>0</v>
      </c>
      <c r="AZ594" s="70">
        <f t="shared" si="1801"/>
        <v>0</v>
      </c>
      <c r="BA594" s="70">
        <f t="shared" si="1801"/>
        <v>0</v>
      </c>
      <c r="BB594" s="70">
        <f t="shared" si="1801"/>
        <v>0</v>
      </c>
      <c r="BC594" s="70">
        <f t="shared" si="1801"/>
        <v>0</v>
      </c>
      <c r="BD594" s="70">
        <f t="shared" si="1801"/>
        <v>0</v>
      </c>
      <c r="BE594" s="70">
        <f t="shared" si="1801"/>
        <v>0</v>
      </c>
      <c r="BF594" s="70">
        <f t="shared" si="1801"/>
        <v>0</v>
      </c>
      <c r="BG594" s="70">
        <f t="shared" si="1801"/>
        <v>0</v>
      </c>
      <c r="BH594" s="70">
        <f t="shared" si="1563"/>
        <v>2.6020852139652106E-17</v>
      </c>
      <c r="BI594" s="62"/>
      <c r="BJ594" s="69">
        <v>0.26400000000000001</v>
      </c>
      <c r="BK594" s="69">
        <v>0.14099999999999999</v>
      </c>
      <c r="BL594" s="69">
        <v>0</v>
      </c>
      <c r="BM594" s="69">
        <v>7.0000000000000007E-2</v>
      </c>
      <c r="BN594" s="69">
        <v>3.5999999999999997E-2</v>
      </c>
      <c r="BO594" s="69">
        <v>0.49</v>
      </c>
      <c r="BP594" s="69">
        <v>0</v>
      </c>
      <c r="BQ594" s="69">
        <v>0</v>
      </c>
      <c r="BR594" s="62"/>
      <c r="BS594" s="72">
        <f t="shared" ref="BS594:BX594" si="1802">AP594-BJ594</f>
        <v>0.14828743828853536</v>
      </c>
      <c r="BT594" s="72">
        <f t="shared" si="1802"/>
        <v>-8.3995063082830487E-2</v>
      </c>
      <c r="BU594" s="72">
        <f t="shared" si="1802"/>
        <v>4.671420735052112E-2</v>
      </c>
      <c r="BV594" s="72">
        <f t="shared" si="1802"/>
        <v>-2.7235326385079549E-2</v>
      </c>
      <c r="BW594" s="72">
        <f t="shared" si="1802"/>
        <v>6.6446516730663735E-2</v>
      </c>
      <c r="BX594" s="72">
        <f t="shared" si="1802"/>
        <v>-0.15922654964344485</v>
      </c>
      <c r="BY594" s="72"/>
      <c r="BZ594" s="72">
        <f t="shared" si="1565"/>
        <v>8.0087767416346933E-3</v>
      </c>
    </row>
    <row r="595" spans="1:78" ht="13.15">
      <c r="A595" s="94" t="s">
        <v>10</v>
      </c>
      <c r="B595" s="74" t="s">
        <v>1235</v>
      </c>
      <c r="C595" s="75" t="s">
        <v>1236</v>
      </c>
      <c r="D595" s="75" t="s">
        <v>1178</v>
      </c>
      <c r="E595" s="76"/>
      <c r="F595" s="59"/>
      <c r="G595" s="60"/>
      <c r="H595" s="77">
        <v>20805</v>
      </c>
      <c r="I595" s="77">
        <v>3254</v>
      </c>
      <c r="J595" s="77">
        <v>1818</v>
      </c>
      <c r="K595" s="77">
        <v>3879</v>
      </c>
      <c r="L595" s="77">
        <v>5417</v>
      </c>
      <c r="M595" s="77">
        <v>13537</v>
      </c>
      <c r="N595" s="77"/>
      <c r="O595" s="77">
        <v>139</v>
      </c>
      <c r="P595" s="77"/>
      <c r="Q595" s="77"/>
      <c r="R595" s="77"/>
      <c r="S595" s="77"/>
      <c r="T595" s="77"/>
      <c r="U595" s="77"/>
      <c r="V595" s="77"/>
      <c r="W595" s="77"/>
      <c r="X595" s="77"/>
      <c r="Y595" s="77">
        <v>227</v>
      </c>
      <c r="Z595" s="77">
        <v>210</v>
      </c>
      <c r="AA595" s="77">
        <v>189</v>
      </c>
      <c r="AB595" s="77"/>
      <c r="AC595" s="77"/>
      <c r="AD595" s="77"/>
      <c r="AE595" s="62"/>
      <c r="AF595" s="63" t="b">
        <v>0</v>
      </c>
      <c r="AG595" s="63" t="b">
        <v>0</v>
      </c>
      <c r="AH595" s="62"/>
      <c r="AI595" s="64">
        <f t="shared" si="1557"/>
        <v>49475</v>
      </c>
      <c r="AJ595" s="65" t="str">
        <f t="shared" si="1116"/>
        <v>LAB</v>
      </c>
      <c r="AK595" s="66" t="str">
        <f t="shared" si="1558"/>
        <v>GAIN</v>
      </c>
      <c r="AL595" s="67" t="e">
        <f t="shared" ca="1" si="1559"/>
        <v>#NAME?</v>
      </c>
      <c r="AM595" s="68">
        <f t="shared" si="1408"/>
        <v>7268</v>
      </c>
      <c r="AN595" s="69">
        <f t="shared" si="1409"/>
        <v>0.14690247599797879</v>
      </c>
      <c r="AO595" s="62"/>
      <c r="AP595" s="70">
        <f t="shared" ref="AP595:AU595" si="1803">H595/$AI595</f>
        <v>0.42051541182415364</v>
      </c>
      <c r="AQ595" s="70">
        <f t="shared" si="1803"/>
        <v>6.5770591207680654E-2</v>
      </c>
      <c r="AR595" s="70">
        <f t="shared" si="1803"/>
        <v>3.6745831227892878E-2</v>
      </c>
      <c r="AS595" s="70">
        <f t="shared" si="1803"/>
        <v>7.8403233956543708E-2</v>
      </c>
      <c r="AT595" s="70">
        <f t="shared" si="1803"/>
        <v>0.10948964123294594</v>
      </c>
      <c r="AU595" s="70">
        <f t="shared" si="1803"/>
        <v>0.27361293582617485</v>
      </c>
      <c r="AV595" s="70"/>
      <c r="AW595" s="81">
        <f t="shared" si="1561"/>
        <v>1.546235472460844E-2</v>
      </c>
      <c r="AX595" s="70">
        <f t="shared" ref="AX595:BG595" si="1804">O595/$AI595</f>
        <v>2.8094997473471451E-3</v>
      </c>
      <c r="AY595" s="70">
        <f t="shared" si="1804"/>
        <v>0</v>
      </c>
      <c r="AZ595" s="70">
        <f t="shared" si="1804"/>
        <v>0</v>
      </c>
      <c r="BA595" s="70">
        <f t="shared" si="1804"/>
        <v>0</v>
      </c>
      <c r="BB595" s="70">
        <f t="shared" si="1804"/>
        <v>0</v>
      </c>
      <c r="BC595" s="70">
        <f t="shared" si="1804"/>
        <v>0</v>
      </c>
      <c r="BD595" s="70">
        <f t="shared" si="1804"/>
        <v>0</v>
      </c>
      <c r="BE595" s="70">
        <f t="shared" si="1804"/>
        <v>0</v>
      </c>
      <c r="BF595" s="70">
        <f t="shared" si="1804"/>
        <v>0</v>
      </c>
      <c r="BG595" s="70">
        <f t="shared" si="1804"/>
        <v>0</v>
      </c>
      <c r="BH595" s="70">
        <f t="shared" si="1563"/>
        <v>1.2652854977261294E-2</v>
      </c>
      <c r="BI595" s="62"/>
      <c r="BJ595" s="69">
        <v>0.217</v>
      </c>
      <c r="BK595" s="69">
        <v>0.17599999999999999</v>
      </c>
      <c r="BL595" s="69">
        <v>8.9999999999999993E-3</v>
      </c>
      <c r="BM595" s="69">
        <v>0.125</v>
      </c>
      <c r="BN595" s="69">
        <v>3.3000000000000002E-2</v>
      </c>
      <c r="BO595" s="69">
        <v>0.438</v>
      </c>
      <c r="BP595" s="69">
        <v>0</v>
      </c>
      <c r="BQ595" s="69">
        <v>2E-3</v>
      </c>
      <c r="BR595" s="62"/>
      <c r="BS595" s="72">
        <f t="shared" ref="BS595:BX595" si="1805">AP595-BJ595</f>
        <v>0.20351541182415364</v>
      </c>
      <c r="BT595" s="72">
        <f t="shared" si="1805"/>
        <v>-0.11022940879231934</v>
      </c>
      <c r="BU595" s="72">
        <f t="shared" si="1805"/>
        <v>2.7745831227892877E-2</v>
      </c>
      <c r="BV595" s="72">
        <f t="shared" si="1805"/>
        <v>-4.6596766043456292E-2</v>
      </c>
      <c r="BW595" s="72">
        <f t="shared" si="1805"/>
        <v>7.6489641232945937E-2</v>
      </c>
      <c r="BX595" s="72">
        <f t="shared" si="1805"/>
        <v>-0.16438706417382515</v>
      </c>
      <c r="BY595" s="72"/>
      <c r="BZ595" s="72">
        <f t="shared" si="1565"/>
        <v>1.346235472460844E-2</v>
      </c>
    </row>
    <row r="596" spans="1:78" ht="13.15">
      <c r="A596" s="78" t="s">
        <v>5</v>
      </c>
      <c r="B596" s="74" t="s">
        <v>1237</v>
      </c>
      <c r="C596" s="75" t="s">
        <v>1238</v>
      </c>
      <c r="D596" s="75" t="s">
        <v>1178</v>
      </c>
      <c r="E596" s="76"/>
      <c r="F596" s="59"/>
      <c r="G596" s="60"/>
      <c r="H596" s="77">
        <v>24976</v>
      </c>
      <c r="I596" s="77">
        <v>4001</v>
      </c>
      <c r="J596" s="77">
        <v>1845</v>
      </c>
      <c r="K596" s="77">
        <v>2746</v>
      </c>
      <c r="L596" s="77">
        <v>4270</v>
      </c>
      <c r="M596" s="77">
        <v>7725</v>
      </c>
      <c r="N596" s="77"/>
      <c r="O596" s="77">
        <v>466</v>
      </c>
      <c r="P596" s="77"/>
      <c r="Q596" s="77"/>
      <c r="R596" s="77"/>
      <c r="S596" s="77"/>
      <c r="T596" s="77"/>
      <c r="U596" s="77"/>
      <c r="V596" s="77"/>
      <c r="W596" s="77"/>
      <c r="X596" s="77"/>
      <c r="Y596" s="77">
        <v>454</v>
      </c>
      <c r="Z596" s="77">
        <v>267</v>
      </c>
      <c r="AA596" s="77">
        <v>76</v>
      </c>
      <c r="AB596" s="77"/>
      <c r="AC596" s="77"/>
      <c r="AD596" s="77"/>
      <c r="AE596" s="62"/>
      <c r="AF596" s="63" t="b">
        <v>0</v>
      </c>
      <c r="AG596" s="63" t="b">
        <v>0</v>
      </c>
      <c r="AH596" s="62"/>
      <c r="AI596" s="64">
        <f t="shared" si="1557"/>
        <v>46826</v>
      </c>
      <c r="AJ596" s="65" t="str">
        <f t="shared" si="1116"/>
        <v>LAB</v>
      </c>
      <c r="AK596" s="66" t="str">
        <f t="shared" si="1558"/>
        <v>HOLD</v>
      </c>
      <c r="AL596" s="67" t="e">
        <f t="shared" ca="1" si="1559"/>
        <v>#NAME?</v>
      </c>
      <c r="AM596" s="68">
        <f t="shared" si="1408"/>
        <v>17251</v>
      </c>
      <c r="AN596" s="69">
        <f t="shared" si="1409"/>
        <v>0.36840644086618546</v>
      </c>
      <c r="AO596" s="62"/>
      <c r="AP596" s="70">
        <f t="shared" ref="AP596:AU596" si="1806">H596/$AI596</f>
        <v>0.53337889206850897</v>
      </c>
      <c r="AQ596" s="70">
        <f t="shared" si="1806"/>
        <v>8.5443984111391105E-2</v>
      </c>
      <c r="AR596" s="70">
        <f t="shared" si="1806"/>
        <v>3.9401187374535518E-2</v>
      </c>
      <c r="AS596" s="70">
        <f t="shared" si="1806"/>
        <v>5.8642634433861529E-2</v>
      </c>
      <c r="AT596" s="70">
        <f t="shared" si="1806"/>
        <v>9.1188655874941266E-2</v>
      </c>
      <c r="AU596" s="70">
        <f t="shared" si="1806"/>
        <v>0.16497245120232348</v>
      </c>
      <c r="AV596" s="70"/>
      <c r="AW596" s="81">
        <f t="shared" si="1561"/>
        <v>2.6972194934438032E-2</v>
      </c>
      <c r="AX596" s="70">
        <f t="shared" ref="AX596:BG596" si="1807">O596/$AI596</f>
        <v>9.9517362149233336E-3</v>
      </c>
      <c r="AY596" s="70">
        <f t="shared" si="1807"/>
        <v>0</v>
      </c>
      <c r="AZ596" s="70">
        <f t="shared" si="1807"/>
        <v>0</v>
      </c>
      <c r="BA596" s="70">
        <f t="shared" si="1807"/>
        <v>0</v>
      </c>
      <c r="BB596" s="70">
        <f t="shared" si="1807"/>
        <v>0</v>
      </c>
      <c r="BC596" s="70">
        <f t="shared" si="1807"/>
        <v>0</v>
      </c>
      <c r="BD596" s="70">
        <f t="shared" si="1807"/>
        <v>0</v>
      </c>
      <c r="BE596" s="70">
        <f t="shared" si="1807"/>
        <v>0</v>
      </c>
      <c r="BF596" s="70">
        <f t="shared" si="1807"/>
        <v>0</v>
      </c>
      <c r="BG596" s="70">
        <f t="shared" si="1807"/>
        <v>0</v>
      </c>
      <c r="BH596" s="70">
        <f t="shared" si="1563"/>
        <v>1.70204587195147E-2</v>
      </c>
      <c r="BI596" s="62"/>
      <c r="BJ596" s="69">
        <v>0.46200000000000002</v>
      </c>
      <c r="BK596" s="69">
        <v>0.16800000000000001</v>
      </c>
      <c r="BL596" s="69">
        <v>0</v>
      </c>
      <c r="BM596" s="69">
        <v>8.2000000000000003E-2</v>
      </c>
      <c r="BN596" s="69">
        <v>2.9000000000000001E-2</v>
      </c>
      <c r="BO596" s="69">
        <v>0.25900000000000001</v>
      </c>
      <c r="BP596" s="69">
        <v>0</v>
      </c>
      <c r="BQ596" s="69">
        <v>0</v>
      </c>
      <c r="BR596" s="62"/>
      <c r="BS596" s="72">
        <f t="shared" ref="BS596:BX596" si="1808">AP596-BJ596</f>
        <v>7.1378892068508948E-2</v>
      </c>
      <c r="BT596" s="72">
        <f t="shared" si="1808"/>
        <v>-8.2556015888608905E-2</v>
      </c>
      <c r="BU596" s="72">
        <f t="shared" si="1808"/>
        <v>3.9401187374535518E-2</v>
      </c>
      <c r="BV596" s="72">
        <f t="shared" si="1808"/>
        <v>-2.3357365566138474E-2</v>
      </c>
      <c r="BW596" s="72">
        <f t="shared" si="1808"/>
        <v>6.2188655874941268E-2</v>
      </c>
      <c r="BX596" s="72">
        <f t="shared" si="1808"/>
        <v>-9.4027548797676525E-2</v>
      </c>
      <c r="BY596" s="72"/>
      <c r="BZ596" s="72">
        <f t="shared" si="1565"/>
        <v>2.6972194934438032E-2</v>
      </c>
    </row>
    <row r="597" spans="1:78" ht="13.15">
      <c r="A597" s="94" t="s">
        <v>10</v>
      </c>
      <c r="B597" s="74" t="s">
        <v>1239</v>
      </c>
      <c r="C597" s="75" t="s">
        <v>1240</v>
      </c>
      <c r="D597" s="75" t="s">
        <v>1178</v>
      </c>
      <c r="E597" s="76"/>
      <c r="F597" s="59"/>
      <c r="G597" s="60"/>
      <c r="H597" s="77">
        <v>18663</v>
      </c>
      <c r="I597" s="77">
        <v>5558</v>
      </c>
      <c r="J597" s="77">
        <v>2087</v>
      </c>
      <c r="K597" s="77">
        <v>3014</v>
      </c>
      <c r="L597" s="77">
        <v>3450</v>
      </c>
      <c r="M597" s="77">
        <v>12446</v>
      </c>
      <c r="N597" s="77"/>
      <c r="O597" s="77">
        <v>181</v>
      </c>
      <c r="P597" s="77"/>
      <c r="Q597" s="77"/>
      <c r="R597" s="77"/>
      <c r="S597" s="77"/>
      <c r="T597" s="77"/>
      <c r="U597" s="77"/>
      <c r="V597" s="77"/>
      <c r="W597" s="77"/>
      <c r="X597" s="77"/>
      <c r="Y597" s="77">
        <v>265</v>
      </c>
      <c r="Z597" s="77"/>
      <c r="AA597" s="77"/>
      <c r="AB597" s="77"/>
      <c r="AC597" s="77"/>
      <c r="AD597" s="77"/>
      <c r="AE597" s="62"/>
      <c r="AF597" s="63" t="b">
        <v>0</v>
      </c>
      <c r="AG597" s="63" t="b">
        <v>0</v>
      </c>
      <c r="AH597" s="62"/>
      <c r="AI597" s="64">
        <f t="shared" si="1557"/>
        <v>45664</v>
      </c>
      <c r="AJ597" s="65" t="str">
        <f t="shared" si="1116"/>
        <v>LAB</v>
      </c>
      <c r="AK597" s="66" t="str">
        <f t="shared" si="1558"/>
        <v>GAIN</v>
      </c>
      <c r="AL597" s="67" t="e">
        <f t="shared" ca="1" si="1559"/>
        <v>#NAME?</v>
      </c>
      <c r="AM597" s="68">
        <f t="shared" si="1408"/>
        <v>6217</v>
      </c>
      <c r="AN597" s="69">
        <f t="shared" si="1409"/>
        <v>0.1361466362999299</v>
      </c>
      <c r="AO597" s="62"/>
      <c r="AP597" s="70">
        <f t="shared" ref="AP597:AU597" si="1809">H597/$AI597</f>
        <v>0.40870269796776454</v>
      </c>
      <c r="AQ597" s="70">
        <f t="shared" si="1809"/>
        <v>0.12171513665031534</v>
      </c>
      <c r="AR597" s="70">
        <f t="shared" si="1809"/>
        <v>4.5703398738612476E-2</v>
      </c>
      <c r="AS597" s="70">
        <f t="shared" si="1809"/>
        <v>6.6003854239663637E-2</v>
      </c>
      <c r="AT597" s="70">
        <f t="shared" si="1809"/>
        <v>7.5551857042747028E-2</v>
      </c>
      <c r="AU597" s="70">
        <f t="shared" si="1809"/>
        <v>0.27255606166783464</v>
      </c>
      <c r="AV597" s="70"/>
      <c r="AW597" s="81">
        <f t="shared" si="1561"/>
        <v>9.7669936930623313E-3</v>
      </c>
      <c r="AX597" s="70">
        <f t="shared" ref="AX597:BG597" si="1810">O597/$AI597</f>
        <v>3.9637351086194818E-3</v>
      </c>
      <c r="AY597" s="70">
        <f t="shared" si="1810"/>
        <v>0</v>
      </c>
      <c r="AZ597" s="70">
        <f t="shared" si="1810"/>
        <v>0</v>
      </c>
      <c r="BA597" s="70">
        <f t="shared" si="1810"/>
        <v>0</v>
      </c>
      <c r="BB597" s="70">
        <f t="shared" si="1810"/>
        <v>0</v>
      </c>
      <c r="BC597" s="70">
        <f t="shared" si="1810"/>
        <v>0</v>
      </c>
      <c r="BD597" s="70">
        <f t="shared" si="1810"/>
        <v>0</v>
      </c>
      <c r="BE597" s="70">
        <f t="shared" si="1810"/>
        <v>0</v>
      </c>
      <c r="BF597" s="70">
        <f t="shared" si="1810"/>
        <v>0</v>
      </c>
      <c r="BG597" s="70">
        <f t="shared" si="1810"/>
        <v>0</v>
      </c>
      <c r="BH597" s="70">
        <f t="shared" si="1563"/>
        <v>5.8032585844428495E-3</v>
      </c>
      <c r="BI597" s="62"/>
      <c r="BJ597" s="69">
        <v>0.14299999999999999</v>
      </c>
      <c r="BK597" s="69">
        <v>0.247</v>
      </c>
      <c r="BL597" s="69">
        <v>1.2E-2</v>
      </c>
      <c r="BM597" s="69">
        <v>9.5000000000000001E-2</v>
      </c>
      <c r="BN597" s="69">
        <v>2.4E-2</v>
      </c>
      <c r="BO597" s="69">
        <v>0.47599999999999998</v>
      </c>
      <c r="BP597" s="69">
        <v>0</v>
      </c>
      <c r="BQ597" s="69">
        <v>2E-3</v>
      </c>
      <c r="BR597" s="62"/>
      <c r="BS597" s="72">
        <f t="shared" ref="BS597:BX597" si="1811">AP597-BJ597</f>
        <v>0.26570269796776458</v>
      </c>
      <c r="BT597" s="72">
        <f t="shared" si="1811"/>
        <v>-0.12528486334968464</v>
      </c>
      <c r="BU597" s="72">
        <f t="shared" si="1811"/>
        <v>3.3703398738612472E-2</v>
      </c>
      <c r="BV597" s="72">
        <f t="shared" si="1811"/>
        <v>-2.8996145760336364E-2</v>
      </c>
      <c r="BW597" s="72">
        <f t="shared" si="1811"/>
        <v>5.1551857042747028E-2</v>
      </c>
      <c r="BX597" s="72">
        <f t="shared" si="1811"/>
        <v>-0.20344393833216534</v>
      </c>
      <c r="BY597" s="72"/>
      <c r="BZ597" s="72">
        <f t="shared" si="1565"/>
        <v>7.7669936930623313E-3</v>
      </c>
    </row>
    <row r="598" spans="1:78" ht="13.15">
      <c r="A598" s="79" t="s">
        <v>8</v>
      </c>
      <c r="B598" s="74" t="s">
        <v>1241</v>
      </c>
      <c r="C598" s="75" t="s">
        <v>1242</v>
      </c>
      <c r="D598" s="75" t="s">
        <v>1178</v>
      </c>
      <c r="E598" s="76"/>
      <c r="F598" s="59"/>
      <c r="G598" s="60"/>
      <c r="H598" s="77">
        <v>7854</v>
      </c>
      <c r="I598" s="77">
        <v>2897</v>
      </c>
      <c r="J598" s="77">
        <v>2209</v>
      </c>
      <c r="K598" s="77">
        <v>26645</v>
      </c>
      <c r="L598" s="77">
        <v>2100</v>
      </c>
      <c r="M598" s="77">
        <v>10175</v>
      </c>
      <c r="N598" s="77"/>
      <c r="O598" s="77">
        <v>363</v>
      </c>
      <c r="P598" s="77"/>
      <c r="Q598" s="77"/>
      <c r="R598" s="77"/>
      <c r="S598" s="77"/>
      <c r="T598" s="77"/>
      <c r="U598" s="77"/>
      <c r="V598" s="77"/>
      <c r="W598" s="77"/>
      <c r="X598" s="77"/>
      <c r="Y598" s="77">
        <v>143</v>
      </c>
      <c r="Z598" s="77"/>
      <c r="AA598" s="77"/>
      <c r="AB598" s="77"/>
      <c r="AC598" s="77"/>
      <c r="AD598" s="77"/>
      <c r="AE598" s="62"/>
      <c r="AF598" s="63" t="b">
        <v>0</v>
      </c>
      <c r="AG598" s="63" t="b">
        <v>0</v>
      </c>
      <c r="AH598" s="62"/>
      <c r="AI598" s="64">
        <f t="shared" si="1557"/>
        <v>52386</v>
      </c>
      <c r="AJ598" s="65" t="str">
        <f t="shared" si="1116"/>
        <v>LDM</v>
      </c>
      <c r="AK598" s="66" t="str">
        <f t="shared" si="1558"/>
        <v>HOLD</v>
      </c>
      <c r="AL598" s="67" t="e">
        <f t="shared" ca="1" si="1559"/>
        <v>#NAME?</v>
      </c>
      <c r="AM598" s="68">
        <f t="shared" si="1408"/>
        <v>16470</v>
      </c>
      <c r="AN598" s="69">
        <f t="shared" si="1409"/>
        <v>0.31439697629137553</v>
      </c>
      <c r="AO598" s="62"/>
      <c r="AP598" s="70">
        <f t="shared" ref="AP598:AU598" si="1812">H598/$AI598</f>
        <v>0.14992555262856488</v>
      </c>
      <c r="AQ598" s="70">
        <f t="shared" si="1812"/>
        <v>5.530103462757225E-2</v>
      </c>
      <c r="AR598" s="70">
        <f t="shared" si="1812"/>
        <v>4.2167754743633795E-2</v>
      </c>
      <c r="AS598" s="70">
        <f t="shared" si="1812"/>
        <v>0.50862825945863399</v>
      </c>
      <c r="AT598" s="70">
        <f t="shared" si="1812"/>
        <v>4.0087046157370292E-2</v>
      </c>
      <c r="AU598" s="70">
        <f t="shared" si="1812"/>
        <v>0.19423128316725843</v>
      </c>
      <c r="AV598" s="70"/>
      <c r="AW598" s="81">
        <f t="shared" si="1561"/>
        <v>9.6590692169663539E-3</v>
      </c>
      <c r="AX598" s="70">
        <f t="shared" ref="AX598:BG598" si="1813">O598/$AI598</f>
        <v>6.929332264345436E-3</v>
      </c>
      <c r="AY598" s="70">
        <f t="shared" si="1813"/>
        <v>0</v>
      </c>
      <c r="AZ598" s="70">
        <f t="shared" si="1813"/>
        <v>0</v>
      </c>
      <c r="BA598" s="70">
        <f t="shared" si="1813"/>
        <v>0</v>
      </c>
      <c r="BB598" s="70">
        <f t="shared" si="1813"/>
        <v>0</v>
      </c>
      <c r="BC598" s="70">
        <f t="shared" si="1813"/>
        <v>0</v>
      </c>
      <c r="BD598" s="70">
        <f t="shared" si="1813"/>
        <v>0</v>
      </c>
      <c r="BE598" s="70">
        <f t="shared" si="1813"/>
        <v>0</v>
      </c>
      <c r="BF598" s="70">
        <f t="shared" si="1813"/>
        <v>0</v>
      </c>
      <c r="BG598" s="70">
        <f t="shared" si="1813"/>
        <v>0</v>
      </c>
      <c r="BH598" s="70">
        <f t="shared" si="1563"/>
        <v>2.7297369526209179E-3</v>
      </c>
      <c r="BI598" s="62"/>
      <c r="BJ598" s="69">
        <v>8.6999999999999994E-2</v>
      </c>
      <c r="BK598" s="69">
        <v>0.18</v>
      </c>
      <c r="BL598" s="69">
        <v>1E-3</v>
      </c>
      <c r="BM598" s="69">
        <v>0.38200000000000001</v>
      </c>
      <c r="BN598" s="69">
        <v>0.02</v>
      </c>
      <c r="BO598" s="69">
        <v>0.33</v>
      </c>
      <c r="BP598" s="69">
        <v>0</v>
      </c>
      <c r="BQ598" s="69">
        <v>0</v>
      </c>
      <c r="BR598" s="62"/>
      <c r="BS598" s="72">
        <f t="shared" ref="BS598:BX598" si="1814">AP598-BJ598</f>
        <v>6.292555262856489E-2</v>
      </c>
      <c r="BT598" s="72">
        <f t="shared" si="1814"/>
        <v>-0.12469896537242775</v>
      </c>
      <c r="BU598" s="72">
        <f t="shared" si="1814"/>
        <v>4.1167754743633794E-2</v>
      </c>
      <c r="BV598" s="72">
        <f t="shared" si="1814"/>
        <v>0.12662825945863398</v>
      </c>
      <c r="BW598" s="72">
        <f t="shared" si="1814"/>
        <v>2.0087046157370291E-2</v>
      </c>
      <c r="BX598" s="72">
        <f t="shared" si="1814"/>
        <v>-0.13576871683274158</v>
      </c>
      <c r="BY598" s="72"/>
      <c r="BZ598" s="72">
        <f t="shared" si="1565"/>
        <v>9.6590692169663539E-3</v>
      </c>
    </row>
    <row r="599" spans="1:78" ht="13.15">
      <c r="A599" s="94" t="s">
        <v>10</v>
      </c>
      <c r="B599" s="74" t="s">
        <v>1243</v>
      </c>
      <c r="C599" s="75" t="s">
        <v>1244</v>
      </c>
      <c r="D599" s="75" t="s">
        <v>1178</v>
      </c>
      <c r="E599" s="76"/>
      <c r="F599" s="59"/>
      <c r="G599" s="60"/>
      <c r="H599" s="77">
        <v>18343</v>
      </c>
      <c r="I599" s="77">
        <v>3576</v>
      </c>
      <c r="J599" s="77">
        <v>3375</v>
      </c>
      <c r="K599" s="77">
        <v>1092</v>
      </c>
      <c r="L599" s="77">
        <v>1711</v>
      </c>
      <c r="M599" s="77">
        <v>13347</v>
      </c>
      <c r="N599" s="77"/>
      <c r="O599" s="77">
        <v>600</v>
      </c>
      <c r="P599" s="77"/>
      <c r="Q599" s="77"/>
      <c r="R599" s="77"/>
      <c r="S599" s="77"/>
      <c r="T599" s="77"/>
      <c r="U599" s="77"/>
      <c r="V599" s="77"/>
      <c r="W599" s="77"/>
      <c r="X599" s="77"/>
      <c r="Y599" s="77">
        <v>581</v>
      </c>
      <c r="Z599" s="77"/>
      <c r="AA599" s="77"/>
      <c r="AB599" s="77"/>
      <c r="AC599" s="77"/>
      <c r="AD599" s="77"/>
      <c r="AE599" s="62"/>
      <c r="AF599" s="63" t="b">
        <v>0</v>
      </c>
      <c r="AG599" s="63" t="b">
        <v>0</v>
      </c>
      <c r="AH599" s="62"/>
      <c r="AI599" s="64">
        <f t="shared" si="1557"/>
        <v>42625</v>
      </c>
      <c r="AJ599" s="65" t="str">
        <f t="shared" si="1116"/>
        <v>LAB</v>
      </c>
      <c r="AK599" s="66" t="str">
        <f t="shared" si="1558"/>
        <v>GAIN</v>
      </c>
      <c r="AL599" s="67" t="e">
        <f t="shared" ca="1" si="1559"/>
        <v>#NAME?</v>
      </c>
      <c r="AM599" s="68">
        <f t="shared" si="1408"/>
        <v>4996</v>
      </c>
      <c r="AN599" s="69">
        <f t="shared" si="1409"/>
        <v>0.11720821114369501</v>
      </c>
      <c r="AO599" s="62"/>
      <c r="AP599" s="70">
        <f t="shared" ref="AP599:AU599" si="1815">H599/$AI599</f>
        <v>0.43033431085043988</v>
      </c>
      <c r="AQ599" s="70">
        <f t="shared" si="1815"/>
        <v>8.3894428152492664E-2</v>
      </c>
      <c r="AR599" s="70">
        <f t="shared" si="1815"/>
        <v>7.9178885630498533E-2</v>
      </c>
      <c r="AS599" s="70">
        <f t="shared" si="1815"/>
        <v>2.5618768328445746E-2</v>
      </c>
      <c r="AT599" s="70">
        <f t="shared" si="1815"/>
        <v>4.014076246334311E-2</v>
      </c>
      <c r="AU599" s="70">
        <f t="shared" si="1815"/>
        <v>0.31312609970674488</v>
      </c>
      <c r="AV599" s="70"/>
      <c r="AW599" s="81">
        <f t="shared" si="1561"/>
        <v>2.7706744868035149E-2</v>
      </c>
      <c r="AX599" s="70">
        <f t="shared" ref="AX599:BG599" si="1816">O599/$AI599</f>
        <v>1.407624633431085E-2</v>
      </c>
      <c r="AY599" s="70">
        <f t="shared" si="1816"/>
        <v>0</v>
      </c>
      <c r="AZ599" s="70">
        <f t="shared" si="1816"/>
        <v>0</v>
      </c>
      <c r="BA599" s="70">
        <f t="shared" si="1816"/>
        <v>0</v>
      </c>
      <c r="BB599" s="70">
        <f t="shared" si="1816"/>
        <v>0</v>
      </c>
      <c r="BC599" s="70">
        <f t="shared" si="1816"/>
        <v>0</v>
      </c>
      <c r="BD599" s="70">
        <f t="shared" si="1816"/>
        <v>0</v>
      </c>
      <c r="BE599" s="70">
        <f t="shared" si="1816"/>
        <v>0</v>
      </c>
      <c r="BF599" s="70">
        <f t="shared" si="1816"/>
        <v>0</v>
      </c>
      <c r="BG599" s="70">
        <f t="shared" si="1816"/>
        <v>0</v>
      </c>
      <c r="BH599" s="70">
        <f t="shared" si="1563"/>
        <v>1.3630498533724299E-2</v>
      </c>
      <c r="BI599" s="62"/>
      <c r="BJ599" s="69">
        <v>0.121</v>
      </c>
      <c r="BK599" s="69">
        <v>0.25900000000000001</v>
      </c>
      <c r="BL599" s="69">
        <v>4.0000000000000001E-3</v>
      </c>
      <c r="BM599" s="69">
        <v>6.8000000000000005E-2</v>
      </c>
      <c r="BN599" s="69">
        <v>3.1E-2</v>
      </c>
      <c r="BO599" s="69">
        <v>0.51800000000000002</v>
      </c>
      <c r="BP599" s="69">
        <v>0</v>
      </c>
      <c r="BQ599" s="69">
        <v>0</v>
      </c>
      <c r="BR599" s="62"/>
      <c r="BS599" s="72">
        <f t="shared" ref="BS599:BX599" si="1817">AP599-BJ599</f>
        <v>0.30933431085043989</v>
      </c>
      <c r="BT599" s="72">
        <f t="shared" si="1817"/>
        <v>-0.17510557184750736</v>
      </c>
      <c r="BU599" s="72">
        <f t="shared" si="1817"/>
        <v>7.5178885630498529E-2</v>
      </c>
      <c r="BV599" s="72">
        <f t="shared" si="1817"/>
        <v>-4.2381231671554262E-2</v>
      </c>
      <c r="BW599" s="72">
        <f t="shared" si="1817"/>
        <v>9.1407624633431106E-3</v>
      </c>
      <c r="BX599" s="72">
        <f t="shared" si="1817"/>
        <v>-0.20487390029325514</v>
      </c>
      <c r="BY599" s="72"/>
      <c r="BZ599" s="72">
        <f t="shared" si="1565"/>
        <v>2.7706744868035149E-2</v>
      </c>
    </row>
    <row r="600" spans="1:78" ht="13.15">
      <c r="A600" s="94" t="s">
        <v>10</v>
      </c>
      <c r="B600" s="74" t="s">
        <v>1245</v>
      </c>
      <c r="C600" s="75" t="s">
        <v>1246</v>
      </c>
      <c r="D600" s="75" t="s">
        <v>1178</v>
      </c>
      <c r="E600" s="76"/>
      <c r="F600" s="59"/>
      <c r="G600" s="60"/>
      <c r="H600" s="77">
        <v>15543</v>
      </c>
      <c r="I600" s="77">
        <v>1707</v>
      </c>
      <c r="J600" s="77">
        <v>2371</v>
      </c>
      <c r="K600" s="77">
        <v>872</v>
      </c>
      <c r="L600" s="77">
        <v>2727</v>
      </c>
      <c r="M600" s="77">
        <v>11759</v>
      </c>
      <c r="N600" s="77"/>
      <c r="O600" s="77"/>
      <c r="P600" s="77"/>
      <c r="Q600" s="77"/>
      <c r="R600" s="77"/>
      <c r="S600" s="77"/>
      <c r="T600" s="77"/>
      <c r="U600" s="77"/>
      <c r="V600" s="77"/>
      <c r="W600" s="77"/>
      <c r="X600" s="77"/>
      <c r="Y600" s="77">
        <v>466</v>
      </c>
      <c r="Z600" s="77"/>
      <c r="AA600" s="77"/>
      <c r="AB600" s="77"/>
      <c r="AC600" s="77"/>
      <c r="AD600" s="77"/>
      <c r="AE600" s="62"/>
      <c r="AF600" s="63" t="b">
        <v>0</v>
      </c>
      <c r="AG600" s="63" t="b">
        <v>0</v>
      </c>
      <c r="AH600" s="62"/>
      <c r="AI600" s="64">
        <f t="shared" si="1557"/>
        <v>35445</v>
      </c>
      <c r="AJ600" s="65" t="str">
        <f t="shared" si="1116"/>
        <v>LAB</v>
      </c>
      <c r="AK600" s="66" t="str">
        <f t="shared" si="1558"/>
        <v>GAIN</v>
      </c>
      <c r="AL600" s="67" t="e">
        <f t="shared" ca="1" si="1559"/>
        <v>#NAME?</v>
      </c>
      <c r="AM600" s="68">
        <f t="shared" si="1408"/>
        <v>3784</v>
      </c>
      <c r="AN600" s="69">
        <f t="shared" si="1409"/>
        <v>0.10675694738326985</v>
      </c>
      <c r="AO600" s="62"/>
      <c r="AP600" s="70">
        <f t="shared" ref="AP600:AU600" si="1818">H600/$AI600</f>
        <v>0.43851036817604738</v>
      </c>
      <c r="AQ600" s="70">
        <f t="shared" si="1818"/>
        <v>4.8159119763013118E-2</v>
      </c>
      <c r="AR600" s="70">
        <f t="shared" si="1818"/>
        <v>6.6892368458174631E-2</v>
      </c>
      <c r="AS600" s="70">
        <f t="shared" si="1818"/>
        <v>2.4601495274368741E-2</v>
      </c>
      <c r="AT600" s="70">
        <f t="shared" si="1818"/>
        <v>7.69360981802793E-2</v>
      </c>
      <c r="AU600" s="70">
        <f t="shared" si="1818"/>
        <v>0.33175342079277753</v>
      </c>
      <c r="AV600" s="70"/>
      <c r="AW600" s="81">
        <f t="shared" si="1561"/>
        <v>1.3147129355339349E-2</v>
      </c>
      <c r="AX600" s="70">
        <f t="shared" ref="AX600:BG600" si="1819">O600/$AI600</f>
        <v>0</v>
      </c>
      <c r="AY600" s="70">
        <f t="shared" si="1819"/>
        <v>0</v>
      </c>
      <c r="AZ600" s="70">
        <f t="shared" si="1819"/>
        <v>0</v>
      </c>
      <c r="BA600" s="70">
        <f t="shared" si="1819"/>
        <v>0</v>
      </c>
      <c r="BB600" s="70">
        <f t="shared" si="1819"/>
        <v>0</v>
      </c>
      <c r="BC600" s="70">
        <f t="shared" si="1819"/>
        <v>0</v>
      </c>
      <c r="BD600" s="70">
        <f t="shared" si="1819"/>
        <v>0</v>
      </c>
      <c r="BE600" s="70">
        <f t="shared" si="1819"/>
        <v>0</v>
      </c>
      <c r="BF600" s="70">
        <f t="shared" si="1819"/>
        <v>0</v>
      </c>
      <c r="BG600" s="70">
        <f t="shared" si="1819"/>
        <v>0</v>
      </c>
      <c r="BH600" s="70">
        <f t="shared" si="1563"/>
        <v>1.3147129355339349E-2</v>
      </c>
      <c r="BI600" s="62"/>
      <c r="BJ600" s="69">
        <v>0.33500000000000002</v>
      </c>
      <c r="BK600" s="69">
        <v>0.123</v>
      </c>
      <c r="BL600" s="69">
        <v>1E-3</v>
      </c>
      <c r="BM600" s="69">
        <v>4.1000000000000002E-2</v>
      </c>
      <c r="BN600" s="69">
        <v>1.4E-2</v>
      </c>
      <c r="BO600" s="69">
        <v>0.48699999999999999</v>
      </c>
      <c r="BP600" s="69">
        <v>0</v>
      </c>
      <c r="BQ600" s="69">
        <v>0</v>
      </c>
      <c r="BR600" s="62"/>
      <c r="BS600" s="72">
        <f t="shared" ref="BS600:BX600" si="1820">AP600-BJ600</f>
        <v>0.10351036817604736</v>
      </c>
      <c r="BT600" s="72">
        <f t="shared" si="1820"/>
        <v>-7.4840880236986873E-2</v>
      </c>
      <c r="BU600" s="72">
        <f t="shared" si="1820"/>
        <v>6.589236845817463E-2</v>
      </c>
      <c r="BV600" s="72">
        <f t="shared" si="1820"/>
        <v>-1.6398504725631261E-2</v>
      </c>
      <c r="BW600" s="72">
        <f t="shared" si="1820"/>
        <v>6.2936098180279301E-2</v>
      </c>
      <c r="BX600" s="72">
        <f t="shared" si="1820"/>
        <v>-0.15524657920722246</v>
      </c>
      <c r="BY600" s="72"/>
      <c r="BZ600" s="72">
        <f t="shared" si="1565"/>
        <v>1.3147129355339349E-2</v>
      </c>
    </row>
    <row r="601" spans="1:78" ht="13.15">
      <c r="A601" s="94" t="s">
        <v>10</v>
      </c>
      <c r="B601" s="74" t="s">
        <v>1247</v>
      </c>
      <c r="C601" s="75" t="s">
        <v>1248</v>
      </c>
      <c r="D601" s="75" t="s">
        <v>1178</v>
      </c>
      <c r="E601" s="76"/>
      <c r="F601" s="59"/>
      <c r="G601" s="60"/>
      <c r="H601" s="77">
        <v>14655</v>
      </c>
      <c r="I601" s="77">
        <v>1366</v>
      </c>
      <c r="J601" s="77">
        <v>1655</v>
      </c>
      <c r="K601" s="77">
        <v>1142</v>
      </c>
      <c r="L601" s="77">
        <v>4233</v>
      </c>
      <c r="M601" s="77">
        <v>11116</v>
      </c>
      <c r="N601" s="77"/>
      <c r="O601" s="77"/>
      <c r="P601" s="77"/>
      <c r="Q601" s="77"/>
      <c r="R601" s="77"/>
      <c r="S601" s="77"/>
      <c r="T601" s="77"/>
      <c r="U601" s="77"/>
      <c r="V601" s="77"/>
      <c r="W601" s="77"/>
      <c r="X601" s="77"/>
      <c r="Y601" s="77">
        <v>572</v>
      </c>
      <c r="Z601" s="77"/>
      <c r="AA601" s="77"/>
      <c r="AB601" s="77"/>
      <c r="AC601" s="77"/>
      <c r="AD601" s="77"/>
      <c r="AE601" s="62"/>
      <c r="AF601" s="63" t="b">
        <v>0</v>
      </c>
      <c r="AG601" s="63" t="b">
        <v>0</v>
      </c>
      <c r="AH601" s="62"/>
      <c r="AI601" s="64">
        <f t="shared" si="1557"/>
        <v>34739</v>
      </c>
      <c r="AJ601" s="65" t="str">
        <f t="shared" si="1116"/>
        <v>LAB</v>
      </c>
      <c r="AK601" s="66" t="str">
        <f t="shared" si="1558"/>
        <v>GAIN</v>
      </c>
      <c r="AL601" s="67" t="e">
        <f t="shared" ca="1" si="1559"/>
        <v>#NAME?</v>
      </c>
      <c r="AM601" s="68">
        <f t="shared" si="1408"/>
        <v>3539</v>
      </c>
      <c r="AN601" s="69">
        <f t="shared" si="1409"/>
        <v>0.10187397449552377</v>
      </c>
      <c r="AO601" s="62"/>
      <c r="AP601" s="70">
        <f t="shared" ref="AP601:AU601" si="1821">H601/$AI601</f>
        <v>0.42186015717205444</v>
      </c>
      <c r="AQ601" s="70">
        <f t="shared" si="1821"/>
        <v>3.9321799706381874E-2</v>
      </c>
      <c r="AR601" s="70">
        <f t="shared" si="1821"/>
        <v>4.7640979878522699E-2</v>
      </c>
      <c r="AS601" s="70">
        <f t="shared" si="1821"/>
        <v>3.2873715420708716E-2</v>
      </c>
      <c r="AT601" s="70">
        <f t="shared" si="1821"/>
        <v>0.12185152134488615</v>
      </c>
      <c r="AU601" s="70">
        <f t="shared" si="1821"/>
        <v>0.31998618267653067</v>
      </c>
      <c r="AV601" s="70"/>
      <c r="AW601" s="81">
        <f t="shared" si="1561"/>
        <v>1.6465643800915419E-2</v>
      </c>
      <c r="AX601" s="70">
        <f t="shared" ref="AX601:BG601" si="1822">O601/$AI601</f>
        <v>0</v>
      </c>
      <c r="AY601" s="70">
        <f t="shared" si="1822"/>
        <v>0</v>
      </c>
      <c r="AZ601" s="70">
        <f t="shared" si="1822"/>
        <v>0</v>
      </c>
      <c r="BA601" s="70">
        <f t="shared" si="1822"/>
        <v>0</v>
      </c>
      <c r="BB601" s="70">
        <f t="shared" si="1822"/>
        <v>0</v>
      </c>
      <c r="BC601" s="70">
        <f t="shared" si="1822"/>
        <v>0</v>
      </c>
      <c r="BD601" s="70">
        <f t="shared" si="1822"/>
        <v>0</v>
      </c>
      <c r="BE601" s="70">
        <f t="shared" si="1822"/>
        <v>0</v>
      </c>
      <c r="BF601" s="70">
        <f t="shared" si="1822"/>
        <v>0</v>
      </c>
      <c r="BG601" s="70">
        <f t="shared" si="1822"/>
        <v>0</v>
      </c>
      <c r="BH601" s="70">
        <f t="shared" si="1563"/>
        <v>1.6465643800915419E-2</v>
      </c>
      <c r="BI601" s="62"/>
      <c r="BJ601" s="69">
        <v>0.34100000000000003</v>
      </c>
      <c r="BK601" s="69">
        <v>8.7999999999999995E-2</v>
      </c>
      <c r="BL601" s="69">
        <v>6.0000000000000001E-3</v>
      </c>
      <c r="BM601" s="69">
        <v>5.1999999999999998E-2</v>
      </c>
      <c r="BN601" s="69">
        <v>3.6999999999999998E-2</v>
      </c>
      <c r="BO601" s="69">
        <v>0.47599999999999998</v>
      </c>
      <c r="BP601" s="69">
        <v>0</v>
      </c>
      <c r="BQ601" s="69">
        <v>0</v>
      </c>
      <c r="BR601" s="62"/>
      <c r="BS601" s="72">
        <f t="shared" ref="BS601:BX601" si="1823">AP601-BJ601</f>
        <v>8.0860157172054414E-2</v>
      </c>
      <c r="BT601" s="72">
        <f t="shared" si="1823"/>
        <v>-4.8678200293618121E-2</v>
      </c>
      <c r="BU601" s="72">
        <f t="shared" si="1823"/>
        <v>4.1640979878522701E-2</v>
      </c>
      <c r="BV601" s="72">
        <f t="shared" si="1823"/>
        <v>-1.9126284579291282E-2</v>
      </c>
      <c r="BW601" s="72">
        <f t="shared" si="1823"/>
        <v>8.485152134488616E-2</v>
      </c>
      <c r="BX601" s="72">
        <f t="shared" si="1823"/>
        <v>-0.15601381732346931</v>
      </c>
      <c r="BY601" s="72"/>
      <c r="BZ601" s="72">
        <f t="shared" si="1565"/>
        <v>1.6465643800915419E-2</v>
      </c>
    </row>
    <row r="602" spans="1:78" ht="13.15">
      <c r="A602" s="94" t="s">
        <v>10</v>
      </c>
      <c r="B602" s="74" t="s">
        <v>1249</v>
      </c>
      <c r="C602" s="75" t="s">
        <v>1250</v>
      </c>
      <c r="D602" s="75" t="s">
        <v>1178</v>
      </c>
      <c r="E602" s="76"/>
      <c r="F602" s="59"/>
      <c r="G602" s="60"/>
      <c r="H602" s="77">
        <v>15639</v>
      </c>
      <c r="I602" s="77">
        <v>1182</v>
      </c>
      <c r="J602" s="77">
        <v>2272</v>
      </c>
      <c r="K602" s="77">
        <v>592</v>
      </c>
      <c r="L602" s="77">
        <v>2471</v>
      </c>
      <c r="M602" s="77">
        <v>11002</v>
      </c>
      <c r="N602" s="77"/>
      <c r="O602" s="77"/>
      <c r="P602" s="77"/>
      <c r="Q602" s="77"/>
      <c r="R602" s="77"/>
      <c r="S602" s="77"/>
      <c r="T602" s="77"/>
      <c r="U602" s="77"/>
      <c r="V602" s="77"/>
      <c r="W602" s="77"/>
      <c r="X602" s="77"/>
      <c r="Y602" s="77">
        <v>551</v>
      </c>
      <c r="Z602" s="77">
        <v>236</v>
      </c>
      <c r="AA602" s="77">
        <v>146</v>
      </c>
      <c r="AB602" s="77"/>
      <c r="AC602" s="77"/>
      <c r="AD602" s="77"/>
      <c r="AE602" s="62"/>
      <c r="AF602" s="63" t="b">
        <v>0</v>
      </c>
      <c r="AG602" s="63" t="b">
        <v>0</v>
      </c>
      <c r="AH602" s="62"/>
      <c r="AI602" s="64">
        <f t="shared" si="1557"/>
        <v>34091</v>
      </c>
      <c r="AJ602" s="65" t="str">
        <f t="shared" si="1116"/>
        <v>LAB</v>
      </c>
      <c r="AK602" s="66" t="str">
        <f t="shared" si="1558"/>
        <v>GAIN</v>
      </c>
      <c r="AL602" s="67" t="e">
        <f t="shared" ca="1" si="1559"/>
        <v>#NAME?</v>
      </c>
      <c r="AM602" s="68">
        <f t="shared" si="1408"/>
        <v>4637</v>
      </c>
      <c r="AN602" s="69">
        <f t="shared" si="1409"/>
        <v>0.13601830395118947</v>
      </c>
      <c r="AO602" s="62"/>
      <c r="AP602" s="70">
        <f t="shared" ref="AP602:AU602" si="1824">H602/$AI602</f>
        <v>0.45874277668592883</v>
      </c>
      <c r="AQ602" s="70">
        <f t="shared" si="1824"/>
        <v>3.4671907541579887E-2</v>
      </c>
      <c r="AR602" s="70">
        <f t="shared" si="1824"/>
        <v>6.6645155612918366E-2</v>
      </c>
      <c r="AS602" s="70">
        <f t="shared" si="1824"/>
        <v>1.7365287025901264E-2</v>
      </c>
      <c r="AT602" s="70">
        <f t="shared" si="1824"/>
        <v>7.248247338007098E-2</v>
      </c>
      <c r="AU602" s="70">
        <f t="shared" si="1824"/>
        <v>0.32272447273473936</v>
      </c>
      <c r="AV602" s="70"/>
      <c r="AW602" s="81">
        <f t="shared" si="1561"/>
        <v>2.7367927018861371E-2</v>
      </c>
      <c r="AX602" s="70">
        <f t="shared" ref="AX602:BG602" si="1825">O602/$AI602</f>
        <v>0</v>
      </c>
      <c r="AY602" s="70">
        <f t="shared" si="1825"/>
        <v>0</v>
      </c>
      <c r="AZ602" s="70">
        <f t="shared" si="1825"/>
        <v>0</v>
      </c>
      <c r="BA602" s="70">
        <f t="shared" si="1825"/>
        <v>0</v>
      </c>
      <c r="BB602" s="70">
        <f t="shared" si="1825"/>
        <v>0</v>
      </c>
      <c r="BC602" s="70">
        <f t="shared" si="1825"/>
        <v>0</v>
      </c>
      <c r="BD602" s="70">
        <f t="shared" si="1825"/>
        <v>0</v>
      </c>
      <c r="BE602" s="70">
        <f t="shared" si="1825"/>
        <v>0</v>
      </c>
      <c r="BF602" s="70">
        <f t="shared" si="1825"/>
        <v>0</v>
      </c>
      <c r="BG602" s="70">
        <f t="shared" si="1825"/>
        <v>0</v>
      </c>
      <c r="BH602" s="70">
        <f t="shared" si="1563"/>
        <v>2.7367927018861371E-2</v>
      </c>
      <c r="BI602" s="62"/>
      <c r="BJ602" s="69">
        <v>0.377</v>
      </c>
      <c r="BK602" s="69">
        <v>0.11</v>
      </c>
      <c r="BL602" s="69">
        <v>0</v>
      </c>
      <c r="BM602" s="69">
        <v>3.4000000000000002E-2</v>
      </c>
      <c r="BN602" s="69">
        <v>2E-3</v>
      </c>
      <c r="BO602" s="69">
        <v>0.47799999999999998</v>
      </c>
      <c r="BP602" s="69">
        <v>0</v>
      </c>
      <c r="BQ602" s="69">
        <v>0</v>
      </c>
      <c r="BR602" s="62"/>
      <c r="BS602" s="72">
        <f t="shared" ref="BS602:BX602" si="1826">AP602-BJ602</f>
        <v>8.1742776685928831E-2</v>
      </c>
      <c r="BT602" s="72">
        <f t="shared" si="1826"/>
        <v>-7.5328092458420121E-2</v>
      </c>
      <c r="BU602" s="72">
        <f t="shared" si="1826"/>
        <v>6.6645155612918366E-2</v>
      </c>
      <c r="BV602" s="72">
        <f t="shared" si="1826"/>
        <v>-1.6634712974098739E-2</v>
      </c>
      <c r="BW602" s="72">
        <f t="shared" si="1826"/>
        <v>7.0482473380070979E-2</v>
      </c>
      <c r="BX602" s="72">
        <f t="shared" si="1826"/>
        <v>-0.15527552726526062</v>
      </c>
      <c r="BY602" s="72"/>
      <c r="BZ602" s="72">
        <f t="shared" si="1565"/>
        <v>2.7367927018861371E-2</v>
      </c>
    </row>
    <row r="603" spans="1:78" ht="13.15">
      <c r="A603" s="94" t="s">
        <v>10</v>
      </c>
      <c r="B603" s="74" t="s">
        <v>1251</v>
      </c>
      <c r="C603" s="75" t="s">
        <v>1252</v>
      </c>
      <c r="D603" s="75" t="s">
        <v>1178</v>
      </c>
      <c r="E603" s="76"/>
      <c r="F603" s="59"/>
      <c r="G603" s="60"/>
      <c r="H603" s="77">
        <v>17696</v>
      </c>
      <c r="I603" s="77">
        <v>1617</v>
      </c>
      <c r="J603" s="77">
        <v>1736</v>
      </c>
      <c r="K603" s="77">
        <v>1316</v>
      </c>
      <c r="L603" s="77">
        <v>5554</v>
      </c>
      <c r="M603" s="77">
        <v>13542</v>
      </c>
      <c r="N603" s="77"/>
      <c r="O603" s="77"/>
      <c r="P603" s="77"/>
      <c r="Q603" s="77"/>
      <c r="R603" s="77"/>
      <c r="S603" s="77"/>
      <c r="T603" s="77"/>
      <c r="U603" s="77"/>
      <c r="V603" s="77"/>
      <c r="W603" s="77"/>
      <c r="X603" s="77"/>
      <c r="Y603" s="77">
        <v>473</v>
      </c>
      <c r="Z603" s="77">
        <v>444</v>
      </c>
      <c r="AA603" s="77"/>
      <c r="AB603" s="77"/>
      <c r="AC603" s="77"/>
      <c r="AD603" s="77"/>
      <c r="AE603" s="62"/>
      <c r="AF603" s="63" t="b">
        <v>0</v>
      </c>
      <c r="AG603" s="63" t="b">
        <v>0</v>
      </c>
      <c r="AH603" s="62"/>
      <c r="AI603" s="64">
        <f t="shared" si="1557"/>
        <v>42378</v>
      </c>
      <c r="AJ603" s="65" t="str">
        <f t="shared" si="1116"/>
        <v>LAB</v>
      </c>
      <c r="AK603" s="66" t="str">
        <f t="shared" si="1558"/>
        <v>GAIN</v>
      </c>
      <c r="AL603" s="67" t="e">
        <f t="shared" ca="1" si="1559"/>
        <v>#NAME?</v>
      </c>
      <c r="AM603" s="68">
        <f t="shared" si="1408"/>
        <v>4154</v>
      </c>
      <c r="AN603" s="69">
        <f t="shared" si="1409"/>
        <v>9.8022558874887866E-2</v>
      </c>
      <c r="AO603" s="62"/>
      <c r="AP603" s="70">
        <f t="shared" ref="AP603:AU603" si="1827">H603/$AI603</f>
        <v>0.41757515692104391</v>
      </c>
      <c r="AQ603" s="70">
        <f t="shared" si="1827"/>
        <v>3.8156590683845394E-2</v>
      </c>
      <c r="AR603" s="70">
        <f t="shared" si="1827"/>
        <v>4.0964651470102413E-2</v>
      </c>
      <c r="AS603" s="70">
        <f t="shared" si="1827"/>
        <v>3.1053848695077636E-2</v>
      </c>
      <c r="AT603" s="70">
        <f t="shared" si="1827"/>
        <v>0.13105856812497049</v>
      </c>
      <c r="AU603" s="70">
        <f t="shared" si="1827"/>
        <v>0.31955259804615604</v>
      </c>
      <c r="AV603" s="70"/>
      <c r="AW603" s="81">
        <f t="shared" si="1561"/>
        <v>2.1638586058803977E-2</v>
      </c>
      <c r="AX603" s="70">
        <f t="shared" ref="AX603:BG603" si="1828">O603/$AI603</f>
        <v>0</v>
      </c>
      <c r="AY603" s="70">
        <f t="shared" si="1828"/>
        <v>0</v>
      </c>
      <c r="AZ603" s="70">
        <f t="shared" si="1828"/>
        <v>0</v>
      </c>
      <c r="BA603" s="70">
        <f t="shared" si="1828"/>
        <v>0</v>
      </c>
      <c r="BB603" s="70">
        <f t="shared" si="1828"/>
        <v>0</v>
      </c>
      <c r="BC603" s="70">
        <f t="shared" si="1828"/>
        <v>0</v>
      </c>
      <c r="BD603" s="70">
        <f t="shared" si="1828"/>
        <v>0</v>
      </c>
      <c r="BE603" s="70">
        <f t="shared" si="1828"/>
        <v>0</v>
      </c>
      <c r="BF603" s="70">
        <f t="shared" si="1828"/>
        <v>0</v>
      </c>
      <c r="BG603" s="70">
        <f t="shared" si="1828"/>
        <v>0</v>
      </c>
      <c r="BH603" s="70">
        <f t="shared" si="1563"/>
        <v>2.1638586058803977E-2</v>
      </c>
      <c r="BI603" s="62"/>
      <c r="BJ603" s="69">
        <v>0.29499999999999998</v>
      </c>
      <c r="BK603" s="69">
        <v>0.127</v>
      </c>
      <c r="BL603" s="69">
        <v>8.9999999999999993E-3</v>
      </c>
      <c r="BM603" s="69">
        <v>0.06</v>
      </c>
      <c r="BN603" s="69">
        <v>2.5999999999999999E-2</v>
      </c>
      <c r="BO603" s="69">
        <v>0.48299999999999998</v>
      </c>
      <c r="BP603" s="69">
        <v>0</v>
      </c>
      <c r="BQ603" s="69">
        <v>0</v>
      </c>
      <c r="BR603" s="62"/>
      <c r="BS603" s="72">
        <f t="shared" ref="BS603:BX603" si="1829">AP603-BJ603</f>
        <v>0.12257515692104393</v>
      </c>
      <c r="BT603" s="72">
        <f t="shared" si="1829"/>
        <v>-8.8843409316154615E-2</v>
      </c>
      <c r="BU603" s="72">
        <f t="shared" si="1829"/>
        <v>3.1964651470102412E-2</v>
      </c>
      <c r="BV603" s="72">
        <f t="shared" si="1829"/>
        <v>-2.8946151304922361E-2</v>
      </c>
      <c r="BW603" s="72">
        <f t="shared" si="1829"/>
        <v>0.1050585681249705</v>
      </c>
      <c r="BX603" s="72">
        <f t="shared" si="1829"/>
        <v>-0.16344740195384394</v>
      </c>
      <c r="BY603" s="72"/>
      <c r="BZ603" s="72">
        <f t="shared" si="1565"/>
        <v>2.1638586058803977E-2</v>
      </c>
    </row>
    <row r="604" spans="1:78" ht="13.15">
      <c r="A604" s="94" t="s">
        <v>10</v>
      </c>
      <c r="B604" s="74" t="s">
        <v>1253</v>
      </c>
      <c r="C604" s="75" t="s">
        <v>1254</v>
      </c>
      <c r="D604" s="75" t="s">
        <v>1178</v>
      </c>
      <c r="E604" s="76"/>
      <c r="F604" s="59"/>
      <c r="G604" s="60"/>
      <c r="H604" s="77">
        <v>15552</v>
      </c>
      <c r="I604" s="77">
        <v>1387</v>
      </c>
      <c r="J604" s="77">
        <v>2236</v>
      </c>
      <c r="K604" s="77">
        <v>958</v>
      </c>
      <c r="L604" s="77">
        <v>2727</v>
      </c>
      <c r="M604" s="77">
        <v>12267</v>
      </c>
      <c r="N604" s="77"/>
      <c r="O604" s="77"/>
      <c r="P604" s="77"/>
      <c r="Q604" s="77"/>
      <c r="R604" s="77"/>
      <c r="S604" s="77"/>
      <c r="T604" s="77"/>
      <c r="U604" s="77"/>
      <c r="V604" s="77"/>
      <c r="W604" s="77"/>
      <c r="X604" s="77"/>
      <c r="Y604" s="77">
        <v>542</v>
      </c>
      <c r="Z604" s="77"/>
      <c r="AA604" s="77"/>
      <c r="AB604" s="77"/>
      <c r="AC604" s="77"/>
      <c r="AD604" s="77"/>
      <c r="AE604" s="62"/>
      <c r="AF604" s="63" t="b">
        <v>0</v>
      </c>
      <c r="AG604" s="63" t="b">
        <v>0</v>
      </c>
      <c r="AH604" s="62"/>
      <c r="AI604" s="64">
        <f t="shared" si="1557"/>
        <v>35669</v>
      </c>
      <c r="AJ604" s="65" t="str">
        <f t="shared" si="1116"/>
        <v>LAB</v>
      </c>
      <c r="AK604" s="66" t="str">
        <f t="shared" si="1558"/>
        <v>GAIN</v>
      </c>
      <c r="AL604" s="67" t="e">
        <f t="shared" ca="1" si="1559"/>
        <v>#NAME?</v>
      </c>
      <c r="AM604" s="68">
        <f t="shared" si="1408"/>
        <v>3285</v>
      </c>
      <c r="AN604" s="69">
        <f t="shared" si="1409"/>
        <v>9.2096778715411109E-2</v>
      </c>
      <c r="AO604" s="62"/>
      <c r="AP604" s="70">
        <f t="shared" ref="AP604:AU604" si="1830">H604/$AI604</f>
        <v>0.43600885923350807</v>
      </c>
      <c r="AQ604" s="70">
        <f t="shared" si="1830"/>
        <v>3.8885306568729149E-2</v>
      </c>
      <c r="AR604" s="70">
        <f t="shared" si="1830"/>
        <v>6.2687487734447281E-2</v>
      </c>
      <c r="AS604" s="70">
        <f t="shared" si="1830"/>
        <v>2.6858056015027054E-2</v>
      </c>
      <c r="AT604" s="70">
        <f t="shared" si="1830"/>
        <v>7.6452942330875545E-2</v>
      </c>
      <c r="AU604" s="70">
        <f t="shared" si="1830"/>
        <v>0.34391208051809696</v>
      </c>
      <c r="AV604" s="70"/>
      <c r="AW604" s="81">
        <f t="shared" si="1561"/>
        <v>1.5195267599315998E-2</v>
      </c>
      <c r="AX604" s="70">
        <f t="shared" ref="AX604:BG604" si="1831">O604/$AI604</f>
        <v>0</v>
      </c>
      <c r="AY604" s="70">
        <f t="shared" si="1831"/>
        <v>0</v>
      </c>
      <c r="AZ604" s="70">
        <f t="shared" si="1831"/>
        <v>0</v>
      </c>
      <c r="BA604" s="70">
        <f t="shared" si="1831"/>
        <v>0</v>
      </c>
      <c r="BB604" s="70">
        <f t="shared" si="1831"/>
        <v>0</v>
      </c>
      <c r="BC604" s="70">
        <f t="shared" si="1831"/>
        <v>0</v>
      </c>
      <c r="BD604" s="70">
        <f t="shared" si="1831"/>
        <v>0</v>
      </c>
      <c r="BE604" s="70">
        <f t="shared" si="1831"/>
        <v>0</v>
      </c>
      <c r="BF604" s="70">
        <f t="shared" si="1831"/>
        <v>0</v>
      </c>
      <c r="BG604" s="70">
        <f t="shared" si="1831"/>
        <v>0</v>
      </c>
      <c r="BH604" s="70">
        <f t="shared" si="1563"/>
        <v>1.5195267599315998E-2</v>
      </c>
      <c r="BI604" s="62"/>
      <c r="BJ604" s="69">
        <v>0.33800000000000002</v>
      </c>
      <c r="BK604" s="69">
        <v>0.126</v>
      </c>
      <c r="BL604" s="69">
        <v>1.6E-2</v>
      </c>
      <c r="BM604" s="69">
        <v>4.3999999999999997E-2</v>
      </c>
      <c r="BN604" s="69">
        <v>8.0000000000000002E-3</v>
      </c>
      <c r="BO604" s="69">
        <v>0.46700000000000003</v>
      </c>
      <c r="BP604" s="69">
        <v>0</v>
      </c>
      <c r="BQ604" s="69">
        <v>0</v>
      </c>
      <c r="BR604" s="62"/>
      <c r="BS604" s="72">
        <f t="shared" ref="BS604:BX604" si="1832">AP604-BJ604</f>
        <v>9.800885923350805E-2</v>
      </c>
      <c r="BT604" s="72">
        <f t="shared" si="1832"/>
        <v>-8.7114693431270845E-2</v>
      </c>
      <c r="BU604" s="72">
        <f t="shared" si="1832"/>
        <v>4.6687487734447281E-2</v>
      </c>
      <c r="BV604" s="72">
        <f t="shared" si="1832"/>
        <v>-1.7141943984972943E-2</v>
      </c>
      <c r="BW604" s="72">
        <f t="shared" si="1832"/>
        <v>6.8452942330875538E-2</v>
      </c>
      <c r="BX604" s="72">
        <f t="shared" si="1832"/>
        <v>-0.12308791948190306</v>
      </c>
      <c r="BY604" s="72"/>
      <c r="BZ604" s="72">
        <f t="shared" si="1565"/>
        <v>1.5195267599315998E-2</v>
      </c>
    </row>
    <row r="605" spans="1:78" ht="13.15">
      <c r="A605" s="94" t="s">
        <v>10</v>
      </c>
      <c r="B605" s="74" t="s">
        <v>1255</v>
      </c>
      <c r="C605" s="75" t="s">
        <v>1256</v>
      </c>
      <c r="D605" s="75" t="s">
        <v>1178</v>
      </c>
      <c r="E605" s="76"/>
      <c r="F605" s="59"/>
      <c r="G605" s="60"/>
      <c r="H605" s="77">
        <v>18621</v>
      </c>
      <c r="I605" s="77">
        <v>1720</v>
      </c>
      <c r="J605" s="77">
        <v>2098</v>
      </c>
      <c r="K605" s="77">
        <v>1316</v>
      </c>
      <c r="L605" s="77">
        <v>3662</v>
      </c>
      <c r="M605" s="77">
        <v>12175</v>
      </c>
      <c r="N605" s="77"/>
      <c r="O605" s="77"/>
      <c r="P605" s="77"/>
      <c r="Q605" s="77"/>
      <c r="R605" s="77"/>
      <c r="S605" s="77"/>
      <c r="T605" s="77"/>
      <c r="U605" s="77"/>
      <c r="V605" s="77"/>
      <c r="W605" s="77"/>
      <c r="X605" s="77"/>
      <c r="Y605" s="77">
        <v>310</v>
      </c>
      <c r="Z605" s="77"/>
      <c r="AA605" s="77"/>
      <c r="AB605" s="77"/>
      <c r="AC605" s="77"/>
      <c r="AD605" s="77"/>
      <c r="AE605" s="62"/>
      <c r="AF605" s="63" t="b">
        <v>0</v>
      </c>
      <c r="AG605" s="63" t="b">
        <v>0</v>
      </c>
      <c r="AH605" s="62"/>
      <c r="AI605" s="64">
        <f t="shared" si="1557"/>
        <v>39902</v>
      </c>
      <c r="AJ605" s="65" t="str">
        <f t="shared" si="1116"/>
        <v>LAB</v>
      </c>
      <c r="AK605" s="66" t="str">
        <f t="shared" si="1558"/>
        <v>GAIN</v>
      </c>
      <c r="AL605" s="67" t="e">
        <f t="shared" ca="1" si="1559"/>
        <v>#NAME?</v>
      </c>
      <c r="AM605" s="68">
        <f t="shared" si="1408"/>
        <v>6446</v>
      </c>
      <c r="AN605" s="69">
        <f t="shared" si="1409"/>
        <v>0.16154578717858753</v>
      </c>
      <c r="AO605" s="62"/>
      <c r="AP605" s="70">
        <f t="shared" ref="AP605:AU605" si="1833">H605/$AI605</f>
        <v>0.46666833742669539</v>
      </c>
      <c r="AQ605" s="70">
        <f t="shared" si="1833"/>
        <v>4.3105608741416473E-2</v>
      </c>
      <c r="AR605" s="70">
        <f t="shared" si="1833"/>
        <v>5.2578818104355669E-2</v>
      </c>
      <c r="AS605" s="70">
        <f t="shared" si="1833"/>
        <v>3.2980802967269809E-2</v>
      </c>
      <c r="AT605" s="70">
        <f t="shared" si="1833"/>
        <v>9.1774848378527396E-2</v>
      </c>
      <c r="AU605" s="70">
        <f t="shared" si="1833"/>
        <v>0.30512255024810786</v>
      </c>
      <c r="AV605" s="70"/>
      <c r="AW605" s="81">
        <f t="shared" si="1561"/>
        <v>7.7690341336273949E-3</v>
      </c>
      <c r="AX605" s="70">
        <f t="shared" ref="AX605:BG605" si="1834">O605/$AI605</f>
        <v>0</v>
      </c>
      <c r="AY605" s="70">
        <f t="shared" si="1834"/>
        <v>0</v>
      </c>
      <c r="AZ605" s="70">
        <f t="shared" si="1834"/>
        <v>0</v>
      </c>
      <c r="BA605" s="70">
        <f t="shared" si="1834"/>
        <v>0</v>
      </c>
      <c r="BB605" s="70">
        <f t="shared" si="1834"/>
        <v>0</v>
      </c>
      <c r="BC605" s="70">
        <f t="shared" si="1834"/>
        <v>0</v>
      </c>
      <c r="BD605" s="70">
        <f t="shared" si="1834"/>
        <v>0</v>
      </c>
      <c r="BE605" s="70">
        <f t="shared" si="1834"/>
        <v>0</v>
      </c>
      <c r="BF605" s="70">
        <f t="shared" si="1834"/>
        <v>0</v>
      </c>
      <c r="BG605" s="70">
        <f t="shared" si="1834"/>
        <v>0</v>
      </c>
      <c r="BH605" s="70">
        <f t="shared" si="1563"/>
        <v>7.7690341336273949E-3</v>
      </c>
      <c r="BI605" s="62"/>
      <c r="BJ605" s="69">
        <v>0.28000000000000003</v>
      </c>
      <c r="BK605" s="69">
        <v>0.154</v>
      </c>
      <c r="BL605" s="69">
        <v>2E-3</v>
      </c>
      <c r="BM605" s="69">
        <v>7.4999999999999997E-2</v>
      </c>
      <c r="BN605" s="69">
        <v>4.0000000000000001E-3</v>
      </c>
      <c r="BO605" s="69">
        <v>0.48599999999999999</v>
      </c>
      <c r="BP605" s="69">
        <v>0</v>
      </c>
      <c r="BQ605" s="69">
        <v>0</v>
      </c>
      <c r="BR605" s="62"/>
      <c r="BS605" s="72">
        <f t="shared" ref="BS605:BX605" si="1835">AP605-BJ605</f>
        <v>0.18666833742669536</v>
      </c>
      <c r="BT605" s="72">
        <f t="shared" si="1835"/>
        <v>-0.11089439125858352</v>
      </c>
      <c r="BU605" s="72">
        <f t="shared" si="1835"/>
        <v>5.0578818104355668E-2</v>
      </c>
      <c r="BV605" s="72">
        <f t="shared" si="1835"/>
        <v>-4.2019197032730188E-2</v>
      </c>
      <c r="BW605" s="72">
        <f t="shared" si="1835"/>
        <v>8.7774848378527393E-2</v>
      </c>
      <c r="BX605" s="72">
        <f t="shared" si="1835"/>
        <v>-0.18087744975189213</v>
      </c>
      <c r="BY605" s="72"/>
      <c r="BZ605" s="72">
        <f t="shared" si="1565"/>
        <v>7.7690341336273949E-3</v>
      </c>
    </row>
    <row r="606" spans="1:78" ht="13.15">
      <c r="A606" s="94" t="s">
        <v>10</v>
      </c>
      <c r="B606" s="74" t="s">
        <v>1257</v>
      </c>
      <c r="C606" s="75" t="s">
        <v>1258</v>
      </c>
      <c r="D606" s="75" t="s">
        <v>1178</v>
      </c>
      <c r="E606" s="76"/>
      <c r="F606" s="59"/>
      <c r="G606" s="60"/>
      <c r="H606" s="77">
        <v>15994</v>
      </c>
      <c r="I606" s="77">
        <v>1973</v>
      </c>
      <c r="J606" s="77">
        <v>3528</v>
      </c>
      <c r="K606" s="77">
        <v>1604</v>
      </c>
      <c r="L606" s="77"/>
      <c r="M606" s="77">
        <v>13040</v>
      </c>
      <c r="N606" s="77"/>
      <c r="O606" s="77"/>
      <c r="P606" s="77"/>
      <c r="Q606" s="77"/>
      <c r="R606" s="77"/>
      <c r="S606" s="77"/>
      <c r="T606" s="77"/>
      <c r="U606" s="77"/>
      <c r="V606" s="77"/>
      <c r="W606" s="77"/>
      <c r="X606" s="77"/>
      <c r="Y606" s="77"/>
      <c r="Z606" s="77"/>
      <c r="AA606" s="77"/>
      <c r="AB606" s="77"/>
      <c r="AC606" s="77"/>
      <c r="AD606" s="77"/>
      <c r="AE606" s="62"/>
      <c r="AF606" s="63" t="b">
        <v>0</v>
      </c>
      <c r="AG606" s="63" t="b">
        <v>0</v>
      </c>
      <c r="AH606" s="62"/>
      <c r="AI606" s="64">
        <f t="shared" si="1557"/>
        <v>36139</v>
      </c>
      <c r="AJ606" s="65" t="str">
        <f t="shared" si="1116"/>
        <v>LAB</v>
      </c>
      <c r="AK606" s="66" t="str">
        <f t="shared" si="1558"/>
        <v>GAIN</v>
      </c>
      <c r="AL606" s="67" t="e">
        <f t="shared" ca="1" si="1559"/>
        <v>#NAME?</v>
      </c>
      <c r="AM606" s="68">
        <f t="shared" si="1408"/>
        <v>2954</v>
      </c>
      <c r="AN606" s="69">
        <f t="shared" si="1409"/>
        <v>8.1739948532056794E-2</v>
      </c>
      <c r="AO606" s="62"/>
      <c r="AP606" s="70">
        <f t="shared" ref="AP606:AU606" si="1836">H606/$AI606</f>
        <v>0.44256896981100752</v>
      </c>
      <c r="AQ606" s="70">
        <f t="shared" si="1836"/>
        <v>5.4594759124491549E-2</v>
      </c>
      <c r="AR606" s="70">
        <f t="shared" si="1836"/>
        <v>9.762306649326212E-2</v>
      </c>
      <c r="AS606" s="70">
        <f t="shared" si="1836"/>
        <v>4.4384183292288111E-2</v>
      </c>
      <c r="AT606" s="70">
        <f t="shared" si="1836"/>
        <v>0</v>
      </c>
      <c r="AU606" s="70">
        <f t="shared" si="1836"/>
        <v>0.36082902127895072</v>
      </c>
      <c r="AV606" s="70"/>
      <c r="AW606" s="81">
        <f t="shared" si="1561"/>
        <v>0</v>
      </c>
      <c r="AX606" s="70">
        <f t="shared" ref="AX606:BG606" si="1837">O606/$AI606</f>
        <v>0</v>
      </c>
      <c r="AY606" s="70">
        <f t="shared" si="1837"/>
        <v>0</v>
      </c>
      <c r="AZ606" s="70">
        <f t="shared" si="1837"/>
        <v>0</v>
      </c>
      <c r="BA606" s="70">
        <f t="shared" si="1837"/>
        <v>0</v>
      </c>
      <c r="BB606" s="70">
        <f t="shared" si="1837"/>
        <v>0</v>
      </c>
      <c r="BC606" s="70">
        <f t="shared" si="1837"/>
        <v>0</v>
      </c>
      <c r="BD606" s="70">
        <f t="shared" si="1837"/>
        <v>0</v>
      </c>
      <c r="BE606" s="70">
        <f t="shared" si="1837"/>
        <v>0</v>
      </c>
      <c r="BF606" s="70">
        <f t="shared" si="1837"/>
        <v>0</v>
      </c>
      <c r="BG606" s="70">
        <f t="shared" si="1837"/>
        <v>0</v>
      </c>
      <c r="BH606" s="70">
        <f t="shared" si="1563"/>
        <v>0</v>
      </c>
      <c r="BI606" s="62"/>
      <c r="BJ606" s="69">
        <v>0.27400000000000002</v>
      </c>
      <c r="BK606" s="69">
        <v>0.153</v>
      </c>
      <c r="BL606" s="69">
        <v>0.03</v>
      </c>
      <c r="BM606" s="69">
        <v>4.3999999999999997E-2</v>
      </c>
      <c r="BN606" s="69">
        <v>4.0000000000000001E-3</v>
      </c>
      <c r="BO606" s="69">
        <v>0.495</v>
      </c>
      <c r="BP606" s="69">
        <v>0</v>
      </c>
      <c r="BQ606" s="69">
        <v>0</v>
      </c>
      <c r="BR606" s="62"/>
      <c r="BS606" s="72">
        <f t="shared" ref="BS606:BX606" si="1838">AP606-BJ606</f>
        <v>0.1685689698110075</v>
      </c>
      <c r="BT606" s="72">
        <f t="shared" si="1838"/>
        <v>-9.8405240875508448E-2</v>
      </c>
      <c r="BU606" s="72">
        <f t="shared" si="1838"/>
        <v>6.7623066493262121E-2</v>
      </c>
      <c r="BV606" s="72">
        <f t="shared" si="1838"/>
        <v>3.841832922881136E-4</v>
      </c>
      <c r="BW606" s="72">
        <f t="shared" si="1838"/>
        <v>-4.0000000000000001E-3</v>
      </c>
      <c r="BX606" s="72">
        <f t="shared" si="1838"/>
        <v>-0.13417097872104927</v>
      </c>
      <c r="BY606" s="72"/>
      <c r="BZ606" s="72">
        <f t="shared" si="1565"/>
        <v>0</v>
      </c>
    </row>
    <row r="607" spans="1:78" ht="13.15">
      <c r="A607" s="73" t="s">
        <v>6</v>
      </c>
      <c r="B607" s="74" t="s">
        <v>1259</v>
      </c>
      <c r="C607" s="75" t="s">
        <v>1260</v>
      </c>
      <c r="D607" s="75" t="s">
        <v>1178</v>
      </c>
      <c r="E607" s="76"/>
      <c r="F607" s="59"/>
      <c r="G607" s="60"/>
      <c r="H607" s="77">
        <v>4686</v>
      </c>
      <c r="I607" s="77">
        <v>14418</v>
      </c>
      <c r="J607" s="77">
        <v>3897</v>
      </c>
      <c r="K607" s="77">
        <v>7307</v>
      </c>
      <c r="L607" s="77"/>
      <c r="M607" s="77">
        <v>13540</v>
      </c>
      <c r="N607" s="77"/>
      <c r="O607" s="77"/>
      <c r="P607" s="77"/>
      <c r="Q607" s="77"/>
      <c r="R607" s="77"/>
      <c r="S607" s="77"/>
      <c r="T607" s="77"/>
      <c r="U607" s="77"/>
      <c r="V607" s="77"/>
      <c r="W607" s="77"/>
      <c r="X607" s="77"/>
      <c r="Y607" s="77"/>
      <c r="Z607" s="77"/>
      <c r="AA607" s="77"/>
      <c r="AB607" s="77"/>
      <c r="AC607" s="77"/>
      <c r="AD607" s="77"/>
      <c r="AE607" s="62"/>
      <c r="AF607" s="63" t="b">
        <v>0</v>
      </c>
      <c r="AG607" s="63" t="b">
        <v>0</v>
      </c>
      <c r="AH607" s="62"/>
      <c r="AI607" s="64">
        <f t="shared" si="1557"/>
        <v>43848</v>
      </c>
      <c r="AJ607" s="65" t="str">
        <f t="shared" si="1116"/>
        <v>CON</v>
      </c>
      <c r="AK607" s="66" t="str">
        <f t="shared" si="1558"/>
        <v>HOLD</v>
      </c>
      <c r="AL607" s="67" t="e">
        <f t="shared" ca="1" si="1559"/>
        <v>#NAME?</v>
      </c>
      <c r="AM607" s="68">
        <f t="shared" si="1408"/>
        <v>878</v>
      </c>
      <c r="AN607" s="69">
        <f t="shared" si="1409"/>
        <v>2.0023718299580384E-2</v>
      </c>
      <c r="AO607" s="62"/>
      <c r="AP607" s="70">
        <f t="shared" ref="AP607:AU607" si="1839">H607/$AI607</f>
        <v>0.10686918445539136</v>
      </c>
      <c r="AQ607" s="70">
        <f t="shared" si="1839"/>
        <v>0.3288177339901478</v>
      </c>
      <c r="AR607" s="70">
        <f t="shared" si="1839"/>
        <v>8.8875205254515602E-2</v>
      </c>
      <c r="AS607" s="70">
        <f t="shared" si="1839"/>
        <v>0.16664386060937786</v>
      </c>
      <c r="AT607" s="70">
        <f t="shared" si="1839"/>
        <v>0</v>
      </c>
      <c r="AU607" s="70">
        <f t="shared" si="1839"/>
        <v>0.30879401569056741</v>
      </c>
      <c r="AV607" s="70"/>
      <c r="AW607" s="81">
        <f t="shared" si="1561"/>
        <v>0</v>
      </c>
      <c r="AX607" s="70">
        <f t="shared" ref="AX607:BG607" si="1840">O607/$AI607</f>
        <v>0</v>
      </c>
      <c r="AY607" s="70">
        <f t="shared" si="1840"/>
        <v>0</v>
      </c>
      <c r="AZ607" s="70">
        <f t="shared" si="1840"/>
        <v>0</v>
      </c>
      <c r="BA607" s="70">
        <f t="shared" si="1840"/>
        <v>0</v>
      </c>
      <c r="BB607" s="70">
        <f t="shared" si="1840"/>
        <v>0</v>
      </c>
      <c r="BC607" s="70">
        <f t="shared" si="1840"/>
        <v>0</v>
      </c>
      <c r="BD607" s="70">
        <f t="shared" si="1840"/>
        <v>0</v>
      </c>
      <c r="BE607" s="70">
        <f t="shared" si="1840"/>
        <v>0</v>
      </c>
      <c r="BF607" s="70">
        <f t="shared" si="1840"/>
        <v>0</v>
      </c>
      <c r="BG607" s="70">
        <f t="shared" si="1840"/>
        <v>0</v>
      </c>
      <c r="BH607" s="70">
        <f t="shared" si="1563"/>
        <v>0</v>
      </c>
      <c r="BI607" s="62"/>
      <c r="BJ607" s="69">
        <v>3.5000000000000003E-2</v>
      </c>
      <c r="BK607" s="69">
        <v>0.46</v>
      </c>
      <c r="BL607" s="69">
        <v>0</v>
      </c>
      <c r="BM607" s="69">
        <v>0.114</v>
      </c>
      <c r="BN607" s="69">
        <v>0</v>
      </c>
      <c r="BO607" s="69">
        <v>0.39200000000000002</v>
      </c>
      <c r="BP607" s="69">
        <v>0</v>
      </c>
      <c r="BQ607" s="69">
        <v>0</v>
      </c>
      <c r="BR607" s="62"/>
      <c r="BS607" s="72">
        <f t="shared" ref="BS607:BX607" si="1841">AP607-BJ607</f>
        <v>7.1869184455391352E-2</v>
      </c>
      <c r="BT607" s="72">
        <f t="shared" si="1841"/>
        <v>-0.13118226600985222</v>
      </c>
      <c r="BU607" s="72">
        <f t="shared" si="1841"/>
        <v>8.8875205254515602E-2</v>
      </c>
      <c r="BV607" s="72">
        <f t="shared" si="1841"/>
        <v>5.2643860609377854E-2</v>
      </c>
      <c r="BW607" s="72">
        <f t="shared" si="1841"/>
        <v>0</v>
      </c>
      <c r="BX607" s="72">
        <f t="shared" si="1841"/>
        <v>-8.3205984309432601E-2</v>
      </c>
      <c r="BY607" s="72"/>
      <c r="BZ607" s="72">
        <f t="shared" si="1565"/>
        <v>0</v>
      </c>
    </row>
    <row r="608" spans="1:78" ht="13.15">
      <c r="A608" s="94" t="s">
        <v>10</v>
      </c>
      <c r="B608" s="74" t="s">
        <v>1261</v>
      </c>
      <c r="C608" s="75" t="s">
        <v>1262</v>
      </c>
      <c r="D608" s="75" t="s">
        <v>1178</v>
      </c>
      <c r="E608" s="76"/>
      <c r="F608" s="59"/>
      <c r="G608" s="60"/>
      <c r="H608" s="77">
        <v>21020</v>
      </c>
      <c r="I608" s="77">
        <v>4589</v>
      </c>
      <c r="J608" s="77">
        <v>3299</v>
      </c>
      <c r="K608" s="77">
        <v>1511</v>
      </c>
      <c r="L608" s="77"/>
      <c r="M608" s="77">
        <v>11548</v>
      </c>
      <c r="N608" s="77"/>
      <c r="O608" s="77"/>
      <c r="P608" s="77"/>
      <c r="Q608" s="77"/>
      <c r="R608" s="77"/>
      <c r="S608" s="77"/>
      <c r="T608" s="77"/>
      <c r="U608" s="77"/>
      <c r="V608" s="77"/>
      <c r="W608" s="77"/>
      <c r="X608" s="77"/>
      <c r="Y608" s="77">
        <v>117</v>
      </c>
      <c r="Z608" s="77"/>
      <c r="AA608" s="77"/>
      <c r="AB608" s="77"/>
      <c r="AC608" s="77"/>
      <c r="AD608" s="77"/>
      <c r="AE608" s="62"/>
      <c r="AF608" s="63" t="b">
        <v>0</v>
      </c>
      <c r="AG608" s="63" t="b">
        <v>0</v>
      </c>
      <c r="AH608" s="62"/>
      <c r="AI608" s="64">
        <f t="shared" si="1557"/>
        <v>42084</v>
      </c>
      <c r="AJ608" s="65" t="str">
        <f t="shared" si="1116"/>
        <v>LAB</v>
      </c>
      <c r="AK608" s="66" t="str">
        <f t="shared" si="1558"/>
        <v>GAIN</v>
      </c>
      <c r="AL608" s="67" t="e">
        <f t="shared" ca="1" si="1559"/>
        <v>#NAME?</v>
      </c>
      <c r="AM608" s="68">
        <f t="shared" si="1408"/>
        <v>9472</v>
      </c>
      <c r="AN608" s="69">
        <f t="shared" si="1409"/>
        <v>0.22507366219941066</v>
      </c>
      <c r="AO608" s="62"/>
      <c r="AP608" s="70">
        <f t="shared" ref="AP608:AU608" si="1842">H608/$AI608</f>
        <v>0.49947723600418209</v>
      </c>
      <c r="AQ608" s="70">
        <f t="shared" si="1842"/>
        <v>0.10904381712764946</v>
      </c>
      <c r="AR608" s="70">
        <f t="shared" si="1842"/>
        <v>7.8390837372873307E-2</v>
      </c>
      <c r="AS608" s="70">
        <f t="shared" si="1842"/>
        <v>3.5904381712764943E-2</v>
      </c>
      <c r="AT608" s="70">
        <f t="shared" si="1842"/>
        <v>0</v>
      </c>
      <c r="AU608" s="70">
        <f t="shared" si="1842"/>
        <v>0.27440357380477143</v>
      </c>
      <c r="AV608" s="70"/>
      <c r="AW608" s="81">
        <f t="shared" si="1561"/>
        <v>2.7801539777587703E-3</v>
      </c>
      <c r="AX608" s="70">
        <f t="shared" ref="AX608:BG608" si="1843">O608/$AI608</f>
        <v>0</v>
      </c>
      <c r="AY608" s="70">
        <f t="shared" si="1843"/>
        <v>0</v>
      </c>
      <c r="AZ608" s="70">
        <f t="shared" si="1843"/>
        <v>0</v>
      </c>
      <c r="BA608" s="70">
        <f t="shared" si="1843"/>
        <v>0</v>
      </c>
      <c r="BB608" s="70">
        <f t="shared" si="1843"/>
        <v>0</v>
      </c>
      <c r="BC608" s="70">
        <f t="shared" si="1843"/>
        <v>0</v>
      </c>
      <c r="BD608" s="70">
        <f t="shared" si="1843"/>
        <v>0</v>
      </c>
      <c r="BE608" s="70">
        <f t="shared" si="1843"/>
        <v>0</v>
      </c>
      <c r="BF608" s="70">
        <f t="shared" si="1843"/>
        <v>0</v>
      </c>
      <c r="BG608" s="70">
        <f t="shared" si="1843"/>
        <v>0</v>
      </c>
      <c r="BH608" s="70">
        <f t="shared" si="1563"/>
        <v>2.7801539777587703E-3</v>
      </c>
      <c r="BI608" s="62"/>
      <c r="BJ608" s="69">
        <v>0.27100000000000002</v>
      </c>
      <c r="BK608" s="69">
        <v>0.255</v>
      </c>
      <c r="BL608" s="69">
        <v>0</v>
      </c>
      <c r="BM608" s="69">
        <v>3.7999999999999999E-2</v>
      </c>
      <c r="BN608" s="69">
        <v>2E-3</v>
      </c>
      <c r="BO608" s="69">
        <v>0.435</v>
      </c>
      <c r="BP608" s="69">
        <v>0</v>
      </c>
      <c r="BQ608" s="69">
        <v>0</v>
      </c>
      <c r="BR608" s="62"/>
      <c r="BS608" s="72">
        <f t="shared" ref="BS608:BX608" si="1844">AP608-BJ608</f>
        <v>0.22847723600418207</v>
      </c>
      <c r="BT608" s="72">
        <f t="shared" si="1844"/>
        <v>-0.14595618287235054</v>
      </c>
      <c r="BU608" s="72">
        <f t="shared" si="1844"/>
        <v>7.8390837372873307E-2</v>
      </c>
      <c r="BV608" s="72">
        <f t="shared" si="1844"/>
        <v>-2.0956182872350557E-3</v>
      </c>
      <c r="BW608" s="72">
        <f t="shared" si="1844"/>
        <v>-2E-3</v>
      </c>
      <c r="BX608" s="72">
        <f t="shared" si="1844"/>
        <v>-0.16059642619522857</v>
      </c>
      <c r="BY608" s="72"/>
      <c r="BZ608" s="72">
        <f t="shared" si="1565"/>
        <v>2.7801539777587703E-3</v>
      </c>
    </row>
    <row r="609" spans="1:78" ht="13.15">
      <c r="A609" s="94" t="s">
        <v>10</v>
      </c>
      <c r="B609" s="74" t="s">
        <v>1263</v>
      </c>
      <c r="C609" s="75" t="s">
        <v>1264</v>
      </c>
      <c r="D609" s="75" t="s">
        <v>1178</v>
      </c>
      <c r="E609" s="76"/>
      <c r="F609" s="59"/>
      <c r="G609" s="60"/>
      <c r="H609" s="77">
        <v>18931</v>
      </c>
      <c r="I609" s="77">
        <v>2863</v>
      </c>
      <c r="J609" s="77">
        <v>2476</v>
      </c>
      <c r="K609" s="77">
        <v>1259</v>
      </c>
      <c r="L609" s="77">
        <v>1173</v>
      </c>
      <c r="M609" s="77">
        <v>12560</v>
      </c>
      <c r="N609" s="77"/>
      <c r="O609" s="77">
        <v>365</v>
      </c>
      <c r="P609" s="77"/>
      <c r="Q609" s="77"/>
      <c r="R609" s="77"/>
      <c r="S609" s="77"/>
      <c r="T609" s="77"/>
      <c r="U609" s="77"/>
      <c r="V609" s="77"/>
      <c r="W609" s="77"/>
      <c r="X609" s="77"/>
      <c r="Y609" s="77">
        <v>723</v>
      </c>
      <c r="Z609" s="77"/>
      <c r="AA609" s="77"/>
      <c r="AB609" s="77"/>
      <c r="AC609" s="77"/>
      <c r="AD609" s="77"/>
      <c r="AE609" s="62"/>
      <c r="AF609" s="63" t="b">
        <v>0</v>
      </c>
      <c r="AG609" s="63" t="b">
        <v>0</v>
      </c>
      <c r="AH609" s="62"/>
      <c r="AI609" s="64">
        <f t="shared" si="1557"/>
        <v>40350</v>
      </c>
      <c r="AJ609" s="65" t="str">
        <f t="shared" si="1116"/>
        <v>LAB</v>
      </c>
      <c r="AK609" s="66" t="str">
        <f t="shared" si="1558"/>
        <v>GAIN</v>
      </c>
      <c r="AL609" s="67" t="e">
        <f t="shared" ca="1" si="1559"/>
        <v>#NAME?</v>
      </c>
      <c r="AM609" s="68">
        <f t="shared" si="1408"/>
        <v>6371</v>
      </c>
      <c r="AN609" s="69">
        <f t="shared" si="1409"/>
        <v>0.15789343246592319</v>
      </c>
      <c r="AO609" s="62"/>
      <c r="AP609" s="70">
        <f t="shared" ref="AP609:AU609" si="1845">H609/$AI609</f>
        <v>0.46916976456009912</v>
      </c>
      <c r="AQ609" s="70">
        <f t="shared" si="1845"/>
        <v>7.0954151177199498E-2</v>
      </c>
      <c r="AR609" s="70">
        <f t="shared" si="1845"/>
        <v>6.1363073110285007E-2</v>
      </c>
      <c r="AS609" s="70">
        <f t="shared" si="1845"/>
        <v>3.1201982651796779E-2</v>
      </c>
      <c r="AT609" s="70">
        <f t="shared" si="1845"/>
        <v>2.9070631970260222E-2</v>
      </c>
      <c r="AU609" s="70">
        <f t="shared" si="1845"/>
        <v>0.31127633209417593</v>
      </c>
      <c r="AV609" s="70"/>
      <c r="AW609" s="81">
        <f t="shared" si="1561"/>
        <v>2.6964064436183488E-2</v>
      </c>
      <c r="AX609" s="70">
        <f t="shared" ref="AX609:BG609" si="1846">O609/$AI609</f>
        <v>9.0458488228004948E-3</v>
      </c>
      <c r="AY609" s="70">
        <f t="shared" si="1846"/>
        <v>0</v>
      </c>
      <c r="AZ609" s="70">
        <f t="shared" si="1846"/>
        <v>0</v>
      </c>
      <c r="BA609" s="70">
        <f t="shared" si="1846"/>
        <v>0</v>
      </c>
      <c r="BB609" s="70">
        <f t="shared" si="1846"/>
        <v>0</v>
      </c>
      <c r="BC609" s="70">
        <f t="shared" si="1846"/>
        <v>0</v>
      </c>
      <c r="BD609" s="70">
        <f t="shared" si="1846"/>
        <v>0</v>
      </c>
      <c r="BE609" s="70">
        <f t="shared" si="1846"/>
        <v>0</v>
      </c>
      <c r="BF609" s="70">
        <f t="shared" si="1846"/>
        <v>0</v>
      </c>
      <c r="BG609" s="70">
        <f t="shared" si="1846"/>
        <v>0</v>
      </c>
      <c r="BH609" s="70">
        <f t="shared" si="1563"/>
        <v>1.7918215613382991E-2</v>
      </c>
      <c r="BI609" s="62"/>
      <c r="BJ609" s="69">
        <v>0.28199999999999997</v>
      </c>
      <c r="BK609" s="69">
        <v>0.17899999999999999</v>
      </c>
      <c r="BL609" s="69">
        <v>0</v>
      </c>
      <c r="BM609" s="69">
        <v>6.4000000000000001E-2</v>
      </c>
      <c r="BN609" s="69">
        <v>0</v>
      </c>
      <c r="BO609" s="69">
        <v>0.47499999999999998</v>
      </c>
      <c r="BP609" s="69">
        <v>0</v>
      </c>
      <c r="BQ609" s="69">
        <v>0</v>
      </c>
      <c r="BR609" s="62"/>
      <c r="BS609" s="72">
        <f t="shared" ref="BS609:BX609" si="1847">AP609-BJ609</f>
        <v>0.18716976456009915</v>
      </c>
      <c r="BT609" s="72">
        <f t="shared" si="1847"/>
        <v>-0.10804584882280049</v>
      </c>
      <c r="BU609" s="72">
        <f t="shared" si="1847"/>
        <v>6.1363073110285007E-2</v>
      </c>
      <c r="BV609" s="72">
        <f t="shared" si="1847"/>
        <v>-3.2798017348203222E-2</v>
      </c>
      <c r="BW609" s="72">
        <f t="shared" si="1847"/>
        <v>2.9070631970260222E-2</v>
      </c>
      <c r="BX609" s="72">
        <f t="shared" si="1847"/>
        <v>-0.16372366790582404</v>
      </c>
      <c r="BY609" s="72"/>
      <c r="BZ609" s="72">
        <f t="shared" si="1565"/>
        <v>2.6964064436183488E-2</v>
      </c>
    </row>
    <row r="610" spans="1:78" ht="13.15">
      <c r="A610" s="228" t="s">
        <v>10</v>
      </c>
      <c r="B610" s="214" t="s">
        <v>1265</v>
      </c>
      <c r="C610" s="215" t="s">
        <v>1266</v>
      </c>
      <c r="D610" s="215" t="s">
        <v>1178</v>
      </c>
      <c r="E610" s="216"/>
      <c r="F610" s="216"/>
      <c r="G610" s="217"/>
      <c r="H610" s="218">
        <v>6246</v>
      </c>
      <c r="I610" s="218">
        <v>2502</v>
      </c>
      <c r="J610" s="218">
        <v>2934</v>
      </c>
      <c r="K610" s="218">
        <v>18159</v>
      </c>
      <c r="L610" s="218">
        <v>2038</v>
      </c>
      <c r="M610" s="218">
        <v>15999</v>
      </c>
      <c r="N610" s="219"/>
      <c r="O610" s="219"/>
      <c r="P610" s="219"/>
      <c r="Q610" s="219"/>
      <c r="R610" s="219"/>
      <c r="S610" s="219"/>
      <c r="T610" s="219"/>
      <c r="U610" s="219"/>
      <c r="V610" s="219"/>
      <c r="W610" s="219"/>
      <c r="X610" s="219"/>
      <c r="Y610" s="218">
        <v>178</v>
      </c>
      <c r="Z610" s="219"/>
      <c r="AA610" s="219"/>
      <c r="AB610" s="219"/>
      <c r="AC610" s="219"/>
      <c r="AD610" s="219"/>
      <c r="AE610" s="220"/>
      <c r="AF610" s="221" t="b">
        <v>1</v>
      </c>
      <c r="AG610" s="221" t="b">
        <v>0</v>
      </c>
      <c r="AH610" s="220"/>
      <c r="AI610" s="222">
        <v>48056</v>
      </c>
      <c r="AJ610" s="229" t="s">
        <v>8</v>
      </c>
      <c r="AK610" s="224" t="s">
        <v>2062</v>
      </c>
      <c r="AL610" s="229" t="s">
        <v>2064</v>
      </c>
      <c r="AM610" s="218">
        <v>2160</v>
      </c>
      <c r="AN610" s="225">
        <v>4.4999999999999998E-2</v>
      </c>
      <c r="AO610" s="220"/>
      <c r="AP610" s="225">
        <v>0.13</v>
      </c>
      <c r="AQ610" s="225">
        <v>5.1999999999999998E-2</v>
      </c>
      <c r="AR610" s="225">
        <v>6.0999999999999999E-2</v>
      </c>
      <c r="AS610" s="225">
        <v>0.378</v>
      </c>
      <c r="AT610" s="225">
        <v>4.2000000000000003E-2</v>
      </c>
      <c r="AU610" s="225">
        <v>0.33300000000000002</v>
      </c>
      <c r="AV610" s="219"/>
      <c r="AW610" s="226">
        <v>4.0000000000000001E-3</v>
      </c>
      <c r="AX610" s="227">
        <v>0</v>
      </c>
      <c r="AY610" s="227">
        <v>0</v>
      </c>
      <c r="AZ610" s="227">
        <v>0</v>
      </c>
      <c r="BA610" s="227">
        <v>0</v>
      </c>
      <c r="BB610" s="227">
        <v>0</v>
      </c>
      <c r="BC610" s="227">
        <v>0</v>
      </c>
      <c r="BD610" s="227">
        <v>0</v>
      </c>
      <c r="BE610" s="227">
        <v>0</v>
      </c>
      <c r="BF610" s="227">
        <v>0</v>
      </c>
      <c r="BG610" s="227">
        <v>0</v>
      </c>
      <c r="BH610" s="225">
        <v>4.0000000000000001E-3</v>
      </c>
      <c r="BI610" s="220"/>
      <c r="BJ610" s="225">
        <v>9.4E-2</v>
      </c>
      <c r="BK610" s="225">
        <v>0.23300000000000001</v>
      </c>
      <c r="BL610" s="225">
        <v>2.1000000000000001E-2</v>
      </c>
      <c r="BM610" s="225">
        <v>0.151</v>
      </c>
      <c r="BN610" s="225">
        <v>1.4E-2</v>
      </c>
      <c r="BO610" s="225">
        <v>0.48699999999999999</v>
      </c>
      <c r="BP610" s="227">
        <v>0</v>
      </c>
      <c r="BQ610" s="227">
        <v>0</v>
      </c>
      <c r="BR610" s="220"/>
      <c r="BS610" s="225">
        <v>3.5999999999999997E-2</v>
      </c>
      <c r="BT610" s="225">
        <v>-0.18099999999999999</v>
      </c>
      <c r="BU610" s="225">
        <v>0.04</v>
      </c>
      <c r="BV610" s="225">
        <v>0.22700000000000001</v>
      </c>
      <c r="BW610" s="225">
        <v>2.8000000000000001E-2</v>
      </c>
      <c r="BX610" s="225">
        <v>-0.154</v>
      </c>
      <c r="BY610" s="219"/>
      <c r="BZ610" s="225">
        <v>4.0000000000000001E-3</v>
      </c>
    </row>
    <row r="611" spans="1:78" ht="13.15">
      <c r="A611" s="94" t="s">
        <v>10</v>
      </c>
      <c r="B611" s="74" t="s">
        <v>1267</v>
      </c>
      <c r="C611" s="75" t="s">
        <v>1268</v>
      </c>
      <c r="D611" s="75" t="s">
        <v>1178</v>
      </c>
      <c r="E611" s="76"/>
      <c r="F611" s="59"/>
      <c r="G611" s="60"/>
      <c r="H611" s="77">
        <v>18324</v>
      </c>
      <c r="I611" s="77">
        <v>3469</v>
      </c>
      <c r="J611" s="77">
        <v>3977</v>
      </c>
      <c r="K611" s="77">
        <v>2025</v>
      </c>
      <c r="L611" s="77">
        <v>1704</v>
      </c>
      <c r="M611" s="77">
        <v>14796</v>
      </c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>
        <v>545</v>
      </c>
      <c r="Z611" s="77"/>
      <c r="AA611" s="77"/>
      <c r="AB611" s="77"/>
      <c r="AC611" s="77"/>
      <c r="AD611" s="77"/>
      <c r="AE611" s="62"/>
      <c r="AF611" s="63" t="b">
        <v>0</v>
      </c>
      <c r="AG611" s="63" t="b">
        <v>0</v>
      </c>
      <c r="AH611" s="62"/>
      <c r="AI611" s="64">
        <f t="shared" si="1557"/>
        <v>44840</v>
      </c>
      <c r="AJ611" s="65" t="str">
        <f t="shared" si="1116"/>
        <v>LAB</v>
      </c>
      <c r="AK611" s="66" t="str">
        <f t="shared" si="1558"/>
        <v>GAIN</v>
      </c>
      <c r="AL611" s="67" t="e">
        <f t="shared" ca="1" si="1559"/>
        <v>#NAME?</v>
      </c>
      <c r="AM611" s="68">
        <f t="shared" si="1408"/>
        <v>3528</v>
      </c>
      <c r="AN611" s="69">
        <f t="shared" si="1409"/>
        <v>7.8679750223015155E-2</v>
      </c>
      <c r="AO611" s="62"/>
      <c r="AP611" s="70">
        <f t="shared" ref="AP611:AU611" si="1848">H611/$AI611</f>
        <v>0.4086529884032114</v>
      </c>
      <c r="AQ611" s="70">
        <f t="shared" si="1848"/>
        <v>7.7363960749330954E-2</v>
      </c>
      <c r="AR611" s="70">
        <f t="shared" si="1848"/>
        <v>8.8693131132917033E-2</v>
      </c>
      <c r="AS611" s="70">
        <f t="shared" si="1848"/>
        <v>4.516057091882248E-2</v>
      </c>
      <c r="AT611" s="70">
        <f t="shared" si="1848"/>
        <v>3.8001784121320249E-2</v>
      </c>
      <c r="AU611" s="70">
        <f t="shared" si="1848"/>
        <v>0.32997323818019625</v>
      </c>
      <c r="AV611" s="70"/>
      <c r="AW611" s="81">
        <f t="shared" si="1561"/>
        <v>1.2154326494201673E-2</v>
      </c>
      <c r="AX611" s="70">
        <f t="shared" ref="AX611:BG611" si="1849">O611/$AI611</f>
        <v>0</v>
      </c>
      <c r="AY611" s="70">
        <f t="shared" si="1849"/>
        <v>0</v>
      </c>
      <c r="AZ611" s="70">
        <f t="shared" si="1849"/>
        <v>0</v>
      </c>
      <c r="BA611" s="70">
        <f t="shared" si="1849"/>
        <v>0</v>
      </c>
      <c r="BB611" s="70">
        <f t="shared" si="1849"/>
        <v>0</v>
      </c>
      <c r="BC611" s="70">
        <f t="shared" si="1849"/>
        <v>0</v>
      </c>
      <c r="BD611" s="70">
        <f t="shared" si="1849"/>
        <v>0</v>
      </c>
      <c r="BE611" s="70">
        <f t="shared" si="1849"/>
        <v>0</v>
      </c>
      <c r="BF611" s="70">
        <f t="shared" si="1849"/>
        <v>0</v>
      </c>
      <c r="BG611" s="70">
        <f t="shared" si="1849"/>
        <v>0</v>
      </c>
      <c r="BH611" s="70">
        <f t="shared" si="1563"/>
        <v>1.2154326494201673E-2</v>
      </c>
      <c r="BI611" s="62"/>
      <c r="BJ611" s="69">
        <v>0.22</v>
      </c>
      <c r="BK611" s="69">
        <v>0.219</v>
      </c>
      <c r="BL611" s="69">
        <v>0</v>
      </c>
      <c r="BM611" s="69">
        <v>6.2E-2</v>
      </c>
      <c r="BN611" s="69">
        <v>2.5999999999999999E-2</v>
      </c>
      <c r="BO611" s="69">
        <v>0.47299999999999998</v>
      </c>
      <c r="BP611" s="69">
        <v>0</v>
      </c>
      <c r="BQ611" s="69">
        <v>0</v>
      </c>
      <c r="BR611" s="62"/>
      <c r="BS611" s="72">
        <f t="shared" ref="BS611:BX611" si="1850">AP611-BJ611</f>
        <v>0.1886529884032114</v>
      </c>
      <c r="BT611" s="72">
        <f t="shared" si="1850"/>
        <v>-0.14163603925066903</v>
      </c>
      <c r="BU611" s="72">
        <f t="shared" si="1850"/>
        <v>8.8693131132917033E-2</v>
      </c>
      <c r="BV611" s="72">
        <f t="shared" si="1850"/>
        <v>-1.6839429081177519E-2</v>
      </c>
      <c r="BW611" s="72">
        <f t="shared" si="1850"/>
        <v>1.200178412132025E-2</v>
      </c>
      <c r="BX611" s="72">
        <f t="shared" si="1850"/>
        <v>-0.14302676181980373</v>
      </c>
      <c r="BY611" s="72"/>
      <c r="BZ611" s="72">
        <f t="shared" si="1565"/>
        <v>1.2154326494201673E-2</v>
      </c>
    </row>
    <row r="612" spans="1:78" ht="13.15">
      <c r="A612" s="94" t="s">
        <v>10</v>
      </c>
      <c r="B612" s="74" t="s">
        <v>1269</v>
      </c>
      <c r="C612" s="75" t="s">
        <v>1270</v>
      </c>
      <c r="D612" s="75" t="s">
        <v>1178</v>
      </c>
      <c r="E612" s="76"/>
      <c r="F612" s="59"/>
      <c r="G612" s="60"/>
      <c r="H612" s="77">
        <v>23555</v>
      </c>
      <c r="I612" s="77">
        <v>5335</v>
      </c>
      <c r="J612" s="77">
        <v>3039</v>
      </c>
      <c r="K612" s="77">
        <v>2649</v>
      </c>
      <c r="L612" s="77">
        <v>2477</v>
      </c>
      <c r="M612" s="77">
        <v>10290</v>
      </c>
      <c r="N612" s="77"/>
      <c r="O612" s="77"/>
      <c r="P612" s="77"/>
      <c r="Q612" s="77"/>
      <c r="R612" s="77"/>
      <c r="S612" s="77"/>
      <c r="T612" s="77"/>
      <c r="U612" s="77"/>
      <c r="V612" s="77"/>
      <c r="W612" s="77"/>
      <c r="X612" s="77"/>
      <c r="Y612" s="77">
        <v>557</v>
      </c>
      <c r="Z612" s="77"/>
      <c r="AA612" s="77"/>
      <c r="AB612" s="77"/>
      <c r="AC612" s="77"/>
      <c r="AD612" s="77"/>
      <c r="AE612" s="62"/>
      <c r="AF612" s="63" t="b">
        <v>0</v>
      </c>
      <c r="AG612" s="63" t="b">
        <v>0</v>
      </c>
      <c r="AH612" s="62"/>
      <c r="AI612" s="64">
        <f t="shared" si="1557"/>
        <v>47902</v>
      </c>
      <c r="AJ612" s="65" t="str">
        <f t="shared" si="1116"/>
        <v>LAB</v>
      </c>
      <c r="AK612" s="66" t="str">
        <f t="shared" si="1558"/>
        <v>GAIN</v>
      </c>
      <c r="AL612" s="67" t="e">
        <f t="shared" ca="1" si="1559"/>
        <v>#NAME?</v>
      </c>
      <c r="AM612" s="68">
        <f t="shared" si="1408"/>
        <v>13265</v>
      </c>
      <c r="AN612" s="69">
        <f t="shared" si="1409"/>
        <v>0.27691954406914121</v>
      </c>
      <c r="AO612" s="62"/>
      <c r="AP612" s="70">
        <f t="shared" ref="AP612:AU612" si="1851">H612/$AI612</f>
        <v>0.49173312179032191</v>
      </c>
      <c r="AQ612" s="70">
        <f t="shared" si="1851"/>
        <v>0.11137322032482987</v>
      </c>
      <c r="AR612" s="70">
        <f t="shared" si="1851"/>
        <v>6.3442027472756873E-2</v>
      </c>
      <c r="AS612" s="70">
        <f t="shared" si="1851"/>
        <v>5.5300404993528451E-2</v>
      </c>
      <c r="AT612" s="70">
        <f t="shared" si="1851"/>
        <v>5.170974072063797E-2</v>
      </c>
      <c r="AU612" s="70">
        <f t="shared" si="1851"/>
        <v>0.21481357772118073</v>
      </c>
      <c r="AV612" s="70"/>
      <c r="AW612" s="81">
        <f t="shared" si="1561"/>
        <v>1.1627906976744318E-2</v>
      </c>
      <c r="AX612" s="70">
        <f t="shared" ref="AX612:BG612" si="1852">O612/$AI612</f>
        <v>0</v>
      </c>
      <c r="AY612" s="70">
        <f t="shared" si="1852"/>
        <v>0</v>
      </c>
      <c r="AZ612" s="70">
        <f t="shared" si="1852"/>
        <v>0</v>
      </c>
      <c r="BA612" s="70">
        <f t="shared" si="1852"/>
        <v>0</v>
      </c>
      <c r="BB612" s="70">
        <f t="shared" si="1852"/>
        <v>0</v>
      </c>
      <c r="BC612" s="70">
        <f t="shared" si="1852"/>
        <v>0</v>
      </c>
      <c r="BD612" s="70">
        <f t="shared" si="1852"/>
        <v>0</v>
      </c>
      <c r="BE612" s="70">
        <f t="shared" si="1852"/>
        <v>0</v>
      </c>
      <c r="BF612" s="70">
        <f t="shared" si="1852"/>
        <v>0</v>
      </c>
      <c r="BG612" s="70">
        <f t="shared" si="1852"/>
        <v>0</v>
      </c>
      <c r="BH612" s="70">
        <f t="shared" si="1563"/>
        <v>1.1627906976744318E-2</v>
      </c>
      <c r="BI612" s="62"/>
      <c r="BJ612" s="69">
        <v>0.30499999999999999</v>
      </c>
      <c r="BK612" s="69">
        <v>0.27500000000000002</v>
      </c>
      <c r="BL612" s="69">
        <v>0</v>
      </c>
      <c r="BM612" s="69">
        <v>6.3E-2</v>
      </c>
      <c r="BN612" s="69">
        <v>0</v>
      </c>
      <c r="BO612" s="69">
        <v>0.34799999999999998</v>
      </c>
      <c r="BP612" s="69">
        <v>0</v>
      </c>
      <c r="BQ612" s="69">
        <v>0.01</v>
      </c>
      <c r="BR612" s="62"/>
      <c r="BS612" s="72">
        <f t="shared" ref="BS612:BX612" si="1853">AP612-BJ612</f>
        <v>0.18673312179032192</v>
      </c>
      <c r="BT612" s="72">
        <f t="shared" si="1853"/>
        <v>-0.16362677967517014</v>
      </c>
      <c r="BU612" s="72">
        <f t="shared" si="1853"/>
        <v>6.3442027472756873E-2</v>
      </c>
      <c r="BV612" s="72">
        <f t="shared" si="1853"/>
        <v>-7.699595006471549E-3</v>
      </c>
      <c r="BW612" s="72">
        <f t="shared" si="1853"/>
        <v>5.170974072063797E-2</v>
      </c>
      <c r="BX612" s="72">
        <f t="shared" si="1853"/>
        <v>-0.13318642227881924</v>
      </c>
      <c r="BY612" s="72"/>
      <c r="BZ612" s="72">
        <f t="shared" si="1565"/>
        <v>1.6279069767443175E-3</v>
      </c>
    </row>
    <row r="613" spans="1:78" ht="13.15">
      <c r="A613" s="94" t="s">
        <v>10</v>
      </c>
      <c r="B613" s="74" t="s">
        <v>1271</v>
      </c>
      <c r="C613" s="75" t="s">
        <v>1272</v>
      </c>
      <c r="D613" s="75" t="s">
        <v>1178</v>
      </c>
      <c r="E613" s="76"/>
      <c r="F613" s="59"/>
      <c r="G613" s="60"/>
      <c r="H613" s="77">
        <v>10993</v>
      </c>
      <c r="I613" s="77">
        <v>2452</v>
      </c>
      <c r="J613" s="77">
        <v>2099</v>
      </c>
      <c r="K613" s="77">
        <v>22349</v>
      </c>
      <c r="L613" s="77">
        <v>1720</v>
      </c>
      <c r="M613" s="77">
        <v>12676</v>
      </c>
      <c r="N613" s="77"/>
      <c r="O613" s="77"/>
      <c r="P613" s="77"/>
      <c r="Q613" s="77"/>
      <c r="R613" s="77"/>
      <c r="S613" s="77"/>
      <c r="T613" s="77"/>
      <c r="U613" s="77"/>
      <c r="V613" s="77"/>
      <c r="W613" s="77"/>
      <c r="X613" s="77"/>
      <c r="Y613" s="77">
        <v>449</v>
      </c>
      <c r="Z613" s="77"/>
      <c r="AA613" s="77"/>
      <c r="AB613" s="77"/>
      <c r="AC613" s="77"/>
      <c r="AD613" s="77"/>
      <c r="AE613" s="62"/>
      <c r="AF613" s="63" t="b">
        <v>0</v>
      </c>
      <c r="AG613" s="63" t="b">
        <v>0</v>
      </c>
      <c r="AH613" s="62"/>
      <c r="AI613" s="64">
        <f t="shared" si="1557"/>
        <v>52738</v>
      </c>
      <c r="AJ613" s="65" t="str">
        <f t="shared" si="1116"/>
        <v>LDM</v>
      </c>
      <c r="AK613" s="66" t="str">
        <f t="shared" si="1558"/>
        <v>GAIN</v>
      </c>
      <c r="AL613" s="67" t="e">
        <f t="shared" ca="1" si="1559"/>
        <v>#NAME?</v>
      </c>
      <c r="AM613" s="68">
        <f t="shared" si="1408"/>
        <v>9673</v>
      </c>
      <c r="AN613" s="69">
        <f t="shared" si="1409"/>
        <v>0.1834161325799234</v>
      </c>
      <c r="AO613" s="62"/>
      <c r="AP613" s="70">
        <f t="shared" ref="AP613:AU613" si="1854">H613/$AI613</f>
        <v>0.20844552315218629</v>
      </c>
      <c r="AQ613" s="70">
        <f t="shared" si="1854"/>
        <v>4.649398915393075E-2</v>
      </c>
      <c r="AR613" s="70">
        <f t="shared" si="1854"/>
        <v>3.9800523341802875E-2</v>
      </c>
      <c r="AS613" s="70">
        <f t="shared" si="1854"/>
        <v>0.42377412871174486</v>
      </c>
      <c r="AT613" s="70">
        <f t="shared" si="1854"/>
        <v>3.2614054382039515E-2</v>
      </c>
      <c r="AU613" s="70">
        <f t="shared" si="1854"/>
        <v>0.24035799613182146</v>
      </c>
      <c r="AV613" s="70"/>
      <c r="AW613" s="81">
        <f t="shared" si="1561"/>
        <v>8.5137851264742714E-3</v>
      </c>
      <c r="AX613" s="70">
        <f t="shared" ref="AX613:BG613" si="1855">O613/$AI613</f>
        <v>0</v>
      </c>
      <c r="AY613" s="70">
        <f t="shared" si="1855"/>
        <v>0</v>
      </c>
      <c r="AZ613" s="70">
        <f t="shared" si="1855"/>
        <v>0</v>
      </c>
      <c r="BA613" s="70">
        <f t="shared" si="1855"/>
        <v>0</v>
      </c>
      <c r="BB613" s="70">
        <f t="shared" si="1855"/>
        <v>0</v>
      </c>
      <c r="BC613" s="70">
        <f t="shared" si="1855"/>
        <v>0</v>
      </c>
      <c r="BD613" s="70">
        <f t="shared" si="1855"/>
        <v>0</v>
      </c>
      <c r="BE613" s="70">
        <f t="shared" si="1855"/>
        <v>0</v>
      </c>
      <c r="BF613" s="70">
        <f t="shared" si="1855"/>
        <v>0</v>
      </c>
      <c r="BG613" s="70">
        <f t="shared" si="1855"/>
        <v>0</v>
      </c>
      <c r="BH613" s="70">
        <f t="shared" si="1563"/>
        <v>8.5137851264742714E-3</v>
      </c>
      <c r="BI613" s="62"/>
      <c r="BJ613" s="69">
        <v>9.4E-2</v>
      </c>
      <c r="BK613" s="69">
        <v>0.156</v>
      </c>
      <c r="BL613" s="69">
        <v>0</v>
      </c>
      <c r="BM613" s="69">
        <v>0.34499999999999997</v>
      </c>
      <c r="BN613" s="69">
        <v>1.6E-2</v>
      </c>
      <c r="BO613" s="69">
        <v>0.379</v>
      </c>
      <c r="BP613" s="69">
        <v>0</v>
      </c>
      <c r="BQ613" s="69">
        <v>1.0999999999999999E-2</v>
      </c>
      <c r="BR613" s="62"/>
      <c r="BS613" s="72">
        <f t="shared" ref="BS613:BX613" si="1856">AP613-BJ613</f>
        <v>0.11444552315218628</v>
      </c>
      <c r="BT613" s="72">
        <f t="shared" si="1856"/>
        <v>-0.10950601084606926</v>
      </c>
      <c r="BU613" s="72">
        <f t="shared" si="1856"/>
        <v>3.9800523341802875E-2</v>
      </c>
      <c r="BV613" s="72">
        <f t="shared" si="1856"/>
        <v>7.8774128711744884E-2</v>
      </c>
      <c r="BW613" s="72">
        <f t="shared" si="1856"/>
        <v>1.6614054382039514E-2</v>
      </c>
      <c r="BX613" s="72">
        <f t="shared" si="1856"/>
        <v>-0.13864200386817854</v>
      </c>
      <c r="BY613" s="72"/>
      <c r="BZ613" s="72">
        <f t="shared" si="1565"/>
        <v>-2.4862148735257279E-3</v>
      </c>
    </row>
    <row r="614" spans="1:78" ht="13.15">
      <c r="A614" s="94" t="s">
        <v>10</v>
      </c>
      <c r="B614" s="74" t="s">
        <v>1273</v>
      </c>
      <c r="C614" s="75" t="s">
        <v>1274</v>
      </c>
      <c r="D614" s="75" t="s">
        <v>1178</v>
      </c>
      <c r="E614" s="76"/>
      <c r="F614" s="59"/>
      <c r="G614" s="60"/>
      <c r="H614" s="77">
        <v>8259</v>
      </c>
      <c r="I614" s="77">
        <v>13960</v>
      </c>
      <c r="J614" s="77">
        <v>3490</v>
      </c>
      <c r="K614" s="77">
        <v>3785</v>
      </c>
      <c r="L614" s="77">
        <v>1676</v>
      </c>
      <c r="M614" s="77">
        <v>14961</v>
      </c>
      <c r="N614" s="77"/>
      <c r="O614" s="77"/>
      <c r="P614" s="77"/>
      <c r="Q614" s="77"/>
      <c r="R614" s="77"/>
      <c r="S614" s="77"/>
      <c r="T614" s="77"/>
      <c r="U614" s="77"/>
      <c r="V614" s="77"/>
      <c r="W614" s="77"/>
      <c r="X614" s="77"/>
      <c r="Y614" s="77">
        <v>423</v>
      </c>
      <c r="Z614" s="77"/>
      <c r="AA614" s="77"/>
      <c r="AB614" s="77"/>
      <c r="AC614" s="77"/>
      <c r="AD614" s="77"/>
      <c r="AE614" s="62"/>
      <c r="AF614" s="63" t="b">
        <v>0</v>
      </c>
      <c r="AG614" s="63" t="b">
        <v>0</v>
      </c>
      <c r="AH614" s="62"/>
      <c r="AI614" s="64">
        <f t="shared" si="1557"/>
        <v>46554</v>
      </c>
      <c r="AJ614" s="65" t="str">
        <f t="shared" si="1116"/>
        <v>SNP</v>
      </c>
      <c r="AK614" s="66" t="str">
        <f t="shared" si="1558"/>
        <v>HOLD</v>
      </c>
      <c r="AL614" s="67" t="e">
        <f t="shared" ca="1" si="1559"/>
        <v>#NAME?</v>
      </c>
      <c r="AM614" s="68">
        <f t="shared" si="1408"/>
        <v>1001</v>
      </c>
      <c r="AN614" s="69">
        <f t="shared" si="1409"/>
        <v>2.1501911758388059E-2</v>
      </c>
      <c r="AO614" s="62"/>
      <c r="AP614" s="70">
        <f t="shared" ref="AP614:AU614" si="1857">H614/$AI614</f>
        <v>0.17740688233019719</v>
      </c>
      <c r="AQ614" s="70">
        <f t="shared" si="1857"/>
        <v>0.29986682132577225</v>
      </c>
      <c r="AR614" s="70">
        <f t="shared" si="1857"/>
        <v>7.4966705331443062E-2</v>
      </c>
      <c r="AS614" s="70">
        <f t="shared" si="1857"/>
        <v>8.1303432572926063E-2</v>
      </c>
      <c r="AT614" s="70">
        <f t="shared" si="1857"/>
        <v>3.6001202904154317E-2</v>
      </c>
      <c r="AU614" s="70">
        <f t="shared" si="1857"/>
        <v>0.32136873308416031</v>
      </c>
      <c r="AV614" s="70"/>
      <c r="AW614" s="81">
        <f t="shared" si="1561"/>
        <v>9.0862224513468259E-3</v>
      </c>
      <c r="AX614" s="70">
        <f t="shared" ref="AX614:BG614" si="1858">O614/$AI614</f>
        <v>0</v>
      </c>
      <c r="AY614" s="70">
        <f t="shared" si="1858"/>
        <v>0</v>
      </c>
      <c r="AZ614" s="70">
        <f t="shared" si="1858"/>
        <v>0</v>
      </c>
      <c r="BA614" s="70">
        <f t="shared" si="1858"/>
        <v>0</v>
      </c>
      <c r="BB614" s="70">
        <f t="shared" si="1858"/>
        <v>0</v>
      </c>
      <c r="BC614" s="70">
        <f t="shared" si="1858"/>
        <v>0</v>
      </c>
      <c r="BD614" s="70">
        <f t="shared" si="1858"/>
        <v>0</v>
      </c>
      <c r="BE614" s="70">
        <f t="shared" si="1858"/>
        <v>0</v>
      </c>
      <c r="BF614" s="70">
        <f t="shared" si="1858"/>
        <v>0</v>
      </c>
      <c r="BG614" s="70">
        <f t="shared" si="1858"/>
        <v>0</v>
      </c>
      <c r="BH614" s="70">
        <f t="shared" si="1563"/>
        <v>9.0862224513468259E-3</v>
      </c>
      <c r="BI614" s="62"/>
      <c r="BJ614" s="69">
        <v>4.5999999999999999E-2</v>
      </c>
      <c r="BK614" s="69">
        <v>0.40899999999999997</v>
      </c>
      <c r="BL614" s="69">
        <v>6.0000000000000001E-3</v>
      </c>
      <c r="BM614" s="69">
        <v>5.8999999999999997E-2</v>
      </c>
      <c r="BN614" s="69">
        <v>1.2E-2</v>
      </c>
      <c r="BO614" s="69">
        <v>0.46100000000000002</v>
      </c>
      <c r="BP614" s="69">
        <v>0</v>
      </c>
      <c r="BQ614" s="69">
        <v>7.0000000000000001E-3</v>
      </c>
      <c r="BR614" s="62"/>
      <c r="BS614" s="72">
        <f t="shared" ref="BS614:BX614" si="1859">AP614-BJ614</f>
        <v>0.13140688233019721</v>
      </c>
      <c r="BT614" s="72">
        <f t="shared" si="1859"/>
        <v>-0.10913317867422773</v>
      </c>
      <c r="BU614" s="72">
        <f t="shared" si="1859"/>
        <v>6.8966705331443057E-2</v>
      </c>
      <c r="BV614" s="72">
        <f t="shared" si="1859"/>
        <v>2.2303432572926066E-2</v>
      </c>
      <c r="BW614" s="72">
        <f t="shared" si="1859"/>
        <v>2.4001202904154317E-2</v>
      </c>
      <c r="BX614" s="72">
        <f t="shared" si="1859"/>
        <v>-0.13963126691583971</v>
      </c>
      <c r="BY614" s="72"/>
      <c r="BZ614" s="72">
        <f t="shared" si="1565"/>
        <v>2.0862224513468258E-3</v>
      </c>
    </row>
    <row r="615" spans="1:78" ht="13.15">
      <c r="A615" s="94" t="s">
        <v>10</v>
      </c>
      <c r="B615" s="74" t="s">
        <v>1275</v>
      </c>
      <c r="C615" s="75" t="s">
        <v>1276</v>
      </c>
      <c r="D615" s="75" t="s">
        <v>1178</v>
      </c>
      <c r="E615" s="76"/>
      <c r="F615" s="59"/>
      <c r="G615" s="60"/>
      <c r="H615" s="77">
        <v>19168</v>
      </c>
      <c r="I615" s="77">
        <v>2415</v>
      </c>
      <c r="J615" s="77">
        <v>3004</v>
      </c>
      <c r="K615" s="77">
        <v>822</v>
      </c>
      <c r="L615" s="77">
        <v>1200</v>
      </c>
      <c r="M615" s="77">
        <v>12083</v>
      </c>
      <c r="N615" s="77"/>
      <c r="O615" s="77"/>
      <c r="P615" s="77"/>
      <c r="Q615" s="77"/>
      <c r="R615" s="77"/>
      <c r="S615" s="77"/>
      <c r="T615" s="77"/>
      <c r="U615" s="77"/>
      <c r="V615" s="77"/>
      <c r="W615" s="77"/>
      <c r="X615" s="77"/>
      <c r="Y615" s="77">
        <v>158</v>
      </c>
      <c r="Z615" s="77">
        <v>110</v>
      </c>
      <c r="AA615" s="77">
        <v>66</v>
      </c>
      <c r="AB615" s="77"/>
      <c r="AC615" s="77"/>
      <c r="AD615" s="77"/>
      <c r="AE615" s="62"/>
      <c r="AF615" s="63" t="b">
        <v>0</v>
      </c>
      <c r="AG615" s="63" t="b">
        <v>0</v>
      </c>
      <c r="AH615" s="62"/>
      <c r="AI615" s="64">
        <f t="shared" si="1557"/>
        <v>39026</v>
      </c>
      <c r="AJ615" s="65" t="str">
        <f t="shared" si="1116"/>
        <v>LAB</v>
      </c>
      <c r="AK615" s="66" t="str">
        <f t="shared" si="1558"/>
        <v>GAIN</v>
      </c>
      <c r="AL615" s="67" t="e">
        <f t="shared" ca="1" si="1559"/>
        <v>#NAME?</v>
      </c>
      <c r="AM615" s="68">
        <f t="shared" si="1408"/>
        <v>7085</v>
      </c>
      <c r="AN615" s="69">
        <f t="shared" si="1409"/>
        <v>0.18154563624250503</v>
      </c>
      <c r="AO615" s="62"/>
      <c r="AP615" s="70">
        <f t="shared" ref="AP615:AU615" si="1860">H615/$AI615</f>
        <v>0.491159739660739</v>
      </c>
      <c r="AQ615" s="70">
        <f t="shared" si="1860"/>
        <v>6.188182237482704E-2</v>
      </c>
      <c r="AR615" s="70">
        <f t="shared" si="1860"/>
        <v>7.697432480910163E-2</v>
      </c>
      <c r="AS615" s="70">
        <f t="shared" si="1860"/>
        <v>2.1062881156152308E-2</v>
      </c>
      <c r="AT615" s="70">
        <f t="shared" si="1860"/>
        <v>3.074873161482089E-2</v>
      </c>
      <c r="AU615" s="70">
        <f t="shared" si="1860"/>
        <v>0.30961410341823398</v>
      </c>
      <c r="AV615" s="70"/>
      <c r="AW615" s="81">
        <f t="shared" si="1561"/>
        <v>8.558396966125148E-3</v>
      </c>
      <c r="AX615" s="70">
        <f t="shared" ref="AX615:BG615" si="1861">O615/$AI615</f>
        <v>0</v>
      </c>
      <c r="AY615" s="70">
        <f t="shared" si="1861"/>
        <v>0</v>
      </c>
      <c r="AZ615" s="70">
        <f t="shared" si="1861"/>
        <v>0</v>
      </c>
      <c r="BA615" s="70">
        <f t="shared" si="1861"/>
        <v>0</v>
      </c>
      <c r="BB615" s="70">
        <f t="shared" si="1861"/>
        <v>0</v>
      </c>
      <c r="BC615" s="70">
        <f t="shared" si="1861"/>
        <v>0</v>
      </c>
      <c r="BD615" s="70">
        <f t="shared" si="1861"/>
        <v>0</v>
      </c>
      <c r="BE615" s="70">
        <f t="shared" si="1861"/>
        <v>0</v>
      </c>
      <c r="BF615" s="70">
        <f t="shared" si="1861"/>
        <v>0</v>
      </c>
      <c r="BG615" s="70">
        <f t="shared" si="1861"/>
        <v>0</v>
      </c>
      <c r="BH615" s="70">
        <f t="shared" si="1563"/>
        <v>8.558396966125148E-3</v>
      </c>
      <c r="BI615" s="62"/>
      <c r="BJ615" s="69">
        <v>0.27500000000000002</v>
      </c>
      <c r="BK615" s="69">
        <v>0.21199999999999999</v>
      </c>
      <c r="BL615" s="69">
        <v>0</v>
      </c>
      <c r="BM615" s="69">
        <v>0.04</v>
      </c>
      <c r="BN615" s="69">
        <v>0</v>
      </c>
      <c r="BO615" s="69">
        <v>0.45900000000000002</v>
      </c>
      <c r="BP615" s="69">
        <v>0</v>
      </c>
      <c r="BQ615" s="69">
        <v>1.4E-2</v>
      </c>
      <c r="BR615" s="62"/>
      <c r="BS615" s="72">
        <f t="shared" ref="BS615:BX615" si="1862">AP615-BJ615</f>
        <v>0.21615973966073898</v>
      </c>
      <c r="BT615" s="72">
        <f t="shared" si="1862"/>
        <v>-0.15011817762517296</v>
      </c>
      <c r="BU615" s="72">
        <f t="shared" si="1862"/>
        <v>7.697432480910163E-2</v>
      </c>
      <c r="BV615" s="72">
        <f t="shared" si="1862"/>
        <v>-1.8937118843847692E-2</v>
      </c>
      <c r="BW615" s="72">
        <f t="shared" si="1862"/>
        <v>3.074873161482089E-2</v>
      </c>
      <c r="BX615" s="72">
        <f t="shared" si="1862"/>
        <v>-0.14938589658176604</v>
      </c>
      <c r="BY615" s="72"/>
      <c r="BZ615" s="72">
        <f t="shared" si="1565"/>
        <v>-5.4416030338748523E-3</v>
      </c>
    </row>
    <row r="616" spans="1:78" ht="13.15">
      <c r="A616" s="94" t="s">
        <v>10</v>
      </c>
      <c r="B616" s="74" t="s">
        <v>1277</v>
      </c>
      <c r="C616" s="75" t="s">
        <v>1278</v>
      </c>
      <c r="D616" s="75" t="s">
        <v>1178</v>
      </c>
      <c r="E616" s="76"/>
      <c r="F616" s="59"/>
      <c r="G616" s="60"/>
      <c r="H616" s="77">
        <v>4026</v>
      </c>
      <c r="I616" s="77">
        <v>1666</v>
      </c>
      <c r="J616" s="77">
        <v>2094</v>
      </c>
      <c r="K616" s="77">
        <v>23384</v>
      </c>
      <c r="L616" s="77">
        <v>1653</v>
      </c>
      <c r="M616" s="77">
        <v>9905</v>
      </c>
      <c r="N616" s="77"/>
      <c r="O616" s="77"/>
      <c r="P616" s="77"/>
      <c r="Q616" s="77"/>
      <c r="R616" s="77"/>
      <c r="S616" s="77"/>
      <c r="T616" s="77"/>
      <c r="U616" s="77"/>
      <c r="V616" s="77"/>
      <c r="W616" s="77"/>
      <c r="X616" s="77"/>
      <c r="Y616" s="77"/>
      <c r="Z616" s="77"/>
      <c r="AA616" s="77"/>
      <c r="AB616" s="77"/>
      <c r="AC616" s="77"/>
      <c r="AD616" s="77"/>
      <c r="AE616" s="62"/>
      <c r="AF616" s="63" t="b">
        <v>0</v>
      </c>
      <c r="AG616" s="63" t="b">
        <v>0</v>
      </c>
      <c r="AH616" s="62"/>
      <c r="AI616" s="64">
        <f t="shared" si="1557"/>
        <v>42728</v>
      </c>
      <c r="AJ616" s="65" t="str">
        <f t="shared" si="1116"/>
        <v>LDM</v>
      </c>
      <c r="AK616" s="66" t="str">
        <f t="shared" si="1558"/>
        <v>GAIN</v>
      </c>
      <c r="AL616" s="67" t="e">
        <f t="shared" ca="1" si="1559"/>
        <v>#NAME?</v>
      </c>
      <c r="AM616" s="68">
        <f t="shared" si="1408"/>
        <v>13479</v>
      </c>
      <c r="AN616" s="69">
        <f t="shared" si="1409"/>
        <v>0.31546058790488668</v>
      </c>
      <c r="AO616" s="62"/>
      <c r="AP616" s="70">
        <f t="shared" ref="AP616:AU616" si="1863">H616/$AI616</f>
        <v>9.4223928103351437E-2</v>
      </c>
      <c r="AQ616" s="70">
        <f t="shared" si="1863"/>
        <v>3.8990825688073397E-2</v>
      </c>
      <c r="AR616" s="70">
        <f t="shared" si="1863"/>
        <v>4.9007676465081446E-2</v>
      </c>
      <c r="AS616" s="70">
        <f t="shared" si="1863"/>
        <v>0.54727579105036506</v>
      </c>
      <c r="AT616" s="70">
        <f t="shared" si="1863"/>
        <v>3.8686575547650252E-2</v>
      </c>
      <c r="AU616" s="70">
        <f t="shared" si="1863"/>
        <v>0.23181520314547838</v>
      </c>
      <c r="AV616" s="70"/>
      <c r="AW616" s="81">
        <f t="shared" si="1561"/>
        <v>0</v>
      </c>
      <c r="AX616" s="70">
        <f t="shared" ref="AX616:BG616" si="1864">O616/$AI616</f>
        <v>0</v>
      </c>
      <c r="AY616" s="70">
        <f t="shared" si="1864"/>
        <v>0</v>
      </c>
      <c r="AZ616" s="70">
        <f t="shared" si="1864"/>
        <v>0</v>
      </c>
      <c r="BA616" s="70">
        <f t="shared" si="1864"/>
        <v>0</v>
      </c>
      <c r="BB616" s="70">
        <f t="shared" si="1864"/>
        <v>0</v>
      </c>
      <c r="BC616" s="70">
        <f t="shared" si="1864"/>
        <v>0</v>
      </c>
      <c r="BD616" s="70">
        <f t="shared" si="1864"/>
        <v>0</v>
      </c>
      <c r="BE616" s="70">
        <f t="shared" si="1864"/>
        <v>0</v>
      </c>
      <c r="BF616" s="70">
        <f t="shared" si="1864"/>
        <v>0</v>
      </c>
      <c r="BG616" s="70">
        <f t="shared" si="1864"/>
        <v>0</v>
      </c>
      <c r="BH616" s="70">
        <f t="shared" si="1563"/>
        <v>0</v>
      </c>
      <c r="BI616" s="62"/>
      <c r="BJ616" s="69">
        <v>5.5E-2</v>
      </c>
      <c r="BK616" s="69">
        <v>0.13700000000000001</v>
      </c>
      <c r="BL616" s="69">
        <v>4.0000000000000001E-3</v>
      </c>
      <c r="BM616" s="69">
        <v>0.39600000000000002</v>
      </c>
      <c r="BN616" s="69">
        <v>0</v>
      </c>
      <c r="BO616" s="69">
        <v>0.41</v>
      </c>
      <c r="BP616" s="69">
        <v>0</v>
      </c>
      <c r="BQ616" s="69">
        <v>0</v>
      </c>
      <c r="BR616" s="62"/>
      <c r="BS616" s="72">
        <f t="shared" ref="BS616:BX616" si="1865">AP616-BJ616</f>
        <v>3.9223928103351437E-2</v>
      </c>
      <c r="BT616" s="72">
        <f t="shared" si="1865"/>
        <v>-9.8009174311926614E-2</v>
      </c>
      <c r="BU616" s="72">
        <f t="shared" si="1865"/>
        <v>4.5007676465081442E-2</v>
      </c>
      <c r="BV616" s="72">
        <f t="shared" si="1865"/>
        <v>0.15127579105036504</v>
      </c>
      <c r="BW616" s="72">
        <f t="shared" si="1865"/>
        <v>3.8686575547650252E-2</v>
      </c>
      <c r="BX616" s="72">
        <f t="shared" si="1865"/>
        <v>-0.1781847968545216</v>
      </c>
      <c r="BY616" s="72"/>
      <c r="BZ616" s="72">
        <f t="shared" si="1565"/>
        <v>0</v>
      </c>
    </row>
    <row r="617" spans="1:78" ht="13.15">
      <c r="A617" s="94" t="s">
        <v>10</v>
      </c>
      <c r="B617" s="74" t="s">
        <v>1279</v>
      </c>
      <c r="C617" s="75" t="s">
        <v>1280</v>
      </c>
      <c r="D617" s="75" t="s">
        <v>1178</v>
      </c>
      <c r="E617" s="76"/>
      <c r="F617" s="59"/>
      <c r="G617" s="60"/>
      <c r="H617" s="77">
        <v>19561</v>
      </c>
      <c r="I617" s="77">
        <v>2659</v>
      </c>
      <c r="J617" s="77">
        <v>3228</v>
      </c>
      <c r="K617" s="77">
        <v>1374</v>
      </c>
      <c r="L617" s="77">
        <v>1469</v>
      </c>
      <c r="M617" s="77">
        <v>13228</v>
      </c>
      <c r="N617" s="77"/>
      <c r="O617" s="77"/>
      <c r="P617" s="77"/>
      <c r="Q617" s="77"/>
      <c r="R617" s="77"/>
      <c r="S617" s="77"/>
      <c r="T617" s="77"/>
      <c r="U617" s="77"/>
      <c r="V617" s="77"/>
      <c r="W617" s="77"/>
      <c r="X617" s="77"/>
      <c r="Y617" s="77"/>
      <c r="Z617" s="77"/>
      <c r="AA617" s="77"/>
      <c r="AB617" s="77"/>
      <c r="AC617" s="77"/>
      <c r="AD617" s="77"/>
      <c r="AE617" s="62"/>
      <c r="AF617" s="63" t="b">
        <v>0</v>
      </c>
      <c r="AG617" s="63" t="b">
        <v>0</v>
      </c>
      <c r="AH617" s="62"/>
      <c r="AI617" s="64">
        <f t="shared" si="1557"/>
        <v>41519</v>
      </c>
      <c r="AJ617" s="65" t="str">
        <f t="shared" si="1116"/>
        <v>LAB</v>
      </c>
      <c r="AK617" s="66" t="str">
        <f t="shared" si="1558"/>
        <v>GAIN</v>
      </c>
      <c r="AL617" s="67" t="e">
        <f t="shared" ca="1" si="1559"/>
        <v>#NAME?</v>
      </c>
      <c r="AM617" s="68">
        <f t="shared" si="1408"/>
        <v>6333</v>
      </c>
      <c r="AN617" s="69">
        <f t="shared" si="1409"/>
        <v>0.15253257544738552</v>
      </c>
      <c r="AO617" s="62"/>
      <c r="AP617" s="70">
        <f t="shared" ref="AP617:AU617" si="1866">H617/$AI617</f>
        <v>0.47113369782509212</v>
      </c>
      <c r="AQ617" s="70">
        <f t="shared" si="1866"/>
        <v>6.4042968279582835E-2</v>
      </c>
      <c r="AR617" s="70">
        <f t="shared" si="1866"/>
        <v>7.7747537272092299E-2</v>
      </c>
      <c r="AS617" s="70">
        <f t="shared" si="1866"/>
        <v>3.3093282593511401E-2</v>
      </c>
      <c r="AT617" s="70">
        <f t="shared" si="1866"/>
        <v>3.5381391652014739E-2</v>
      </c>
      <c r="AU617" s="70">
        <f t="shared" si="1866"/>
        <v>0.3186011223777066</v>
      </c>
      <c r="AV617" s="70"/>
      <c r="AW617" s="81">
        <f t="shared" si="1561"/>
        <v>0</v>
      </c>
      <c r="AX617" s="70">
        <f t="shared" ref="AX617:BG617" si="1867">O617/$AI617</f>
        <v>0</v>
      </c>
      <c r="AY617" s="70">
        <f t="shared" si="1867"/>
        <v>0</v>
      </c>
      <c r="AZ617" s="70">
        <f t="shared" si="1867"/>
        <v>0</v>
      </c>
      <c r="BA617" s="70">
        <f t="shared" si="1867"/>
        <v>0</v>
      </c>
      <c r="BB617" s="70">
        <f t="shared" si="1867"/>
        <v>0</v>
      </c>
      <c r="BC617" s="70">
        <f t="shared" si="1867"/>
        <v>0</v>
      </c>
      <c r="BD617" s="70">
        <f t="shared" si="1867"/>
        <v>0</v>
      </c>
      <c r="BE617" s="70">
        <f t="shared" si="1867"/>
        <v>0</v>
      </c>
      <c r="BF617" s="70">
        <f t="shared" si="1867"/>
        <v>0</v>
      </c>
      <c r="BG617" s="70">
        <f t="shared" si="1867"/>
        <v>0</v>
      </c>
      <c r="BH617" s="70">
        <f t="shared" si="1563"/>
        <v>0</v>
      </c>
      <c r="BI617" s="62"/>
      <c r="BJ617" s="69">
        <v>0.23699999999999999</v>
      </c>
      <c r="BK617" s="69">
        <v>0.19500000000000001</v>
      </c>
      <c r="BL617" s="69">
        <v>3.0000000000000001E-3</v>
      </c>
      <c r="BM617" s="69">
        <v>7.5999999999999998E-2</v>
      </c>
      <c r="BN617" s="69">
        <v>0</v>
      </c>
      <c r="BO617" s="69">
        <v>0.48899999999999999</v>
      </c>
      <c r="BP617" s="69">
        <v>0</v>
      </c>
      <c r="BQ617" s="69">
        <v>0</v>
      </c>
      <c r="BR617" s="62"/>
      <c r="BS617" s="72">
        <f t="shared" ref="BS617:BX617" si="1868">AP617-BJ617</f>
        <v>0.23413369782509214</v>
      </c>
      <c r="BT617" s="72">
        <f t="shared" si="1868"/>
        <v>-0.13095703172041717</v>
      </c>
      <c r="BU617" s="72">
        <f t="shared" si="1868"/>
        <v>7.4747537272092296E-2</v>
      </c>
      <c r="BV617" s="72">
        <f t="shared" si="1868"/>
        <v>-4.2906717406488597E-2</v>
      </c>
      <c r="BW617" s="72">
        <f t="shared" si="1868"/>
        <v>3.5381391652014739E-2</v>
      </c>
      <c r="BX617" s="72">
        <f t="shared" si="1868"/>
        <v>-0.17039887762229339</v>
      </c>
      <c r="BY617" s="72"/>
      <c r="BZ617" s="72">
        <f t="shared" si="1565"/>
        <v>0</v>
      </c>
    </row>
    <row r="618" spans="1:78" ht="13.15">
      <c r="A618" s="94" t="s">
        <v>10</v>
      </c>
      <c r="B618" s="74" t="s">
        <v>1281</v>
      </c>
      <c r="C618" s="75" t="s">
        <v>1282</v>
      </c>
      <c r="D618" s="75" t="s">
        <v>1178</v>
      </c>
      <c r="E618" s="76"/>
      <c r="F618" s="59"/>
      <c r="G618" s="60"/>
      <c r="H618" s="77">
        <v>19583</v>
      </c>
      <c r="I618" s="77">
        <v>2219</v>
      </c>
      <c r="J618" s="77">
        <v>2956</v>
      </c>
      <c r="K618" s="77">
        <v>1315</v>
      </c>
      <c r="L618" s="77"/>
      <c r="M618" s="77">
        <v>13056</v>
      </c>
      <c r="N618" s="77"/>
      <c r="O618" s="77">
        <v>317</v>
      </c>
      <c r="P618" s="77"/>
      <c r="Q618" s="77"/>
      <c r="R618" s="77"/>
      <c r="S618" s="77"/>
      <c r="T618" s="77"/>
      <c r="U618" s="77"/>
      <c r="V618" s="77"/>
      <c r="W618" s="77"/>
      <c r="X618" s="77"/>
      <c r="Y618" s="77">
        <v>113</v>
      </c>
      <c r="Z618" s="77"/>
      <c r="AA618" s="77"/>
      <c r="AB618" s="77"/>
      <c r="AC618" s="77"/>
      <c r="AD618" s="77"/>
      <c r="AE618" s="62"/>
      <c r="AF618" s="63" t="b">
        <v>0</v>
      </c>
      <c r="AG618" s="63" t="b">
        <v>0</v>
      </c>
      <c r="AH618" s="62"/>
      <c r="AI618" s="64">
        <f t="shared" si="1557"/>
        <v>39559</v>
      </c>
      <c r="AJ618" s="65" t="str">
        <f t="shared" si="1116"/>
        <v>LAB</v>
      </c>
      <c r="AK618" s="66" t="str">
        <f t="shared" si="1558"/>
        <v>GAIN</v>
      </c>
      <c r="AL618" s="67" t="e">
        <f t="shared" ca="1" si="1559"/>
        <v>#NAME?</v>
      </c>
      <c r="AM618" s="68">
        <f t="shared" si="1408"/>
        <v>6527</v>
      </c>
      <c r="AN618" s="69">
        <f t="shared" si="1409"/>
        <v>0.16499405950605428</v>
      </c>
      <c r="AO618" s="62"/>
      <c r="AP618" s="70">
        <f t="shared" ref="AP618:AU618" si="1869">H618/$AI618</f>
        <v>0.49503273591344576</v>
      </c>
      <c r="AQ618" s="70">
        <f t="shared" si="1869"/>
        <v>5.6093430066482972E-2</v>
      </c>
      <c r="AR618" s="70">
        <f t="shared" si="1869"/>
        <v>7.4723830228266633E-2</v>
      </c>
      <c r="AS618" s="70">
        <f t="shared" si="1869"/>
        <v>3.3241487398569226E-2</v>
      </c>
      <c r="AT618" s="70">
        <f t="shared" si="1869"/>
        <v>0</v>
      </c>
      <c r="AU618" s="70">
        <f t="shared" si="1869"/>
        <v>0.33003867640739148</v>
      </c>
      <c r="AV618" s="70"/>
      <c r="AW618" s="81">
        <f t="shared" si="1561"/>
        <v>1.0869839985843899E-2</v>
      </c>
      <c r="AX618" s="70">
        <f t="shared" ref="AX618:BG618" si="1870">O618/$AI618</f>
        <v>8.013347152354711E-3</v>
      </c>
      <c r="AY618" s="70">
        <f t="shared" si="1870"/>
        <v>0</v>
      </c>
      <c r="AZ618" s="70">
        <f t="shared" si="1870"/>
        <v>0</v>
      </c>
      <c r="BA618" s="70">
        <f t="shared" si="1870"/>
        <v>0</v>
      </c>
      <c r="BB618" s="70">
        <f t="shared" si="1870"/>
        <v>0</v>
      </c>
      <c r="BC618" s="70">
        <f t="shared" si="1870"/>
        <v>0</v>
      </c>
      <c r="BD618" s="70">
        <f t="shared" si="1870"/>
        <v>0</v>
      </c>
      <c r="BE618" s="70">
        <f t="shared" si="1870"/>
        <v>0</v>
      </c>
      <c r="BF618" s="70">
        <f t="shared" si="1870"/>
        <v>0</v>
      </c>
      <c r="BG618" s="70">
        <f t="shared" si="1870"/>
        <v>0</v>
      </c>
      <c r="BH618" s="70">
        <f t="shared" si="1563"/>
        <v>2.8564928334891878E-3</v>
      </c>
      <c r="BI618" s="62"/>
      <c r="BJ618" s="69">
        <v>0.25900000000000001</v>
      </c>
      <c r="BK618" s="69">
        <v>0.182</v>
      </c>
      <c r="BL618" s="69">
        <v>0</v>
      </c>
      <c r="BM618" s="69">
        <v>6.2E-2</v>
      </c>
      <c r="BN618" s="69">
        <v>0</v>
      </c>
      <c r="BO618" s="69">
        <v>0.498</v>
      </c>
      <c r="BP618" s="69">
        <v>0</v>
      </c>
      <c r="BQ618" s="69">
        <v>0</v>
      </c>
      <c r="BR618" s="62"/>
      <c r="BS618" s="72">
        <f t="shared" ref="BS618:BX618" si="1871">AP618-BJ618</f>
        <v>0.23603273591344576</v>
      </c>
      <c r="BT618" s="72">
        <f t="shared" si="1871"/>
        <v>-0.12590656993351701</v>
      </c>
      <c r="BU618" s="72">
        <f t="shared" si="1871"/>
        <v>7.4723830228266633E-2</v>
      </c>
      <c r="BV618" s="72">
        <f t="shared" si="1871"/>
        <v>-2.8758512601430773E-2</v>
      </c>
      <c r="BW618" s="72">
        <f t="shared" si="1871"/>
        <v>0</v>
      </c>
      <c r="BX618" s="72">
        <f t="shared" si="1871"/>
        <v>-0.16796132359260851</v>
      </c>
      <c r="BY618" s="72"/>
      <c r="BZ618" s="72">
        <f t="shared" si="1565"/>
        <v>1.0869839985843899E-2</v>
      </c>
    </row>
    <row r="619" spans="1:78" ht="13.15">
      <c r="A619" s="94" t="s">
        <v>10</v>
      </c>
      <c r="B619" s="74" t="s">
        <v>1283</v>
      </c>
      <c r="C619" s="75" t="s">
        <v>1284</v>
      </c>
      <c r="D619" s="75" t="s">
        <v>1178</v>
      </c>
      <c r="E619" s="76"/>
      <c r="F619" s="59"/>
      <c r="G619" s="60"/>
      <c r="H619" s="77">
        <v>9018</v>
      </c>
      <c r="I619" s="77">
        <v>14801</v>
      </c>
      <c r="J619" s="77">
        <v>2970</v>
      </c>
      <c r="K619" s="77">
        <v>3681</v>
      </c>
      <c r="L619" s="77"/>
      <c r="M619" s="77">
        <v>18928</v>
      </c>
      <c r="N619" s="77"/>
      <c r="O619" s="77">
        <v>679</v>
      </c>
      <c r="P619" s="77"/>
      <c r="Q619" s="77"/>
      <c r="R619" s="77"/>
      <c r="S619" s="77"/>
      <c r="T619" s="77"/>
      <c r="U619" s="77"/>
      <c r="V619" s="77"/>
      <c r="W619" s="77"/>
      <c r="X619" s="77"/>
      <c r="Y619" s="77"/>
      <c r="Z619" s="77"/>
      <c r="AA619" s="77"/>
      <c r="AB619" s="77"/>
      <c r="AC619" s="77"/>
      <c r="AD619" s="77"/>
      <c r="AE619" s="62"/>
      <c r="AF619" s="63" t="b">
        <v>0</v>
      </c>
      <c r="AG619" s="63" t="b">
        <v>0</v>
      </c>
      <c r="AH619" s="62"/>
      <c r="AI619" s="64">
        <f t="shared" si="1557"/>
        <v>50077</v>
      </c>
      <c r="AJ619" s="65" t="str">
        <f t="shared" si="1116"/>
        <v>SNP</v>
      </c>
      <c r="AK619" s="66" t="str">
        <f t="shared" si="1558"/>
        <v>HOLD</v>
      </c>
      <c r="AL619" s="67" t="e">
        <f t="shared" ca="1" si="1559"/>
        <v>#NAME?</v>
      </c>
      <c r="AM619" s="68">
        <f t="shared" si="1408"/>
        <v>4127</v>
      </c>
      <c r="AN619" s="69">
        <f t="shared" si="1409"/>
        <v>8.2413083850869651E-2</v>
      </c>
      <c r="AO619" s="62"/>
      <c r="AP619" s="70">
        <f t="shared" ref="AP619:AU619" si="1872">H619/$AI619</f>
        <v>0.18008267268406652</v>
      </c>
      <c r="AQ619" s="70">
        <f t="shared" si="1872"/>
        <v>0.29556483016155122</v>
      </c>
      <c r="AR619" s="70">
        <f t="shared" si="1872"/>
        <v>5.9308664656429103E-2</v>
      </c>
      <c r="AS619" s="70">
        <f t="shared" si="1872"/>
        <v>7.3506799528725769E-2</v>
      </c>
      <c r="AT619" s="70">
        <f t="shared" si="1872"/>
        <v>0</v>
      </c>
      <c r="AU619" s="70">
        <f t="shared" si="1872"/>
        <v>0.37797791401242087</v>
      </c>
      <c r="AV619" s="70"/>
      <c r="AW619" s="81">
        <f t="shared" si="1561"/>
        <v>1.3559118956806504E-2</v>
      </c>
      <c r="AX619" s="70">
        <f t="shared" ref="AX619:BG619" si="1873">O619/$AI619</f>
        <v>1.3559118956806518E-2</v>
      </c>
      <c r="AY619" s="70">
        <f t="shared" si="1873"/>
        <v>0</v>
      </c>
      <c r="AZ619" s="70">
        <f t="shared" si="1873"/>
        <v>0</v>
      </c>
      <c r="BA619" s="70">
        <f t="shared" si="1873"/>
        <v>0</v>
      </c>
      <c r="BB619" s="70">
        <f t="shared" si="1873"/>
        <v>0</v>
      </c>
      <c r="BC619" s="70">
        <f t="shared" si="1873"/>
        <v>0</v>
      </c>
      <c r="BD619" s="70">
        <f t="shared" si="1873"/>
        <v>0</v>
      </c>
      <c r="BE619" s="70">
        <f t="shared" si="1873"/>
        <v>0</v>
      </c>
      <c r="BF619" s="70">
        <f t="shared" si="1873"/>
        <v>0</v>
      </c>
      <c r="BG619" s="70">
        <f t="shared" si="1873"/>
        <v>0</v>
      </c>
      <c r="BH619" s="70">
        <f t="shared" si="1563"/>
        <v>-1.3877787807814457E-17</v>
      </c>
      <c r="BI619" s="62"/>
      <c r="BJ619" s="69">
        <v>0.05</v>
      </c>
      <c r="BK619" s="69">
        <v>0.41099999999999998</v>
      </c>
      <c r="BL619" s="69">
        <v>7.0000000000000001E-3</v>
      </c>
      <c r="BM619" s="69">
        <v>0.08</v>
      </c>
      <c r="BN619" s="69">
        <v>0</v>
      </c>
      <c r="BO619" s="69">
        <v>0.45300000000000001</v>
      </c>
      <c r="BP619" s="69">
        <v>0</v>
      </c>
      <c r="BQ619" s="69">
        <v>0</v>
      </c>
      <c r="BR619" s="62"/>
      <c r="BS619" s="72">
        <f t="shared" ref="BS619:BX619" si="1874">AP619-BJ619</f>
        <v>0.13008267268406654</v>
      </c>
      <c r="BT619" s="72">
        <f t="shared" si="1874"/>
        <v>-0.11543516983844876</v>
      </c>
      <c r="BU619" s="72">
        <f t="shared" si="1874"/>
        <v>5.2308664656429103E-2</v>
      </c>
      <c r="BV619" s="72">
        <f t="shared" si="1874"/>
        <v>-6.4932004712742325E-3</v>
      </c>
      <c r="BW619" s="72">
        <f t="shared" si="1874"/>
        <v>0</v>
      </c>
      <c r="BX619" s="72">
        <f t="shared" si="1874"/>
        <v>-7.5022085987579146E-2</v>
      </c>
      <c r="BY619" s="72"/>
      <c r="BZ619" s="72">
        <f t="shared" si="1565"/>
        <v>1.3559118956806504E-2</v>
      </c>
    </row>
    <row r="620" spans="1:78" ht="13.15">
      <c r="A620" s="94" t="s">
        <v>10</v>
      </c>
      <c r="B620" s="74" t="s">
        <v>1285</v>
      </c>
      <c r="C620" s="75" t="s">
        <v>1286</v>
      </c>
      <c r="D620" s="75" t="s">
        <v>1178</v>
      </c>
      <c r="E620" s="76"/>
      <c r="F620" s="59"/>
      <c r="G620" s="60"/>
      <c r="H620" s="77">
        <v>21460</v>
      </c>
      <c r="I620" s="77">
        <v>2420</v>
      </c>
      <c r="J620" s="77">
        <v>2685</v>
      </c>
      <c r="K620" s="77">
        <v>1714</v>
      </c>
      <c r="L620" s="77"/>
      <c r="M620" s="77">
        <v>12693</v>
      </c>
      <c r="N620" s="77"/>
      <c r="O620" s="77">
        <v>153</v>
      </c>
      <c r="P620" s="77"/>
      <c r="Q620" s="77"/>
      <c r="R620" s="77"/>
      <c r="S620" s="77"/>
      <c r="T620" s="77"/>
      <c r="U620" s="77"/>
      <c r="V620" s="77"/>
      <c r="W620" s="77"/>
      <c r="X620" s="77"/>
      <c r="Y620" s="77">
        <v>541</v>
      </c>
      <c r="Z620" s="77">
        <v>497</v>
      </c>
      <c r="AA620" s="77">
        <v>321</v>
      </c>
      <c r="AB620" s="77"/>
      <c r="AC620" s="77"/>
      <c r="AD620" s="77"/>
      <c r="AE620" s="62"/>
      <c r="AF620" s="63" t="b">
        <v>0</v>
      </c>
      <c r="AG620" s="63" t="b">
        <v>0</v>
      </c>
      <c r="AH620" s="62"/>
      <c r="AI620" s="64">
        <f t="shared" si="1557"/>
        <v>42484</v>
      </c>
      <c r="AJ620" s="65" t="str">
        <f t="shared" si="1116"/>
        <v>LAB</v>
      </c>
      <c r="AK620" s="66" t="str">
        <f t="shared" si="1558"/>
        <v>GAIN</v>
      </c>
      <c r="AL620" s="67" t="e">
        <f t="shared" ca="1" si="1559"/>
        <v>#NAME?</v>
      </c>
      <c r="AM620" s="68">
        <f t="shared" si="1408"/>
        <v>8767</v>
      </c>
      <c r="AN620" s="69">
        <f t="shared" si="1409"/>
        <v>0.20636004142736086</v>
      </c>
      <c r="AO620" s="62"/>
      <c r="AP620" s="70">
        <f t="shared" ref="AP620:AU620" si="1875">H620/$AI620</f>
        <v>0.50513134356463607</v>
      </c>
      <c r="AQ620" s="70">
        <f t="shared" si="1875"/>
        <v>5.6962621222107143E-2</v>
      </c>
      <c r="AR620" s="70">
        <f t="shared" si="1875"/>
        <v>6.32002636286602E-2</v>
      </c>
      <c r="AS620" s="70">
        <f t="shared" si="1875"/>
        <v>4.0344600320120515E-2</v>
      </c>
      <c r="AT620" s="70">
        <f t="shared" si="1875"/>
        <v>0</v>
      </c>
      <c r="AU620" s="70">
        <f t="shared" si="1875"/>
        <v>0.29877130213727521</v>
      </c>
      <c r="AV620" s="70"/>
      <c r="AW620" s="81">
        <f t="shared" si="1561"/>
        <v>3.5589869127200857E-2</v>
      </c>
      <c r="AX620" s="70">
        <f t="shared" ref="AX620:BG620" si="1876">O620/$AI620</f>
        <v>3.6013558045381792E-3</v>
      </c>
      <c r="AY620" s="70">
        <f t="shared" si="1876"/>
        <v>0</v>
      </c>
      <c r="AZ620" s="70">
        <f t="shared" si="1876"/>
        <v>0</v>
      </c>
      <c r="BA620" s="70">
        <f t="shared" si="1876"/>
        <v>0</v>
      </c>
      <c r="BB620" s="70">
        <f t="shared" si="1876"/>
        <v>0</v>
      </c>
      <c r="BC620" s="70">
        <f t="shared" si="1876"/>
        <v>0</v>
      </c>
      <c r="BD620" s="70">
        <f t="shared" si="1876"/>
        <v>0</v>
      </c>
      <c r="BE620" s="70">
        <f t="shared" si="1876"/>
        <v>0</v>
      </c>
      <c r="BF620" s="70">
        <f t="shared" si="1876"/>
        <v>0</v>
      </c>
      <c r="BG620" s="70">
        <f t="shared" si="1876"/>
        <v>0</v>
      </c>
      <c r="BH620" s="70">
        <f t="shared" si="1563"/>
        <v>3.1988513322662677E-2</v>
      </c>
      <c r="BI620" s="62"/>
      <c r="BJ620" s="69">
        <v>0.312</v>
      </c>
      <c r="BK620" s="69">
        <v>0.17299999999999999</v>
      </c>
      <c r="BL620" s="69">
        <v>0</v>
      </c>
      <c r="BM620" s="69">
        <v>7.1999999999999995E-2</v>
      </c>
      <c r="BN620" s="69">
        <v>0</v>
      </c>
      <c r="BO620" s="69">
        <v>0.43099999999999999</v>
      </c>
      <c r="BP620" s="69">
        <v>0</v>
      </c>
      <c r="BQ620" s="69">
        <v>1.2999999999999999E-2</v>
      </c>
      <c r="BR620" s="62"/>
      <c r="BS620" s="72">
        <f t="shared" ref="BS620:BX620" si="1877">AP620-BJ620</f>
        <v>0.19313134356463607</v>
      </c>
      <c r="BT620" s="72">
        <f t="shared" si="1877"/>
        <v>-0.11603737877789284</v>
      </c>
      <c r="BU620" s="72">
        <f t="shared" si="1877"/>
        <v>6.32002636286602E-2</v>
      </c>
      <c r="BV620" s="72">
        <f t="shared" si="1877"/>
        <v>-3.165539967987948E-2</v>
      </c>
      <c r="BW620" s="72">
        <f t="shared" si="1877"/>
        <v>0</v>
      </c>
      <c r="BX620" s="72">
        <f t="shared" si="1877"/>
        <v>-0.13222869786272479</v>
      </c>
      <c r="BY620" s="72"/>
      <c r="BZ620" s="72">
        <f t="shared" si="1565"/>
        <v>2.2589869127200859E-2</v>
      </c>
    </row>
    <row r="621" spans="1:78" ht="13.15">
      <c r="A621" s="94" t="s">
        <v>10</v>
      </c>
      <c r="B621" s="74" t="s">
        <v>1287</v>
      </c>
      <c r="C621" s="75" t="s">
        <v>1288</v>
      </c>
      <c r="D621" s="75" t="s">
        <v>1178</v>
      </c>
      <c r="E621" s="76"/>
      <c r="F621" s="59"/>
      <c r="G621" s="60"/>
      <c r="H621" s="77">
        <v>16856</v>
      </c>
      <c r="I621" s="77">
        <v>9469</v>
      </c>
      <c r="J621" s="77">
        <v>3145</v>
      </c>
      <c r="K621" s="77">
        <v>2530</v>
      </c>
      <c r="L621" s="77">
        <v>2320</v>
      </c>
      <c r="M621" s="77">
        <v>15462</v>
      </c>
      <c r="N621" s="77"/>
      <c r="O621" s="77"/>
      <c r="P621" s="77"/>
      <c r="Q621" s="77"/>
      <c r="R621" s="77"/>
      <c r="S621" s="77"/>
      <c r="T621" s="77"/>
      <c r="U621" s="77"/>
      <c r="V621" s="77"/>
      <c r="W621" s="77"/>
      <c r="X621" s="77"/>
      <c r="Y621" s="77"/>
      <c r="Z621" s="77"/>
      <c r="AA621" s="77"/>
      <c r="AB621" s="77"/>
      <c r="AC621" s="77"/>
      <c r="AD621" s="77"/>
      <c r="AE621" s="62"/>
      <c r="AF621" s="63" t="b">
        <v>0</v>
      </c>
      <c r="AG621" s="63" t="b">
        <v>0</v>
      </c>
      <c r="AH621" s="62"/>
      <c r="AI621" s="64">
        <f t="shared" si="1557"/>
        <v>49782</v>
      </c>
      <c r="AJ621" s="65" t="str">
        <f t="shared" si="1116"/>
        <v>LAB</v>
      </c>
      <c r="AK621" s="66" t="str">
        <f t="shared" si="1558"/>
        <v>GAIN</v>
      </c>
      <c r="AL621" s="67" t="e">
        <f t="shared" ca="1" si="1559"/>
        <v>#NAME?</v>
      </c>
      <c r="AM621" s="68">
        <f t="shared" si="1408"/>
        <v>1394</v>
      </c>
      <c r="AN621" s="69">
        <f t="shared" si="1409"/>
        <v>2.8002089108513095E-2</v>
      </c>
      <c r="AO621" s="62"/>
      <c r="AP621" s="70">
        <f t="shared" ref="AP621:AU621" si="1878">H621/$AI621</f>
        <v>0.33859627977984008</v>
      </c>
      <c r="AQ621" s="70">
        <f t="shared" si="1878"/>
        <v>0.19020931260294885</v>
      </c>
      <c r="AR621" s="70">
        <f t="shared" si="1878"/>
        <v>6.3175444939938125E-2</v>
      </c>
      <c r="AS621" s="70">
        <f t="shared" si="1878"/>
        <v>5.082158209794705E-2</v>
      </c>
      <c r="AT621" s="70">
        <f t="shared" si="1878"/>
        <v>4.6603189907998874E-2</v>
      </c>
      <c r="AU621" s="70">
        <f t="shared" si="1878"/>
        <v>0.31059419067132699</v>
      </c>
      <c r="AV621" s="70"/>
      <c r="AW621" s="81">
        <f t="shared" si="1561"/>
        <v>0</v>
      </c>
      <c r="AX621" s="70">
        <f t="shared" ref="AX621:BG621" si="1879">O621/$AI621</f>
        <v>0</v>
      </c>
      <c r="AY621" s="70">
        <f t="shared" si="1879"/>
        <v>0</v>
      </c>
      <c r="AZ621" s="70">
        <f t="shared" si="1879"/>
        <v>0</v>
      </c>
      <c r="BA621" s="70">
        <f t="shared" si="1879"/>
        <v>0</v>
      </c>
      <c r="BB621" s="70">
        <f t="shared" si="1879"/>
        <v>0</v>
      </c>
      <c r="BC621" s="70">
        <f t="shared" si="1879"/>
        <v>0</v>
      </c>
      <c r="BD621" s="70">
        <f t="shared" si="1879"/>
        <v>0</v>
      </c>
      <c r="BE621" s="70">
        <f t="shared" si="1879"/>
        <v>0</v>
      </c>
      <c r="BF621" s="70">
        <f t="shared" si="1879"/>
        <v>0</v>
      </c>
      <c r="BG621" s="70">
        <f t="shared" si="1879"/>
        <v>0</v>
      </c>
      <c r="BH621" s="70">
        <f t="shared" si="1563"/>
        <v>1.1102230246251565E-16</v>
      </c>
      <c r="BI621" s="62"/>
      <c r="BJ621" s="69">
        <v>7.6999999999999999E-2</v>
      </c>
      <c r="BK621" s="69">
        <v>0.35</v>
      </c>
      <c r="BL621" s="69">
        <v>0</v>
      </c>
      <c r="BM621" s="69">
        <v>5.8999999999999997E-2</v>
      </c>
      <c r="BN621" s="69">
        <v>1.6E-2</v>
      </c>
      <c r="BO621" s="69">
        <v>0.498</v>
      </c>
      <c r="BP621" s="69">
        <v>0</v>
      </c>
      <c r="BQ621" s="69">
        <v>0</v>
      </c>
      <c r="BR621" s="62"/>
      <c r="BS621" s="72">
        <f t="shared" ref="BS621:BX621" si="1880">AP621-BJ621</f>
        <v>0.26159627977984007</v>
      </c>
      <c r="BT621" s="72">
        <f t="shared" si="1880"/>
        <v>-0.15979068739705113</v>
      </c>
      <c r="BU621" s="72">
        <f t="shared" si="1880"/>
        <v>6.3175444939938125E-2</v>
      </c>
      <c r="BV621" s="72">
        <f t="shared" si="1880"/>
        <v>-8.1784179020529466E-3</v>
      </c>
      <c r="BW621" s="72">
        <f t="shared" si="1880"/>
        <v>3.0603189907998873E-2</v>
      </c>
      <c r="BX621" s="72">
        <f t="shared" si="1880"/>
        <v>-0.18740580932867301</v>
      </c>
      <c r="BY621" s="72"/>
      <c r="BZ621" s="72">
        <f t="shared" si="1565"/>
        <v>1.1102230246251565E-16</v>
      </c>
    </row>
    <row r="622" spans="1:78" ht="13.15">
      <c r="A622" s="94" t="s">
        <v>10</v>
      </c>
      <c r="B622" s="74" t="s">
        <v>1289</v>
      </c>
      <c r="C622" s="75" t="s">
        <v>1290</v>
      </c>
      <c r="D622" s="75" t="s">
        <v>1178</v>
      </c>
      <c r="E622" s="76"/>
      <c r="F622" s="59"/>
      <c r="G622" s="60"/>
      <c r="H622" s="77">
        <v>19312</v>
      </c>
      <c r="I622" s="77">
        <v>1474</v>
      </c>
      <c r="J622" s="77">
        <v>2770</v>
      </c>
      <c r="K622" s="77">
        <v>839</v>
      </c>
      <c r="L622" s="77">
        <v>1496</v>
      </c>
      <c r="M622" s="77">
        <v>13302</v>
      </c>
      <c r="N622" s="77"/>
      <c r="O622" s="77"/>
      <c r="P622" s="77"/>
      <c r="Q622" s="77"/>
      <c r="R622" s="77"/>
      <c r="S622" s="77"/>
      <c r="T622" s="77"/>
      <c r="U622" s="77"/>
      <c r="V622" s="77"/>
      <c r="W622" s="77"/>
      <c r="X622" s="77"/>
      <c r="Y622" s="77">
        <v>318</v>
      </c>
      <c r="Z622" s="77">
        <v>73</v>
      </c>
      <c r="AA622" s="77"/>
      <c r="AB622" s="77"/>
      <c r="AC622" s="77"/>
      <c r="AD622" s="77"/>
      <c r="AE622" s="62"/>
      <c r="AF622" s="63" t="b">
        <v>0</v>
      </c>
      <c r="AG622" s="63" t="b">
        <v>0</v>
      </c>
      <c r="AH622" s="62"/>
      <c r="AI622" s="64">
        <f t="shared" si="1557"/>
        <v>39584</v>
      </c>
      <c r="AJ622" s="65" t="str">
        <f t="shared" si="1116"/>
        <v>LAB</v>
      </c>
      <c r="AK622" s="66" t="str">
        <f t="shared" si="1558"/>
        <v>GAIN</v>
      </c>
      <c r="AL622" s="67" t="e">
        <f t="shared" ca="1" si="1559"/>
        <v>#NAME?</v>
      </c>
      <c r="AM622" s="68">
        <f t="shared" si="1408"/>
        <v>6010</v>
      </c>
      <c r="AN622" s="69">
        <f t="shared" si="1409"/>
        <v>0.15182902182700081</v>
      </c>
      <c r="AO622" s="62"/>
      <c r="AP622" s="70">
        <f t="shared" ref="AP622:AU622" si="1881">H622/$AI622</f>
        <v>0.48787388843977364</v>
      </c>
      <c r="AQ622" s="70">
        <f t="shared" si="1881"/>
        <v>3.7237267582861763E-2</v>
      </c>
      <c r="AR622" s="70">
        <f t="shared" si="1881"/>
        <v>6.9977768795472919E-2</v>
      </c>
      <c r="AS622" s="70">
        <f t="shared" si="1881"/>
        <v>2.1195432497978981E-2</v>
      </c>
      <c r="AT622" s="70">
        <f t="shared" si="1881"/>
        <v>3.7793047696038806E-2</v>
      </c>
      <c r="AU622" s="70">
        <f t="shared" si="1881"/>
        <v>0.33604486661277283</v>
      </c>
      <c r="AV622" s="70"/>
      <c r="AW622" s="81">
        <f t="shared" si="1561"/>
        <v>9.8777283751010359E-3</v>
      </c>
      <c r="AX622" s="70">
        <f t="shared" ref="AX622:BG622" si="1882">O622/$AI622</f>
        <v>0</v>
      </c>
      <c r="AY622" s="70">
        <f t="shared" si="1882"/>
        <v>0</v>
      </c>
      <c r="AZ622" s="70">
        <f t="shared" si="1882"/>
        <v>0</v>
      </c>
      <c r="BA622" s="70">
        <f t="shared" si="1882"/>
        <v>0</v>
      </c>
      <c r="BB622" s="70">
        <f t="shared" si="1882"/>
        <v>0</v>
      </c>
      <c r="BC622" s="70">
        <f t="shared" si="1882"/>
        <v>0</v>
      </c>
      <c r="BD622" s="70">
        <f t="shared" si="1882"/>
        <v>0</v>
      </c>
      <c r="BE622" s="70">
        <f t="shared" si="1882"/>
        <v>0</v>
      </c>
      <c r="BF622" s="70">
        <f t="shared" si="1882"/>
        <v>0</v>
      </c>
      <c r="BG622" s="70">
        <f t="shared" si="1882"/>
        <v>0</v>
      </c>
      <c r="BH622" s="70">
        <f t="shared" si="1563"/>
        <v>9.8777283751010359E-3</v>
      </c>
      <c r="BI622" s="62"/>
      <c r="BJ622" s="69">
        <v>0.28599999999999998</v>
      </c>
      <c r="BK622" s="69">
        <v>0.14199999999999999</v>
      </c>
      <c r="BL622" s="69">
        <v>0</v>
      </c>
      <c r="BM622" s="69">
        <v>4.2000000000000003E-2</v>
      </c>
      <c r="BN622" s="69">
        <v>1.9E-2</v>
      </c>
      <c r="BO622" s="69">
        <v>0.497</v>
      </c>
      <c r="BP622" s="69">
        <v>0</v>
      </c>
      <c r="BQ622" s="69">
        <v>1.4999999999999999E-2</v>
      </c>
      <c r="BR622" s="62"/>
      <c r="BS622" s="72">
        <f t="shared" ref="BS622:BX622" si="1883">AP622-BJ622</f>
        <v>0.20187388843977366</v>
      </c>
      <c r="BT622" s="72">
        <f t="shared" si="1883"/>
        <v>-0.10476273241713822</v>
      </c>
      <c r="BU622" s="72">
        <f t="shared" si="1883"/>
        <v>6.9977768795472919E-2</v>
      </c>
      <c r="BV622" s="72">
        <f t="shared" si="1883"/>
        <v>-2.0804567502021021E-2</v>
      </c>
      <c r="BW622" s="72">
        <f t="shared" si="1883"/>
        <v>1.8793047696038807E-2</v>
      </c>
      <c r="BX622" s="72">
        <f t="shared" si="1883"/>
        <v>-0.16095513338722717</v>
      </c>
      <c r="BY622" s="72"/>
      <c r="BZ622" s="72">
        <f t="shared" si="1565"/>
        <v>-5.1222716248989636E-3</v>
      </c>
    </row>
    <row r="623" spans="1:78" ht="13.15">
      <c r="A623" s="78" t="s">
        <v>5</v>
      </c>
      <c r="B623" s="74" t="s">
        <v>1291</v>
      </c>
      <c r="C623" s="75" t="s">
        <v>1292</v>
      </c>
      <c r="D623" s="75" t="s">
        <v>1293</v>
      </c>
      <c r="E623" s="76"/>
      <c r="F623" s="59"/>
      <c r="G623" s="60"/>
      <c r="H623" s="77">
        <v>17837</v>
      </c>
      <c r="I623" s="77">
        <v>2903</v>
      </c>
      <c r="J623" s="77">
        <v>7484</v>
      </c>
      <c r="K623" s="77">
        <v>916</v>
      </c>
      <c r="L623" s="77">
        <v>1094</v>
      </c>
      <c r="M623" s="77"/>
      <c r="N623" s="77">
        <v>4719</v>
      </c>
      <c r="O623" s="77">
        <v>618</v>
      </c>
      <c r="P623" s="77"/>
      <c r="Q623" s="77"/>
      <c r="R623" s="77"/>
      <c r="S623" s="77"/>
      <c r="T623" s="77"/>
      <c r="U623" s="77"/>
      <c r="V623" s="77"/>
      <c r="W623" s="77"/>
      <c r="X623" s="77"/>
      <c r="Y623" s="77">
        <v>183</v>
      </c>
      <c r="Z623" s="77"/>
      <c r="AA623" s="77"/>
      <c r="AB623" s="77"/>
      <c r="AC623" s="77"/>
      <c r="AD623" s="77"/>
      <c r="AE623" s="62"/>
      <c r="AF623" s="63" t="b">
        <v>0</v>
      </c>
      <c r="AG623" s="63" t="b">
        <v>0</v>
      </c>
      <c r="AH623" s="62"/>
      <c r="AI623" s="64">
        <f t="shared" si="1557"/>
        <v>35754</v>
      </c>
      <c r="AJ623" s="65" t="str">
        <f t="shared" ref="AJ623:AJ654" si="1884">INDEX($H$1:$X$1,0,MATCH(MAX($H623:$X623),$H623:$X623,0))</f>
        <v>LAB</v>
      </c>
      <c r="AK623" s="66" t="str">
        <f t="shared" si="1558"/>
        <v>HOLD</v>
      </c>
      <c r="AL623" s="67" t="e">
        <f t="shared" ca="1" si="1559"/>
        <v>#NAME?</v>
      </c>
      <c r="AM623" s="68">
        <f t="shared" si="1408"/>
        <v>10353</v>
      </c>
      <c r="AN623" s="69">
        <f t="shared" si="1409"/>
        <v>0.28956200704816248</v>
      </c>
      <c r="AO623" s="62"/>
      <c r="AP623" s="70">
        <f t="shared" ref="AP623:AT623" si="1885">H623/$AI623</f>
        <v>0.49888124405660905</v>
      </c>
      <c r="AQ623" s="70">
        <f t="shared" si="1885"/>
        <v>8.1193712591598147E-2</v>
      </c>
      <c r="AR623" s="70">
        <f t="shared" si="1885"/>
        <v>0.2093192370084466</v>
      </c>
      <c r="AS623" s="70">
        <f t="shared" si="1885"/>
        <v>2.5619511103652737E-2</v>
      </c>
      <c r="AT623" s="70">
        <f t="shared" si="1885"/>
        <v>3.0597975051742464E-2</v>
      </c>
      <c r="AU623" s="70"/>
      <c r="AV623" s="70">
        <f t="shared" ref="AV623:AV654" si="1886">N623/$AI623</f>
        <v>0.13198523242154725</v>
      </c>
      <c r="AW623" s="81">
        <f t="shared" si="1561"/>
        <v>2.2403087766403762E-2</v>
      </c>
      <c r="AX623" s="70">
        <f t="shared" ref="AX623:BG623" si="1887">O623/$AI623</f>
        <v>1.7284779325390166E-2</v>
      </c>
      <c r="AY623" s="70">
        <f t="shared" si="1887"/>
        <v>0</v>
      </c>
      <c r="AZ623" s="70">
        <f t="shared" si="1887"/>
        <v>0</v>
      </c>
      <c r="BA623" s="70">
        <f t="shared" si="1887"/>
        <v>0</v>
      </c>
      <c r="BB623" s="70">
        <f t="shared" si="1887"/>
        <v>0</v>
      </c>
      <c r="BC623" s="70">
        <f t="shared" si="1887"/>
        <v>0</v>
      </c>
      <c r="BD623" s="70">
        <f t="shared" si="1887"/>
        <v>0</v>
      </c>
      <c r="BE623" s="70">
        <f t="shared" si="1887"/>
        <v>0</v>
      </c>
      <c r="BF623" s="70">
        <f t="shared" si="1887"/>
        <v>0</v>
      </c>
      <c r="BG623" s="70">
        <f t="shared" si="1887"/>
        <v>0</v>
      </c>
      <c r="BH623" s="70">
        <f t="shared" si="1563"/>
        <v>5.1183084410135957E-3</v>
      </c>
      <c r="BI623" s="62"/>
      <c r="BJ623" s="69">
        <v>0.52900000000000003</v>
      </c>
      <c r="BK623" s="69">
        <v>0.22600000000000001</v>
      </c>
      <c r="BL623" s="69">
        <v>8.5000000000000006E-2</v>
      </c>
      <c r="BM623" s="69">
        <v>3.6999999999999998E-2</v>
      </c>
      <c r="BN623" s="69">
        <v>1.6E-2</v>
      </c>
      <c r="BO623" s="69">
        <v>0</v>
      </c>
      <c r="BP623" s="69">
        <v>0.09</v>
      </c>
      <c r="BQ623" s="69">
        <v>1.7000000000000001E-2</v>
      </c>
      <c r="BR623" s="62"/>
      <c r="BS623" s="72">
        <f t="shared" ref="BS623:BW623" si="1888">AP623-BJ623</f>
        <v>-3.0118755943390974E-2</v>
      </c>
      <c r="BT623" s="72">
        <f t="shared" si="1888"/>
        <v>-0.14480628740840185</v>
      </c>
      <c r="BU623" s="72">
        <f t="shared" si="1888"/>
        <v>0.12431923700844659</v>
      </c>
      <c r="BV623" s="72">
        <f t="shared" si="1888"/>
        <v>-1.1380488896347261E-2</v>
      </c>
      <c r="BW623" s="72">
        <f t="shared" si="1888"/>
        <v>1.4597975051742464E-2</v>
      </c>
      <c r="BX623" s="72"/>
      <c r="BY623" s="72">
        <f t="shared" ref="BY623:BY654" si="1889">AV623-BP623</f>
        <v>4.1985232421547253E-2</v>
      </c>
      <c r="BZ623" s="72">
        <f t="shared" si="1565"/>
        <v>5.4030877664037608E-3</v>
      </c>
    </row>
    <row r="624" spans="1:78" ht="13.15">
      <c r="A624" s="78" t="s">
        <v>5</v>
      </c>
      <c r="B624" s="74" t="s">
        <v>1294</v>
      </c>
      <c r="C624" s="75" t="s">
        <v>1295</v>
      </c>
      <c r="D624" s="75" t="s">
        <v>1293</v>
      </c>
      <c r="E624" s="76"/>
      <c r="F624" s="59"/>
      <c r="G624" s="60"/>
      <c r="H624" s="77">
        <v>18395</v>
      </c>
      <c r="I624" s="77">
        <v>7892</v>
      </c>
      <c r="J624" s="77">
        <v>9601</v>
      </c>
      <c r="K624" s="77">
        <v>2065</v>
      </c>
      <c r="L624" s="77">
        <v>1926</v>
      </c>
      <c r="M624" s="77"/>
      <c r="N624" s="77">
        <v>1938</v>
      </c>
      <c r="O624" s="77">
        <v>1575</v>
      </c>
      <c r="P624" s="77"/>
      <c r="Q624" s="77"/>
      <c r="R624" s="77"/>
      <c r="S624" s="77"/>
      <c r="T624" s="77"/>
      <c r="U624" s="77"/>
      <c r="V624" s="77"/>
      <c r="W624" s="77"/>
      <c r="X624" s="77"/>
      <c r="Y624" s="77"/>
      <c r="Z624" s="77"/>
      <c r="AA624" s="77"/>
      <c r="AB624" s="77"/>
      <c r="AC624" s="77"/>
      <c r="AD624" s="77"/>
      <c r="AE624" s="62"/>
      <c r="AF624" s="63" t="b">
        <v>0</v>
      </c>
      <c r="AG624" s="63" t="b">
        <v>0</v>
      </c>
      <c r="AH624" s="62"/>
      <c r="AI624" s="64">
        <f t="shared" si="1557"/>
        <v>43392</v>
      </c>
      <c r="AJ624" s="65" t="str">
        <f t="shared" si="1884"/>
        <v>LAB</v>
      </c>
      <c r="AK624" s="66" t="str">
        <f t="shared" si="1558"/>
        <v>HOLD</v>
      </c>
      <c r="AL624" s="67" t="e">
        <f t="shared" ca="1" si="1559"/>
        <v>#NAME?</v>
      </c>
      <c r="AM624" s="68">
        <f t="shared" si="1408"/>
        <v>8794</v>
      </c>
      <c r="AN624" s="69">
        <f t="shared" si="1409"/>
        <v>0.20266408554572271</v>
      </c>
      <c r="AO624" s="62"/>
      <c r="AP624" s="70">
        <f t="shared" ref="AP624:AT624" si="1890">H624/$AI624</f>
        <v>0.42392606932153393</v>
      </c>
      <c r="AQ624" s="70">
        <f t="shared" si="1890"/>
        <v>0.18187684365781712</v>
      </c>
      <c r="AR624" s="70">
        <f t="shared" si="1890"/>
        <v>0.22126198377581122</v>
      </c>
      <c r="AS624" s="70">
        <f t="shared" si="1890"/>
        <v>4.7589417404129794E-2</v>
      </c>
      <c r="AT624" s="70">
        <f t="shared" si="1890"/>
        <v>4.4386061946902658E-2</v>
      </c>
      <c r="AU624" s="70"/>
      <c r="AV624" s="70">
        <f t="shared" si="1886"/>
        <v>4.4662610619469023E-2</v>
      </c>
      <c r="AW624" s="81">
        <f t="shared" si="1561"/>
        <v>3.6297013274336321E-2</v>
      </c>
      <c r="AX624" s="70">
        <f t="shared" ref="AX624:BG624" si="1891">O624/$AI624</f>
        <v>3.6297013274336286E-2</v>
      </c>
      <c r="AY624" s="70">
        <f t="shared" si="1891"/>
        <v>0</v>
      </c>
      <c r="AZ624" s="70">
        <f t="shared" si="1891"/>
        <v>0</v>
      </c>
      <c r="BA624" s="70">
        <f t="shared" si="1891"/>
        <v>0</v>
      </c>
      <c r="BB624" s="70">
        <f t="shared" si="1891"/>
        <v>0</v>
      </c>
      <c r="BC624" s="70">
        <f t="shared" si="1891"/>
        <v>0</v>
      </c>
      <c r="BD624" s="70">
        <f t="shared" si="1891"/>
        <v>0</v>
      </c>
      <c r="BE624" s="70">
        <f t="shared" si="1891"/>
        <v>0</v>
      </c>
      <c r="BF624" s="70">
        <f t="shared" si="1891"/>
        <v>0</v>
      </c>
      <c r="BG624" s="70">
        <f t="shared" si="1891"/>
        <v>0</v>
      </c>
      <c r="BH624" s="70">
        <f t="shared" si="1563"/>
        <v>0</v>
      </c>
      <c r="BI624" s="62"/>
      <c r="BJ624" s="69">
        <v>0.42699999999999999</v>
      </c>
      <c r="BK624" s="69">
        <v>0.42</v>
      </c>
      <c r="BL624" s="69">
        <v>0.06</v>
      </c>
      <c r="BM624" s="69">
        <v>5.8999999999999997E-2</v>
      </c>
      <c r="BN624" s="69">
        <v>0</v>
      </c>
      <c r="BO624" s="69">
        <v>0</v>
      </c>
      <c r="BP624" s="69">
        <v>3.4000000000000002E-2</v>
      </c>
      <c r="BQ624" s="69">
        <v>0</v>
      </c>
      <c r="BR624" s="62"/>
      <c r="BS624" s="72">
        <f t="shared" ref="BS624:BW624" si="1892">AP624-BJ624</f>
        <v>-3.0739306784660636E-3</v>
      </c>
      <c r="BT624" s="72">
        <f t="shared" si="1892"/>
        <v>-0.23812315634218287</v>
      </c>
      <c r="BU624" s="72">
        <f t="shared" si="1892"/>
        <v>0.16126198377581122</v>
      </c>
      <c r="BV624" s="72">
        <f t="shared" si="1892"/>
        <v>-1.1410582595870203E-2</v>
      </c>
      <c r="BW624" s="72">
        <f t="shared" si="1892"/>
        <v>4.4386061946902658E-2</v>
      </c>
      <c r="BX624" s="72"/>
      <c r="BY624" s="72">
        <f t="shared" si="1889"/>
        <v>1.0662610619469021E-2</v>
      </c>
      <c r="BZ624" s="72">
        <f t="shared" si="1565"/>
        <v>3.6297013274336286E-2</v>
      </c>
    </row>
    <row r="625" spans="1:78" ht="13.15">
      <c r="A625" s="73" t="s">
        <v>6</v>
      </c>
      <c r="B625" s="74" t="s">
        <v>1296</v>
      </c>
      <c r="C625" s="75" t="s">
        <v>1297</v>
      </c>
      <c r="D625" s="75" t="s">
        <v>1293</v>
      </c>
      <c r="E625" s="76"/>
      <c r="F625" s="59"/>
      <c r="G625" s="60"/>
      <c r="H625" s="77">
        <v>14008</v>
      </c>
      <c r="I625" s="77">
        <v>9036</v>
      </c>
      <c r="J625" s="77">
        <v>6091</v>
      </c>
      <c r="K625" s="77">
        <v>1524</v>
      </c>
      <c r="L625" s="77">
        <v>1361</v>
      </c>
      <c r="M625" s="77"/>
      <c r="N625" s="77">
        <v>9112</v>
      </c>
      <c r="O625" s="77"/>
      <c r="P625" s="77"/>
      <c r="Q625" s="77"/>
      <c r="R625" s="77"/>
      <c r="S625" s="77"/>
      <c r="T625" s="77"/>
      <c r="U625" s="77"/>
      <c r="V625" s="77"/>
      <c r="W625" s="77"/>
      <c r="X625" s="77"/>
      <c r="Y625" s="77">
        <v>424</v>
      </c>
      <c r="Z625" s="77">
        <v>104</v>
      </c>
      <c r="AA625" s="77"/>
      <c r="AB625" s="77"/>
      <c r="AC625" s="77"/>
      <c r="AD625" s="77"/>
      <c r="AE625" s="62"/>
      <c r="AF625" s="63" t="b">
        <v>0</v>
      </c>
      <c r="AG625" s="63" t="b">
        <v>0</v>
      </c>
      <c r="AH625" s="62"/>
      <c r="AI625" s="64">
        <f t="shared" si="1557"/>
        <v>41660</v>
      </c>
      <c r="AJ625" s="65" t="str">
        <f t="shared" si="1884"/>
        <v>LAB</v>
      </c>
      <c r="AK625" s="66" t="str">
        <f t="shared" si="1558"/>
        <v>GAIN</v>
      </c>
      <c r="AL625" s="67" t="e">
        <f t="shared" ca="1" si="1559"/>
        <v>#NAME?</v>
      </c>
      <c r="AM625" s="68">
        <f t="shared" si="1408"/>
        <v>4896</v>
      </c>
      <c r="AN625" s="69">
        <f t="shared" si="1409"/>
        <v>0.11752280364858375</v>
      </c>
      <c r="AO625" s="62"/>
      <c r="AP625" s="70">
        <f t="shared" ref="AP625:AT625" si="1893">H625/$AI625</f>
        <v>0.33624579932789245</v>
      </c>
      <c r="AQ625" s="70">
        <f t="shared" si="1893"/>
        <v>0.21689870379260681</v>
      </c>
      <c r="AR625" s="70">
        <f t="shared" si="1893"/>
        <v>0.14620739318290926</v>
      </c>
      <c r="AS625" s="70">
        <f t="shared" si="1893"/>
        <v>3.6581853096495441E-2</v>
      </c>
      <c r="AT625" s="70">
        <f t="shared" si="1893"/>
        <v>3.2669227076332213E-2</v>
      </c>
      <c r="AU625" s="70"/>
      <c r="AV625" s="70">
        <f t="shared" si="1886"/>
        <v>0.2187229956793087</v>
      </c>
      <c r="AW625" s="81">
        <f t="shared" si="1561"/>
        <v>1.267402784445526E-2</v>
      </c>
      <c r="AX625" s="70">
        <f t="shared" ref="AX625:BG625" si="1894">O625/$AI625</f>
        <v>0</v>
      </c>
      <c r="AY625" s="70">
        <f t="shared" si="1894"/>
        <v>0</v>
      </c>
      <c r="AZ625" s="70">
        <f t="shared" si="1894"/>
        <v>0</v>
      </c>
      <c r="BA625" s="70">
        <f t="shared" si="1894"/>
        <v>0</v>
      </c>
      <c r="BB625" s="70">
        <f t="shared" si="1894"/>
        <v>0</v>
      </c>
      <c r="BC625" s="70">
        <f t="shared" si="1894"/>
        <v>0</v>
      </c>
      <c r="BD625" s="70">
        <f t="shared" si="1894"/>
        <v>0</v>
      </c>
      <c r="BE625" s="70">
        <f t="shared" si="1894"/>
        <v>0</v>
      </c>
      <c r="BF625" s="70">
        <f t="shared" si="1894"/>
        <v>0</v>
      </c>
      <c r="BG625" s="70">
        <f t="shared" si="1894"/>
        <v>0</v>
      </c>
      <c r="BH625" s="70">
        <f t="shared" si="1563"/>
        <v>1.267402784445526E-2</v>
      </c>
      <c r="BI625" s="62"/>
      <c r="BJ625" s="69">
        <v>0.38400000000000001</v>
      </c>
      <c r="BK625" s="69">
        <v>0.4</v>
      </c>
      <c r="BL625" s="69">
        <v>8.9999999999999993E-3</v>
      </c>
      <c r="BM625" s="69">
        <v>4.3999999999999997E-2</v>
      </c>
      <c r="BN625" s="69">
        <v>0</v>
      </c>
      <c r="BO625" s="69">
        <v>0</v>
      </c>
      <c r="BP625" s="69">
        <v>0.16200000000000001</v>
      </c>
      <c r="BQ625" s="69">
        <v>0</v>
      </c>
      <c r="BR625" s="62"/>
      <c r="BS625" s="72">
        <f t="shared" ref="BS625:BW625" si="1895">AP625-BJ625</f>
        <v>-4.7754200672107561E-2</v>
      </c>
      <c r="BT625" s="72">
        <f t="shared" si="1895"/>
        <v>-0.18310129620739321</v>
      </c>
      <c r="BU625" s="72">
        <f t="shared" si="1895"/>
        <v>0.13720739318290925</v>
      </c>
      <c r="BV625" s="72">
        <f t="shared" si="1895"/>
        <v>-7.4181469035045564E-3</v>
      </c>
      <c r="BW625" s="72">
        <f t="shared" si="1895"/>
        <v>3.2669227076332213E-2</v>
      </c>
      <c r="BX625" s="72"/>
      <c r="BY625" s="72">
        <f t="shared" si="1889"/>
        <v>5.6722995679308691E-2</v>
      </c>
      <c r="BZ625" s="72">
        <f t="shared" si="1565"/>
        <v>1.267402784445526E-2</v>
      </c>
    </row>
    <row r="626" spans="1:78" ht="13.15">
      <c r="A626" s="78" t="s">
        <v>5</v>
      </c>
      <c r="B626" s="74" t="s">
        <v>1298</v>
      </c>
      <c r="C626" s="75" t="s">
        <v>1299</v>
      </c>
      <c r="D626" s="75" t="s">
        <v>1293</v>
      </c>
      <c r="E626" s="76"/>
      <c r="F626" s="59"/>
      <c r="G626" s="60"/>
      <c r="H626" s="77">
        <v>16027</v>
      </c>
      <c r="I626" s="77">
        <v>3776</v>
      </c>
      <c r="J626" s="77"/>
      <c r="K626" s="77">
        <v>1268</v>
      </c>
      <c r="L626" s="77">
        <v>1719</v>
      </c>
      <c r="M626" s="77"/>
      <c r="N626" s="77">
        <v>3844</v>
      </c>
      <c r="O626" s="77">
        <v>2409</v>
      </c>
      <c r="P626" s="77">
        <v>570</v>
      </c>
      <c r="Q626" s="77"/>
      <c r="R626" s="77"/>
      <c r="S626" s="77"/>
      <c r="T626" s="77"/>
      <c r="U626" s="77"/>
      <c r="V626" s="77"/>
      <c r="W626" s="77"/>
      <c r="X626" s="77"/>
      <c r="Y626" s="77">
        <v>309</v>
      </c>
      <c r="Z626" s="77"/>
      <c r="AA626" s="77"/>
      <c r="AB626" s="77"/>
      <c r="AC626" s="77"/>
      <c r="AD626" s="77"/>
      <c r="AE626" s="62"/>
      <c r="AF626" s="63" t="b">
        <v>0</v>
      </c>
      <c r="AG626" s="63" t="b">
        <v>0</v>
      </c>
      <c r="AH626" s="62"/>
      <c r="AI626" s="64">
        <f t="shared" si="1557"/>
        <v>29922</v>
      </c>
      <c r="AJ626" s="65" t="str">
        <f t="shared" si="1884"/>
        <v>LAB</v>
      </c>
      <c r="AK626" s="66" t="str">
        <f t="shared" si="1558"/>
        <v>HOLD</v>
      </c>
      <c r="AL626" s="67" t="e">
        <f t="shared" ca="1" si="1559"/>
        <v>#NAME?</v>
      </c>
      <c r="AM626" s="68">
        <f t="shared" si="1408"/>
        <v>12183</v>
      </c>
      <c r="AN626" s="69">
        <f t="shared" si="1409"/>
        <v>0.40715861239221984</v>
      </c>
      <c r="AO626" s="62"/>
      <c r="AP626" s="70">
        <f t="shared" ref="AP626:AT626" si="1896">H626/$AI626</f>
        <v>0.53562596083149527</v>
      </c>
      <c r="AQ626" s="70">
        <f t="shared" si="1896"/>
        <v>0.12619477307666599</v>
      </c>
      <c r="AR626" s="70">
        <f t="shared" si="1896"/>
        <v>0</v>
      </c>
      <c r="AS626" s="70">
        <f t="shared" si="1896"/>
        <v>4.2376846467482118E-2</v>
      </c>
      <c r="AT626" s="70">
        <f t="shared" si="1896"/>
        <v>5.7449368357730096E-2</v>
      </c>
      <c r="AU626" s="70"/>
      <c r="AV626" s="70">
        <f t="shared" si="1886"/>
        <v>0.12846734843927546</v>
      </c>
      <c r="AW626" s="81">
        <f t="shared" si="1561"/>
        <v>0.10988570282735122</v>
      </c>
      <c r="AX626" s="70">
        <f t="shared" ref="AX626:BG626" si="1897">O626/$AI626</f>
        <v>8.050932424303188E-2</v>
      </c>
      <c r="AY626" s="70">
        <f t="shared" si="1897"/>
        <v>1.9049528774814518E-2</v>
      </c>
      <c r="AZ626" s="70">
        <f t="shared" si="1897"/>
        <v>0</v>
      </c>
      <c r="BA626" s="70">
        <f t="shared" si="1897"/>
        <v>0</v>
      </c>
      <c r="BB626" s="70">
        <f t="shared" si="1897"/>
        <v>0</v>
      </c>
      <c r="BC626" s="70">
        <f t="shared" si="1897"/>
        <v>0</v>
      </c>
      <c r="BD626" s="70">
        <f t="shared" si="1897"/>
        <v>0</v>
      </c>
      <c r="BE626" s="70">
        <f t="shared" si="1897"/>
        <v>0</v>
      </c>
      <c r="BF626" s="70">
        <f t="shared" si="1897"/>
        <v>0</v>
      </c>
      <c r="BG626" s="70">
        <f t="shared" si="1897"/>
        <v>0</v>
      </c>
      <c r="BH626" s="70">
        <f t="shared" si="1563"/>
        <v>1.0326849809504823E-2</v>
      </c>
      <c r="BI626" s="62"/>
      <c r="BJ626" s="69">
        <v>0.504</v>
      </c>
      <c r="BK626" s="69">
        <v>0.19600000000000001</v>
      </c>
      <c r="BL626" s="69">
        <v>0.18</v>
      </c>
      <c r="BM626" s="69">
        <v>3.6999999999999998E-2</v>
      </c>
      <c r="BN626" s="69">
        <v>0.01</v>
      </c>
      <c r="BO626" s="69">
        <v>0</v>
      </c>
      <c r="BP626" s="69">
        <v>6.4000000000000001E-2</v>
      </c>
      <c r="BQ626" s="69">
        <v>8.9999999999999993E-3</v>
      </c>
      <c r="BR626" s="62"/>
      <c r="BS626" s="72">
        <f t="shared" ref="BS626:BW626" si="1898">AP626-BJ626</f>
        <v>3.162596083149527E-2</v>
      </c>
      <c r="BT626" s="72">
        <f t="shared" si="1898"/>
        <v>-6.9805226923334018E-2</v>
      </c>
      <c r="BU626" s="72">
        <f t="shared" si="1898"/>
        <v>-0.18</v>
      </c>
      <c r="BV626" s="72">
        <f t="shared" si="1898"/>
        <v>5.3768464674821201E-3</v>
      </c>
      <c r="BW626" s="72">
        <f t="shared" si="1898"/>
        <v>4.7449368357730094E-2</v>
      </c>
      <c r="BX626" s="72"/>
      <c r="BY626" s="72">
        <f t="shared" si="1889"/>
        <v>6.4467348439275457E-2</v>
      </c>
      <c r="BZ626" s="72">
        <f t="shared" si="1565"/>
        <v>0.10088570282735122</v>
      </c>
    </row>
    <row r="627" spans="1:78" ht="13.15">
      <c r="A627" s="73" t="s">
        <v>6</v>
      </c>
      <c r="B627" s="74" t="s">
        <v>1300</v>
      </c>
      <c r="C627" s="75" t="s">
        <v>1301</v>
      </c>
      <c r="D627" s="75" t="s">
        <v>1293</v>
      </c>
      <c r="E627" s="76"/>
      <c r="F627" s="59"/>
      <c r="G627" s="60"/>
      <c r="H627" s="77">
        <v>9904</v>
      </c>
      <c r="I627" s="77">
        <v>12264</v>
      </c>
      <c r="J627" s="77">
        <v>6567</v>
      </c>
      <c r="K627" s="77">
        <v>13736</v>
      </c>
      <c r="L627" s="77">
        <v>1188</v>
      </c>
      <c r="M627" s="77"/>
      <c r="N627" s="77">
        <v>2280</v>
      </c>
      <c r="O627" s="77"/>
      <c r="P627" s="77"/>
      <c r="Q627" s="77"/>
      <c r="R627" s="77"/>
      <c r="S627" s="77"/>
      <c r="T627" s="77"/>
      <c r="U627" s="77"/>
      <c r="V627" s="77"/>
      <c r="W627" s="77"/>
      <c r="X627" s="77"/>
      <c r="Y627" s="77">
        <v>372</v>
      </c>
      <c r="Z627" s="77">
        <v>237</v>
      </c>
      <c r="AA627" s="77"/>
      <c r="AB627" s="77"/>
      <c r="AC627" s="77"/>
      <c r="AD627" s="77"/>
      <c r="AE627" s="62"/>
      <c r="AF627" s="63" t="b">
        <v>0</v>
      </c>
      <c r="AG627" s="63" t="b">
        <v>0</v>
      </c>
      <c r="AH627" s="62"/>
      <c r="AI627" s="64">
        <f t="shared" si="1557"/>
        <v>46548</v>
      </c>
      <c r="AJ627" s="65" t="str">
        <f t="shared" si="1884"/>
        <v>LDM</v>
      </c>
      <c r="AK627" s="66" t="str">
        <f t="shared" si="1558"/>
        <v>GAIN</v>
      </c>
      <c r="AL627" s="67" t="e">
        <f t="shared" ca="1" si="1559"/>
        <v>#NAME?</v>
      </c>
      <c r="AM627" s="68">
        <f t="shared" si="1408"/>
        <v>1472</v>
      </c>
      <c r="AN627" s="69">
        <f t="shared" si="1409"/>
        <v>3.1623270602388898E-2</v>
      </c>
      <c r="AO627" s="62"/>
      <c r="AP627" s="70">
        <f t="shared" ref="AP627:AT627" si="1899">H627/$AI627</f>
        <v>0.21276961416172552</v>
      </c>
      <c r="AQ627" s="70">
        <f t="shared" si="1899"/>
        <v>0.2634699664862078</v>
      </c>
      <c r="AR627" s="70">
        <f t="shared" si="1899"/>
        <v>0.14108017530291311</v>
      </c>
      <c r="AS627" s="70">
        <f t="shared" si="1899"/>
        <v>0.29509323708859669</v>
      </c>
      <c r="AT627" s="70">
        <f t="shared" si="1899"/>
        <v>2.5522041763341066E-2</v>
      </c>
      <c r="AU627" s="70"/>
      <c r="AV627" s="70">
        <f t="shared" si="1886"/>
        <v>4.8981696313482856E-2</v>
      </c>
      <c r="AW627" s="81">
        <f t="shared" si="1561"/>
        <v>1.3083268883733012E-2</v>
      </c>
      <c r="AX627" s="70">
        <f t="shared" ref="AX627:BG627" si="1900">O627/$AI627</f>
        <v>0</v>
      </c>
      <c r="AY627" s="70">
        <f t="shared" si="1900"/>
        <v>0</v>
      </c>
      <c r="AZ627" s="70">
        <f t="shared" si="1900"/>
        <v>0</v>
      </c>
      <c r="BA627" s="70">
        <f t="shared" si="1900"/>
        <v>0</v>
      </c>
      <c r="BB627" s="70">
        <f t="shared" si="1900"/>
        <v>0</v>
      </c>
      <c r="BC627" s="70">
        <f t="shared" si="1900"/>
        <v>0</v>
      </c>
      <c r="BD627" s="70">
        <f t="shared" si="1900"/>
        <v>0</v>
      </c>
      <c r="BE627" s="70">
        <f t="shared" si="1900"/>
        <v>0</v>
      </c>
      <c r="BF627" s="70">
        <f t="shared" si="1900"/>
        <v>0</v>
      </c>
      <c r="BG627" s="70">
        <f t="shared" si="1900"/>
        <v>0</v>
      </c>
      <c r="BH627" s="70">
        <f t="shared" si="1563"/>
        <v>1.3083268883733012E-2</v>
      </c>
      <c r="BI627" s="62"/>
      <c r="BJ627" s="69">
        <v>0.17499999999999999</v>
      </c>
      <c r="BK627" s="69">
        <v>0.46600000000000003</v>
      </c>
      <c r="BL627" s="69">
        <v>1.7999999999999999E-2</v>
      </c>
      <c r="BM627" s="69">
        <v>0.29199999999999998</v>
      </c>
      <c r="BN627" s="69">
        <v>4.0000000000000001E-3</v>
      </c>
      <c r="BO627" s="69">
        <v>0</v>
      </c>
      <c r="BP627" s="69">
        <v>3.2000000000000001E-2</v>
      </c>
      <c r="BQ627" s="69">
        <v>1.0999999999999999E-2</v>
      </c>
      <c r="BR627" s="62"/>
      <c r="BS627" s="72">
        <f t="shared" ref="BS627:BW627" si="1901">AP627-BJ627</f>
        <v>3.7769614161725529E-2</v>
      </c>
      <c r="BT627" s="72">
        <f t="shared" si="1901"/>
        <v>-0.20253003351379223</v>
      </c>
      <c r="BU627" s="72">
        <f t="shared" si="1901"/>
        <v>0.12308017530291311</v>
      </c>
      <c r="BV627" s="72">
        <f t="shared" si="1901"/>
        <v>3.093237088596712E-3</v>
      </c>
      <c r="BW627" s="72">
        <f t="shared" si="1901"/>
        <v>2.1522041763341066E-2</v>
      </c>
      <c r="BX627" s="72"/>
      <c r="BY627" s="72">
        <f t="shared" si="1889"/>
        <v>1.6981696313482855E-2</v>
      </c>
      <c r="BZ627" s="72">
        <f t="shared" si="1565"/>
        <v>2.0832688837330131E-3</v>
      </c>
    </row>
    <row r="628" spans="1:78" ht="13.15">
      <c r="A628" s="73" t="s">
        <v>6</v>
      </c>
      <c r="B628" s="74" t="s">
        <v>1302</v>
      </c>
      <c r="C628" s="75" t="s">
        <v>1303</v>
      </c>
      <c r="D628" s="75" t="s">
        <v>1293</v>
      </c>
      <c r="E628" s="76">
        <v>73152</v>
      </c>
      <c r="F628" s="59">
        <v>0.56599999999999995</v>
      </c>
      <c r="G628" s="60"/>
      <c r="H628" s="77">
        <v>16516</v>
      </c>
      <c r="I628" s="77">
        <v>6764</v>
      </c>
      <c r="J628" s="77">
        <v>7921</v>
      </c>
      <c r="K628" s="77">
        <v>1446</v>
      </c>
      <c r="L628" s="77">
        <v>1760</v>
      </c>
      <c r="M628" s="77"/>
      <c r="N628" s="77">
        <v>3629</v>
      </c>
      <c r="O628" s="77">
        <v>3338</v>
      </c>
      <c r="P628" s="77"/>
      <c r="Q628" s="77"/>
      <c r="R628" s="77"/>
      <c r="S628" s="77"/>
      <c r="T628" s="77"/>
      <c r="U628" s="77"/>
      <c r="V628" s="77"/>
      <c r="W628" s="77"/>
      <c r="X628" s="77"/>
      <c r="Y628" s="77"/>
      <c r="Z628" s="77"/>
      <c r="AA628" s="77"/>
      <c r="AB628" s="77"/>
      <c r="AC628" s="77"/>
      <c r="AD628" s="77"/>
      <c r="AE628" s="62"/>
      <c r="AF628" s="63" t="b">
        <v>0</v>
      </c>
      <c r="AG628" s="63" t="b">
        <v>0</v>
      </c>
      <c r="AH628" s="62"/>
      <c r="AI628" s="64">
        <f t="shared" si="1557"/>
        <v>41374</v>
      </c>
      <c r="AJ628" s="65" t="str">
        <f t="shared" si="1884"/>
        <v>LAB</v>
      </c>
      <c r="AK628" s="66" t="str">
        <f t="shared" si="1558"/>
        <v>GAIN</v>
      </c>
      <c r="AL628" s="67" t="e">
        <f t="shared" ca="1" si="1559"/>
        <v>#NAME?</v>
      </c>
      <c r="AM628" s="68">
        <f t="shared" si="1408"/>
        <v>8595</v>
      </c>
      <c r="AN628" s="69">
        <f t="shared" si="1409"/>
        <v>0.20773915985884858</v>
      </c>
      <c r="AO628" s="62"/>
      <c r="AP628" s="70">
        <f t="shared" ref="AP628:AT628" si="1902">H628/$AI628</f>
        <v>0.39918789577995845</v>
      </c>
      <c r="AQ628" s="70">
        <f t="shared" si="1902"/>
        <v>0.16348431382027359</v>
      </c>
      <c r="AR628" s="70">
        <f t="shared" si="1902"/>
        <v>0.19144873592110986</v>
      </c>
      <c r="AS628" s="70">
        <f t="shared" si="1902"/>
        <v>3.4949485183931935E-2</v>
      </c>
      <c r="AT628" s="70">
        <f t="shared" si="1902"/>
        <v>4.2538792478368059E-2</v>
      </c>
      <c r="AU628" s="70"/>
      <c r="AV628" s="70">
        <f t="shared" si="1886"/>
        <v>8.7712089718180494E-2</v>
      </c>
      <c r="AW628" s="81">
        <f t="shared" si="1561"/>
        <v>8.0678687098177715E-2</v>
      </c>
      <c r="AX628" s="70">
        <f t="shared" ref="AX628:BG628" si="1903">O628/$AI628</f>
        <v>8.0678687098177604E-2</v>
      </c>
      <c r="AY628" s="70">
        <f t="shared" si="1903"/>
        <v>0</v>
      </c>
      <c r="AZ628" s="70">
        <f t="shared" si="1903"/>
        <v>0</v>
      </c>
      <c r="BA628" s="70">
        <f t="shared" si="1903"/>
        <v>0</v>
      </c>
      <c r="BB628" s="70">
        <f t="shared" si="1903"/>
        <v>0</v>
      </c>
      <c r="BC628" s="70">
        <f t="shared" si="1903"/>
        <v>0</v>
      </c>
      <c r="BD628" s="70">
        <f t="shared" si="1903"/>
        <v>0</v>
      </c>
      <c r="BE628" s="70">
        <f t="shared" si="1903"/>
        <v>0</v>
      </c>
      <c r="BF628" s="70">
        <f t="shared" si="1903"/>
        <v>0</v>
      </c>
      <c r="BG628" s="70">
        <f t="shared" si="1903"/>
        <v>0</v>
      </c>
      <c r="BH628" s="70">
        <f t="shared" si="1563"/>
        <v>1.1102230246251565E-16</v>
      </c>
      <c r="BI628" s="62"/>
      <c r="BJ628" s="69">
        <v>0.38500000000000001</v>
      </c>
      <c r="BK628" s="69">
        <v>0.44</v>
      </c>
      <c r="BL628" s="69">
        <v>5.1999999999999998E-2</v>
      </c>
      <c r="BM628" s="69">
        <v>5.2999999999999999E-2</v>
      </c>
      <c r="BN628" s="69">
        <v>1.9E-2</v>
      </c>
      <c r="BO628" s="69">
        <v>0</v>
      </c>
      <c r="BP628" s="69">
        <v>5.1999999999999998E-2</v>
      </c>
      <c r="BQ628" s="69">
        <v>0</v>
      </c>
      <c r="BR628" s="62"/>
      <c r="BS628" s="72">
        <f t="shared" ref="BS628:BW628" si="1904">AP628-BJ628</f>
        <v>1.4187895779958437E-2</v>
      </c>
      <c r="BT628" s="72">
        <f t="shared" si="1904"/>
        <v>-0.27651568617972644</v>
      </c>
      <c r="BU628" s="72">
        <f t="shared" si="1904"/>
        <v>0.13944873592110987</v>
      </c>
      <c r="BV628" s="72">
        <f t="shared" si="1904"/>
        <v>-1.8050514816068064E-2</v>
      </c>
      <c r="BW628" s="72">
        <f t="shared" si="1904"/>
        <v>2.353879247836806E-2</v>
      </c>
      <c r="BX628" s="72"/>
      <c r="BY628" s="72">
        <f t="shared" si="1889"/>
        <v>3.5712089718180497E-2</v>
      </c>
      <c r="BZ628" s="72">
        <f t="shared" si="1565"/>
        <v>8.0678687098177715E-2</v>
      </c>
    </row>
    <row r="629" spans="1:78" ht="13.15">
      <c r="A629" s="73" t="s">
        <v>6</v>
      </c>
      <c r="B629" s="74" t="s">
        <v>1304</v>
      </c>
      <c r="C629" s="75" t="s">
        <v>1305</v>
      </c>
      <c r="D629" s="75" t="s">
        <v>1293</v>
      </c>
      <c r="E629" s="76"/>
      <c r="F629" s="59"/>
      <c r="G629" s="60"/>
      <c r="H629" s="77">
        <v>10985</v>
      </c>
      <c r="I629" s="77">
        <v>8825</v>
      </c>
      <c r="J629" s="77">
        <v>6944</v>
      </c>
      <c r="K629" s="77">
        <v>1461</v>
      </c>
      <c r="L629" s="77">
        <v>1371</v>
      </c>
      <c r="M629" s="77"/>
      <c r="N629" s="77">
        <v>15520</v>
      </c>
      <c r="O629" s="77"/>
      <c r="P629" s="77">
        <v>216</v>
      </c>
      <c r="Q629" s="77"/>
      <c r="R629" s="77"/>
      <c r="S629" s="77"/>
      <c r="T629" s="77"/>
      <c r="U629" s="77"/>
      <c r="V629" s="77"/>
      <c r="W629" s="77"/>
      <c r="X629" s="77"/>
      <c r="Y629" s="77">
        <v>282</v>
      </c>
      <c r="Z629" s="77"/>
      <c r="AA629" s="77"/>
      <c r="AB629" s="77"/>
      <c r="AC629" s="77"/>
      <c r="AD629" s="77"/>
      <c r="AE629" s="62"/>
      <c r="AF629" s="63" t="b">
        <v>0</v>
      </c>
      <c r="AG629" s="63" t="b">
        <v>0</v>
      </c>
      <c r="AH629" s="62"/>
      <c r="AI629" s="64">
        <f t="shared" si="1557"/>
        <v>45604</v>
      </c>
      <c r="AJ629" s="65" t="str">
        <f t="shared" si="1884"/>
        <v>PLC</v>
      </c>
      <c r="AK629" s="66" t="str">
        <f t="shared" si="1558"/>
        <v>GAIN</v>
      </c>
      <c r="AL629" s="67" t="e">
        <f t="shared" ca="1" si="1559"/>
        <v>#NAME?</v>
      </c>
      <c r="AM629" s="68">
        <f t="shared" si="1408"/>
        <v>4535</v>
      </c>
      <c r="AN629" s="69">
        <f t="shared" si="1409"/>
        <v>9.944303131304269E-2</v>
      </c>
      <c r="AO629" s="62"/>
      <c r="AP629" s="70">
        <f t="shared" ref="AP629:AT629" si="1905">H629/$AI629</f>
        <v>0.24087799315849487</v>
      </c>
      <c r="AQ629" s="70">
        <f t="shared" si="1905"/>
        <v>0.19351372686606438</v>
      </c>
      <c r="AR629" s="70">
        <f t="shared" si="1905"/>
        <v>0.15226734496973951</v>
      </c>
      <c r="AS629" s="70">
        <f t="shared" si="1905"/>
        <v>3.2036663450574508E-2</v>
      </c>
      <c r="AT629" s="70">
        <f t="shared" si="1905"/>
        <v>3.0063152355056574E-2</v>
      </c>
      <c r="AU629" s="70"/>
      <c r="AV629" s="70">
        <f t="shared" si="1886"/>
        <v>0.34032102447153756</v>
      </c>
      <c r="AW629" s="81">
        <f t="shared" si="1561"/>
        <v>1.0920094728532614E-2</v>
      </c>
      <c r="AX629" s="70">
        <f t="shared" ref="AX629:BG629" si="1906">O629/$AI629</f>
        <v>0</v>
      </c>
      <c r="AY629" s="70">
        <f t="shared" si="1906"/>
        <v>4.7364266292430485E-3</v>
      </c>
      <c r="AZ629" s="70">
        <f t="shared" si="1906"/>
        <v>0</v>
      </c>
      <c r="BA629" s="70">
        <f t="shared" si="1906"/>
        <v>0</v>
      </c>
      <c r="BB629" s="70">
        <f t="shared" si="1906"/>
        <v>0</v>
      </c>
      <c r="BC629" s="70">
        <f t="shared" si="1906"/>
        <v>0</v>
      </c>
      <c r="BD629" s="70">
        <f t="shared" si="1906"/>
        <v>0</v>
      </c>
      <c r="BE629" s="70">
        <f t="shared" si="1906"/>
        <v>0</v>
      </c>
      <c r="BF629" s="70">
        <f t="shared" si="1906"/>
        <v>0</v>
      </c>
      <c r="BG629" s="70">
        <f t="shared" si="1906"/>
        <v>0</v>
      </c>
      <c r="BH629" s="70">
        <f t="shared" si="1563"/>
        <v>6.183668099289566E-3</v>
      </c>
      <c r="BI629" s="62"/>
      <c r="BJ629" s="69">
        <v>0.251</v>
      </c>
      <c r="BK629" s="69">
        <v>0.39200000000000002</v>
      </c>
      <c r="BL629" s="69">
        <v>3.7999999999999999E-2</v>
      </c>
      <c r="BM629" s="69">
        <v>1.2999999999999999E-2</v>
      </c>
      <c r="BN629" s="69">
        <v>0</v>
      </c>
      <c r="BO629" s="69">
        <v>0</v>
      </c>
      <c r="BP629" s="69">
        <v>0.307</v>
      </c>
      <c r="BQ629" s="69">
        <v>0</v>
      </c>
      <c r="BR629" s="62"/>
      <c r="BS629" s="72">
        <f t="shared" ref="BS629:BW629" si="1907">AP629-BJ629</f>
        <v>-1.0122006841505132E-2</v>
      </c>
      <c r="BT629" s="72">
        <f t="shared" si="1907"/>
        <v>-0.19848627313393563</v>
      </c>
      <c r="BU629" s="72">
        <f t="shared" si="1907"/>
        <v>0.1142673449697395</v>
      </c>
      <c r="BV629" s="72">
        <f t="shared" si="1907"/>
        <v>1.9036663450574511E-2</v>
      </c>
      <c r="BW629" s="72">
        <f t="shared" si="1907"/>
        <v>3.0063152355056574E-2</v>
      </c>
      <c r="BX629" s="72"/>
      <c r="BY629" s="72">
        <f t="shared" si="1889"/>
        <v>3.3321024471537564E-2</v>
      </c>
      <c r="BZ629" s="72">
        <f t="shared" si="1565"/>
        <v>1.0920094728532614E-2</v>
      </c>
    </row>
    <row r="630" spans="1:78" ht="13.15">
      <c r="A630" s="78" t="s">
        <v>5</v>
      </c>
      <c r="B630" s="74" t="s">
        <v>1306</v>
      </c>
      <c r="C630" s="75" t="s">
        <v>1307</v>
      </c>
      <c r="D630" s="75" t="s">
        <v>1293</v>
      </c>
      <c r="E630" s="76"/>
      <c r="F630" s="59"/>
      <c r="G630" s="60"/>
      <c r="H630" s="77">
        <v>14538</v>
      </c>
      <c r="I630" s="77">
        <v>4385</v>
      </c>
      <c r="J630" s="77">
        <v>7754</v>
      </c>
      <c r="K630" s="77">
        <v>1788</v>
      </c>
      <c r="L630" s="77">
        <v>1650</v>
      </c>
      <c r="M630" s="77"/>
      <c r="N630" s="77">
        <v>8119</v>
      </c>
      <c r="O630" s="77"/>
      <c r="P630" s="77"/>
      <c r="Q630" s="77"/>
      <c r="R630" s="77"/>
      <c r="S630" s="77"/>
      <c r="T630" s="77"/>
      <c r="U630" s="77"/>
      <c r="V630" s="77"/>
      <c r="W630" s="77"/>
      <c r="X630" s="77"/>
      <c r="Y630" s="77"/>
      <c r="Z630" s="77"/>
      <c r="AA630" s="77"/>
      <c r="AB630" s="77"/>
      <c r="AC630" s="77"/>
      <c r="AD630" s="77"/>
      <c r="AE630" s="62"/>
      <c r="AF630" s="63" t="b">
        <v>0</v>
      </c>
      <c r="AG630" s="63" t="b">
        <v>0</v>
      </c>
      <c r="AH630" s="62"/>
      <c r="AI630" s="64">
        <f t="shared" si="1557"/>
        <v>38234</v>
      </c>
      <c r="AJ630" s="65" t="str">
        <f t="shared" si="1884"/>
        <v>LAB</v>
      </c>
      <c r="AK630" s="66" t="str">
        <f t="shared" si="1558"/>
        <v>HOLD</v>
      </c>
      <c r="AL630" s="67" t="e">
        <f t="shared" ca="1" si="1559"/>
        <v>#NAME?</v>
      </c>
      <c r="AM630" s="68">
        <f t="shared" si="1408"/>
        <v>6419</v>
      </c>
      <c r="AN630" s="69">
        <f t="shared" si="1409"/>
        <v>0.16788722079824239</v>
      </c>
      <c r="AO630" s="62"/>
      <c r="AP630" s="70">
        <f t="shared" ref="AP630:AT630" si="1908">H630/$AI630</f>
        <v>0.38023748496102944</v>
      </c>
      <c r="AQ630" s="70">
        <f t="shared" si="1908"/>
        <v>0.11468849714913427</v>
      </c>
      <c r="AR630" s="70">
        <f t="shared" si="1908"/>
        <v>0.20280378720510539</v>
      </c>
      <c r="AS630" s="70">
        <f t="shared" si="1908"/>
        <v>4.6764659726944602E-2</v>
      </c>
      <c r="AT630" s="70">
        <f t="shared" si="1908"/>
        <v>4.3155306794999217E-2</v>
      </c>
      <c r="AU630" s="70"/>
      <c r="AV630" s="70">
        <f t="shared" si="1886"/>
        <v>0.21235026416278704</v>
      </c>
      <c r="AW630" s="81">
        <f t="shared" si="1561"/>
        <v>0</v>
      </c>
      <c r="AX630" s="70">
        <f t="shared" ref="AX630:BG630" si="1909">O630/$AI630</f>
        <v>0</v>
      </c>
      <c r="AY630" s="70">
        <f t="shared" si="1909"/>
        <v>0</v>
      </c>
      <c r="AZ630" s="70">
        <f t="shared" si="1909"/>
        <v>0</v>
      </c>
      <c r="BA630" s="70">
        <f t="shared" si="1909"/>
        <v>0</v>
      </c>
      <c r="BB630" s="70">
        <f t="shared" si="1909"/>
        <v>0</v>
      </c>
      <c r="BC630" s="70">
        <f t="shared" si="1909"/>
        <v>0</v>
      </c>
      <c r="BD630" s="70">
        <f t="shared" si="1909"/>
        <v>0</v>
      </c>
      <c r="BE630" s="70">
        <f t="shared" si="1909"/>
        <v>0</v>
      </c>
      <c r="BF630" s="70">
        <f t="shared" si="1909"/>
        <v>0</v>
      </c>
      <c r="BG630" s="70">
        <f t="shared" si="1909"/>
        <v>0</v>
      </c>
      <c r="BH630" s="70">
        <f t="shared" si="1563"/>
        <v>0</v>
      </c>
      <c r="BI630" s="62"/>
      <c r="BJ630" s="69">
        <v>0.439</v>
      </c>
      <c r="BK630" s="69">
        <v>0.28599999999999998</v>
      </c>
      <c r="BL630" s="69">
        <v>0.11700000000000001</v>
      </c>
      <c r="BM630" s="69">
        <v>7.0000000000000001E-3</v>
      </c>
      <c r="BN630" s="69">
        <v>4.0000000000000001E-3</v>
      </c>
      <c r="BO630" s="69">
        <v>0</v>
      </c>
      <c r="BP630" s="69">
        <v>0.14699999999999999</v>
      </c>
      <c r="BQ630" s="69">
        <v>0</v>
      </c>
      <c r="BR630" s="62"/>
      <c r="BS630" s="72">
        <f t="shared" ref="BS630:BW630" si="1910">AP630-BJ630</f>
        <v>-5.8762515038970564E-2</v>
      </c>
      <c r="BT630" s="72">
        <f t="shared" si="1910"/>
        <v>-0.17131150285086572</v>
      </c>
      <c r="BU630" s="72">
        <f t="shared" si="1910"/>
        <v>8.5803787205105383E-2</v>
      </c>
      <c r="BV630" s="72">
        <f t="shared" si="1910"/>
        <v>3.9764659726944603E-2</v>
      </c>
      <c r="BW630" s="72">
        <f t="shared" si="1910"/>
        <v>3.915530679499922E-2</v>
      </c>
      <c r="BX630" s="72"/>
      <c r="BY630" s="72">
        <f t="shared" si="1889"/>
        <v>6.5350264162787053E-2</v>
      </c>
      <c r="BZ630" s="72">
        <f t="shared" si="1565"/>
        <v>0</v>
      </c>
    </row>
    <row r="631" spans="1:78" ht="13.15">
      <c r="A631" s="78" t="s">
        <v>5</v>
      </c>
      <c r="B631" s="74" t="s">
        <v>1308</v>
      </c>
      <c r="C631" s="75" t="s">
        <v>1309</v>
      </c>
      <c r="D631" s="75" t="s">
        <v>1293</v>
      </c>
      <c r="E631" s="76"/>
      <c r="F631" s="59"/>
      <c r="G631" s="60"/>
      <c r="H631" s="77">
        <v>15833</v>
      </c>
      <c r="I631" s="77">
        <v>3913</v>
      </c>
      <c r="J631" s="77">
        <v>4980</v>
      </c>
      <c r="K631" s="77">
        <v>6736</v>
      </c>
      <c r="L631" s="77">
        <v>3916</v>
      </c>
      <c r="M631" s="77"/>
      <c r="N631" s="77">
        <v>3550</v>
      </c>
      <c r="O631" s="77"/>
      <c r="P631" s="77"/>
      <c r="Q631" s="77"/>
      <c r="R631" s="77"/>
      <c r="S631" s="77"/>
      <c r="T631" s="77"/>
      <c r="U631" s="77"/>
      <c r="V631" s="77"/>
      <c r="W631" s="77"/>
      <c r="X631" s="77"/>
      <c r="Y631" s="77">
        <v>195</v>
      </c>
      <c r="Z631" s="77"/>
      <c r="AA631" s="77"/>
      <c r="AB631" s="77"/>
      <c r="AC631" s="77"/>
      <c r="AD631" s="77"/>
      <c r="AE631" s="62"/>
      <c r="AF631" s="63" t="b">
        <v>0</v>
      </c>
      <c r="AG631" s="63" t="b">
        <v>0</v>
      </c>
      <c r="AH631" s="62"/>
      <c r="AI631" s="64">
        <f t="shared" si="1557"/>
        <v>39123</v>
      </c>
      <c r="AJ631" s="65" t="str">
        <f t="shared" si="1884"/>
        <v>LAB</v>
      </c>
      <c r="AK631" s="66" t="str">
        <f t="shared" si="1558"/>
        <v>HOLD</v>
      </c>
      <c r="AL631" s="67" t="e">
        <f t="shared" ca="1" si="1559"/>
        <v>#NAME?</v>
      </c>
      <c r="AM631" s="68">
        <f t="shared" si="1408"/>
        <v>9097</v>
      </c>
      <c r="AN631" s="69">
        <f t="shared" si="1409"/>
        <v>0.23252306827186051</v>
      </c>
      <c r="AO631" s="62"/>
      <c r="AP631" s="70">
        <f t="shared" ref="AP631:AT631" si="1911">H631/$AI631</f>
        <v>0.40469800373182013</v>
      </c>
      <c r="AQ631" s="70">
        <f t="shared" si="1911"/>
        <v>0.10001789228842368</v>
      </c>
      <c r="AR631" s="70">
        <f t="shared" si="1911"/>
        <v>0.12729085192853309</v>
      </c>
      <c r="AS631" s="70">
        <f t="shared" si="1911"/>
        <v>0.17217493545995963</v>
      </c>
      <c r="AT631" s="70">
        <f t="shared" si="1911"/>
        <v>0.10009457352452522</v>
      </c>
      <c r="AU631" s="70"/>
      <c r="AV631" s="70">
        <f t="shared" si="1886"/>
        <v>9.0739462720139052E-2</v>
      </c>
      <c r="AW631" s="81">
        <f t="shared" si="1561"/>
        <v>4.9842803465991459E-3</v>
      </c>
      <c r="AX631" s="70">
        <f t="shared" ref="AX631:BG631" si="1912">O631/$AI631</f>
        <v>0</v>
      </c>
      <c r="AY631" s="70">
        <f t="shared" si="1912"/>
        <v>0</v>
      </c>
      <c r="AZ631" s="70">
        <f t="shared" si="1912"/>
        <v>0</v>
      </c>
      <c r="BA631" s="70">
        <f t="shared" si="1912"/>
        <v>0</v>
      </c>
      <c r="BB631" s="70">
        <f t="shared" si="1912"/>
        <v>0</v>
      </c>
      <c r="BC631" s="70">
        <f t="shared" si="1912"/>
        <v>0</v>
      </c>
      <c r="BD631" s="70">
        <f t="shared" si="1912"/>
        <v>0</v>
      </c>
      <c r="BE631" s="70">
        <f t="shared" si="1912"/>
        <v>0</v>
      </c>
      <c r="BF631" s="70">
        <f t="shared" si="1912"/>
        <v>0</v>
      </c>
      <c r="BG631" s="70">
        <f t="shared" si="1912"/>
        <v>0</v>
      </c>
      <c r="BH631" s="70">
        <f t="shared" si="1563"/>
        <v>4.9842803465991459E-3</v>
      </c>
      <c r="BI631" s="62"/>
      <c r="BJ631" s="69">
        <v>0.59199999999999997</v>
      </c>
      <c r="BK631" s="69">
        <v>0.22700000000000001</v>
      </c>
      <c r="BL631" s="69">
        <v>3.5000000000000003E-2</v>
      </c>
      <c r="BM631" s="69">
        <v>0.123</v>
      </c>
      <c r="BN631" s="69">
        <v>6.0000000000000001E-3</v>
      </c>
      <c r="BO631" s="69">
        <v>0</v>
      </c>
      <c r="BP631" s="69">
        <v>6.0000000000000001E-3</v>
      </c>
      <c r="BQ631" s="69">
        <v>0.01</v>
      </c>
      <c r="BR631" s="62"/>
      <c r="BS631" s="72">
        <f t="shared" ref="BS631:BW631" si="1913">AP631-BJ631</f>
        <v>-0.18730199626817984</v>
      </c>
      <c r="BT631" s="72">
        <f t="shared" si="1913"/>
        <v>-0.12698210771157631</v>
      </c>
      <c r="BU631" s="72">
        <f t="shared" si="1913"/>
        <v>9.2290851928533091E-2</v>
      </c>
      <c r="BV631" s="72">
        <f t="shared" si="1913"/>
        <v>4.9174935459959629E-2</v>
      </c>
      <c r="BW631" s="72">
        <f t="shared" si="1913"/>
        <v>9.4094573524525216E-2</v>
      </c>
      <c r="BX631" s="72"/>
      <c r="BY631" s="72">
        <f t="shared" si="1889"/>
        <v>8.4739462720139047E-2</v>
      </c>
      <c r="BZ631" s="72">
        <f t="shared" si="1565"/>
        <v>-5.0157196534008543E-3</v>
      </c>
    </row>
    <row r="632" spans="1:78" ht="13.15">
      <c r="A632" s="78" t="s">
        <v>5</v>
      </c>
      <c r="B632" s="74" t="s">
        <v>1310</v>
      </c>
      <c r="C632" s="75" t="s">
        <v>1311</v>
      </c>
      <c r="D632" s="75" t="s">
        <v>1293</v>
      </c>
      <c r="E632" s="76"/>
      <c r="F632" s="59"/>
      <c r="G632" s="60"/>
      <c r="H632" s="77">
        <v>20849</v>
      </c>
      <c r="I632" s="77">
        <v>9642</v>
      </c>
      <c r="J632" s="77">
        <v>5985</v>
      </c>
      <c r="K632" s="77">
        <v>3168</v>
      </c>
      <c r="L632" s="77">
        <v>3160</v>
      </c>
      <c r="M632" s="77"/>
      <c r="N632" s="77">
        <v>4669</v>
      </c>
      <c r="O632" s="77"/>
      <c r="P632" s="77"/>
      <c r="Q632" s="77"/>
      <c r="R632" s="77"/>
      <c r="S632" s="77"/>
      <c r="T632" s="77"/>
      <c r="U632" s="77"/>
      <c r="V632" s="77"/>
      <c r="W632" s="77"/>
      <c r="X632" s="77"/>
      <c r="Y632" s="77"/>
      <c r="Z632" s="77"/>
      <c r="AA632" s="77"/>
      <c r="AB632" s="77"/>
      <c r="AC632" s="77"/>
      <c r="AD632" s="77"/>
      <c r="AE632" s="62"/>
      <c r="AF632" s="63" t="b">
        <v>0</v>
      </c>
      <c r="AG632" s="63" t="b">
        <v>0</v>
      </c>
      <c r="AH632" s="62"/>
      <c r="AI632" s="64">
        <f t="shared" si="1557"/>
        <v>47473</v>
      </c>
      <c r="AJ632" s="65" t="str">
        <f t="shared" si="1884"/>
        <v>LAB</v>
      </c>
      <c r="AK632" s="66" t="str">
        <f t="shared" si="1558"/>
        <v>HOLD</v>
      </c>
      <c r="AL632" s="67" t="e">
        <f t="shared" ca="1" si="1559"/>
        <v>#NAME?</v>
      </c>
      <c r="AM632" s="68">
        <f t="shared" si="1408"/>
        <v>11207</v>
      </c>
      <c r="AN632" s="69">
        <f t="shared" si="1409"/>
        <v>0.23607102984854547</v>
      </c>
      <c r="AO632" s="62"/>
      <c r="AP632" s="70">
        <f t="shared" ref="AP632:AT632" si="1914">H632/$AI632</f>
        <v>0.43917595264676762</v>
      </c>
      <c r="AQ632" s="70">
        <f t="shared" si="1914"/>
        <v>0.20310492279822215</v>
      </c>
      <c r="AR632" s="70">
        <f t="shared" si="1914"/>
        <v>0.12607166178669982</v>
      </c>
      <c r="AS632" s="70">
        <f t="shared" si="1914"/>
        <v>6.6732669096117789E-2</v>
      </c>
      <c r="AT632" s="70">
        <f t="shared" si="1914"/>
        <v>6.656415225496598E-2</v>
      </c>
      <c r="AU632" s="70"/>
      <c r="AV632" s="70">
        <f t="shared" si="1886"/>
        <v>9.8350641417226631E-2</v>
      </c>
      <c r="AW632" s="81">
        <f t="shared" si="1561"/>
        <v>0</v>
      </c>
      <c r="AX632" s="70">
        <f t="shared" ref="AX632:BG632" si="1915">O632/$AI632</f>
        <v>0</v>
      </c>
      <c r="AY632" s="70">
        <f t="shared" si="1915"/>
        <v>0</v>
      </c>
      <c r="AZ632" s="70">
        <f t="shared" si="1915"/>
        <v>0</v>
      </c>
      <c r="BA632" s="70">
        <f t="shared" si="1915"/>
        <v>0</v>
      </c>
      <c r="BB632" s="70">
        <f t="shared" si="1915"/>
        <v>0</v>
      </c>
      <c r="BC632" s="70">
        <f t="shared" si="1915"/>
        <v>0</v>
      </c>
      <c r="BD632" s="70">
        <f t="shared" si="1915"/>
        <v>0</v>
      </c>
      <c r="BE632" s="70">
        <f t="shared" si="1915"/>
        <v>0</v>
      </c>
      <c r="BF632" s="70">
        <f t="shared" si="1915"/>
        <v>0</v>
      </c>
      <c r="BG632" s="70">
        <f t="shared" si="1915"/>
        <v>0</v>
      </c>
      <c r="BH632" s="70">
        <f t="shared" si="1563"/>
        <v>0</v>
      </c>
      <c r="BI632" s="62"/>
      <c r="BJ632" s="69">
        <v>0.496</v>
      </c>
      <c r="BK632" s="69">
        <v>0.35699999999999998</v>
      </c>
      <c r="BL632" s="69">
        <v>2.7E-2</v>
      </c>
      <c r="BM632" s="69">
        <v>6.6000000000000003E-2</v>
      </c>
      <c r="BN632" s="69">
        <v>1.4999999999999999E-2</v>
      </c>
      <c r="BO632" s="69">
        <v>0</v>
      </c>
      <c r="BP632" s="69">
        <v>3.5000000000000003E-2</v>
      </c>
      <c r="BQ632" s="69">
        <v>5.0000000000000001E-3</v>
      </c>
      <c r="BR632" s="62"/>
      <c r="BS632" s="72">
        <f t="shared" ref="BS632:BW632" si="1916">AP632-BJ632</f>
        <v>-5.6824047353232376E-2</v>
      </c>
      <c r="BT632" s="72">
        <f t="shared" si="1916"/>
        <v>-0.15389507720177784</v>
      </c>
      <c r="BU632" s="72">
        <f t="shared" si="1916"/>
        <v>9.9071661786699822E-2</v>
      </c>
      <c r="BV632" s="72">
        <f t="shared" si="1916"/>
        <v>7.3266909611778563E-4</v>
      </c>
      <c r="BW632" s="72">
        <f t="shared" si="1916"/>
        <v>5.1564152254965981E-2</v>
      </c>
      <c r="BX632" s="72"/>
      <c r="BY632" s="72">
        <f t="shared" si="1889"/>
        <v>6.3350641417226627E-2</v>
      </c>
      <c r="BZ632" s="72">
        <f t="shared" si="1565"/>
        <v>-5.0000000000000001E-3</v>
      </c>
    </row>
    <row r="633" spans="1:78" ht="13.15">
      <c r="A633" s="78" t="s">
        <v>5</v>
      </c>
      <c r="B633" s="74" t="s">
        <v>1312</v>
      </c>
      <c r="C633" s="75" t="s">
        <v>1313</v>
      </c>
      <c r="D633" s="75" t="s">
        <v>1293</v>
      </c>
      <c r="E633" s="76"/>
      <c r="F633" s="59"/>
      <c r="G633" s="60"/>
      <c r="H633" s="77">
        <v>17428</v>
      </c>
      <c r="I633" s="77">
        <v>5459</v>
      </c>
      <c r="J633" s="77">
        <v>4493</v>
      </c>
      <c r="K633" s="77">
        <v>2908</v>
      </c>
      <c r="L633" s="77">
        <v>5661</v>
      </c>
      <c r="M633" s="77"/>
      <c r="N633" s="77">
        <v>3227</v>
      </c>
      <c r="O633" s="77"/>
      <c r="P633" s="77"/>
      <c r="Q633" s="77"/>
      <c r="R633" s="77"/>
      <c r="S633" s="77"/>
      <c r="T633" s="77"/>
      <c r="U633" s="77"/>
      <c r="V633" s="77"/>
      <c r="W633" s="77"/>
      <c r="X633" s="77"/>
      <c r="Y633" s="77"/>
      <c r="Z633" s="77"/>
      <c r="AA633" s="77"/>
      <c r="AB633" s="77"/>
      <c r="AC633" s="77"/>
      <c r="AD633" s="77"/>
      <c r="AE633" s="62"/>
      <c r="AF633" s="63" t="b">
        <v>0</v>
      </c>
      <c r="AG633" s="63" t="b">
        <v>0</v>
      </c>
      <c r="AH633" s="62"/>
      <c r="AI633" s="64">
        <f t="shared" si="1557"/>
        <v>39176</v>
      </c>
      <c r="AJ633" s="65" t="str">
        <f t="shared" si="1884"/>
        <v>LAB</v>
      </c>
      <c r="AK633" s="66" t="str">
        <f t="shared" si="1558"/>
        <v>HOLD</v>
      </c>
      <c r="AL633" s="67" t="e">
        <f t="shared" ca="1" si="1559"/>
        <v>#NAME?</v>
      </c>
      <c r="AM633" s="68">
        <f t="shared" si="1408"/>
        <v>11767</v>
      </c>
      <c r="AN633" s="69">
        <f t="shared" si="1409"/>
        <v>0.30036246681641821</v>
      </c>
      <c r="AO633" s="62"/>
      <c r="AP633" s="70">
        <f t="shared" ref="AP633:AT633" si="1917">H633/$AI633</f>
        <v>0.44486420257300385</v>
      </c>
      <c r="AQ633" s="70">
        <f t="shared" si="1917"/>
        <v>0.13934551766387585</v>
      </c>
      <c r="AR633" s="70">
        <f t="shared" si="1917"/>
        <v>0.11468756381458035</v>
      </c>
      <c r="AS633" s="70">
        <f t="shared" si="1917"/>
        <v>7.4229119869307733E-2</v>
      </c>
      <c r="AT633" s="70">
        <f t="shared" si="1917"/>
        <v>0.14450173575658568</v>
      </c>
      <c r="AU633" s="70"/>
      <c r="AV633" s="70">
        <f t="shared" si="1886"/>
        <v>8.2371860322646512E-2</v>
      </c>
      <c r="AW633" s="81">
        <f t="shared" si="1561"/>
        <v>0</v>
      </c>
      <c r="AX633" s="70">
        <f t="shared" ref="AX633:BG633" si="1918">O633/$AI633</f>
        <v>0</v>
      </c>
      <c r="AY633" s="70">
        <f t="shared" si="1918"/>
        <v>0</v>
      </c>
      <c r="AZ633" s="70">
        <f t="shared" si="1918"/>
        <v>0</v>
      </c>
      <c r="BA633" s="70">
        <f t="shared" si="1918"/>
        <v>0</v>
      </c>
      <c r="BB633" s="70">
        <f t="shared" si="1918"/>
        <v>0</v>
      </c>
      <c r="BC633" s="70">
        <f t="shared" si="1918"/>
        <v>0</v>
      </c>
      <c r="BD633" s="70">
        <f t="shared" si="1918"/>
        <v>0</v>
      </c>
      <c r="BE633" s="70">
        <f t="shared" si="1918"/>
        <v>0</v>
      </c>
      <c r="BF633" s="70">
        <f t="shared" si="1918"/>
        <v>0</v>
      </c>
      <c r="BG633" s="70">
        <f t="shared" si="1918"/>
        <v>0</v>
      </c>
      <c r="BH633" s="70">
        <f t="shared" si="1563"/>
        <v>1.1102230246251565E-16</v>
      </c>
      <c r="BI633" s="62"/>
      <c r="BJ633" s="69">
        <v>0.53700000000000003</v>
      </c>
      <c r="BK633" s="69">
        <v>0.30099999999999999</v>
      </c>
      <c r="BL633" s="69">
        <v>2.8000000000000001E-2</v>
      </c>
      <c r="BM633" s="69">
        <v>7.0000000000000007E-2</v>
      </c>
      <c r="BN633" s="69">
        <v>2.3E-2</v>
      </c>
      <c r="BO633" s="69">
        <v>0</v>
      </c>
      <c r="BP633" s="69">
        <v>4.2000000000000003E-2</v>
      </c>
      <c r="BQ633" s="69">
        <v>0</v>
      </c>
      <c r="BR633" s="62"/>
      <c r="BS633" s="72">
        <f t="shared" ref="BS633:BW633" si="1919">AP633-BJ633</f>
        <v>-9.213579742699618E-2</v>
      </c>
      <c r="BT633" s="72">
        <f t="shared" si="1919"/>
        <v>-0.16165448233612414</v>
      </c>
      <c r="BU633" s="72">
        <f t="shared" si="1919"/>
        <v>8.6687563814580357E-2</v>
      </c>
      <c r="BV633" s="72">
        <f t="shared" si="1919"/>
        <v>4.2291198693077264E-3</v>
      </c>
      <c r="BW633" s="72">
        <f t="shared" si="1919"/>
        <v>0.12150173575658568</v>
      </c>
      <c r="BX633" s="72"/>
      <c r="BY633" s="72">
        <f t="shared" si="1889"/>
        <v>4.0371860322646509E-2</v>
      </c>
      <c r="BZ633" s="72">
        <f t="shared" si="1565"/>
        <v>1.1102230246251565E-16</v>
      </c>
    </row>
    <row r="634" spans="1:78" ht="13.15">
      <c r="A634" s="78" t="s">
        <v>5</v>
      </c>
      <c r="B634" s="74" t="s">
        <v>1314</v>
      </c>
      <c r="C634" s="75" t="s">
        <v>1315</v>
      </c>
      <c r="D634" s="75" t="s">
        <v>1293</v>
      </c>
      <c r="E634" s="76"/>
      <c r="F634" s="59"/>
      <c r="G634" s="60"/>
      <c r="H634" s="77">
        <v>16442</v>
      </c>
      <c r="I634" s="77">
        <v>6835</v>
      </c>
      <c r="J634" s="77">
        <v>5626</v>
      </c>
      <c r="K634" s="77">
        <v>1921</v>
      </c>
      <c r="L634" s="77">
        <v>3157</v>
      </c>
      <c r="M634" s="77"/>
      <c r="N634" s="77">
        <v>9423</v>
      </c>
      <c r="O634" s="77">
        <v>241</v>
      </c>
      <c r="P634" s="77"/>
      <c r="Q634" s="77"/>
      <c r="R634" s="77"/>
      <c r="S634" s="77"/>
      <c r="T634" s="77"/>
      <c r="U634" s="77"/>
      <c r="V634" s="77"/>
      <c r="W634" s="77"/>
      <c r="X634" s="77"/>
      <c r="Y634" s="77">
        <v>1041</v>
      </c>
      <c r="Z634" s="77">
        <v>71</v>
      </c>
      <c r="AA634" s="77"/>
      <c r="AB634" s="77"/>
      <c r="AC634" s="77"/>
      <c r="AD634" s="77"/>
      <c r="AE634" s="62"/>
      <c r="AF634" s="63" t="b">
        <v>0</v>
      </c>
      <c r="AG634" s="63" t="b">
        <v>0</v>
      </c>
      <c r="AH634" s="62"/>
      <c r="AI634" s="64">
        <f t="shared" si="1557"/>
        <v>44757</v>
      </c>
      <c r="AJ634" s="65" t="str">
        <f t="shared" si="1884"/>
        <v>LAB</v>
      </c>
      <c r="AK634" s="66" t="str">
        <f t="shared" si="1558"/>
        <v>HOLD</v>
      </c>
      <c r="AL634" s="67" t="e">
        <f t="shared" ca="1" si="1559"/>
        <v>#NAME?</v>
      </c>
      <c r="AM634" s="68">
        <f t="shared" si="1408"/>
        <v>7019</v>
      </c>
      <c r="AN634" s="69">
        <f t="shared" si="1409"/>
        <v>0.1568246307840114</v>
      </c>
      <c r="AO634" s="62"/>
      <c r="AP634" s="70">
        <f t="shared" ref="AP634:AT634" si="1920">H634/$AI634</f>
        <v>0.36736153003999372</v>
      </c>
      <c r="AQ634" s="70">
        <f t="shared" si="1920"/>
        <v>0.15271354201577406</v>
      </c>
      <c r="AR634" s="70">
        <f t="shared" si="1920"/>
        <v>0.1257010076636057</v>
      </c>
      <c r="AS634" s="70">
        <f t="shared" si="1920"/>
        <v>4.2920660455347766E-2</v>
      </c>
      <c r="AT634" s="70">
        <f t="shared" si="1920"/>
        <v>7.053645239850749E-2</v>
      </c>
      <c r="AU634" s="70"/>
      <c r="AV634" s="70">
        <f t="shared" si="1886"/>
        <v>0.21053689925598232</v>
      </c>
      <c r="AW634" s="81">
        <f t="shared" si="1561"/>
        <v>3.0229908170788966E-2</v>
      </c>
      <c r="AX634" s="70">
        <f t="shared" ref="AX634:BG634" si="1921">O634/$AI634</f>
        <v>5.384632571441339E-3</v>
      </c>
      <c r="AY634" s="70">
        <f t="shared" si="1921"/>
        <v>0</v>
      </c>
      <c r="AZ634" s="70">
        <f t="shared" si="1921"/>
        <v>0</v>
      </c>
      <c r="BA634" s="70">
        <f t="shared" si="1921"/>
        <v>0</v>
      </c>
      <c r="BB634" s="70">
        <f t="shared" si="1921"/>
        <v>0</v>
      </c>
      <c r="BC634" s="70">
        <f t="shared" si="1921"/>
        <v>0</v>
      </c>
      <c r="BD634" s="70">
        <f t="shared" si="1921"/>
        <v>0</v>
      </c>
      <c r="BE634" s="70">
        <f t="shared" si="1921"/>
        <v>0</v>
      </c>
      <c r="BF634" s="70">
        <f t="shared" si="1921"/>
        <v>0</v>
      </c>
      <c r="BG634" s="70">
        <f t="shared" si="1921"/>
        <v>0</v>
      </c>
      <c r="BH634" s="70">
        <f t="shared" si="1563"/>
        <v>2.4845275599347627E-2</v>
      </c>
      <c r="BI634" s="62"/>
      <c r="BJ634" s="69">
        <v>0.502</v>
      </c>
      <c r="BK634" s="69">
        <v>0.29899999999999999</v>
      </c>
      <c r="BL634" s="69">
        <v>3.6999999999999998E-2</v>
      </c>
      <c r="BM634" s="69">
        <v>5.2999999999999999E-2</v>
      </c>
      <c r="BN634" s="69">
        <v>2.1999999999999999E-2</v>
      </c>
      <c r="BO634" s="69">
        <v>0</v>
      </c>
      <c r="BP634" s="69">
        <v>8.5000000000000006E-2</v>
      </c>
      <c r="BQ634" s="69">
        <v>3.0000000000000001E-3</v>
      </c>
      <c r="BR634" s="62"/>
      <c r="BS634" s="72">
        <f t="shared" ref="BS634:BW634" si="1922">AP634-BJ634</f>
        <v>-0.13463846996000628</v>
      </c>
      <c r="BT634" s="72">
        <f t="shared" si="1922"/>
        <v>-0.14628645798422593</v>
      </c>
      <c r="BU634" s="72">
        <f t="shared" si="1922"/>
        <v>8.8701007663605697E-2</v>
      </c>
      <c r="BV634" s="72">
        <f t="shared" si="1922"/>
        <v>-1.0079339544652233E-2</v>
      </c>
      <c r="BW634" s="72">
        <f t="shared" si="1922"/>
        <v>4.8536452398507492E-2</v>
      </c>
      <c r="BX634" s="72"/>
      <c r="BY634" s="72">
        <f t="shared" si="1889"/>
        <v>0.12553689925598233</v>
      </c>
      <c r="BZ634" s="72">
        <f t="shared" si="1565"/>
        <v>2.7229908170788967E-2</v>
      </c>
    </row>
    <row r="635" spans="1:78" ht="13.15">
      <c r="A635" s="95" t="s">
        <v>11</v>
      </c>
      <c r="B635" s="74" t="s">
        <v>1316</v>
      </c>
      <c r="C635" s="75" t="s">
        <v>1317</v>
      </c>
      <c r="D635" s="75" t="s">
        <v>1293</v>
      </c>
      <c r="E635" s="76"/>
      <c r="F635" s="59"/>
      <c r="G635" s="60"/>
      <c r="H635" s="77">
        <v>5386</v>
      </c>
      <c r="I635" s="77">
        <v>4763</v>
      </c>
      <c r="J635" s="77">
        <v>5374</v>
      </c>
      <c r="K635" s="77">
        <v>6949</v>
      </c>
      <c r="L635" s="77">
        <v>1864</v>
      </c>
      <c r="M635" s="77"/>
      <c r="N635" s="77">
        <v>21738</v>
      </c>
      <c r="O635" s="77"/>
      <c r="P635" s="77">
        <v>228</v>
      </c>
      <c r="Q635" s="77"/>
      <c r="R635" s="77"/>
      <c r="S635" s="77"/>
      <c r="T635" s="77"/>
      <c r="U635" s="77"/>
      <c r="V635" s="77"/>
      <c r="W635" s="77"/>
      <c r="X635" s="77"/>
      <c r="Y635" s="77"/>
      <c r="Z635" s="77"/>
      <c r="AA635" s="77"/>
      <c r="AB635" s="77"/>
      <c r="AC635" s="77"/>
      <c r="AD635" s="77"/>
      <c r="AE635" s="62"/>
      <c r="AF635" s="63" t="b">
        <v>0</v>
      </c>
      <c r="AG635" s="63" t="b">
        <v>0</v>
      </c>
      <c r="AH635" s="62"/>
      <c r="AI635" s="64">
        <f t="shared" si="1557"/>
        <v>46302</v>
      </c>
      <c r="AJ635" s="65" t="str">
        <f t="shared" si="1884"/>
        <v>PLC</v>
      </c>
      <c r="AK635" s="66" t="str">
        <f t="shared" si="1558"/>
        <v>HOLD</v>
      </c>
      <c r="AL635" s="67" t="e">
        <f t="shared" ca="1" si="1559"/>
        <v>#NAME?</v>
      </c>
      <c r="AM635" s="68">
        <f t="shared" si="1408"/>
        <v>14789</v>
      </c>
      <c r="AN635" s="69">
        <f t="shared" si="1409"/>
        <v>0.31940304954429616</v>
      </c>
      <c r="AO635" s="62"/>
      <c r="AP635" s="70">
        <f t="shared" ref="AP635:AT635" si="1923">H635/$AI635</f>
        <v>0.11632326897326249</v>
      </c>
      <c r="AQ635" s="70">
        <f t="shared" si="1923"/>
        <v>0.10286812664679712</v>
      </c>
      <c r="AR635" s="70">
        <f t="shared" si="1923"/>
        <v>0.11606410090276878</v>
      </c>
      <c r="AS635" s="70">
        <f t="shared" si="1923"/>
        <v>0.15007991015506889</v>
      </c>
      <c r="AT635" s="70">
        <f t="shared" si="1923"/>
        <v>4.0257440283357093E-2</v>
      </c>
      <c r="AU635" s="70"/>
      <c r="AV635" s="70">
        <f t="shared" si="1886"/>
        <v>0.46948295969936504</v>
      </c>
      <c r="AW635" s="81">
        <f t="shared" si="1561"/>
        <v>4.9241933393806558E-3</v>
      </c>
      <c r="AX635" s="70">
        <f t="shared" ref="AX635:BG635" si="1924">O635/$AI635</f>
        <v>0</v>
      </c>
      <c r="AY635" s="70">
        <f t="shared" si="1924"/>
        <v>4.9241933393805882E-3</v>
      </c>
      <c r="AZ635" s="70">
        <f t="shared" si="1924"/>
        <v>0</v>
      </c>
      <c r="BA635" s="70">
        <f t="shared" si="1924"/>
        <v>0</v>
      </c>
      <c r="BB635" s="70">
        <f t="shared" si="1924"/>
        <v>0</v>
      </c>
      <c r="BC635" s="70">
        <f t="shared" si="1924"/>
        <v>0</v>
      </c>
      <c r="BD635" s="70">
        <f t="shared" si="1924"/>
        <v>0</v>
      </c>
      <c r="BE635" s="70">
        <f t="shared" si="1924"/>
        <v>0</v>
      </c>
      <c r="BF635" s="70">
        <f t="shared" si="1924"/>
        <v>0</v>
      </c>
      <c r="BG635" s="70">
        <f t="shared" si="1924"/>
        <v>0</v>
      </c>
      <c r="BH635" s="70">
        <f t="shared" si="1563"/>
        <v>6.7654215563095477E-17</v>
      </c>
      <c r="BI635" s="62"/>
      <c r="BJ635" s="69">
        <v>0.20799999999999999</v>
      </c>
      <c r="BK635" s="69">
        <v>0.28299999999999997</v>
      </c>
      <c r="BL635" s="69">
        <v>0.04</v>
      </c>
      <c r="BM635" s="69">
        <v>0.14599999999999999</v>
      </c>
      <c r="BN635" s="69">
        <v>1.2999999999999999E-2</v>
      </c>
      <c r="BO635" s="69">
        <v>0</v>
      </c>
      <c r="BP635" s="69">
        <v>0.311</v>
      </c>
      <c r="BQ635" s="69">
        <v>0</v>
      </c>
      <c r="BR635" s="62"/>
      <c r="BS635" s="72">
        <f t="shared" ref="BS635:BW635" si="1925">AP635-BJ635</f>
        <v>-9.1676731026737499E-2</v>
      </c>
      <c r="BT635" s="72">
        <f t="shared" si="1925"/>
        <v>-0.18013187335320285</v>
      </c>
      <c r="BU635" s="72">
        <f t="shared" si="1925"/>
        <v>7.6064100902768772E-2</v>
      </c>
      <c r="BV635" s="72">
        <f t="shared" si="1925"/>
        <v>4.0799101550688943E-3</v>
      </c>
      <c r="BW635" s="72">
        <f t="shared" si="1925"/>
        <v>2.7257440283357096E-2</v>
      </c>
      <c r="BX635" s="72"/>
      <c r="BY635" s="72">
        <f t="shared" si="1889"/>
        <v>0.15848295969936504</v>
      </c>
      <c r="BZ635" s="72">
        <f t="shared" si="1565"/>
        <v>4.9241933393806558E-3</v>
      </c>
    </row>
    <row r="636" spans="1:78" ht="13.15">
      <c r="A636" s="73" t="s">
        <v>6</v>
      </c>
      <c r="B636" s="74" t="s">
        <v>1318</v>
      </c>
      <c r="C636" s="75" t="s">
        <v>1319</v>
      </c>
      <c r="D636" s="75" t="s">
        <v>1293</v>
      </c>
      <c r="E636" s="76"/>
      <c r="F636" s="59"/>
      <c r="G636" s="60"/>
      <c r="H636" s="77">
        <v>18484</v>
      </c>
      <c r="I636" s="77">
        <v>13862</v>
      </c>
      <c r="J636" s="77">
        <v>7626</v>
      </c>
      <c r="K636" s="77">
        <v>1859</v>
      </c>
      <c r="L636" s="77">
        <v>1659</v>
      </c>
      <c r="M636" s="77"/>
      <c r="N636" s="77">
        <v>3733</v>
      </c>
      <c r="O636" s="77"/>
      <c r="P636" s="77"/>
      <c r="Q636" s="77"/>
      <c r="R636" s="77"/>
      <c r="S636" s="77"/>
      <c r="T636" s="77"/>
      <c r="U636" s="77"/>
      <c r="V636" s="77"/>
      <c r="W636" s="77"/>
      <c r="X636" s="77"/>
      <c r="Y636" s="77"/>
      <c r="Z636" s="77"/>
      <c r="AA636" s="77"/>
      <c r="AB636" s="77"/>
      <c r="AC636" s="77"/>
      <c r="AD636" s="77"/>
      <c r="AE636" s="62"/>
      <c r="AF636" s="63" t="b">
        <v>0</v>
      </c>
      <c r="AG636" s="63" t="b">
        <v>0</v>
      </c>
      <c r="AH636" s="62"/>
      <c r="AI636" s="64">
        <f t="shared" si="1557"/>
        <v>47223</v>
      </c>
      <c r="AJ636" s="65" t="str">
        <f t="shared" si="1884"/>
        <v>LAB</v>
      </c>
      <c r="AK636" s="66" t="str">
        <f t="shared" si="1558"/>
        <v>GAIN</v>
      </c>
      <c r="AL636" s="67" t="e">
        <f t="shared" ca="1" si="1559"/>
        <v>#NAME?</v>
      </c>
      <c r="AM636" s="68">
        <f t="shared" si="1408"/>
        <v>4622</v>
      </c>
      <c r="AN636" s="69">
        <f t="shared" si="1409"/>
        <v>9.7876034982953219E-2</v>
      </c>
      <c r="AO636" s="62"/>
      <c r="AP636" s="70">
        <f t="shared" ref="AP636:AT636" si="1926">H636/$AI636</f>
        <v>0.39141943544459268</v>
      </c>
      <c r="AQ636" s="70">
        <f t="shared" si="1926"/>
        <v>0.29354340046163946</v>
      </c>
      <c r="AR636" s="70">
        <f t="shared" si="1926"/>
        <v>0.1614891048853313</v>
      </c>
      <c r="AS636" s="70">
        <f t="shared" si="1926"/>
        <v>3.9366410435592823E-2</v>
      </c>
      <c r="AT636" s="70">
        <f t="shared" si="1926"/>
        <v>3.51311860745823E-2</v>
      </c>
      <c r="AU636" s="70"/>
      <c r="AV636" s="70">
        <f t="shared" si="1886"/>
        <v>7.9050462698261437E-2</v>
      </c>
      <c r="AW636" s="81">
        <f t="shared" si="1561"/>
        <v>0</v>
      </c>
      <c r="AX636" s="70">
        <f t="shared" ref="AX636:BG636" si="1927">O636/$AI636</f>
        <v>0</v>
      </c>
      <c r="AY636" s="70">
        <f t="shared" si="1927"/>
        <v>0</v>
      </c>
      <c r="AZ636" s="70">
        <f t="shared" si="1927"/>
        <v>0</v>
      </c>
      <c r="BA636" s="70">
        <f t="shared" si="1927"/>
        <v>0</v>
      </c>
      <c r="BB636" s="70">
        <f t="shared" si="1927"/>
        <v>0</v>
      </c>
      <c r="BC636" s="70">
        <f t="shared" si="1927"/>
        <v>0</v>
      </c>
      <c r="BD636" s="70">
        <f t="shared" si="1927"/>
        <v>0</v>
      </c>
      <c r="BE636" s="70">
        <f t="shared" si="1927"/>
        <v>0</v>
      </c>
      <c r="BF636" s="70">
        <f t="shared" si="1927"/>
        <v>0</v>
      </c>
      <c r="BG636" s="70">
        <f t="shared" si="1927"/>
        <v>0</v>
      </c>
      <c r="BH636" s="70">
        <f t="shared" si="1563"/>
        <v>0</v>
      </c>
      <c r="BI636" s="62"/>
      <c r="BJ636" s="69">
        <v>0.379</v>
      </c>
      <c r="BK636" s="69">
        <v>0.47899999999999998</v>
      </c>
      <c r="BL636" s="69">
        <v>4.1000000000000002E-2</v>
      </c>
      <c r="BM636" s="69">
        <v>5.2999999999999999E-2</v>
      </c>
      <c r="BN636" s="69">
        <v>0</v>
      </c>
      <c r="BO636" s="69">
        <v>0</v>
      </c>
      <c r="BP636" s="69">
        <v>4.7E-2</v>
      </c>
      <c r="BQ636" s="69">
        <v>0</v>
      </c>
      <c r="BR636" s="62"/>
      <c r="BS636" s="72">
        <f t="shared" ref="BS636:BW636" si="1928">AP636-BJ636</f>
        <v>1.2419435444592675E-2</v>
      </c>
      <c r="BT636" s="72">
        <f t="shared" si="1928"/>
        <v>-0.18545659953836052</v>
      </c>
      <c r="BU636" s="72">
        <f t="shared" si="1928"/>
        <v>0.12048910488533129</v>
      </c>
      <c r="BV636" s="72">
        <f t="shared" si="1928"/>
        <v>-1.3633589564407175E-2</v>
      </c>
      <c r="BW636" s="72">
        <f t="shared" si="1928"/>
        <v>3.51311860745823E-2</v>
      </c>
      <c r="BX636" s="72"/>
      <c r="BY636" s="72">
        <f t="shared" si="1889"/>
        <v>3.2050462698261437E-2</v>
      </c>
      <c r="BZ636" s="72">
        <f t="shared" si="1565"/>
        <v>0</v>
      </c>
    </row>
    <row r="637" spans="1:78" ht="13.15">
      <c r="A637" s="73" t="s">
        <v>6</v>
      </c>
      <c r="B637" s="74" t="s">
        <v>1320</v>
      </c>
      <c r="C637" s="75" t="s">
        <v>1321</v>
      </c>
      <c r="D637" s="75" t="s">
        <v>1293</v>
      </c>
      <c r="E637" s="76"/>
      <c r="F637" s="59"/>
      <c r="G637" s="60"/>
      <c r="H637" s="77">
        <v>14794</v>
      </c>
      <c r="I637" s="77">
        <v>13598</v>
      </c>
      <c r="J637" s="77">
        <v>7000</v>
      </c>
      <c r="K637" s="77">
        <v>1685</v>
      </c>
      <c r="L637" s="77">
        <v>1391</v>
      </c>
      <c r="M637" s="77"/>
      <c r="N637" s="77">
        <v>3159</v>
      </c>
      <c r="O637" s="77">
        <v>599</v>
      </c>
      <c r="P637" s="77"/>
      <c r="Q637" s="77"/>
      <c r="R637" s="77"/>
      <c r="S637" s="77"/>
      <c r="T637" s="77"/>
      <c r="U637" s="77"/>
      <c r="V637" s="77"/>
      <c r="W637" s="77"/>
      <c r="X637" s="77"/>
      <c r="Y637" s="77"/>
      <c r="Z637" s="77"/>
      <c r="AA637" s="77"/>
      <c r="AB637" s="77"/>
      <c r="AC637" s="77"/>
      <c r="AD637" s="77"/>
      <c r="AE637" s="62"/>
      <c r="AF637" s="63" t="b">
        <v>0</v>
      </c>
      <c r="AG637" s="63" t="b">
        <v>0</v>
      </c>
      <c r="AH637" s="62"/>
      <c r="AI637" s="64">
        <f t="shared" si="1557"/>
        <v>42226</v>
      </c>
      <c r="AJ637" s="65" t="str">
        <f t="shared" si="1884"/>
        <v>LAB</v>
      </c>
      <c r="AK637" s="66" t="str">
        <f t="shared" si="1558"/>
        <v>GAIN</v>
      </c>
      <c r="AL637" s="67" t="e">
        <f t="shared" ca="1" si="1559"/>
        <v>#NAME?</v>
      </c>
      <c r="AM637" s="68">
        <f t="shared" si="1408"/>
        <v>1196</v>
      </c>
      <c r="AN637" s="69">
        <f t="shared" si="1409"/>
        <v>2.8323781556387095E-2</v>
      </c>
      <c r="AO637" s="62"/>
      <c r="AP637" s="70">
        <f t="shared" ref="AP637:AT637" si="1929">H637/$AI637</f>
        <v>0.35035286316487474</v>
      </c>
      <c r="AQ637" s="70">
        <f t="shared" si="1929"/>
        <v>0.32202908160848764</v>
      </c>
      <c r="AR637" s="70">
        <f t="shared" si="1929"/>
        <v>0.16577464121631222</v>
      </c>
      <c r="AS637" s="70">
        <f t="shared" si="1929"/>
        <v>3.9904324349926586E-2</v>
      </c>
      <c r="AT637" s="70">
        <f t="shared" si="1929"/>
        <v>3.2941789418841474E-2</v>
      </c>
      <c r="AU637" s="70"/>
      <c r="AV637" s="70">
        <f t="shared" si="1886"/>
        <v>7.4811727371761477E-2</v>
      </c>
      <c r="AW637" s="81">
        <f t="shared" si="1561"/>
        <v>1.4185572869795826E-2</v>
      </c>
      <c r="AX637" s="70">
        <f t="shared" ref="AX637:BG637" si="1930">O637/$AI637</f>
        <v>1.4185572869795861E-2</v>
      </c>
      <c r="AY637" s="70">
        <f t="shared" si="1930"/>
        <v>0</v>
      </c>
      <c r="AZ637" s="70">
        <f t="shared" si="1930"/>
        <v>0</v>
      </c>
      <c r="BA637" s="70">
        <f t="shared" si="1930"/>
        <v>0</v>
      </c>
      <c r="BB637" s="70">
        <f t="shared" si="1930"/>
        <v>0</v>
      </c>
      <c r="BC637" s="70">
        <f t="shared" si="1930"/>
        <v>0</v>
      </c>
      <c r="BD637" s="70">
        <f t="shared" si="1930"/>
        <v>0</v>
      </c>
      <c r="BE637" s="70">
        <f t="shared" si="1930"/>
        <v>0</v>
      </c>
      <c r="BF637" s="70">
        <f t="shared" si="1930"/>
        <v>0</v>
      </c>
      <c r="BG637" s="70">
        <f t="shared" si="1930"/>
        <v>0</v>
      </c>
      <c r="BH637" s="70">
        <f t="shared" si="1563"/>
        <v>-3.4694469519536142E-17</v>
      </c>
      <c r="BI637" s="62"/>
      <c r="BJ637" s="69">
        <v>0.40300000000000002</v>
      </c>
      <c r="BK637" s="69">
        <v>0.45800000000000002</v>
      </c>
      <c r="BL637" s="69">
        <v>1.9E-2</v>
      </c>
      <c r="BM637" s="69">
        <v>4.9000000000000002E-2</v>
      </c>
      <c r="BN637" s="69">
        <v>0</v>
      </c>
      <c r="BO637" s="69">
        <v>0</v>
      </c>
      <c r="BP637" s="69">
        <v>7.1999999999999995E-2</v>
      </c>
      <c r="BQ637" s="69">
        <v>0</v>
      </c>
      <c r="BR637" s="62"/>
      <c r="BS637" s="72">
        <f t="shared" ref="BS637:BW637" si="1931">AP637-BJ637</f>
        <v>-5.2647136835125286E-2</v>
      </c>
      <c r="BT637" s="72">
        <f t="shared" si="1931"/>
        <v>-0.13597091839151237</v>
      </c>
      <c r="BU637" s="72">
        <f t="shared" si="1931"/>
        <v>0.14677464121631223</v>
      </c>
      <c r="BV637" s="72">
        <f t="shared" si="1931"/>
        <v>-9.0956756500734162E-3</v>
      </c>
      <c r="BW637" s="72">
        <f t="shared" si="1931"/>
        <v>3.2941789418841474E-2</v>
      </c>
      <c r="BX637" s="72"/>
      <c r="BY637" s="72">
        <f t="shared" si="1889"/>
        <v>2.8117273717614827E-3</v>
      </c>
      <c r="BZ637" s="72">
        <f t="shared" si="1565"/>
        <v>1.4185572869795826E-2</v>
      </c>
    </row>
    <row r="638" spans="1:78" ht="13.15">
      <c r="A638" s="95" t="s">
        <v>11</v>
      </c>
      <c r="B638" s="74" t="s">
        <v>1322</v>
      </c>
      <c r="C638" s="75" t="s">
        <v>1323</v>
      </c>
      <c r="D638" s="75" t="s">
        <v>1293</v>
      </c>
      <c r="E638" s="76"/>
      <c r="F638" s="59"/>
      <c r="G638" s="60"/>
      <c r="H638" s="77">
        <v>5912</v>
      </c>
      <c r="I638" s="77">
        <v>4712</v>
      </c>
      <c r="J638" s="77">
        <v>4857</v>
      </c>
      <c r="K638" s="77">
        <v>1381</v>
      </c>
      <c r="L638" s="77">
        <v>1448</v>
      </c>
      <c r="M638" s="77"/>
      <c r="N638" s="77">
        <v>21788</v>
      </c>
      <c r="O638" s="77"/>
      <c r="P638" s="77"/>
      <c r="Q638" s="77"/>
      <c r="R638" s="77"/>
      <c r="S638" s="77"/>
      <c r="T638" s="77"/>
      <c r="U638" s="77"/>
      <c r="V638" s="77"/>
      <c r="W638" s="77"/>
      <c r="X638" s="77"/>
      <c r="Y638" s="77">
        <v>297</v>
      </c>
      <c r="Z638" s="77"/>
      <c r="AA638" s="77"/>
      <c r="AB638" s="77"/>
      <c r="AC638" s="77"/>
      <c r="AD638" s="77"/>
      <c r="AE638" s="62"/>
      <c r="AF638" s="63" t="b">
        <v>0</v>
      </c>
      <c r="AG638" s="63" t="b">
        <v>0</v>
      </c>
      <c r="AH638" s="62"/>
      <c r="AI638" s="64">
        <f t="shared" si="1557"/>
        <v>40395</v>
      </c>
      <c r="AJ638" s="65" t="str">
        <f t="shared" si="1884"/>
        <v>PLC</v>
      </c>
      <c r="AK638" s="66" t="str">
        <f t="shared" si="1558"/>
        <v>HOLD</v>
      </c>
      <c r="AL638" s="67" t="e">
        <f t="shared" ca="1" si="1559"/>
        <v>#NAME?</v>
      </c>
      <c r="AM638" s="68">
        <f t="shared" si="1408"/>
        <v>15876</v>
      </c>
      <c r="AN638" s="69">
        <f t="shared" si="1409"/>
        <v>0.39301893798737469</v>
      </c>
      <c r="AO638" s="62"/>
      <c r="AP638" s="70">
        <f t="shared" ref="AP638:AT638" si="1932">H638/$AI638</f>
        <v>0.1463547468746132</v>
      </c>
      <c r="AQ638" s="70">
        <f t="shared" si="1932"/>
        <v>0.11664810001237777</v>
      </c>
      <c r="AR638" s="70">
        <f t="shared" si="1932"/>
        <v>0.12023765317489789</v>
      </c>
      <c r="AS638" s="70">
        <f t="shared" si="1932"/>
        <v>3.41873994306226E-2</v>
      </c>
      <c r="AT638" s="70">
        <f t="shared" si="1932"/>
        <v>3.5846020547097415E-2</v>
      </c>
      <c r="AU638" s="70"/>
      <c r="AV638" s="70">
        <f t="shared" si="1886"/>
        <v>0.53937368486198789</v>
      </c>
      <c r="AW638" s="81">
        <f t="shared" si="1561"/>
        <v>7.3523950984033526E-3</v>
      </c>
      <c r="AX638" s="70">
        <f t="shared" ref="AX638:BG638" si="1933">O638/$AI638</f>
        <v>0</v>
      </c>
      <c r="AY638" s="70">
        <f t="shared" si="1933"/>
        <v>0</v>
      </c>
      <c r="AZ638" s="70">
        <f t="shared" si="1933"/>
        <v>0</v>
      </c>
      <c r="BA638" s="70">
        <f t="shared" si="1933"/>
        <v>0</v>
      </c>
      <c r="BB638" s="70">
        <f t="shared" si="1933"/>
        <v>0</v>
      </c>
      <c r="BC638" s="70">
        <f t="shared" si="1933"/>
        <v>0</v>
      </c>
      <c r="BD638" s="70">
        <f t="shared" si="1933"/>
        <v>0</v>
      </c>
      <c r="BE638" s="70">
        <f t="shared" si="1933"/>
        <v>0</v>
      </c>
      <c r="BF638" s="70">
        <f t="shared" si="1933"/>
        <v>0</v>
      </c>
      <c r="BG638" s="70">
        <f t="shared" si="1933"/>
        <v>0</v>
      </c>
      <c r="BH638" s="70">
        <f t="shared" si="1563"/>
        <v>7.3523950984033526E-3</v>
      </c>
      <c r="BI638" s="62"/>
      <c r="BJ638" s="69">
        <v>0.22900000000000001</v>
      </c>
      <c r="BK638" s="69">
        <v>0.26200000000000001</v>
      </c>
      <c r="BL638" s="69">
        <v>5.0999999999999997E-2</v>
      </c>
      <c r="BM638" s="69">
        <v>2E-3</v>
      </c>
      <c r="BN638" s="69">
        <v>0</v>
      </c>
      <c r="BO638" s="69">
        <v>0</v>
      </c>
      <c r="BP638" s="69">
        <v>0.45800000000000002</v>
      </c>
      <c r="BQ638" s="69">
        <v>0</v>
      </c>
      <c r="BR638" s="62"/>
      <c r="BS638" s="72">
        <f t="shared" ref="BS638:BW638" si="1934">AP638-BJ638</f>
        <v>-8.2645253125386814E-2</v>
      </c>
      <c r="BT638" s="72">
        <f t="shared" si="1934"/>
        <v>-0.14535189998762224</v>
      </c>
      <c r="BU638" s="72">
        <f t="shared" si="1934"/>
        <v>6.9237653174897884E-2</v>
      </c>
      <c r="BV638" s="72">
        <f t="shared" si="1934"/>
        <v>3.2187399430622599E-2</v>
      </c>
      <c r="BW638" s="72">
        <f t="shared" si="1934"/>
        <v>3.5846020547097415E-2</v>
      </c>
      <c r="BX638" s="72"/>
      <c r="BY638" s="72">
        <f t="shared" si="1889"/>
        <v>8.1373684861987872E-2</v>
      </c>
      <c r="BZ638" s="72">
        <f t="shared" si="1565"/>
        <v>7.3523950984033526E-3</v>
      </c>
    </row>
    <row r="639" spans="1:78" ht="13.15">
      <c r="A639" s="78" t="s">
        <v>5</v>
      </c>
      <c r="B639" s="74" t="s">
        <v>1324</v>
      </c>
      <c r="C639" s="75" t="s">
        <v>1325</v>
      </c>
      <c r="D639" s="75" t="s">
        <v>1293</v>
      </c>
      <c r="E639" s="76"/>
      <c r="F639" s="59"/>
      <c r="G639" s="60"/>
      <c r="H639" s="77">
        <v>20480</v>
      </c>
      <c r="I639" s="77">
        <v>8913</v>
      </c>
      <c r="J639" s="77">
        <v>8530</v>
      </c>
      <c r="K639" s="77">
        <v>2593</v>
      </c>
      <c r="L639" s="77">
        <v>2488</v>
      </c>
      <c r="M639" s="77"/>
      <c r="N639" s="77">
        <v>3942</v>
      </c>
      <c r="O639" s="77">
        <v>283</v>
      </c>
      <c r="P639" s="77"/>
      <c r="Q639" s="77"/>
      <c r="R639" s="77"/>
      <c r="S639" s="77"/>
      <c r="T639" s="77"/>
      <c r="U639" s="77"/>
      <c r="V639" s="77"/>
      <c r="W639" s="77"/>
      <c r="X639" s="77"/>
      <c r="Y639" s="77"/>
      <c r="Z639" s="77"/>
      <c r="AA639" s="77"/>
      <c r="AB639" s="77"/>
      <c r="AC639" s="77"/>
      <c r="AD639" s="77"/>
      <c r="AE639" s="62"/>
      <c r="AF639" s="63" t="b">
        <v>0</v>
      </c>
      <c r="AG639" s="63" t="b">
        <v>0</v>
      </c>
      <c r="AH639" s="62"/>
      <c r="AI639" s="64">
        <f t="shared" si="1557"/>
        <v>47229</v>
      </c>
      <c r="AJ639" s="65" t="str">
        <f t="shared" si="1884"/>
        <v>LAB</v>
      </c>
      <c r="AK639" s="66" t="str">
        <f t="shared" si="1558"/>
        <v>HOLD</v>
      </c>
      <c r="AL639" s="67" t="e">
        <f t="shared" ca="1" si="1559"/>
        <v>#NAME?</v>
      </c>
      <c r="AM639" s="68">
        <f t="shared" si="1408"/>
        <v>11567</v>
      </c>
      <c r="AN639" s="69">
        <f t="shared" si="1409"/>
        <v>0.24491308306337209</v>
      </c>
      <c r="AO639" s="62"/>
      <c r="AP639" s="70">
        <f t="shared" ref="AP639:AT639" si="1935">H639/$AI639</f>
        <v>0.43363187871858394</v>
      </c>
      <c r="AQ639" s="70">
        <f t="shared" si="1935"/>
        <v>0.18871879565521185</v>
      </c>
      <c r="AR639" s="70">
        <f t="shared" si="1935"/>
        <v>0.18060937136081645</v>
      </c>
      <c r="AS639" s="70">
        <f t="shared" si="1935"/>
        <v>5.4902708081898836E-2</v>
      </c>
      <c r="AT639" s="70">
        <f t="shared" si="1935"/>
        <v>5.2679497766202968E-2</v>
      </c>
      <c r="AU639" s="70"/>
      <c r="AV639" s="70">
        <f t="shared" si="1886"/>
        <v>8.3465667280696182E-2</v>
      </c>
      <c r="AW639" s="81">
        <f t="shared" si="1561"/>
        <v>5.9920811365898885E-3</v>
      </c>
      <c r="AX639" s="70">
        <f t="shared" ref="AX639:BG639" si="1936">O639/$AI639</f>
        <v>5.992081136589807E-3</v>
      </c>
      <c r="AY639" s="70">
        <f t="shared" si="1936"/>
        <v>0</v>
      </c>
      <c r="AZ639" s="70">
        <f t="shared" si="1936"/>
        <v>0</v>
      </c>
      <c r="BA639" s="70">
        <f t="shared" si="1936"/>
        <v>0</v>
      </c>
      <c r="BB639" s="70">
        <f t="shared" si="1936"/>
        <v>0</v>
      </c>
      <c r="BC639" s="70">
        <f t="shared" si="1936"/>
        <v>0</v>
      </c>
      <c r="BD639" s="70">
        <f t="shared" si="1936"/>
        <v>0</v>
      </c>
      <c r="BE639" s="70">
        <f t="shared" si="1936"/>
        <v>0</v>
      </c>
      <c r="BF639" s="70">
        <f t="shared" si="1936"/>
        <v>0</v>
      </c>
      <c r="BG639" s="70">
        <f t="shared" si="1936"/>
        <v>0</v>
      </c>
      <c r="BH639" s="70">
        <f t="shared" si="1563"/>
        <v>8.1532003370909933E-17</v>
      </c>
      <c r="BI639" s="62"/>
      <c r="BJ639" s="69">
        <v>0.45800000000000002</v>
      </c>
      <c r="BK639" s="69">
        <v>0.39900000000000002</v>
      </c>
      <c r="BL639" s="69">
        <v>3.4000000000000002E-2</v>
      </c>
      <c r="BM639" s="69">
        <v>5.8999999999999997E-2</v>
      </c>
      <c r="BN639" s="69">
        <v>0</v>
      </c>
      <c r="BO639" s="69">
        <v>0</v>
      </c>
      <c r="BP639" s="69">
        <v>5.0999999999999997E-2</v>
      </c>
      <c r="BQ639" s="69">
        <v>0</v>
      </c>
      <c r="BR639" s="62"/>
      <c r="BS639" s="72">
        <f t="shared" ref="BS639:BW639" si="1937">AP639-BJ639</f>
        <v>-2.4368121281416077E-2</v>
      </c>
      <c r="BT639" s="72">
        <f t="shared" si="1937"/>
        <v>-0.21028120434478817</v>
      </c>
      <c r="BU639" s="72">
        <f t="shared" si="1937"/>
        <v>0.14660937136081645</v>
      </c>
      <c r="BV639" s="72">
        <f t="shared" si="1937"/>
        <v>-4.0972919181011605E-3</v>
      </c>
      <c r="BW639" s="72">
        <f t="shared" si="1937"/>
        <v>5.2679497766202968E-2</v>
      </c>
      <c r="BX639" s="72"/>
      <c r="BY639" s="72">
        <f t="shared" si="1889"/>
        <v>3.2465667280696185E-2</v>
      </c>
      <c r="BZ639" s="72">
        <f t="shared" si="1565"/>
        <v>5.9920811365898885E-3</v>
      </c>
    </row>
    <row r="640" spans="1:78" ht="13.15">
      <c r="A640" s="78" t="s">
        <v>5</v>
      </c>
      <c r="B640" s="74" t="s">
        <v>1326</v>
      </c>
      <c r="C640" s="75" t="s">
        <v>1327</v>
      </c>
      <c r="D640" s="75" t="s">
        <v>1293</v>
      </c>
      <c r="E640" s="76"/>
      <c r="F640" s="59"/>
      <c r="G640" s="60"/>
      <c r="H640" s="77">
        <v>12751</v>
      </c>
      <c r="I640" s="77">
        <v>4275</v>
      </c>
      <c r="J640" s="77">
        <v>11247</v>
      </c>
      <c r="K640" s="77">
        <v>1254</v>
      </c>
      <c r="L640" s="77">
        <v>1106</v>
      </c>
      <c r="M640" s="77"/>
      <c r="N640" s="77">
        <v>9511</v>
      </c>
      <c r="O640" s="77"/>
      <c r="P640" s="77"/>
      <c r="Q640" s="77"/>
      <c r="R640" s="77"/>
      <c r="S640" s="77"/>
      <c r="T640" s="77"/>
      <c r="U640" s="77"/>
      <c r="V640" s="77"/>
      <c r="W640" s="77"/>
      <c r="X640" s="77"/>
      <c r="Y640" s="77">
        <v>600</v>
      </c>
      <c r="Z640" s="77"/>
      <c r="AA640" s="77"/>
      <c r="AB640" s="77"/>
      <c r="AC640" s="77"/>
      <c r="AD640" s="77"/>
      <c r="AE640" s="62"/>
      <c r="AF640" s="63" t="b">
        <v>0</v>
      </c>
      <c r="AG640" s="63" t="b">
        <v>0</v>
      </c>
      <c r="AH640" s="62"/>
      <c r="AI640" s="64">
        <f t="shared" si="1557"/>
        <v>40744</v>
      </c>
      <c r="AJ640" s="65" t="str">
        <f t="shared" si="1884"/>
        <v>LAB</v>
      </c>
      <c r="AK640" s="66" t="str">
        <f t="shared" si="1558"/>
        <v>HOLD</v>
      </c>
      <c r="AL640" s="67" t="e">
        <f t="shared" ca="1" si="1559"/>
        <v>#NAME?</v>
      </c>
      <c r="AM640" s="68">
        <f t="shared" si="1408"/>
        <v>1504</v>
      </c>
      <c r="AN640" s="69">
        <f t="shared" si="1409"/>
        <v>3.6913410563518545E-2</v>
      </c>
      <c r="AO640" s="62"/>
      <c r="AP640" s="70">
        <f t="shared" ref="AP640:AT640" si="1938">H640/$AI640</f>
        <v>0.31295405458472414</v>
      </c>
      <c r="AQ640" s="70">
        <f t="shared" si="1938"/>
        <v>0.10492342430787355</v>
      </c>
      <c r="AR640" s="70">
        <f t="shared" si="1938"/>
        <v>0.27604064402120559</v>
      </c>
      <c r="AS640" s="70">
        <f t="shared" si="1938"/>
        <v>3.0777537796976243E-2</v>
      </c>
      <c r="AT640" s="70">
        <f t="shared" si="1938"/>
        <v>2.7145101119183192E-2</v>
      </c>
      <c r="AU640" s="70"/>
      <c r="AV640" s="70">
        <f t="shared" si="1886"/>
        <v>0.23343314353033576</v>
      </c>
      <c r="AW640" s="81">
        <f t="shared" si="1561"/>
        <v>1.4726094639701537E-2</v>
      </c>
      <c r="AX640" s="70">
        <f t="shared" ref="AX640:BG640" si="1939">O640/$AI640</f>
        <v>0</v>
      </c>
      <c r="AY640" s="70">
        <f t="shared" si="1939"/>
        <v>0</v>
      </c>
      <c r="AZ640" s="70">
        <f t="shared" si="1939"/>
        <v>0</v>
      </c>
      <c r="BA640" s="70">
        <f t="shared" si="1939"/>
        <v>0</v>
      </c>
      <c r="BB640" s="70">
        <f t="shared" si="1939"/>
        <v>0</v>
      </c>
      <c r="BC640" s="70">
        <f t="shared" si="1939"/>
        <v>0</v>
      </c>
      <c r="BD640" s="70">
        <f t="shared" si="1939"/>
        <v>0</v>
      </c>
      <c r="BE640" s="70">
        <f t="shared" si="1939"/>
        <v>0</v>
      </c>
      <c r="BF640" s="70">
        <f t="shared" si="1939"/>
        <v>0</v>
      </c>
      <c r="BG640" s="70">
        <f t="shared" si="1939"/>
        <v>0</v>
      </c>
      <c r="BH640" s="70">
        <f t="shared" si="1563"/>
        <v>1.4726094639701537E-2</v>
      </c>
      <c r="BI640" s="62"/>
      <c r="BJ640" s="69">
        <v>0.39300000000000002</v>
      </c>
      <c r="BK640" s="69">
        <v>0.307</v>
      </c>
      <c r="BL640" s="69">
        <v>8.8999999999999996E-2</v>
      </c>
      <c r="BM640" s="69">
        <v>0</v>
      </c>
      <c r="BN640" s="69">
        <v>0</v>
      </c>
      <c r="BO640" s="69">
        <v>0</v>
      </c>
      <c r="BP640" s="69">
        <v>0.21099999999999999</v>
      </c>
      <c r="BQ640" s="69">
        <v>0</v>
      </c>
      <c r="BR640" s="62"/>
      <c r="BS640" s="72">
        <f t="shared" ref="BS640:BW640" si="1940">AP640-BJ640</f>
        <v>-8.0045945415275876E-2</v>
      </c>
      <c r="BT640" s="72">
        <f t="shared" si="1940"/>
        <v>-0.20207657569212645</v>
      </c>
      <c r="BU640" s="72">
        <f t="shared" si="1940"/>
        <v>0.1870406440212056</v>
      </c>
      <c r="BV640" s="72">
        <f t="shared" si="1940"/>
        <v>3.0777537796976243E-2</v>
      </c>
      <c r="BW640" s="72">
        <f t="shared" si="1940"/>
        <v>2.7145101119183192E-2</v>
      </c>
      <c r="BX640" s="72"/>
      <c r="BY640" s="72">
        <f t="shared" si="1889"/>
        <v>2.2433143530335764E-2</v>
      </c>
      <c r="BZ640" s="72">
        <f t="shared" si="1565"/>
        <v>1.4726094639701537E-2</v>
      </c>
    </row>
    <row r="641" spans="1:78" ht="13.15">
      <c r="A641" s="78" t="s">
        <v>5</v>
      </c>
      <c r="B641" s="74" t="s">
        <v>1328</v>
      </c>
      <c r="C641" s="75" t="s">
        <v>1329</v>
      </c>
      <c r="D641" s="75" t="s">
        <v>1293</v>
      </c>
      <c r="E641" s="76"/>
      <c r="F641" s="59"/>
      <c r="G641" s="60"/>
      <c r="H641" s="77">
        <v>15791</v>
      </c>
      <c r="I641" s="77">
        <v>2687</v>
      </c>
      <c r="J641" s="77">
        <v>8344</v>
      </c>
      <c r="K641" s="77">
        <v>1276</v>
      </c>
      <c r="L641" s="77">
        <v>1231</v>
      </c>
      <c r="M641" s="77"/>
      <c r="N641" s="77">
        <v>4768</v>
      </c>
      <c r="O641" s="77">
        <v>375</v>
      </c>
      <c r="P641" s="77">
        <v>531</v>
      </c>
      <c r="Q641" s="77"/>
      <c r="R641" s="77"/>
      <c r="S641" s="77"/>
      <c r="T641" s="77"/>
      <c r="U641" s="77"/>
      <c r="V641" s="77"/>
      <c r="W641" s="77"/>
      <c r="X641" s="77"/>
      <c r="Y641" s="77">
        <v>212</v>
      </c>
      <c r="Z641" s="77"/>
      <c r="AA641" s="77"/>
      <c r="AB641" s="77"/>
      <c r="AC641" s="77"/>
      <c r="AD641" s="77"/>
      <c r="AE641" s="62"/>
      <c r="AF641" s="63" t="b">
        <v>0</v>
      </c>
      <c r="AG641" s="63" t="b">
        <v>0</v>
      </c>
      <c r="AH641" s="62"/>
      <c r="AI641" s="64">
        <f t="shared" si="1557"/>
        <v>35215</v>
      </c>
      <c r="AJ641" s="65" t="str">
        <f t="shared" si="1884"/>
        <v>LAB</v>
      </c>
      <c r="AK641" s="66" t="str">
        <f t="shared" si="1558"/>
        <v>HOLD</v>
      </c>
      <c r="AL641" s="67" t="e">
        <f t="shared" ca="1" si="1559"/>
        <v>#NAME?</v>
      </c>
      <c r="AM641" s="68">
        <f t="shared" si="1408"/>
        <v>7447</v>
      </c>
      <c r="AN641" s="69">
        <f t="shared" si="1409"/>
        <v>0.21147238392730372</v>
      </c>
      <c r="AO641" s="62"/>
      <c r="AP641" s="70">
        <f t="shared" ref="AP641:AT641" si="1941">H641/$AI641</f>
        <v>0.44841686781201195</v>
      </c>
      <c r="AQ641" s="70">
        <f t="shared" si="1941"/>
        <v>7.6302711912537277E-2</v>
      </c>
      <c r="AR641" s="70">
        <f t="shared" si="1941"/>
        <v>0.23694448388470823</v>
      </c>
      <c r="AS641" s="70">
        <f t="shared" si="1941"/>
        <v>3.6234559136731508E-2</v>
      </c>
      <c r="AT641" s="70">
        <f t="shared" si="1941"/>
        <v>3.495669459037342E-2</v>
      </c>
      <c r="AU641" s="70"/>
      <c r="AV641" s="70">
        <f t="shared" si="1886"/>
        <v>0.13539684793411899</v>
      </c>
      <c r="AW641" s="81">
        <f t="shared" si="1561"/>
        <v>3.1747834729518698E-2</v>
      </c>
      <c r="AX641" s="70">
        <f t="shared" ref="AX641:BG641" si="1942">O641/$AI641</f>
        <v>1.0648871219650717E-2</v>
      </c>
      <c r="AY641" s="70">
        <f t="shared" si="1942"/>
        <v>1.5078801647025415E-2</v>
      </c>
      <c r="AZ641" s="70">
        <f t="shared" si="1942"/>
        <v>0</v>
      </c>
      <c r="BA641" s="70">
        <f t="shared" si="1942"/>
        <v>0</v>
      </c>
      <c r="BB641" s="70">
        <f t="shared" si="1942"/>
        <v>0</v>
      </c>
      <c r="BC641" s="70">
        <f t="shared" si="1942"/>
        <v>0</v>
      </c>
      <c r="BD641" s="70">
        <f t="shared" si="1942"/>
        <v>0</v>
      </c>
      <c r="BE641" s="70">
        <f t="shared" si="1942"/>
        <v>0</v>
      </c>
      <c r="BF641" s="70">
        <f t="shared" si="1942"/>
        <v>0</v>
      </c>
      <c r="BG641" s="70">
        <f t="shared" si="1942"/>
        <v>0</v>
      </c>
      <c r="BH641" s="70">
        <f t="shared" si="1563"/>
        <v>6.0201618628425643E-3</v>
      </c>
      <c r="BI641" s="62"/>
      <c r="BJ641" s="69">
        <v>0.51700000000000002</v>
      </c>
      <c r="BK641" s="69">
        <v>0.20599999999999999</v>
      </c>
      <c r="BL641" s="69">
        <v>0.107</v>
      </c>
      <c r="BM641" s="69">
        <v>3.3000000000000002E-2</v>
      </c>
      <c r="BN641" s="69">
        <v>0</v>
      </c>
      <c r="BO641" s="69">
        <v>0</v>
      </c>
      <c r="BP641" s="69">
        <v>8.2000000000000003E-2</v>
      </c>
      <c r="BQ641" s="69">
        <v>5.5E-2</v>
      </c>
      <c r="BR641" s="62"/>
      <c r="BS641" s="72">
        <f t="shared" ref="BS641:BW641" si="1943">AP641-BJ641</f>
        <v>-6.8583132187988061E-2</v>
      </c>
      <c r="BT641" s="72">
        <f t="shared" si="1943"/>
        <v>-0.12969728808746273</v>
      </c>
      <c r="BU641" s="72">
        <f t="shared" si="1943"/>
        <v>0.12994448388470825</v>
      </c>
      <c r="BV641" s="72">
        <f t="shared" si="1943"/>
        <v>3.234559136731506E-3</v>
      </c>
      <c r="BW641" s="72">
        <f t="shared" si="1943"/>
        <v>3.495669459037342E-2</v>
      </c>
      <c r="BX641" s="72"/>
      <c r="BY641" s="72">
        <f t="shared" si="1889"/>
        <v>5.3396847934118988E-2</v>
      </c>
      <c r="BZ641" s="72">
        <f t="shared" si="1565"/>
        <v>-2.3252165270481302E-2</v>
      </c>
    </row>
    <row r="642" spans="1:78" ht="13.15">
      <c r="A642" s="73" t="s">
        <v>6</v>
      </c>
      <c r="B642" s="74" t="s">
        <v>1330</v>
      </c>
      <c r="C642" s="75" t="s">
        <v>1331</v>
      </c>
      <c r="D642" s="75" t="s">
        <v>1293</v>
      </c>
      <c r="E642" s="76"/>
      <c r="F642" s="59"/>
      <c r="G642" s="60"/>
      <c r="H642" s="77">
        <v>16505</v>
      </c>
      <c r="I642" s="77">
        <v>14627</v>
      </c>
      <c r="J642" s="77">
        <v>7828</v>
      </c>
      <c r="K642" s="77">
        <v>2372</v>
      </c>
      <c r="L642" s="77">
        <v>1654</v>
      </c>
      <c r="M642" s="77"/>
      <c r="N642" s="77">
        <v>2962</v>
      </c>
      <c r="O642" s="77">
        <v>427</v>
      </c>
      <c r="P642" s="77"/>
      <c r="Q642" s="77"/>
      <c r="R642" s="77"/>
      <c r="S642" s="77"/>
      <c r="T642" s="77"/>
      <c r="U642" s="77"/>
      <c r="V642" s="77"/>
      <c r="W642" s="77"/>
      <c r="X642" s="77"/>
      <c r="Y642" s="77">
        <v>254</v>
      </c>
      <c r="Z642" s="77"/>
      <c r="AA642" s="77"/>
      <c r="AB642" s="77"/>
      <c r="AC642" s="77"/>
      <c r="AD642" s="77"/>
      <c r="AE642" s="62"/>
      <c r="AF642" s="63" t="b">
        <v>0</v>
      </c>
      <c r="AG642" s="63" t="b">
        <v>0</v>
      </c>
      <c r="AH642" s="62"/>
      <c r="AI642" s="64">
        <f t="shared" si="1557"/>
        <v>46629</v>
      </c>
      <c r="AJ642" s="65" t="str">
        <f t="shared" si="1884"/>
        <v>LAB</v>
      </c>
      <c r="AK642" s="66" t="str">
        <f t="shared" si="1558"/>
        <v>GAIN</v>
      </c>
      <c r="AL642" s="67" t="e">
        <f t="shared" ca="1" si="1559"/>
        <v>#NAME?</v>
      </c>
      <c r="AM642" s="68">
        <f t="shared" si="1408"/>
        <v>1878</v>
      </c>
      <c r="AN642" s="69">
        <f t="shared" si="1409"/>
        <v>4.0275365116129447E-2</v>
      </c>
      <c r="AO642" s="62"/>
      <c r="AP642" s="70">
        <f t="shared" ref="AP642:AT642" si="1944">H642/$AI642</f>
        <v>0.35396427116172341</v>
      </c>
      <c r="AQ642" s="70">
        <f t="shared" si="1944"/>
        <v>0.31368890604559396</v>
      </c>
      <c r="AR642" s="70">
        <f t="shared" si="1944"/>
        <v>0.16787835896116152</v>
      </c>
      <c r="AS642" s="70">
        <f t="shared" si="1944"/>
        <v>5.086963048746488E-2</v>
      </c>
      <c r="AT642" s="70">
        <f t="shared" si="1944"/>
        <v>3.5471487700787063E-2</v>
      </c>
      <c r="AU642" s="70"/>
      <c r="AV642" s="70">
        <f t="shared" si="1886"/>
        <v>6.3522700465375628E-2</v>
      </c>
      <c r="AW642" s="81">
        <f t="shared" si="1561"/>
        <v>1.4604645177893505E-2</v>
      </c>
      <c r="AX642" s="70">
        <f t="shared" ref="AX642:BG642" si="1945">O642/$AI642</f>
        <v>9.1573913229964186E-3</v>
      </c>
      <c r="AY642" s="70">
        <f t="shared" si="1945"/>
        <v>0</v>
      </c>
      <c r="AZ642" s="70">
        <f t="shared" si="1945"/>
        <v>0</v>
      </c>
      <c r="BA642" s="70">
        <f t="shared" si="1945"/>
        <v>0</v>
      </c>
      <c r="BB642" s="70">
        <f t="shared" si="1945"/>
        <v>0</v>
      </c>
      <c r="BC642" s="70">
        <f t="shared" si="1945"/>
        <v>0</v>
      </c>
      <c r="BD642" s="70">
        <f t="shared" si="1945"/>
        <v>0</v>
      </c>
      <c r="BE642" s="70">
        <f t="shared" si="1945"/>
        <v>0</v>
      </c>
      <c r="BF642" s="70">
        <f t="shared" si="1945"/>
        <v>0</v>
      </c>
      <c r="BG642" s="70">
        <f t="shared" si="1945"/>
        <v>0</v>
      </c>
      <c r="BH642" s="70">
        <f t="shared" si="1563"/>
        <v>5.4472538548970863E-3</v>
      </c>
      <c r="BI642" s="62"/>
      <c r="BJ642" s="69">
        <v>0.372</v>
      </c>
      <c r="BK642" s="69">
        <v>0.52900000000000003</v>
      </c>
      <c r="BL642" s="69">
        <v>0</v>
      </c>
      <c r="BM642" s="69">
        <v>4.5999999999999999E-2</v>
      </c>
      <c r="BN642" s="69">
        <v>0</v>
      </c>
      <c r="BO642" s="69">
        <v>0</v>
      </c>
      <c r="BP642" s="69">
        <v>5.2999999999999999E-2</v>
      </c>
      <c r="BQ642" s="69">
        <v>0</v>
      </c>
      <c r="BR642" s="62"/>
      <c r="BS642" s="72">
        <f t="shared" ref="BS642:BW642" si="1946">AP642-BJ642</f>
        <v>-1.8035728838276588E-2</v>
      </c>
      <c r="BT642" s="72">
        <f t="shared" si="1946"/>
        <v>-0.21531109395440606</v>
      </c>
      <c r="BU642" s="72">
        <f t="shared" si="1946"/>
        <v>0.16787835896116152</v>
      </c>
      <c r="BV642" s="72">
        <f t="shared" si="1946"/>
        <v>4.8696304874648808E-3</v>
      </c>
      <c r="BW642" s="72">
        <f t="shared" si="1946"/>
        <v>3.5471487700787063E-2</v>
      </c>
      <c r="BX642" s="72"/>
      <c r="BY642" s="72">
        <f t="shared" si="1889"/>
        <v>1.052270046537563E-2</v>
      </c>
      <c r="BZ642" s="72">
        <f t="shared" si="1565"/>
        <v>1.4604645177893505E-2</v>
      </c>
    </row>
    <row r="643" spans="1:78" ht="13.15">
      <c r="A643" s="73" t="s">
        <v>6</v>
      </c>
      <c r="B643" s="74" t="s">
        <v>1332</v>
      </c>
      <c r="C643" s="75" t="s">
        <v>1333</v>
      </c>
      <c r="D643" s="75" t="s">
        <v>1293</v>
      </c>
      <c r="E643" s="76"/>
      <c r="F643" s="59"/>
      <c r="G643" s="60"/>
      <c r="H643" s="77">
        <v>21010</v>
      </c>
      <c r="I643" s="77">
        <v>17672</v>
      </c>
      <c r="J643" s="77">
        <v>5438</v>
      </c>
      <c r="K643" s="77">
        <v>2279</v>
      </c>
      <c r="L643" s="77">
        <v>2357</v>
      </c>
      <c r="M643" s="77"/>
      <c r="N643" s="77">
        <v>1273</v>
      </c>
      <c r="O643" s="77">
        <v>457</v>
      </c>
      <c r="P643" s="77"/>
      <c r="Q643" s="77"/>
      <c r="R643" s="77"/>
      <c r="S643" s="77"/>
      <c r="T643" s="77"/>
      <c r="U643" s="77"/>
      <c r="V643" s="77"/>
      <c r="W643" s="77"/>
      <c r="X643" s="77"/>
      <c r="Y643" s="77">
        <v>255</v>
      </c>
      <c r="Z643" s="77">
        <v>103</v>
      </c>
      <c r="AA643" s="77"/>
      <c r="AB643" s="77"/>
      <c r="AC643" s="77"/>
      <c r="AD643" s="77"/>
      <c r="AE643" s="62"/>
      <c r="AF643" s="63" t="b">
        <v>0</v>
      </c>
      <c r="AG643" s="63" t="b">
        <v>0</v>
      </c>
      <c r="AH643" s="62"/>
      <c r="AI643" s="64">
        <f t="shared" si="1557"/>
        <v>50844</v>
      </c>
      <c r="AJ643" s="65" t="str">
        <f t="shared" si="1884"/>
        <v>LAB</v>
      </c>
      <c r="AK643" s="66" t="str">
        <f t="shared" si="1558"/>
        <v>GAIN</v>
      </c>
      <c r="AL643" s="67" t="e">
        <f t="shared" ca="1" si="1559"/>
        <v>#NAME?</v>
      </c>
      <c r="AM643" s="68">
        <f t="shared" si="1408"/>
        <v>3338</v>
      </c>
      <c r="AN643" s="69">
        <f t="shared" si="1409"/>
        <v>6.5651797655573885E-2</v>
      </c>
      <c r="AO643" s="62"/>
      <c r="AP643" s="70">
        <f t="shared" ref="AP643:AT643" si="1947">H643/$AI643</f>
        <v>0.4132247659507513</v>
      </c>
      <c r="AQ643" s="70">
        <f t="shared" si="1947"/>
        <v>0.34757296829517742</v>
      </c>
      <c r="AR643" s="70">
        <f t="shared" si="1947"/>
        <v>0.1069546062465581</v>
      </c>
      <c r="AS643" s="70">
        <f t="shared" si="1947"/>
        <v>4.4823381323263314E-2</v>
      </c>
      <c r="AT643" s="70">
        <f t="shared" si="1947"/>
        <v>4.6357485642357012E-2</v>
      </c>
      <c r="AU643" s="70"/>
      <c r="AV643" s="70">
        <f t="shared" si="1886"/>
        <v>2.5037369207772796E-2</v>
      </c>
      <c r="AW643" s="81">
        <f t="shared" si="1561"/>
        <v>1.6029423334120163E-2</v>
      </c>
      <c r="AX643" s="70">
        <f t="shared" ref="AX643:BG643" si="1948">O643/$AI643</f>
        <v>8.9882778695617969E-3</v>
      </c>
      <c r="AY643" s="70">
        <f t="shared" si="1948"/>
        <v>0</v>
      </c>
      <c r="AZ643" s="70">
        <f t="shared" si="1948"/>
        <v>0</v>
      </c>
      <c r="BA643" s="70">
        <f t="shared" si="1948"/>
        <v>0</v>
      </c>
      <c r="BB643" s="70">
        <f t="shared" si="1948"/>
        <v>0</v>
      </c>
      <c r="BC643" s="70">
        <f t="shared" si="1948"/>
        <v>0</v>
      </c>
      <c r="BD643" s="70">
        <f t="shared" si="1948"/>
        <v>0</v>
      </c>
      <c r="BE643" s="70">
        <f t="shared" si="1948"/>
        <v>0</v>
      </c>
      <c r="BF643" s="70">
        <f t="shared" si="1948"/>
        <v>0</v>
      </c>
      <c r="BG643" s="70">
        <f t="shared" si="1948"/>
        <v>0</v>
      </c>
      <c r="BH643" s="70">
        <f t="shared" si="1563"/>
        <v>7.0411454645583661E-3</v>
      </c>
      <c r="BI643" s="62"/>
      <c r="BJ643" s="69">
        <v>0.316</v>
      </c>
      <c r="BK643" s="69">
        <v>0.52100000000000002</v>
      </c>
      <c r="BL643" s="69">
        <v>8.9999999999999993E-3</v>
      </c>
      <c r="BM643" s="69">
        <v>9.6000000000000002E-2</v>
      </c>
      <c r="BN643" s="69">
        <v>2.5000000000000001E-2</v>
      </c>
      <c r="BO643" s="69">
        <v>0</v>
      </c>
      <c r="BP643" s="69">
        <v>2.4E-2</v>
      </c>
      <c r="BQ643" s="69">
        <v>8.0000000000000002E-3</v>
      </c>
      <c r="BR643" s="62"/>
      <c r="BS643" s="72">
        <f t="shared" ref="BS643:BW643" si="1949">AP643-BJ643</f>
        <v>9.7224765950751302E-2</v>
      </c>
      <c r="BT643" s="72">
        <f t="shared" si="1949"/>
        <v>-0.1734270317048226</v>
      </c>
      <c r="BU643" s="72">
        <f t="shared" si="1949"/>
        <v>9.7954606246558107E-2</v>
      </c>
      <c r="BV643" s="72">
        <f t="shared" si="1949"/>
        <v>-5.1176618676736688E-2</v>
      </c>
      <c r="BW643" s="72">
        <f t="shared" si="1949"/>
        <v>2.135748564235701E-2</v>
      </c>
      <c r="BX643" s="72"/>
      <c r="BY643" s="72">
        <f t="shared" si="1889"/>
        <v>1.0373692077727953E-3</v>
      </c>
      <c r="BZ643" s="72">
        <f t="shared" si="1565"/>
        <v>8.0294233341201629E-3</v>
      </c>
    </row>
    <row r="644" spans="1:78" ht="13.15">
      <c r="A644" s="73" t="s">
        <v>6</v>
      </c>
      <c r="B644" s="74" t="s">
        <v>1334</v>
      </c>
      <c r="C644" s="75" t="s">
        <v>1335</v>
      </c>
      <c r="D644" s="75" t="s">
        <v>1293</v>
      </c>
      <c r="E644" s="76"/>
      <c r="F644" s="59"/>
      <c r="G644" s="60"/>
      <c r="H644" s="77">
        <v>12709</v>
      </c>
      <c r="I644" s="77">
        <v>7775</v>
      </c>
      <c r="J644" s="77">
        <v>8894</v>
      </c>
      <c r="K644" s="77">
        <v>6470</v>
      </c>
      <c r="L644" s="77">
        <v>1744</v>
      </c>
      <c r="M644" s="77"/>
      <c r="N644" s="77">
        <v>5667</v>
      </c>
      <c r="O644" s="77"/>
      <c r="P644" s="77"/>
      <c r="Q644" s="77"/>
      <c r="R644" s="77"/>
      <c r="S644" s="77"/>
      <c r="T644" s="77"/>
      <c r="U644" s="77"/>
      <c r="V644" s="77"/>
      <c r="W644" s="77"/>
      <c r="X644" s="77"/>
      <c r="Y644" s="77"/>
      <c r="Z644" s="77"/>
      <c r="AA644" s="77"/>
      <c r="AB644" s="77"/>
      <c r="AC644" s="77"/>
      <c r="AD644" s="77"/>
      <c r="AE644" s="62"/>
      <c r="AF644" s="63" t="b">
        <v>0</v>
      </c>
      <c r="AG644" s="63" t="b">
        <v>0</v>
      </c>
      <c r="AH644" s="62"/>
      <c r="AI644" s="64">
        <f t="shared" si="1557"/>
        <v>43259</v>
      </c>
      <c r="AJ644" s="65" t="str">
        <f t="shared" si="1884"/>
        <v>LAB</v>
      </c>
      <c r="AK644" s="66" t="str">
        <f t="shared" si="1558"/>
        <v>GAIN</v>
      </c>
      <c r="AL644" s="67" t="e">
        <f t="shared" ca="1" si="1559"/>
        <v>#NAME?</v>
      </c>
      <c r="AM644" s="68">
        <f t="shared" si="1408"/>
        <v>3815</v>
      </c>
      <c r="AN644" s="69">
        <f t="shared" si="1409"/>
        <v>8.8189740863172966E-2</v>
      </c>
      <c r="AO644" s="62"/>
      <c r="AP644" s="70">
        <f t="shared" ref="AP644:AT644" si="1950">H644/$AI644</f>
        <v>0.29378857578769735</v>
      </c>
      <c r="AQ644" s="70">
        <f t="shared" si="1950"/>
        <v>0.17973138537645345</v>
      </c>
      <c r="AR644" s="70">
        <f t="shared" si="1950"/>
        <v>0.20559883492452438</v>
      </c>
      <c r="AS644" s="70">
        <f t="shared" si="1950"/>
        <v>0.14956425252548602</v>
      </c>
      <c r="AT644" s="70">
        <f t="shared" si="1950"/>
        <v>4.0315310108879079E-2</v>
      </c>
      <c r="AU644" s="70"/>
      <c r="AV644" s="70">
        <f t="shared" si="1886"/>
        <v>0.13100164127695971</v>
      </c>
      <c r="AW644" s="81">
        <f t="shared" si="1561"/>
        <v>0</v>
      </c>
      <c r="AX644" s="70">
        <f t="shared" ref="AX644:BG644" si="1951">O644/$AI644</f>
        <v>0</v>
      </c>
      <c r="AY644" s="70">
        <f t="shared" si="1951"/>
        <v>0</v>
      </c>
      <c r="AZ644" s="70">
        <f t="shared" si="1951"/>
        <v>0</v>
      </c>
      <c r="BA644" s="70">
        <f t="shared" si="1951"/>
        <v>0</v>
      </c>
      <c r="BB644" s="70">
        <f t="shared" si="1951"/>
        <v>0</v>
      </c>
      <c r="BC644" s="70">
        <f t="shared" si="1951"/>
        <v>0</v>
      </c>
      <c r="BD644" s="70">
        <f t="shared" si="1951"/>
        <v>0</v>
      </c>
      <c r="BE644" s="70">
        <f t="shared" si="1951"/>
        <v>0</v>
      </c>
      <c r="BF644" s="70">
        <f t="shared" si="1951"/>
        <v>0</v>
      </c>
      <c r="BG644" s="70">
        <f t="shared" si="1951"/>
        <v>0</v>
      </c>
      <c r="BH644" s="70">
        <f t="shared" si="1563"/>
        <v>0</v>
      </c>
      <c r="BI644" s="62"/>
      <c r="BJ644" s="69">
        <v>0.248</v>
      </c>
      <c r="BK644" s="69">
        <v>0.53600000000000003</v>
      </c>
      <c r="BL644" s="69">
        <v>1.4E-2</v>
      </c>
      <c r="BM644" s="69">
        <v>0.16800000000000001</v>
      </c>
      <c r="BN644" s="69">
        <v>0</v>
      </c>
      <c r="BO644" s="69">
        <v>0</v>
      </c>
      <c r="BP644" s="69">
        <v>0.02</v>
      </c>
      <c r="BQ644" s="69">
        <v>1.4E-2</v>
      </c>
      <c r="BR644" s="62"/>
      <c r="BS644" s="72">
        <f t="shared" ref="BS644:BW644" si="1952">AP644-BJ644</f>
        <v>4.578857578769735E-2</v>
      </c>
      <c r="BT644" s="72">
        <f t="shared" si="1952"/>
        <v>-0.35626861462354659</v>
      </c>
      <c r="BU644" s="72">
        <f t="shared" si="1952"/>
        <v>0.19159883492452437</v>
      </c>
      <c r="BV644" s="72">
        <f t="shared" si="1952"/>
        <v>-1.8435747474513986E-2</v>
      </c>
      <c r="BW644" s="72">
        <f t="shared" si="1952"/>
        <v>4.0315310108879079E-2</v>
      </c>
      <c r="BX644" s="72"/>
      <c r="BY644" s="72">
        <f t="shared" si="1889"/>
        <v>0.1110016412769597</v>
      </c>
      <c r="BZ644" s="72">
        <f t="shared" si="1565"/>
        <v>-1.4E-2</v>
      </c>
    </row>
    <row r="645" spans="1:78" ht="13.15">
      <c r="A645" s="78" t="s">
        <v>5</v>
      </c>
      <c r="B645" s="74" t="s">
        <v>1336</v>
      </c>
      <c r="C645" s="75" t="s">
        <v>1337</v>
      </c>
      <c r="D645" s="75" t="s">
        <v>1293</v>
      </c>
      <c r="E645" s="76"/>
      <c r="F645" s="59"/>
      <c r="G645" s="60"/>
      <c r="H645" s="77">
        <v>16797</v>
      </c>
      <c r="I645" s="77">
        <v>3765</v>
      </c>
      <c r="J645" s="77">
        <v>10170</v>
      </c>
      <c r="K645" s="77">
        <v>2344</v>
      </c>
      <c r="L645" s="77">
        <v>1711</v>
      </c>
      <c r="M645" s="77"/>
      <c r="N645" s="77">
        <v>5350</v>
      </c>
      <c r="O645" s="77"/>
      <c r="P645" s="77"/>
      <c r="Q645" s="77"/>
      <c r="R645" s="77"/>
      <c r="S645" s="77"/>
      <c r="T645" s="77"/>
      <c r="U645" s="77"/>
      <c r="V645" s="77"/>
      <c r="W645" s="77"/>
      <c r="X645" s="77"/>
      <c r="Y645" s="77"/>
      <c r="Z645" s="77"/>
      <c r="AA645" s="77"/>
      <c r="AB645" s="77"/>
      <c r="AC645" s="77"/>
      <c r="AD645" s="77"/>
      <c r="AE645" s="62"/>
      <c r="AF645" s="63" t="b">
        <v>0</v>
      </c>
      <c r="AG645" s="63" t="b">
        <v>0</v>
      </c>
      <c r="AH645" s="62"/>
      <c r="AI645" s="64">
        <f t="shared" si="1557"/>
        <v>40137</v>
      </c>
      <c r="AJ645" s="65" t="str">
        <f t="shared" si="1884"/>
        <v>LAB</v>
      </c>
      <c r="AK645" s="66" t="str">
        <f t="shared" si="1558"/>
        <v>HOLD</v>
      </c>
      <c r="AL645" s="67" t="e">
        <f t="shared" ca="1" si="1559"/>
        <v>#NAME?</v>
      </c>
      <c r="AM645" s="68">
        <f t="shared" si="1408"/>
        <v>6627</v>
      </c>
      <c r="AN645" s="69">
        <f t="shared" si="1409"/>
        <v>0.16510949996262803</v>
      </c>
      <c r="AO645" s="62"/>
      <c r="AP645" s="70">
        <f t="shared" ref="AP645:AT645" si="1953">H645/$AI645</f>
        <v>0.4184916660438</v>
      </c>
      <c r="AQ645" s="70">
        <f t="shared" si="1953"/>
        <v>9.3803722251289329E-2</v>
      </c>
      <c r="AR645" s="70">
        <f t="shared" si="1953"/>
        <v>0.25338216608117198</v>
      </c>
      <c r="AS645" s="70">
        <f t="shared" si="1953"/>
        <v>5.8399980068266188E-2</v>
      </c>
      <c r="AT645" s="70">
        <f t="shared" si="1953"/>
        <v>4.2628995689762562E-2</v>
      </c>
      <c r="AU645" s="70"/>
      <c r="AV645" s="70">
        <f t="shared" si="1886"/>
        <v>0.13329346986570995</v>
      </c>
      <c r="AW645" s="81">
        <f t="shared" si="1561"/>
        <v>0</v>
      </c>
      <c r="AX645" s="70">
        <f t="shared" ref="AX645:BG645" si="1954">O645/$AI645</f>
        <v>0</v>
      </c>
      <c r="AY645" s="70">
        <f t="shared" si="1954"/>
        <v>0</v>
      </c>
      <c r="AZ645" s="70">
        <f t="shared" si="1954"/>
        <v>0</v>
      </c>
      <c r="BA645" s="70">
        <f t="shared" si="1954"/>
        <v>0</v>
      </c>
      <c r="BB645" s="70">
        <f t="shared" si="1954"/>
        <v>0</v>
      </c>
      <c r="BC645" s="70">
        <f t="shared" si="1954"/>
        <v>0</v>
      </c>
      <c r="BD645" s="70">
        <f t="shared" si="1954"/>
        <v>0</v>
      </c>
      <c r="BE645" s="70">
        <f t="shared" si="1954"/>
        <v>0</v>
      </c>
      <c r="BF645" s="70">
        <f t="shared" si="1954"/>
        <v>0</v>
      </c>
      <c r="BG645" s="70">
        <f t="shared" si="1954"/>
        <v>0</v>
      </c>
      <c r="BH645" s="70">
        <f t="shared" si="1563"/>
        <v>0</v>
      </c>
      <c r="BI645" s="62"/>
      <c r="BJ645" s="69">
        <v>0.47099999999999997</v>
      </c>
      <c r="BK645" s="69">
        <v>0.28199999999999997</v>
      </c>
      <c r="BL645" s="69">
        <v>8.8999999999999996E-2</v>
      </c>
      <c r="BM645" s="69">
        <v>4.1000000000000002E-2</v>
      </c>
      <c r="BN645" s="69">
        <v>1.7000000000000001E-2</v>
      </c>
      <c r="BO645" s="69">
        <v>0</v>
      </c>
      <c r="BP645" s="69">
        <v>8.5000000000000006E-2</v>
      </c>
      <c r="BQ645" s="69">
        <v>1.4999999999999999E-2</v>
      </c>
      <c r="BR645" s="62"/>
      <c r="BS645" s="72">
        <f t="shared" ref="BS645:BW645" si="1955">AP645-BJ645</f>
        <v>-5.2508333956199971E-2</v>
      </c>
      <c r="BT645" s="72">
        <f t="shared" si="1955"/>
        <v>-0.18819627774871064</v>
      </c>
      <c r="BU645" s="72">
        <f t="shared" si="1955"/>
        <v>0.16438216608117198</v>
      </c>
      <c r="BV645" s="72">
        <f t="shared" si="1955"/>
        <v>1.7399980068266187E-2</v>
      </c>
      <c r="BW645" s="72">
        <f t="shared" si="1955"/>
        <v>2.5628995689762561E-2</v>
      </c>
      <c r="BX645" s="72"/>
      <c r="BY645" s="72">
        <f t="shared" si="1889"/>
        <v>4.829346986570994E-2</v>
      </c>
      <c r="BZ645" s="72">
        <f t="shared" si="1565"/>
        <v>-1.4999999999999999E-2</v>
      </c>
    </row>
    <row r="646" spans="1:78" ht="13.15">
      <c r="A646" s="78" t="s">
        <v>5</v>
      </c>
      <c r="B646" s="74" t="s">
        <v>1338</v>
      </c>
      <c r="C646" s="75" t="s">
        <v>1339</v>
      </c>
      <c r="D646" s="75" t="s">
        <v>1293</v>
      </c>
      <c r="E646" s="76"/>
      <c r="F646" s="59"/>
      <c r="G646" s="60"/>
      <c r="H646" s="77">
        <v>16370</v>
      </c>
      <c r="I646" s="77">
        <v>6487</v>
      </c>
      <c r="J646" s="77">
        <v>7361</v>
      </c>
      <c r="K646" s="77">
        <v>2045</v>
      </c>
      <c r="L646" s="77">
        <v>2092</v>
      </c>
      <c r="M646" s="77"/>
      <c r="N646" s="77">
        <v>2239</v>
      </c>
      <c r="O646" s="77">
        <v>1802</v>
      </c>
      <c r="P646" s="77"/>
      <c r="Q646" s="77"/>
      <c r="R646" s="77"/>
      <c r="S646" s="77"/>
      <c r="T646" s="77"/>
      <c r="U646" s="77"/>
      <c r="V646" s="77"/>
      <c r="W646" s="77"/>
      <c r="X646" s="77"/>
      <c r="Y646" s="77">
        <v>135</v>
      </c>
      <c r="Z646" s="77"/>
      <c r="AA646" s="77"/>
      <c r="AB646" s="77"/>
      <c r="AC646" s="77"/>
      <c r="AD646" s="77"/>
      <c r="AE646" s="62"/>
      <c r="AF646" s="63" t="b">
        <v>0</v>
      </c>
      <c r="AG646" s="63" t="b">
        <v>0</v>
      </c>
      <c r="AH646" s="62"/>
      <c r="AI646" s="64">
        <f t="shared" si="1557"/>
        <v>38531</v>
      </c>
      <c r="AJ646" s="65" t="str">
        <f t="shared" si="1884"/>
        <v>LAB</v>
      </c>
      <c r="AK646" s="66" t="str">
        <f t="shared" si="1558"/>
        <v>HOLD</v>
      </c>
      <c r="AL646" s="67" t="e">
        <f t="shared" ca="1" si="1559"/>
        <v>#NAME?</v>
      </c>
      <c r="AM646" s="68">
        <f t="shared" si="1408"/>
        <v>9009</v>
      </c>
      <c r="AN646" s="69">
        <f t="shared" si="1409"/>
        <v>0.23381173600477539</v>
      </c>
      <c r="AO646" s="62"/>
      <c r="AP646" s="70">
        <f t="shared" ref="AP646:AT646" si="1956">H646/$AI646</f>
        <v>0.4248527159949132</v>
      </c>
      <c r="AQ646" s="70">
        <f t="shared" si="1956"/>
        <v>0.16835794555033609</v>
      </c>
      <c r="AR646" s="70">
        <f t="shared" si="1956"/>
        <v>0.1910409799901378</v>
      </c>
      <c r="AS646" s="70">
        <f t="shared" si="1956"/>
        <v>5.3074148088552077E-2</v>
      </c>
      <c r="AT646" s="70">
        <f t="shared" si="1956"/>
        <v>5.4293945135086036E-2</v>
      </c>
      <c r="AU646" s="70"/>
      <c r="AV646" s="70">
        <f t="shared" si="1886"/>
        <v>5.8109055046585867E-2</v>
      </c>
      <c r="AW646" s="81">
        <f t="shared" si="1561"/>
        <v>5.027121019438896E-2</v>
      </c>
      <c r="AX646" s="70">
        <f t="shared" ref="AX646:BG646" si="1957">O646/$AI646</f>
        <v>4.676753782668501E-2</v>
      </c>
      <c r="AY646" s="70">
        <f t="shared" si="1957"/>
        <v>0</v>
      </c>
      <c r="AZ646" s="70">
        <f t="shared" si="1957"/>
        <v>0</v>
      </c>
      <c r="BA646" s="70">
        <f t="shared" si="1957"/>
        <v>0</v>
      </c>
      <c r="BB646" s="70">
        <f t="shared" si="1957"/>
        <v>0</v>
      </c>
      <c r="BC646" s="70">
        <f t="shared" si="1957"/>
        <v>0</v>
      </c>
      <c r="BD646" s="70">
        <f t="shared" si="1957"/>
        <v>0</v>
      </c>
      <c r="BE646" s="70">
        <f t="shared" si="1957"/>
        <v>0</v>
      </c>
      <c r="BF646" s="70">
        <f t="shared" si="1957"/>
        <v>0</v>
      </c>
      <c r="BG646" s="70">
        <f t="shared" si="1957"/>
        <v>0</v>
      </c>
      <c r="BH646" s="70">
        <f t="shared" si="1563"/>
        <v>3.50367236770395E-3</v>
      </c>
      <c r="BI646" s="62"/>
      <c r="BJ646" s="69">
        <v>0.47499999999999998</v>
      </c>
      <c r="BK646" s="69">
        <v>0.36199999999999999</v>
      </c>
      <c r="BL646" s="69">
        <v>6.0999999999999999E-2</v>
      </c>
      <c r="BM646" s="69">
        <v>5.7000000000000002E-2</v>
      </c>
      <c r="BN646" s="69">
        <v>1.9E-2</v>
      </c>
      <c r="BO646" s="69">
        <v>0</v>
      </c>
      <c r="BP646" s="69">
        <v>2.5999999999999999E-2</v>
      </c>
      <c r="BQ646" s="69">
        <v>0</v>
      </c>
      <c r="BR646" s="62"/>
      <c r="BS646" s="72">
        <f t="shared" ref="BS646:BW646" si="1958">AP646-BJ646</f>
        <v>-5.0147284005086779E-2</v>
      </c>
      <c r="BT646" s="72">
        <f t="shared" si="1958"/>
        <v>-0.1936420544496639</v>
      </c>
      <c r="BU646" s="72">
        <f t="shared" si="1958"/>
        <v>0.13004097999013781</v>
      </c>
      <c r="BV646" s="72">
        <f t="shared" si="1958"/>
        <v>-3.9258519114479251E-3</v>
      </c>
      <c r="BW646" s="72">
        <f t="shared" si="1958"/>
        <v>3.5293945135086033E-2</v>
      </c>
      <c r="BX646" s="72"/>
      <c r="BY646" s="72">
        <f t="shared" si="1889"/>
        <v>3.2109055046585872E-2</v>
      </c>
      <c r="BZ646" s="72">
        <f t="shared" si="1565"/>
        <v>5.027121019438896E-2</v>
      </c>
    </row>
    <row r="647" spans="1:78" ht="13.15">
      <c r="A647" s="78" t="s">
        <v>5</v>
      </c>
      <c r="B647" s="74" t="s">
        <v>1340</v>
      </c>
      <c r="C647" s="75" t="s">
        <v>1341</v>
      </c>
      <c r="D647" s="75" t="s">
        <v>1293</v>
      </c>
      <c r="E647" s="76"/>
      <c r="F647" s="59"/>
      <c r="G647" s="60"/>
      <c r="H647" s="77">
        <v>17409</v>
      </c>
      <c r="I647" s="77">
        <v>6710</v>
      </c>
      <c r="J647" s="77">
        <v>8541</v>
      </c>
      <c r="K647" s="77">
        <v>2087</v>
      </c>
      <c r="L647" s="77">
        <v>278</v>
      </c>
      <c r="M647" s="77"/>
      <c r="N647" s="77">
        <v>3529</v>
      </c>
      <c r="O647" s="77">
        <v>1597</v>
      </c>
      <c r="P647" s="77"/>
      <c r="Q647" s="77"/>
      <c r="R647" s="77"/>
      <c r="S647" s="77"/>
      <c r="T647" s="77"/>
      <c r="U647" s="77"/>
      <c r="V647" s="77"/>
      <c r="W647" s="77"/>
      <c r="X647" s="77"/>
      <c r="Y647" s="77"/>
      <c r="Z647" s="77"/>
      <c r="AA647" s="77"/>
      <c r="AB647" s="77"/>
      <c r="AC647" s="77"/>
      <c r="AD647" s="77"/>
      <c r="AE647" s="62"/>
      <c r="AF647" s="63" t="b">
        <v>0</v>
      </c>
      <c r="AG647" s="63" t="b">
        <v>0</v>
      </c>
      <c r="AH647" s="62"/>
      <c r="AI647" s="64">
        <f t="shared" si="1557"/>
        <v>40151</v>
      </c>
      <c r="AJ647" s="65" t="str">
        <f t="shared" si="1884"/>
        <v>LAB</v>
      </c>
      <c r="AK647" s="66" t="str">
        <f t="shared" si="1558"/>
        <v>HOLD</v>
      </c>
      <c r="AL647" s="67" t="e">
        <f t="shared" ca="1" si="1559"/>
        <v>#NAME?</v>
      </c>
      <c r="AM647" s="68">
        <f t="shared" si="1408"/>
        <v>8868</v>
      </c>
      <c r="AN647" s="69">
        <f t="shared" si="1409"/>
        <v>0.22086622998181862</v>
      </c>
      <c r="AO647" s="62"/>
      <c r="AP647" s="70">
        <f t="shared" ref="AP647:AT647" si="1959">H647/$AI647</f>
        <v>0.43358820452790714</v>
      </c>
      <c r="AQ647" s="70">
        <f t="shared" si="1959"/>
        <v>0.167119125301985</v>
      </c>
      <c r="AR647" s="70">
        <f t="shared" si="1959"/>
        <v>0.21272197454608852</v>
      </c>
      <c r="AS647" s="70">
        <f t="shared" si="1959"/>
        <v>5.1978780105103234E-2</v>
      </c>
      <c r="AT647" s="70">
        <f t="shared" si="1959"/>
        <v>6.9238624193668904E-3</v>
      </c>
      <c r="AU647" s="70"/>
      <c r="AV647" s="70">
        <f t="shared" si="1886"/>
        <v>8.7893203158078248E-2</v>
      </c>
      <c r="AW647" s="81">
        <f t="shared" si="1561"/>
        <v>3.9774849941470847E-2</v>
      </c>
      <c r="AX647" s="70">
        <f t="shared" ref="AX647:BG647" si="1960">O647/$AI647</f>
        <v>3.9774849941470944E-2</v>
      </c>
      <c r="AY647" s="70">
        <f t="shared" si="1960"/>
        <v>0</v>
      </c>
      <c r="AZ647" s="70">
        <f t="shared" si="1960"/>
        <v>0</v>
      </c>
      <c r="BA647" s="70">
        <f t="shared" si="1960"/>
        <v>0</v>
      </c>
      <c r="BB647" s="70">
        <f t="shared" si="1960"/>
        <v>0</v>
      </c>
      <c r="BC647" s="70">
        <f t="shared" si="1960"/>
        <v>0</v>
      </c>
      <c r="BD647" s="70">
        <f t="shared" si="1960"/>
        <v>0</v>
      </c>
      <c r="BE647" s="70">
        <f t="shared" si="1960"/>
        <v>0</v>
      </c>
      <c r="BF647" s="70">
        <f t="shared" si="1960"/>
        <v>0</v>
      </c>
      <c r="BG647" s="70">
        <f t="shared" si="1960"/>
        <v>0</v>
      </c>
      <c r="BH647" s="70">
        <f t="shared" si="1563"/>
        <v>-9.7144514654701197E-17</v>
      </c>
      <c r="BI647" s="62"/>
      <c r="BJ647" s="69">
        <v>0.41799999999999998</v>
      </c>
      <c r="BK647" s="69">
        <v>0.377</v>
      </c>
      <c r="BL647" s="69">
        <v>8.8999999999999996E-2</v>
      </c>
      <c r="BM647" s="69">
        <v>5.0999999999999997E-2</v>
      </c>
      <c r="BN647" s="69">
        <v>0.02</v>
      </c>
      <c r="BO647" s="69">
        <v>0</v>
      </c>
      <c r="BP647" s="69">
        <v>4.5999999999999999E-2</v>
      </c>
      <c r="BQ647" s="69">
        <v>0</v>
      </c>
      <c r="BR647" s="62"/>
      <c r="BS647" s="72">
        <f t="shared" ref="BS647:BW647" si="1961">AP647-BJ647</f>
        <v>1.5588204527907157E-2</v>
      </c>
      <c r="BT647" s="72">
        <f t="shared" si="1961"/>
        <v>-0.209880874698015</v>
      </c>
      <c r="BU647" s="72">
        <f t="shared" si="1961"/>
        <v>0.12372197454608852</v>
      </c>
      <c r="BV647" s="72">
        <f t="shared" si="1961"/>
        <v>9.7878010510323715E-4</v>
      </c>
      <c r="BW647" s="72">
        <f t="shared" si="1961"/>
        <v>-1.3076137580633109E-2</v>
      </c>
      <c r="BX647" s="72"/>
      <c r="BY647" s="72">
        <f t="shared" si="1889"/>
        <v>4.1893203158078249E-2</v>
      </c>
      <c r="BZ647" s="72">
        <f t="shared" si="1565"/>
        <v>3.9774849941470847E-2</v>
      </c>
    </row>
    <row r="648" spans="1:78" ht="13.15">
      <c r="A648" s="78" t="s">
        <v>5</v>
      </c>
      <c r="B648" s="74" t="s">
        <v>1342</v>
      </c>
      <c r="C648" s="75" t="s">
        <v>1343</v>
      </c>
      <c r="D648" s="75" t="s">
        <v>1293</v>
      </c>
      <c r="E648" s="76">
        <v>75030</v>
      </c>
      <c r="F648" s="59">
        <v>0.52500000000000002</v>
      </c>
      <c r="G648" s="60"/>
      <c r="H648" s="77">
        <v>16225</v>
      </c>
      <c r="I648" s="77">
        <v>3775</v>
      </c>
      <c r="J648" s="77">
        <v>7823</v>
      </c>
      <c r="K648" s="77">
        <v>1606</v>
      </c>
      <c r="L648" s="77">
        <v>1865</v>
      </c>
      <c r="M648" s="77"/>
      <c r="N648" s="77">
        <v>5275</v>
      </c>
      <c r="O648" s="77">
        <v>2567</v>
      </c>
      <c r="P648" s="77"/>
      <c r="Q648" s="77"/>
      <c r="R648" s="77"/>
      <c r="S648" s="77"/>
      <c r="T648" s="77"/>
      <c r="U648" s="77"/>
      <c r="V648" s="77"/>
      <c r="W648" s="77"/>
      <c r="X648" s="77"/>
      <c r="Y648" s="77">
        <v>198</v>
      </c>
      <c r="Z648" s="77">
        <v>44</v>
      </c>
      <c r="AA648" s="77"/>
      <c r="AB648" s="77"/>
      <c r="AC648" s="77"/>
      <c r="AD648" s="77"/>
      <c r="AE648" s="62"/>
      <c r="AF648" s="63" t="b">
        <v>0</v>
      </c>
      <c r="AG648" s="63" t="b">
        <v>0</v>
      </c>
      <c r="AH648" s="62"/>
      <c r="AI648" s="64">
        <f t="shared" si="1557"/>
        <v>39378</v>
      </c>
      <c r="AJ648" s="65" t="str">
        <f t="shared" si="1884"/>
        <v>LAB</v>
      </c>
      <c r="AK648" s="66" t="str">
        <f t="shared" si="1558"/>
        <v>HOLD</v>
      </c>
      <c r="AL648" s="67" t="e">
        <f t="shared" ca="1" si="1559"/>
        <v>#NAME?</v>
      </c>
      <c r="AM648" s="68">
        <f t="shared" si="1408"/>
        <v>8402</v>
      </c>
      <c r="AN648" s="69">
        <f t="shared" si="1409"/>
        <v>0.21336787038447863</v>
      </c>
      <c r="AO648" s="62"/>
      <c r="AP648" s="70">
        <f t="shared" ref="AP648:AT648" si="1962">H648/$AI648</f>
        <v>0.41203209914165267</v>
      </c>
      <c r="AQ648" s="70">
        <f t="shared" si="1962"/>
        <v>9.5865711818782062E-2</v>
      </c>
      <c r="AR648" s="70">
        <f t="shared" si="1962"/>
        <v>0.19866422875717404</v>
      </c>
      <c r="AS648" s="70">
        <f t="shared" si="1962"/>
        <v>4.0784194220122909E-2</v>
      </c>
      <c r="AT648" s="70">
        <f t="shared" si="1962"/>
        <v>4.7361470872060545E-2</v>
      </c>
      <c r="AU648" s="70"/>
      <c r="AV648" s="70">
        <f t="shared" si="1886"/>
        <v>0.13395804764081468</v>
      </c>
      <c r="AW648" s="81">
        <f t="shared" si="1561"/>
        <v>7.1334247549393104E-2</v>
      </c>
      <c r="AX648" s="70">
        <f t="shared" ref="AX648:BG648" si="1963">O648/$AI648</f>
        <v>6.5188684036771805E-2</v>
      </c>
      <c r="AY648" s="70">
        <f t="shared" si="1963"/>
        <v>0</v>
      </c>
      <c r="AZ648" s="70">
        <f t="shared" si="1963"/>
        <v>0</v>
      </c>
      <c r="BA648" s="70">
        <f t="shared" si="1963"/>
        <v>0</v>
      </c>
      <c r="BB648" s="70">
        <f t="shared" si="1963"/>
        <v>0</v>
      </c>
      <c r="BC648" s="70">
        <f t="shared" si="1963"/>
        <v>0</v>
      </c>
      <c r="BD648" s="70">
        <f t="shared" si="1963"/>
        <v>0</v>
      </c>
      <c r="BE648" s="70">
        <f t="shared" si="1963"/>
        <v>0</v>
      </c>
      <c r="BF648" s="70">
        <f t="shared" si="1963"/>
        <v>0</v>
      </c>
      <c r="BG648" s="70">
        <f t="shared" si="1963"/>
        <v>0</v>
      </c>
      <c r="BH648" s="70">
        <f t="shared" si="1563"/>
        <v>6.1455635126212993E-3</v>
      </c>
      <c r="BI648" s="62"/>
      <c r="BJ648" s="69">
        <v>0.46600000000000003</v>
      </c>
      <c r="BK648" s="69">
        <v>0.27300000000000002</v>
      </c>
      <c r="BL648" s="69">
        <v>8.5000000000000006E-2</v>
      </c>
      <c r="BM648" s="69">
        <v>1.4E-2</v>
      </c>
      <c r="BN648" s="69">
        <v>2E-3</v>
      </c>
      <c r="BO648" s="69">
        <v>0</v>
      </c>
      <c r="BP648" s="69">
        <v>0.109</v>
      </c>
      <c r="BQ648" s="69">
        <v>5.0999999999999997E-2</v>
      </c>
      <c r="BR648" s="62"/>
      <c r="BS648" s="72">
        <f t="shared" ref="BS648:BW648" si="1964">AP648-BJ648</f>
        <v>-5.3967900858347351E-2</v>
      </c>
      <c r="BT648" s="72">
        <f t="shared" si="1964"/>
        <v>-0.17713428818121796</v>
      </c>
      <c r="BU648" s="72">
        <f t="shared" si="1964"/>
        <v>0.11366422875717404</v>
      </c>
      <c r="BV648" s="72">
        <f t="shared" si="1964"/>
        <v>2.678419422012291E-2</v>
      </c>
      <c r="BW648" s="72">
        <f t="shared" si="1964"/>
        <v>4.5361470872060543E-2</v>
      </c>
      <c r="BX648" s="72"/>
      <c r="BY648" s="72">
        <f t="shared" si="1889"/>
        <v>2.4958047640814676E-2</v>
      </c>
      <c r="BZ648" s="72">
        <f t="shared" si="1565"/>
        <v>2.0334247549393107E-2</v>
      </c>
    </row>
    <row r="649" spans="1:78" ht="13.15">
      <c r="A649" s="78" t="s">
        <v>5</v>
      </c>
      <c r="B649" s="74" t="s">
        <v>1344</v>
      </c>
      <c r="C649" s="75" t="s">
        <v>1345</v>
      </c>
      <c r="D649" s="75" t="s">
        <v>1293</v>
      </c>
      <c r="E649" s="76"/>
      <c r="F649" s="59"/>
      <c r="G649" s="60"/>
      <c r="H649" s="77">
        <v>17118</v>
      </c>
      <c r="I649" s="77">
        <v>2050</v>
      </c>
      <c r="J649" s="77">
        <v>9328</v>
      </c>
      <c r="K649" s="77">
        <v>935</v>
      </c>
      <c r="L649" s="77">
        <v>1177</v>
      </c>
      <c r="M649" s="77"/>
      <c r="N649" s="77">
        <v>5198</v>
      </c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62"/>
      <c r="AF649" s="63" t="b">
        <v>0</v>
      </c>
      <c r="AG649" s="63" t="b">
        <v>0</v>
      </c>
      <c r="AH649" s="62"/>
      <c r="AI649" s="64">
        <f t="shared" si="1557"/>
        <v>35806</v>
      </c>
      <c r="AJ649" s="65" t="str">
        <f t="shared" si="1884"/>
        <v>LAB</v>
      </c>
      <c r="AK649" s="66" t="str">
        <f t="shared" si="1558"/>
        <v>HOLD</v>
      </c>
      <c r="AL649" s="67" t="e">
        <f t="shared" ca="1" si="1559"/>
        <v>#NAME?</v>
      </c>
      <c r="AM649" s="68">
        <f t="shared" si="1408"/>
        <v>7790</v>
      </c>
      <c r="AN649" s="69">
        <f t="shared" si="1409"/>
        <v>0.2175613025749874</v>
      </c>
      <c r="AO649" s="62"/>
      <c r="AP649" s="70">
        <f t="shared" ref="AP649:AT649" si="1965">H649/$AI649</f>
        <v>0.47807630006144219</v>
      </c>
      <c r="AQ649" s="70">
        <f t="shared" si="1965"/>
        <v>5.72529743618388E-2</v>
      </c>
      <c r="AR649" s="70">
        <f t="shared" si="1965"/>
        <v>0.26051499748645479</v>
      </c>
      <c r="AS649" s="70">
        <f t="shared" si="1965"/>
        <v>2.6112941965033793E-2</v>
      </c>
      <c r="AT649" s="70">
        <f t="shared" si="1965"/>
        <v>3.2871585767748422E-2</v>
      </c>
      <c r="AU649" s="70"/>
      <c r="AV649" s="70">
        <f t="shared" si="1886"/>
        <v>0.14517120035748199</v>
      </c>
      <c r="AW649" s="81">
        <f t="shared" si="1561"/>
        <v>0</v>
      </c>
      <c r="AX649" s="70">
        <f t="shared" ref="AX649:BG649" si="1966">O649/$AI649</f>
        <v>0</v>
      </c>
      <c r="AY649" s="70">
        <f t="shared" si="1966"/>
        <v>0</v>
      </c>
      <c r="AZ649" s="70">
        <f t="shared" si="1966"/>
        <v>0</v>
      </c>
      <c r="BA649" s="70">
        <f t="shared" si="1966"/>
        <v>0</v>
      </c>
      <c r="BB649" s="70">
        <f t="shared" si="1966"/>
        <v>0</v>
      </c>
      <c r="BC649" s="70">
        <f t="shared" si="1966"/>
        <v>0</v>
      </c>
      <c r="BD649" s="70">
        <f t="shared" si="1966"/>
        <v>0</v>
      </c>
      <c r="BE649" s="70">
        <f t="shared" si="1966"/>
        <v>0</v>
      </c>
      <c r="BF649" s="70">
        <f t="shared" si="1966"/>
        <v>0</v>
      </c>
      <c r="BG649" s="70">
        <f t="shared" si="1966"/>
        <v>0</v>
      </c>
      <c r="BH649" s="70">
        <f t="shared" si="1563"/>
        <v>0</v>
      </c>
      <c r="BI649" s="62"/>
      <c r="BJ649" s="69">
        <v>0.56299999999999994</v>
      </c>
      <c r="BK649" s="69">
        <v>0.155</v>
      </c>
      <c r="BL649" s="69">
        <v>0.115</v>
      </c>
      <c r="BM649" s="69">
        <v>2.3E-2</v>
      </c>
      <c r="BN649" s="69">
        <v>1.4E-2</v>
      </c>
      <c r="BO649" s="69">
        <v>0</v>
      </c>
      <c r="BP649" s="69">
        <v>0.124</v>
      </c>
      <c r="BQ649" s="69">
        <v>7.0000000000000001E-3</v>
      </c>
      <c r="BR649" s="62"/>
      <c r="BS649" s="72">
        <f t="shared" ref="BS649:BW649" si="1967">AP649-BJ649</f>
        <v>-8.4923699938557751E-2</v>
      </c>
      <c r="BT649" s="72">
        <f t="shared" si="1967"/>
        <v>-9.7747025638161206E-2</v>
      </c>
      <c r="BU649" s="72">
        <f t="shared" si="1967"/>
        <v>0.1455149974864548</v>
      </c>
      <c r="BV649" s="72">
        <f t="shared" si="1967"/>
        <v>3.1129419650337935E-3</v>
      </c>
      <c r="BW649" s="72">
        <f t="shared" si="1967"/>
        <v>1.8871585767748424E-2</v>
      </c>
      <c r="BX649" s="72"/>
      <c r="BY649" s="72">
        <f t="shared" si="1889"/>
        <v>2.117120035748199E-2</v>
      </c>
      <c r="BZ649" s="72">
        <f t="shared" si="1565"/>
        <v>-7.0000000000000001E-3</v>
      </c>
    </row>
    <row r="650" spans="1:78" ht="13.15">
      <c r="A650" s="78" t="s">
        <v>5</v>
      </c>
      <c r="B650" s="74" t="s">
        <v>1346</v>
      </c>
      <c r="C650" s="75" t="s">
        <v>1347</v>
      </c>
      <c r="D650" s="75" t="s">
        <v>1293</v>
      </c>
      <c r="E650" s="76">
        <v>73116</v>
      </c>
      <c r="F650" s="59">
        <v>0.48799999999999999</v>
      </c>
      <c r="G650" s="60"/>
      <c r="H650" s="77">
        <v>14761</v>
      </c>
      <c r="I650" s="77">
        <v>3536</v>
      </c>
      <c r="J650" s="77">
        <v>6246</v>
      </c>
      <c r="K650" s="77">
        <v>4367</v>
      </c>
      <c r="L650" s="77">
        <v>2305</v>
      </c>
      <c r="M650" s="77"/>
      <c r="N650" s="77">
        <v>4105</v>
      </c>
      <c r="O650" s="77"/>
      <c r="P650" s="77"/>
      <c r="Q650" s="77"/>
      <c r="R650" s="77"/>
      <c r="S650" s="77"/>
      <c r="T650" s="77"/>
      <c r="U650" s="77"/>
      <c r="V650" s="77"/>
      <c r="W650" s="77"/>
      <c r="X650" s="77"/>
      <c r="Y650" s="77">
        <v>337</v>
      </c>
      <c r="Z650" s="77"/>
      <c r="AA650" s="77"/>
      <c r="AB650" s="77"/>
      <c r="AC650" s="77"/>
      <c r="AD650" s="77"/>
      <c r="AE650" s="62"/>
      <c r="AF650" s="63" t="b">
        <v>0</v>
      </c>
      <c r="AG650" s="63" t="b">
        <v>0</v>
      </c>
      <c r="AH650" s="62"/>
      <c r="AI650" s="64">
        <f t="shared" si="1557"/>
        <v>35657</v>
      </c>
      <c r="AJ650" s="65" t="str">
        <f t="shared" si="1884"/>
        <v>LAB</v>
      </c>
      <c r="AK650" s="66" t="str">
        <f t="shared" si="1558"/>
        <v>HOLD</v>
      </c>
      <c r="AL650" s="67" t="e">
        <f t="shared" ca="1" si="1559"/>
        <v>#NAME?</v>
      </c>
      <c r="AM650" s="68">
        <f t="shared" si="1408"/>
        <v>8515</v>
      </c>
      <c r="AN650" s="69">
        <f t="shared" si="1409"/>
        <v>0.23880304007628236</v>
      </c>
      <c r="AO650" s="62"/>
      <c r="AP650" s="70">
        <f t="shared" ref="AP650:AT650" si="1968">H650/$AI650</f>
        <v>0.41397201110581372</v>
      </c>
      <c r="AQ650" s="70">
        <f t="shared" si="1968"/>
        <v>9.9167063970608857E-2</v>
      </c>
      <c r="AR650" s="70">
        <f t="shared" si="1968"/>
        <v>0.17516897102953136</v>
      </c>
      <c r="AS650" s="70">
        <f t="shared" si="1968"/>
        <v>0.12247244580306813</v>
      </c>
      <c r="AT650" s="70">
        <f t="shared" si="1968"/>
        <v>6.4643688476316005E-2</v>
      </c>
      <c r="AU650" s="70"/>
      <c r="AV650" s="70">
        <f t="shared" si="1886"/>
        <v>0.11512465995456712</v>
      </c>
      <c r="AW650" s="81">
        <f t="shared" si="1561"/>
        <v>9.4511596600949099E-3</v>
      </c>
      <c r="AX650" s="70">
        <f t="shared" ref="AX650:BG650" si="1969">O650/$AI650</f>
        <v>0</v>
      </c>
      <c r="AY650" s="70">
        <f t="shared" si="1969"/>
        <v>0</v>
      </c>
      <c r="AZ650" s="70">
        <f t="shared" si="1969"/>
        <v>0</v>
      </c>
      <c r="BA650" s="70">
        <f t="shared" si="1969"/>
        <v>0</v>
      </c>
      <c r="BB650" s="70">
        <f t="shared" si="1969"/>
        <v>0</v>
      </c>
      <c r="BC650" s="70">
        <f t="shared" si="1969"/>
        <v>0</v>
      </c>
      <c r="BD650" s="70">
        <f t="shared" si="1969"/>
        <v>0</v>
      </c>
      <c r="BE650" s="70">
        <f t="shared" si="1969"/>
        <v>0</v>
      </c>
      <c r="BF650" s="70">
        <f t="shared" si="1969"/>
        <v>0</v>
      </c>
      <c r="BG650" s="70">
        <f t="shared" si="1969"/>
        <v>0</v>
      </c>
      <c r="BH650" s="70">
        <f t="shared" si="1563"/>
        <v>9.4511596600949099E-3</v>
      </c>
      <c r="BI650" s="62"/>
      <c r="BJ650" s="69">
        <v>0.51400000000000001</v>
      </c>
      <c r="BK650" s="69">
        <v>0.28699999999999998</v>
      </c>
      <c r="BL650" s="69">
        <v>6.8000000000000005E-2</v>
      </c>
      <c r="BM650" s="69">
        <v>6.4000000000000001E-2</v>
      </c>
      <c r="BN650" s="69">
        <v>8.0000000000000002E-3</v>
      </c>
      <c r="BO650" s="69">
        <v>0</v>
      </c>
      <c r="BP650" s="69">
        <v>5.8999999999999997E-2</v>
      </c>
      <c r="BQ650" s="69">
        <v>0</v>
      </c>
      <c r="BR650" s="62"/>
      <c r="BS650" s="72">
        <f t="shared" ref="BS650:BW650" si="1970">AP650-BJ650</f>
        <v>-0.10002798889418629</v>
      </c>
      <c r="BT650" s="72">
        <f t="shared" si="1970"/>
        <v>-0.18783293602939111</v>
      </c>
      <c r="BU650" s="72">
        <f t="shared" si="1970"/>
        <v>0.10716897102953135</v>
      </c>
      <c r="BV650" s="72">
        <f t="shared" si="1970"/>
        <v>5.8472445803068124E-2</v>
      </c>
      <c r="BW650" s="72">
        <f t="shared" si="1970"/>
        <v>5.6643688476316005E-2</v>
      </c>
      <c r="BX650" s="72"/>
      <c r="BY650" s="72">
        <f t="shared" si="1889"/>
        <v>5.6124659954567127E-2</v>
      </c>
      <c r="BZ650" s="72">
        <f t="shared" si="1565"/>
        <v>9.4511596600949099E-3</v>
      </c>
    </row>
    <row r="651" spans="1:78" ht="13.15">
      <c r="A651" s="78" t="s">
        <v>5</v>
      </c>
      <c r="B651" s="74" t="s">
        <v>1348</v>
      </c>
      <c r="C651" s="75" t="s">
        <v>1349</v>
      </c>
      <c r="D651" s="75" t="s">
        <v>1293</v>
      </c>
      <c r="E651" s="76"/>
      <c r="F651" s="59"/>
      <c r="G651" s="60"/>
      <c r="H651" s="77">
        <v>15176</v>
      </c>
      <c r="I651" s="77">
        <v>5737</v>
      </c>
      <c r="J651" s="77">
        <v>7854</v>
      </c>
      <c r="K651" s="77">
        <v>1644</v>
      </c>
      <c r="L651" s="77">
        <v>1705</v>
      </c>
      <c r="M651" s="77"/>
      <c r="N651" s="77">
        <v>2571</v>
      </c>
      <c r="O651" s="77">
        <v>881</v>
      </c>
      <c r="P651" s="77"/>
      <c r="Q651" s="77"/>
      <c r="R651" s="77"/>
      <c r="S651" s="77"/>
      <c r="T651" s="77"/>
      <c r="U651" s="77"/>
      <c r="V651" s="77"/>
      <c r="W651" s="77"/>
      <c r="X651" s="77"/>
      <c r="Y651" s="77">
        <v>137</v>
      </c>
      <c r="Z651" s="77"/>
      <c r="AA651" s="77"/>
      <c r="AB651" s="77"/>
      <c r="AC651" s="77"/>
      <c r="AD651" s="77"/>
      <c r="AE651" s="62"/>
      <c r="AF651" s="63" t="b">
        <v>0</v>
      </c>
      <c r="AG651" s="63" t="b">
        <v>0</v>
      </c>
      <c r="AH651" s="62"/>
      <c r="AI651" s="64">
        <f t="shared" si="1557"/>
        <v>35705</v>
      </c>
      <c r="AJ651" s="65" t="str">
        <f t="shared" si="1884"/>
        <v>LAB</v>
      </c>
      <c r="AK651" s="66" t="str">
        <f t="shared" si="1558"/>
        <v>HOLD</v>
      </c>
      <c r="AL651" s="67" t="e">
        <f t="shared" ca="1" si="1559"/>
        <v>#NAME?</v>
      </c>
      <c r="AM651" s="68">
        <f t="shared" si="1408"/>
        <v>7322</v>
      </c>
      <c r="AN651" s="69">
        <f t="shared" si="1409"/>
        <v>0.20506931802268591</v>
      </c>
      <c r="AO651" s="62"/>
      <c r="AP651" s="70">
        <f t="shared" ref="AP651:AT651" si="1971">H651/$AI651</f>
        <v>0.42503851001260329</v>
      </c>
      <c r="AQ651" s="70">
        <f t="shared" si="1971"/>
        <v>0.16067777622181767</v>
      </c>
      <c r="AR651" s="70">
        <f t="shared" si="1971"/>
        <v>0.21996919198991738</v>
      </c>
      <c r="AS651" s="70">
        <f t="shared" si="1971"/>
        <v>4.6043971432572467E-2</v>
      </c>
      <c r="AT651" s="70">
        <f t="shared" si="1971"/>
        <v>4.7752415628063295E-2</v>
      </c>
      <c r="AU651" s="70"/>
      <c r="AV651" s="70">
        <f t="shared" si="1886"/>
        <v>7.2006721747654392E-2</v>
      </c>
      <c r="AW651" s="81">
        <f t="shared" si="1561"/>
        <v>2.8511412967371474E-2</v>
      </c>
      <c r="AX651" s="70">
        <f t="shared" ref="AX651:BG651" si="1972">O651/$AI651</f>
        <v>2.4674415347990478E-2</v>
      </c>
      <c r="AY651" s="70">
        <f t="shared" si="1972"/>
        <v>0</v>
      </c>
      <c r="AZ651" s="70">
        <f t="shared" si="1972"/>
        <v>0</v>
      </c>
      <c r="BA651" s="70">
        <f t="shared" si="1972"/>
        <v>0</v>
      </c>
      <c r="BB651" s="70">
        <f t="shared" si="1972"/>
        <v>0</v>
      </c>
      <c r="BC651" s="70">
        <f t="shared" si="1972"/>
        <v>0</v>
      </c>
      <c r="BD651" s="70">
        <f t="shared" si="1972"/>
        <v>0</v>
      </c>
      <c r="BE651" s="70">
        <f t="shared" si="1972"/>
        <v>0</v>
      </c>
      <c r="BF651" s="70">
        <f t="shared" si="1972"/>
        <v>0</v>
      </c>
      <c r="BG651" s="70">
        <f t="shared" si="1972"/>
        <v>0</v>
      </c>
      <c r="BH651" s="70">
        <f t="shared" si="1563"/>
        <v>3.8369976193809961E-3</v>
      </c>
      <c r="BI651" s="62"/>
      <c r="BJ651" s="69">
        <v>0.42699999999999999</v>
      </c>
      <c r="BK651" s="69">
        <v>0.33300000000000002</v>
      </c>
      <c r="BL651" s="69">
        <v>0.13200000000000001</v>
      </c>
      <c r="BM651" s="69">
        <v>0.05</v>
      </c>
      <c r="BN651" s="69">
        <v>2.1999999999999999E-2</v>
      </c>
      <c r="BO651" s="69">
        <v>0</v>
      </c>
      <c r="BP651" s="69">
        <v>3.5999999999999997E-2</v>
      </c>
      <c r="BQ651" s="69">
        <v>0</v>
      </c>
      <c r="BR651" s="62"/>
      <c r="BS651" s="72">
        <f t="shared" ref="BS651:BW651" si="1973">AP651-BJ651</f>
        <v>-1.9614899873967029E-3</v>
      </c>
      <c r="BT651" s="72">
        <f t="shared" si="1973"/>
        <v>-0.17232222377818235</v>
      </c>
      <c r="BU651" s="72">
        <f t="shared" si="1973"/>
        <v>8.7969191989917372E-2</v>
      </c>
      <c r="BV651" s="72">
        <f t="shared" si="1973"/>
        <v>-3.9560285674275358E-3</v>
      </c>
      <c r="BW651" s="72">
        <f t="shared" si="1973"/>
        <v>2.5752415628063297E-2</v>
      </c>
      <c r="BX651" s="72"/>
      <c r="BY651" s="72">
        <f t="shared" si="1889"/>
        <v>3.6006721747654395E-2</v>
      </c>
      <c r="BZ651" s="72">
        <f t="shared" si="1565"/>
        <v>2.8511412967371474E-2</v>
      </c>
    </row>
    <row r="652" spans="1:78" ht="13.15">
      <c r="A652" s="73" t="s">
        <v>6</v>
      </c>
      <c r="B652" s="74" t="s">
        <v>1350</v>
      </c>
      <c r="C652" s="75" t="s">
        <v>1351</v>
      </c>
      <c r="D652" s="75" t="s">
        <v>1293</v>
      </c>
      <c r="E652" s="76">
        <v>70426</v>
      </c>
      <c r="F652" s="59">
        <v>0.65100000000000002</v>
      </c>
      <c r="G652" s="60"/>
      <c r="H652" s="77">
        <v>17740</v>
      </c>
      <c r="I652" s="77">
        <v>13524</v>
      </c>
      <c r="J652" s="77">
        <v>6973</v>
      </c>
      <c r="K652" s="77">
        <v>1612</v>
      </c>
      <c r="L652" s="77">
        <v>1881</v>
      </c>
      <c r="M652" s="77"/>
      <c r="N652" s="77">
        <v>3245</v>
      </c>
      <c r="O652" s="77">
        <v>182</v>
      </c>
      <c r="P652" s="77"/>
      <c r="Q652" s="77"/>
      <c r="R652" s="77"/>
      <c r="S652" s="77"/>
      <c r="T652" s="77"/>
      <c r="U652" s="77"/>
      <c r="V652" s="77"/>
      <c r="W652" s="77"/>
      <c r="X652" s="77"/>
      <c r="Y652" s="77">
        <v>669</v>
      </c>
      <c r="Z652" s="77"/>
      <c r="AA652" s="77"/>
      <c r="AB652" s="77"/>
      <c r="AC652" s="77"/>
      <c r="AD652" s="77"/>
      <c r="AE652" s="62"/>
      <c r="AF652" s="63" t="b">
        <v>0</v>
      </c>
      <c r="AG652" s="63" t="b">
        <v>0</v>
      </c>
      <c r="AH652" s="62"/>
      <c r="AI652" s="64">
        <f t="shared" si="1557"/>
        <v>45826</v>
      </c>
      <c r="AJ652" s="65" t="str">
        <f t="shared" si="1884"/>
        <v>LAB</v>
      </c>
      <c r="AK652" s="66" t="str">
        <f t="shared" si="1558"/>
        <v>GAIN</v>
      </c>
      <c r="AL652" s="67" t="e">
        <f t="shared" ca="1" si="1559"/>
        <v>#NAME?</v>
      </c>
      <c r="AM652" s="68">
        <f t="shared" si="1408"/>
        <v>4216</v>
      </c>
      <c r="AN652" s="69">
        <f t="shared" si="1409"/>
        <v>9.2000174573386273E-2</v>
      </c>
      <c r="AO652" s="62"/>
      <c r="AP652" s="70">
        <f t="shared" ref="AP652:AT652" si="1974">H652/$AI652</f>
        <v>0.38711648409200017</v>
      </c>
      <c r="AQ652" s="70">
        <f t="shared" si="1974"/>
        <v>0.2951163095186139</v>
      </c>
      <c r="AR652" s="70">
        <f t="shared" si="1974"/>
        <v>0.15216252782263345</v>
      </c>
      <c r="AS652" s="70">
        <f t="shared" si="1974"/>
        <v>3.5176537336882994E-2</v>
      </c>
      <c r="AT652" s="70">
        <f t="shared" si="1974"/>
        <v>4.1046567450792125E-2</v>
      </c>
      <c r="AU652" s="70"/>
      <c r="AV652" s="70">
        <f t="shared" si="1886"/>
        <v>7.0811329812770038E-2</v>
      </c>
      <c r="AW652" s="81">
        <f t="shared" si="1561"/>
        <v>1.8570243966307243E-2</v>
      </c>
      <c r="AX652" s="70">
        <f t="shared" ref="AX652:BG652" si="1975">O652/$AI652</f>
        <v>3.9715445380351768E-3</v>
      </c>
      <c r="AY652" s="70">
        <f t="shared" si="1975"/>
        <v>0</v>
      </c>
      <c r="AZ652" s="70">
        <f t="shared" si="1975"/>
        <v>0</v>
      </c>
      <c r="BA652" s="70">
        <f t="shared" si="1975"/>
        <v>0</v>
      </c>
      <c r="BB652" s="70">
        <f t="shared" si="1975"/>
        <v>0</v>
      </c>
      <c r="BC652" s="70">
        <f t="shared" si="1975"/>
        <v>0</v>
      </c>
      <c r="BD652" s="70">
        <f t="shared" si="1975"/>
        <v>0</v>
      </c>
      <c r="BE652" s="70">
        <f t="shared" si="1975"/>
        <v>0</v>
      </c>
      <c r="BF652" s="70">
        <f t="shared" si="1975"/>
        <v>0</v>
      </c>
      <c r="BG652" s="70">
        <f t="shared" si="1975"/>
        <v>0</v>
      </c>
      <c r="BH652" s="70">
        <f t="shared" si="1563"/>
        <v>1.4598699428272067E-2</v>
      </c>
      <c r="BI652" s="62"/>
      <c r="BJ652" s="69">
        <v>0.439</v>
      </c>
      <c r="BK652" s="69">
        <v>0.49099999999999999</v>
      </c>
      <c r="BL652" s="69">
        <v>0</v>
      </c>
      <c r="BM652" s="69">
        <v>0</v>
      </c>
      <c r="BN652" s="69">
        <v>0.06</v>
      </c>
      <c r="BO652" s="69">
        <v>0</v>
      </c>
      <c r="BP652" s="69">
        <v>0</v>
      </c>
      <c r="BQ652" s="69">
        <v>0.01</v>
      </c>
      <c r="BR652" s="62"/>
      <c r="BS652" s="72">
        <f t="shared" ref="BS652:BW652" si="1976">AP652-BJ652</f>
        <v>-5.1883515907999833E-2</v>
      </c>
      <c r="BT652" s="72">
        <f t="shared" si="1976"/>
        <v>-0.1958836904813861</v>
      </c>
      <c r="BU652" s="72">
        <f t="shared" si="1976"/>
        <v>0.15216252782263345</v>
      </c>
      <c r="BV652" s="72">
        <f t="shared" si="1976"/>
        <v>3.5176537336882994E-2</v>
      </c>
      <c r="BW652" s="72">
        <f t="shared" si="1976"/>
        <v>-1.8953432549207873E-2</v>
      </c>
      <c r="BX652" s="72"/>
      <c r="BY652" s="72">
        <f t="shared" si="1889"/>
        <v>7.0811329812770038E-2</v>
      </c>
      <c r="BZ652" s="72">
        <f t="shared" si="1565"/>
        <v>8.5702439663072425E-3</v>
      </c>
    </row>
    <row r="653" spans="1:78" ht="13.15">
      <c r="A653" s="73" t="s">
        <v>6</v>
      </c>
      <c r="B653" s="74" t="s">
        <v>1352</v>
      </c>
      <c r="C653" s="75" t="s">
        <v>1353</v>
      </c>
      <c r="D653" s="75" t="s">
        <v>1293</v>
      </c>
      <c r="E653" s="76">
        <v>69544</v>
      </c>
      <c r="F653" s="59">
        <v>0.58099999999999996</v>
      </c>
      <c r="G653" s="60"/>
      <c r="H653" s="77">
        <v>15836</v>
      </c>
      <c r="I653" s="77">
        <v>9888</v>
      </c>
      <c r="J653" s="77">
        <v>6915</v>
      </c>
      <c r="K653" s="77">
        <v>1777</v>
      </c>
      <c r="L653" s="77">
        <v>1339</v>
      </c>
      <c r="M653" s="77"/>
      <c r="N653" s="77">
        <v>4138</v>
      </c>
      <c r="O653" s="77"/>
      <c r="P653" s="77"/>
      <c r="Q653" s="77"/>
      <c r="R653" s="77"/>
      <c r="S653" s="77"/>
      <c r="T653" s="77"/>
      <c r="U653" s="77"/>
      <c r="V653" s="77"/>
      <c r="W653" s="77"/>
      <c r="X653" s="77"/>
      <c r="Y653" s="77">
        <v>480</v>
      </c>
      <c r="Z653" s="77"/>
      <c r="AA653" s="77"/>
      <c r="AB653" s="77"/>
      <c r="AC653" s="77"/>
      <c r="AD653" s="77"/>
      <c r="AE653" s="62"/>
      <c r="AF653" s="63" t="b">
        <v>0</v>
      </c>
      <c r="AG653" s="63" t="b">
        <v>0</v>
      </c>
      <c r="AH653" s="62"/>
      <c r="AI653" s="64">
        <f t="shared" si="1557"/>
        <v>40373</v>
      </c>
      <c r="AJ653" s="65" t="str">
        <f t="shared" si="1884"/>
        <v>LAB</v>
      </c>
      <c r="AK653" s="66" t="str">
        <f t="shared" si="1558"/>
        <v>GAIN</v>
      </c>
      <c r="AL653" s="67" t="e">
        <f t="shared" ca="1" si="1559"/>
        <v>#NAME?</v>
      </c>
      <c r="AM653" s="68">
        <f t="shared" si="1408"/>
        <v>5948</v>
      </c>
      <c r="AN653" s="69">
        <f t="shared" si="1409"/>
        <v>0.14732618334035125</v>
      </c>
      <c r="AO653" s="62"/>
      <c r="AP653" s="70">
        <f t="shared" ref="AP653:AT653" si="1977">H653/$AI653</f>
        <v>0.39224234017784165</v>
      </c>
      <c r="AQ653" s="70">
        <f t="shared" si="1977"/>
        <v>0.24491615683749041</v>
      </c>
      <c r="AR653" s="70">
        <f t="shared" si="1977"/>
        <v>0.17127783419612116</v>
      </c>
      <c r="AS653" s="70">
        <f t="shared" si="1977"/>
        <v>4.4014564188938149E-2</v>
      </c>
      <c r="AT653" s="70">
        <f t="shared" si="1977"/>
        <v>3.3165729571743491E-2</v>
      </c>
      <c r="AU653" s="70"/>
      <c r="AV653" s="70">
        <f t="shared" si="1886"/>
        <v>0.10249424120080251</v>
      </c>
      <c r="AW653" s="81">
        <f t="shared" si="1561"/>
        <v>1.1889133827062581E-2</v>
      </c>
      <c r="AX653" s="70">
        <f t="shared" ref="AX653:BG653" si="1978">O653/$AI653</f>
        <v>0</v>
      </c>
      <c r="AY653" s="70">
        <f t="shared" si="1978"/>
        <v>0</v>
      </c>
      <c r="AZ653" s="70">
        <f t="shared" si="1978"/>
        <v>0</v>
      </c>
      <c r="BA653" s="70">
        <f t="shared" si="1978"/>
        <v>0</v>
      </c>
      <c r="BB653" s="70">
        <f t="shared" si="1978"/>
        <v>0</v>
      </c>
      <c r="BC653" s="70">
        <f t="shared" si="1978"/>
        <v>0</v>
      </c>
      <c r="BD653" s="70">
        <f t="shared" si="1978"/>
        <v>0</v>
      </c>
      <c r="BE653" s="70">
        <f t="shared" si="1978"/>
        <v>0</v>
      </c>
      <c r="BF653" s="70">
        <f t="shared" si="1978"/>
        <v>0</v>
      </c>
      <c r="BG653" s="70">
        <f t="shared" si="1978"/>
        <v>0</v>
      </c>
      <c r="BH653" s="70">
        <f t="shared" si="1563"/>
        <v>1.1889133827062581E-2</v>
      </c>
      <c r="BI653" s="62"/>
      <c r="BJ653" s="69">
        <v>0.38200000000000001</v>
      </c>
      <c r="BK653" s="69">
        <v>0.46500000000000002</v>
      </c>
      <c r="BL653" s="69">
        <v>3.7999999999999999E-2</v>
      </c>
      <c r="BM653" s="69">
        <v>4.2999999999999997E-2</v>
      </c>
      <c r="BN653" s="69">
        <v>8.9999999999999993E-3</v>
      </c>
      <c r="BO653" s="69">
        <v>0</v>
      </c>
      <c r="BP653" s="69">
        <v>6.3E-2</v>
      </c>
      <c r="BQ653" s="69">
        <v>0</v>
      </c>
      <c r="BR653" s="62"/>
      <c r="BS653" s="72">
        <f t="shared" ref="BS653:BW653" si="1979">AP653-BJ653</f>
        <v>1.0242340177841647E-2</v>
      </c>
      <c r="BT653" s="72">
        <f t="shared" si="1979"/>
        <v>-0.22008384316250962</v>
      </c>
      <c r="BU653" s="72">
        <f t="shared" si="1979"/>
        <v>0.13327783419612116</v>
      </c>
      <c r="BV653" s="72">
        <f t="shared" si="1979"/>
        <v>1.0145641889381524E-3</v>
      </c>
      <c r="BW653" s="72">
        <f t="shared" si="1979"/>
        <v>2.416572957174349E-2</v>
      </c>
      <c r="BX653" s="72"/>
      <c r="BY653" s="72">
        <f t="shared" si="1889"/>
        <v>3.9494241200802513E-2</v>
      </c>
      <c r="BZ653" s="72">
        <f t="shared" si="1565"/>
        <v>1.1889133827062581E-2</v>
      </c>
    </row>
    <row r="654" spans="1:78" ht="13.15">
      <c r="A654" s="73" t="s">
        <v>6</v>
      </c>
      <c r="B654" s="74" t="s">
        <v>1354</v>
      </c>
      <c r="C654" s="75" t="s">
        <v>1355</v>
      </c>
      <c r="D654" s="75" t="s">
        <v>1293</v>
      </c>
      <c r="E654" s="76"/>
      <c r="F654" s="59"/>
      <c r="G654" s="60"/>
      <c r="H654" s="77">
        <v>7619</v>
      </c>
      <c r="I654" s="77">
        <v>9953</v>
      </c>
      <c r="J654" s="77">
        <v>3223</v>
      </c>
      <c r="K654" s="77">
        <v>439</v>
      </c>
      <c r="L654" s="77">
        <v>604</v>
      </c>
      <c r="M654" s="77"/>
      <c r="N654" s="77">
        <v>10590</v>
      </c>
      <c r="O654" s="77"/>
      <c r="P654" s="77"/>
      <c r="Q654" s="77"/>
      <c r="R654" s="77"/>
      <c r="S654" s="77"/>
      <c r="T654" s="77"/>
      <c r="U654" s="77"/>
      <c r="V654" s="77"/>
      <c r="W654" s="77"/>
      <c r="X654" s="77"/>
      <c r="Y654" s="77">
        <v>156</v>
      </c>
      <c r="Z654" s="77">
        <v>44</v>
      </c>
      <c r="AA654" s="77"/>
      <c r="AB654" s="77"/>
      <c r="AC654" s="77"/>
      <c r="AD654" s="77"/>
      <c r="AE654" s="62"/>
      <c r="AF654" s="63" t="b">
        <v>0</v>
      </c>
      <c r="AG654" s="63" t="b">
        <v>0</v>
      </c>
      <c r="AH654" s="62"/>
      <c r="AI654" s="64">
        <f t="shared" si="1557"/>
        <v>32628</v>
      </c>
      <c r="AJ654" s="65" t="str">
        <f t="shared" si="1884"/>
        <v>PLC</v>
      </c>
      <c r="AK654" s="66" t="str">
        <f t="shared" si="1558"/>
        <v>GAIN</v>
      </c>
      <c r="AL654" s="67" t="e">
        <f t="shared" ca="1" si="1559"/>
        <v>#NAME?</v>
      </c>
      <c r="AM654" s="68">
        <f t="shared" si="1408"/>
        <v>637</v>
      </c>
      <c r="AN654" s="69">
        <f t="shared" si="1409"/>
        <v>1.9523108986146898E-2</v>
      </c>
      <c r="AO654" s="62"/>
      <c r="AP654" s="70">
        <f t="shared" ref="AP654:AT654" si="1980">H654/$AI654</f>
        <v>0.23351109476523232</v>
      </c>
      <c r="AQ654" s="70">
        <f t="shared" si="1980"/>
        <v>0.30504474684320215</v>
      </c>
      <c r="AR654" s="70">
        <f t="shared" si="1980"/>
        <v>9.8780188794900081E-2</v>
      </c>
      <c r="AS654" s="70">
        <f t="shared" si="1980"/>
        <v>1.3454701483388501E-2</v>
      </c>
      <c r="AT654" s="70">
        <f t="shared" si="1980"/>
        <v>1.8511707735687138E-2</v>
      </c>
      <c r="AU654" s="70"/>
      <c r="AV654" s="70">
        <f t="shared" si="1886"/>
        <v>0.32456785582934905</v>
      </c>
      <c r="AW654" s="81">
        <f t="shared" si="1561"/>
        <v>6.1297045482406887E-3</v>
      </c>
      <c r="AX654" s="70">
        <f t="shared" ref="AX654:BG654" si="1981">O654/$AI654</f>
        <v>0</v>
      </c>
      <c r="AY654" s="70">
        <f t="shared" si="1981"/>
        <v>0</v>
      </c>
      <c r="AZ654" s="70">
        <f t="shared" si="1981"/>
        <v>0</v>
      </c>
      <c r="BA654" s="70">
        <f t="shared" si="1981"/>
        <v>0</v>
      </c>
      <c r="BB654" s="70">
        <f t="shared" si="1981"/>
        <v>0</v>
      </c>
      <c r="BC654" s="70">
        <f t="shared" si="1981"/>
        <v>0</v>
      </c>
      <c r="BD654" s="70">
        <f t="shared" si="1981"/>
        <v>0</v>
      </c>
      <c r="BE654" s="70">
        <f t="shared" si="1981"/>
        <v>0</v>
      </c>
      <c r="BF654" s="70">
        <f t="shared" si="1981"/>
        <v>0</v>
      </c>
      <c r="BG654" s="70">
        <f t="shared" si="1981"/>
        <v>0</v>
      </c>
      <c r="BH654" s="70">
        <f t="shared" si="1563"/>
        <v>6.1297045482406887E-3</v>
      </c>
      <c r="BI654" s="62"/>
      <c r="BJ654" s="69">
        <v>0.30099999999999999</v>
      </c>
      <c r="BK654" s="69">
        <v>0.35499999999999998</v>
      </c>
      <c r="BL654" s="69">
        <v>0.06</v>
      </c>
      <c r="BM654" s="69">
        <v>0</v>
      </c>
      <c r="BN654" s="69">
        <v>0</v>
      </c>
      <c r="BO654" s="69">
        <v>0</v>
      </c>
      <c r="BP654" s="69">
        <v>0.28499999999999998</v>
      </c>
      <c r="BQ654" s="69">
        <v>0</v>
      </c>
      <c r="BR654" s="62"/>
      <c r="BS654" s="72">
        <f t="shared" ref="BS654:BW654" si="1982">AP654-BJ654</f>
        <v>-6.7488905234767665E-2</v>
      </c>
      <c r="BT654" s="72">
        <f t="shared" si="1982"/>
        <v>-4.995525315679783E-2</v>
      </c>
      <c r="BU654" s="72">
        <f t="shared" si="1982"/>
        <v>3.8780188794900083E-2</v>
      </c>
      <c r="BV654" s="72">
        <f t="shared" si="1982"/>
        <v>1.3454701483388501E-2</v>
      </c>
      <c r="BW654" s="72">
        <f t="shared" si="1982"/>
        <v>1.8511707735687138E-2</v>
      </c>
      <c r="BX654" s="72"/>
      <c r="BY654" s="72">
        <f t="shared" si="1889"/>
        <v>3.9567855829349075E-2</v>
      </c>
      <c r="BZ654" s="72">
        <f t="shared" si="1565"/>
        <v>6.1297045482406887E-3</v>
      </c>
    </row>
  </sheetData>
  <mergeCells count="22">
    <mergeCell ref="B1:B4"/>
    <mergeCell ref="C1:C4"/>
    <mergeCell ref="D1:D4"/>
    <mergeCell ref="Y4:AD4"/>
    <mergeCell ref="BI1:BI4"/>
    <mergeCell ref="AW1:AW4"/>
    <mergeCell ref="G1:G4"/>
    <mergeCell ref="E1:E4"/>
    <mergeCell ref="F1:F4"/>
    <mergeCell ref="AE1:AE4"/>
    <mergeCell ref="AH1:AH4"/>
    <mergeCell ref="AF1:AF3"/>
    <mergeCell ref="AG1:AG3"/>
    <mergeCell ref="Y3:AD3"/>
    <mergeCell ref="BJ3:BQ3"/>
    <mergeCell ref="AJ1:AJ4"/>
    <mergeCell ref="AK1:AK4"/>
    <mergeCell ref="AO1:AO4"/>
    <mergeCell ref="AM1:AM4"/>
    <mergeCell ref="AN1:AN4"/>
    <mergeCell ref="AI1:AI4"/>
    <mergeCell ref="AL1:AL4"/>
  </mergeCells>
  <conditionalFormatting sqref="A5:A421 A423:A609 A611:A654">
    <cfRule type="containsText" dxfId="120" priority="1" operator="containsText" text="con">
      <formula>NOT(ISERROR(SEARCH(("con"),(A5))))</formula>
    </cfRule>
    <cfRule type="containsText" dxfId="119" priority="2" operator="containsText" text="lab">
      <formula>NOT(ISERROR(SEARCH(("lab"),(A5))))</formula>
    </cfRule>
    <cfRule type="containsText" dxfId="118" priority="3" operator="containsText" text="ldm">
      <formula>NOT(ISERROR(SEARCH(("ldm"),(A5))))</formula>
    </cfRule>
    <cfRule type="containsText" dxfId="117" priority="4" operator="containsText" text="snp">
      <formula>NOT(ISERROR(SEARCH(("snp"),(A5))))</formula>
    </cfRule>
    <cfRule type="containsText" dxfId="116" priority="5" operator="containsText" text="plc">
      <formula>NOT(ISERROR(SEARCH(("plc"),(A5))))</formula>
    </cfRule>
    <cfRule type="containsText" dxfId="115" priority="6" operator="containsText" text="sf">
      <formula>NOT(ISERROR(SEARCH(("sf"),(A5))))</formula>
    </cfRule>
    <cfRule type="containsText" dxfId="114" priority="7" operator="containsText" text="dup">
      <formula>NOT(ISERROR(SEARCH(("dup"),(A5))))</formula>
    </cfRule>
    <cfRule type="containsText" dxfId="113" priority="8" operator="containsText" text="sdlp">
      <formula>NOT(ISERROR(SEARCH(("sdlp"),(A5))))</formula>
    </cfRule>
    <cfRule type="containsText" dxfId="112" priority="9" operator="containsText" text="all">
      <formula>NOT(ISERROR(SEARCH(("all"),(A5))))</formula>
    </cfRule>
    <cfRule type="containsText" dxfId="111" priority="10" operator="containsText" text="grn">
      <formula>NOT(ISERROR(SEARCH(("grn"),(A5))))</formula>
    </cfRule>
    <cfRule type="containsText" dxfId="110" priority="11" operator="containsText" text="spkr">
      <formula>NOT(ISERROR(SEARCH(("spkr"),(A5))))</formula>
    </cfRule>
  </conditionalFormatting>
  <conditionalFormatting sqref="AE5:AE421 AH5:AH421 AJ5:AK421 AM5:AO421 AM423:AO609 AJ423:AK609 AH423:AH609 AE423:AE609 AE611:AE654 AH611:AH654 AJ611:AK654 AM611:AO654">
    <cfRule type="containsText" dxfId="109" priority="29" operator="containsText" text="UUP">
      <formula>NOT(ISERROR(SEARCH(("UUP"),(AE5))))</formula>
    </cfRule>
    <cfRule type="containsText" dxfId="108" priority="30" operator="containsText" text="TUV">
      <formula>NOT(ISERROR(SEARCH(("TUV"),(AE5))))</formula>
    </cfRule>
    <cfRule type="containsText" dxfId="107" priority="15" operator="containsText" text="LAB">
      <formula>NOT(ISERROR(SEARCH(("LAB"),(AE5))))</formula>
    </cfRule>
    <cfRule type="containsText" dxfId="106" priority="16" operator="containsText" text="LDM">
      <formula>NOT(ISERROR(SEARCH(("LDM"),(AE5))))</formula>
    </cfRule>
    <cfRule type="containsText" dxfId="105" priority="17" operator="containsText" text="RFM">
      <formula>NOT(ISERROR(SEARCH(("RFM"),(AE5))))</formula>
    </cfRule>
    <cfRule type="containsText" dxfId="104" priority="18" operator="containsText" text="GRN">
      <formula>NOT(ISERROR(SEARCH(("GRN"),(AE5))))</formula>
    </cfRule>
    <cfRule type="containsText" dxfId="103" priority="19" operator="containsText" text="PLC">
      <formula>NOT(ISERROR(SEARCH(("PLC"),(AE5))))</formula>
    </cfRule>
    <cfRule type="containsText" dxfId="102" priority="20" operator="containsText" text="SNP">
      <formula>NOT(ISERROR(SEARCH(("SNP"),(AE5))))</formula>
    </cfRule>
    <cfRule type="containsText" dxfId="101" priority="21" operator="containsText" text="WPGB">
      <formula>NOT(ISERROR(SEARCH(("WPGB"),(AE5))))</formula>
    </cfRule>
    <cfRule type="containsText" dxfId="100" priority="22" operator="containsText" text="SDP">
      <formula>NOT(ISERROR(SEARCH(("SDP"),(AE5))))</formula>
    </cfRule>
    <cfRule type="containsText" dxfId="99" priority="23" operator="containsText" text="IND">
      <formula>NOT(ISERROR(SEARCH(("IND"),(AE5))))</formula>
    </cfRule>
    <cfRule type="containsText" dxfId="98" priority="24" operator="containsText" text="LOC">
      <formula>NOT(ISERROR(SEARCH(("LOC"),(AE5))))</formula>
    </cfRule>
    <cfRule type="containsText" dxfId="97" priority="25" operator="containsText" text="DUP">
      <formula>NOT(ISERROR(SEARCH(("DUP"),(AE5))))</formula>
    </cfRule>
    <cfRule type="containsText" dxfId="96" priority="26" operator="containsText" text="SF">
      <formula>NOT(ISERROR(SEARCH(("SF"),(AE5))))</formula>
    </cfRule>
    <cfRule type="containsText" dxfId="95" priority="27" operator="containsText" text="ALL">
      <formula>NOT(ISERROR(SEARCH(("ALL"),(AE5))))</formula>
    </cfRule>
    <cfRule type="containsText" dxfId="94" priority="28" operator="containsText" text="SDLP">
      <formula>NOT(ISERROR(SEARCH(("SDLP"),(AE5))))</formula>
    </cfRule>
  </conditionalFormatting>
  <conditionalFormatting sqref="AE5:AE421 AH5:AH421 AM5:BZ421 AM423:BZ609 AH423:AH609 AE423:AE609 AE611:AE654 AH611:AH654 AM611:BZ654">
    <cfRule type="notContainsBlanks" dxfId="93" priority="32">
      <formula>LEN(TRIM(AE5))&gt;0</formula>
    </cfRule>
  </conditionalFormatting>
  <conditionalFormatting sqref="AE5:AE421 AH5:AH421 AO5:BZ421 AO423:BZ609 AH423:AH609 AE423:AE609 AE611:AE654 AH611:AH654 AO611:BZ654">
    <cfRule type="cellIs" dxfId="92" priority="31" operator="equal">
      <formula>0</formula>
    </cfRule>
  </conditionalFormatting>
  <conditionalFormatting sqref="AJ5:AK421 AE5:AE421 AH5:AH421 AM5:AO421 AM423:AO609 AH423:AH609 AE423:AE609 AJ423:AK609 AJ611:AK654 AE611:AE654 AH611:AH654 AM611:AO654">
    <cfRule type="containsText" dxfId="91" priority="14" operator="containsText" text="CON">
      <formula>NOT(ISERROR(SEARCH(("CON"),(AE5))))</formula>
    </cfRule>
  </conditionalFormatting>
  <conditionalFormatting sqref="AK5:AK421 AK423:AK609 AK611:AK654">
    <cfRule type="cellIs" dxfId="90" priority="12" operator="equal">
      <formula>"HOLD"</formula>
    </cfRule>
    <cfRule type="cellIs" dxfId="89" priority="13" operator="equal">
      <formula>"GAIN"</formula>
    </cfRule>
    <cfRule type="notContainsBlanks" dxfId="88" priority="33">
      <formula>LEN(TRIM(AK5))&gt;0</formula>
    </cfRule>
  </conditionalFormatting>
  <conditionalFormatting sqref="AL5:AL421 AL423:AL609 AL611:AL654">
    <cfRule type="containsText" dxfId="87" priority="34" operator="containsText" text="LAB GAIN">
      <formula>NOT(ISERROR(SEARCH(("LAB GAIN"),(AL5))))</formula>
    </cfRule>
    <cfRule type="containsText" dxfId="86" priority="35" operator="containsText" text="CON GAIN">
      <formula>NOT(ISERROR(SEARCH(("CON GAIN"),(AL5))))</formula>
    </cfRule>
    <cfRule type="containsText" dxfId="85" priority="36" operator="containsText" text="RFM GAIN">
      <formula>NOT(ISERROR(SEARCH(("RFM GAIN"),(AL5))))</formula>
    </cfRule>
    <cfRule type="containsText" dxfId="84" priority="37" operator="containsText" text="LDM GAIN">
      <formula>NOT(ISERROR(SEARCH(("LDM GAIN"),(AL5))))</formula>
    </cfRule>
    <cfRule type="containsText" dxfId="83" priority="38" operator="containsText" text="SNP GAIN">
      <formula>NOT(ISERROR(SEARCH(("SNP GAIN"),(AL5))))</formula>
    </cfRule>
    <cfRule type="containsText" dxfId="82" priority="39" operator="containsText" text="GRN GAIN">
      <formula>NOT(ISERROR(SEARCH(("GRN GAIN"),(AL5))))</formula>
    </cfRule>
    <cfRule type="containsText" dxfId="81" priority="40" operator="containsText" text="PLC GAIN">
      <formula>NOT(ISERROR(SEARCH(("PLC GAIN"),(AL5))))</formula>
    </cfRule>
    <cfRule type="containsText" dxfId="80" priority="41" operator="containsText" text="IND GAIN">
      <formula>NOT(ISERROR(SEARCH(("IND GAIN"),(AL5))))</formula>
    </cfRule>
    <cfRule type="containsText" dxfId="79" priority="42" operator="containsText" text="DUP GAIN">
      <formula>NOT(ISERROR(SEARCH(("DUP GAIN"),(AL5))))</formula>
    </cfRule>
    <cfRule type="containsText" dxfId="78" priority="43" operator="containsText" text="SF GAIN">
      <formula>NOT(ISERROR(SEARCH(("SF GAIN"),(AL5))))</formula>
    </cfRule>
    <cfRule type="containsText" dxfId="77" priority="44" operator="containsText" text="ALL GAIN">
      <formula>NOT(ISERROR(SEARCH(("ALL GAIN"),(AL5))))</formula>
    </cfRule>
    <cfRule type="containsText" dxfId="76" priority="45" operator="containsText" text="SDLP GAIN">
      <formula>NOT(ISERROR(SEARCH(("SDLP GAIN"),(AL5))))</formula>
    </cfRule>
    <cfRule type="containsText" dxfId="75" priority="46" operator="containsText" text="WPGB GAIN">
      <formula>NOT(ISERROR(SEARCH(("WPGB GAIN"),(AL5))))</formula>
    </cfRule>
    <cfRule type="containsText" dxfId="74" priority="47" operator="containsText" text="UUP GAIN">
      <formula>NOT(ISERROR(SEARCH(("UUP GAIN"),(AL5))))</formula>
    </cfRule>
    <cfRule type="containsText" dxfId="73" priority="48" operator="containsText" text="CON HOLD">
      <formula>NOT(ISERROR(SEARCH(("CON HOLD"),(AL5))))</formula>
    </cfRule>
    <cfRule type="containsText" dxfId="72" priority="49" operator="containsText" text="LAB HOLD">
      <formula>NOT(ISERROR(SEARCH(("LAB HOLD"),(AL5))))</formula>
    </cfRule>
    <cfRule type="containsText" dxfId="71" priority="50" operator="containsText" text="LDM HOLD">
      <formula>NOT(ISERROR(SEARCH(("LDM HOLD"),(AL5))))</formula>
    </cfRule>
    <cfRule type="containsText" dxfId="70" priority="51" operator="containsText" text="GRN HOLD">
      <formula>NOT(ISERROR(SEARCH(("GRN HOLD"),(AL5))))</formula>
    </cfRule>
    <cfRule type="containsText" dxfId="69" priority="52" operator="containsText" text="PLC HOLD">
      <formula>NOT(ISERROR(SEARCH(("PLC HOLD"),(AL5))))</formula>
    </cfRule>
    <cfRule type="containsText" dxfId="68" priority="53" operator="containsText" text="SNP HOLD">
      <formula>NOT(ISERROR(SEARCH(("SNP HOLD"),(AL5))))</formula>
    </cfRule>
    <cfRule type="containsText" dxfId="67" priority="54" operator="containsText" text="DUP HOLD">
      <formula>NOT(ISERROR(SEARCH(("DUP HOLD"),(AL5))))</formula>
    </cfRule>
    <cfRule type="containsText" dxfId="66" priority="55" operator="containsText" text="SF HOLD">
      <formula>NOT(ISERROR(SEARCH(("SF HOLD"),(AL5))))</formula>
    </cfRule>
    <cfRule type="containsText" dxfId="65" priority="56" operator="containsText" text="ALL HOLD">
      <formula>NOT(ISERROR(SEARCH(("ALL HOLD"),(AL5))))</formula>
    </cfRule>
    <cfRule type="containsText" dxfId="64" priority="57" operator="containsText" text="SDLP HOLD">
      <formula>NOT(ISERROR(SEARCH(("SDLP HOLD"),(AL5))))</formula>
    </cfRule>
    <cfRule type="containsText" dxfId="63" priority="58" operator="containsText" text="SPKR HOLD">
      <formula>NOT(ISERROR(SEARCH(("SPKR HOLD"),(AL5))))</formula>
    </cfRule>
    <cfRule type="containsText" dxfId="62" priority="59" operator="containsText" text="TUV GAIN">
      <formula>NOT(ISERROR(SEARCH(("TUV GAIN"),(AL5))))</formula>
    </cfRule>
    <cfRule type="containsText" dxfId="61" priority="60" operator="containsText" text="SDP GAIN">
      <formula>NOT(ISERROR(SEARCH(("SDP GAIN"),(AL5))))</formula>
    </cfRule>
    <cfRule type="containsText" dxfId="60" priority="61" operator="containsText" text="Localist GAIN">
      <formula>NOT(ISERROR(SEARCH(("Localist GAIN"),(AL5))))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654"/>
  <sheetViews>
    <sheetView workbookViewId="0">
      <pane ySplit="4" topLeftCell="A5" activePane="bottomLeft" state="frozen"/>
      <selection pane="bottomLeft" activeCell="B6" sqref="B6"/>
    </sheetView>
  </sheetViews>
  <sheetFormatPr defaultColWidth="12.59765625" defaultRowHeight="15.75" customHeight="1"/>
  <cols>
    <col min="1" max="1" width="9.46484375" customWidth="1"/>
    <col min="2" max="2" width="31.3984375" customWidth="1"/>
    <col min="3" max="3" width="6.3984375" customWidth="1"/>
    <col min="4" max="4" width="11.3984375" customWidth="1"/>
    <col min="5" max="5" width="15.1328125" customWidth="1"/>
    <col min="6" max="38" width="7" customWidth="1"/>
    <col min="39" max="39" width="8.73046875" customWidth="1"/>
    <col min="40" max="40" width="10.1328125" customWidth="1"/>
    <col min="41" max="41" width="25.1328125" customWidth="1"/>
  </cols>
  <sheetData>
    <row r="1" spans="1:41" ht="12.75">
      <c r="A1" s="205" t="s">
        <v>1</v>
      </c>
      <c r="B1" s="206" t="s">
        <v>1356</v>
      </c>
      <c r="C1" s="209" t="s">
        <v>1357</v>
      </c>
      <c r="D1" s="210" t="s">
        <v>1358</v>
      </c>
      <c r="E1" s="203" t="s">
        <v>1359</v>
      </c>
      <c r="F1" s="96">
        <f t="shared" ref="F1:AL1" si="0">F3/$C$4</f>
        <v>0.97692307692307689</v>
      </c>
      <c r="G1" s="97">
        <f t="shared" si="0"/>
        <v>0.97076923076923072</v>
      </c>
      <c r="H1" s="98">
        <f t="shared" si="0"/>
        <v>0.96923076923076923</v>
      </c>
      <c r="I1" s="99">
        <f t="shared" si="0"/>
        <v>0.96769230769230774</v>
      </c>
      <c r="J1" s="100">
        <f t="shared" si="0"/>
        <v>0.93692307692307697</v>
      </c>
      <c r="K1" s="101">
        <f t="shared" si="0"/>
        <v>0.48615384615384616</v>
      </c>
      <c r="L1" s="102">
        <f t="shared" si="0"/>
        <v>0.23384615384615384</v>
      </c>
      <c r="M1" s="103">
        <f t="shared" si="0"/>
        <v>0.18769230769230769</v>
      </c>
      <c r="N1" s="104">
        <f t="shared" si="0"/>
        <v>8.7692307692307694E-2</v>
      </c>
      <c r="O1" s="105">
        <f t="shared" si="0"/>
        <v>6.3076923076923072E-2</v>
      </c>
      <c r="P1" s="106">
        <f t="shared" si="0"/>
        <v>6.1538461538461542E-2</v>
      </c>
      <c r="Q1" s="107">
        <f t="shared" si="0"/>
        <v>4.9230769230769231E-2</v>
      </c>
      <c r="R1" s="108">
        <f t="shared" si="0"/>
        <v>4.1538461538461538E-2</v>
      </c>
      <c r="S1" s="109">
        <f t="shared" si="0"/>
        <v>0.04</v>
      </c>
      <c r="T1" s="110">
        <f t="shared" si="0"/>
        <v>0.04</v>
      </c>
      <c r="U1" s="111">
        <f t="shared" si="0"/>
        <v>3.6923076923076927E-2</v>
      </c>
      <c r="V1" s="112">
        <f t="shared" si="0"/>
        <v>3.3846153846153845E-2</v>
      </c>
      <c r="W1" s="113">
        <f t="shared" si="0"/>
        <v>3.3846153846153845E-2</v>
      </c>
      <c r="X1" s="114">
        <f t="shared" si="0"/>
        <v>2.923076923076923E-2</v>
      </c>
      <c r="Y1" s="115">
        <f t="shared" si="0"/>
        <v>2.7692307692307693E-2</v>
      </c>
      <c r="Z1" s="116">
        <f t="shared" si="0"/>
        <v>2.7692307692307693E-2</v>
      </c>
      <c r="AA1" s="117">
        <f t="shared" si="0"/>
        <v>2.6153846153846153E-2</v>
      </c>
      <c r="AB1" s="118">
        <f t="shared" si="0"/>
        <v>2.4615384615384615E-2</v>
      </c>
      <c r="AC1" s="119">
        <f t="shared" si="0"/>
        <v>2.4615384615384615E-2</v>
      </c>
      <c r="AD1" s="120">
        <f t="shared" si="0"/>
        <v>2.3076923076923078E-2</v>
      </c>
      <c r="AE1" s="121">
        <f t="shared" si="0"/>
        <v>2.1538461538461538E-2</v>
      </c>
      <c r="AF1" s="122">
        <f t="shared" si="0"/>
        <v>2.1538461538461538E-2</v>
      </c>
      <c r="AG1" s="118">
        <f t="shared" si="0"/>
        <v>2.1538461538461538E-2</v>
      </c>
      <c r="AH1" s="123">
        <f t="shared" si="0"/>
        <v>2.1538461538461538E-2</v>
      </c>
      <c r="AI1" s="124">
        <f t="shared" si="0"/>
        <v>0.02</v>
      </c>
      <c r="AJ1" s="125">
        <f t="shared" si="0"/>
        <v>1.8461538461538463E-2</v>
      </c>
      <c r="AK1" s="126">
        <f t="shared" si="0"/>
        <v>1.8461538461538463E-2</v>
      </c>
      <c r="AL1" s="127">
        <f t="shared" si="0"/>
        <v>0.16307692307692306</v>
      </c>
      <c r="AM1" s="211" t="s">
        <v>1360</v>
      </c>
      <c r="AN1" s="203" t="s">
        <v>1361</v>
      </c>
      <c r="AO1" s="203" t="s">
        <v>1362</v>
      </c>
    </row>
    <row r="2" spans="1:41" ht="12.75">
      <c r="A2" s="191"/>
      <c r="B2" s="207"/>
      <c r="C2" s="191"/>
      <c r="D2" s="204"/>
      <c r="E2" s="204"/>
      <c r="F2" s="128" t="s">
        <v>6</v>
      </c>
      <c r="G2" s="129" t="s">
        <v>1363</v>
      </c>
      <c r="H2" s="130" t="s">
        <v>1364</v>
      </c>
      <c r="I2" s="131" t="s">
        <v>1365</v>
      </c>
      <c r="J2" s="132" t="s">
        <v>1366</v>
      </c>
      <c r="K2" s="133" t="s">
        <v>1367</v>
      </c>
      <c r="L2" s="134" t="s">
        <v>1368</v>
      </c>
      <c r="M2" s="135" t="s">
        <v>14</v>
      </c>
      <c r="N2" s="136" t="s">
        <v>10</v>
      </c>
      <c r="O2" s="137" t="s">
        <v>1369</v>
      </c>
      <c r="P2" s="138" t="s">
        <v>1370</v>
      </c>
      <c r="Q2" s="139" t="s">
        <v>1371</v>
      </c>
      <c r="R2" s="140" t="s">
        <v>1372</v>
      </c>
      <c r="S2" s="141" t="s">
        <v>15</v>
      </c>
      <c r="T2" s="142" t="s">
        <v>1373</v>
      </c>
      <c r="U2" s="143" t="s">
        <v>1374</v>
      </c>
      <c r="V2" s="144" t="s">
        <v>1375</v>
      </c>
      <c r="W2" s="145" t="s">
        <v>1376</v>
      </c>
      <c r="X2" s="146" t="s">
        <v>1377</v>
      </c>
      <c r="Y2" s="147" t="s">
        <v>19</v>
      </c>
      <c r="Z2" s="148" t="s">
        <v>1378</v>
      </c>
      <c r="AA2" s="149" t="s">
        <v>20</v>
      </c>
      <c r="AB2" s="150" t="s">
        <v>16</v>
      </c>
      <c r="AC2" s="151" t="s">
        <v>1379</v>
      </c>
      <c r="AD2" s="152" t="s">
        <v>1380</v>
      </c>
      <c r="AE2" s="153" t="s">
        <v>17</v>
      </c>
      <c r="AF2" s="154" t="s">
        <v>21</v>
      </c>
      <c r="AG2" s="150" t="s">
        <v>1381</v>
      </c>
      <c r="AH2" s="155" t="s">
        <v>1382</v>
      </c>
      <c r="AI2" s="156" t="s">
        <v>1383</v>
      </c>
      <c r="AJ2" s="157" t="s">
        <v>1384</v>
      </c>
      <c r="AK2" s="158" t="s">
        <v>1385</v>
      </c>
      <c r="AL2" s="159" t="s">
        <v>39</v>
      </c>
      <c r="AM2" s="202"/>
      <c r="AN2" s="204"/>
      <c r="AO2" s="204"/>
    </row>
    <row r="3" spans="1:41" ht="13.15">
      <c r="A3" s="191"/>
      <c r="B3" s="207"/>
      <c r="C3" s="192"/>
      <c r="D3" s="204"/>
      <c r="E3" s="204"/>
      <c r="F3" s="201">
        <f t="shared" ref="F3:AL3" si="1">COUNT(F5:F654)</f>
        <v>635</v>
      </c>
      <c r="G3" s="201">
        <f t="shared" si="1"/>
        <v>631</v>
      </c>
      <c r="H3" s="201">
        <f t="shared" si="1"/>
        <v>630</v>
      </c>
      <c r="I3" s="201">
        <f t="shared" si="1"/>
        <v>629</v>
      </c>
      <c r="J3" s="201">
        <f t="shared" si="1"/>
        <v>609</v>
      </c>
      <c r="K3" s="160">
        <f t="shared" si="1"/>
        <v>316</v>
      </c>
      <c r="L3" s="201">
        <f t="shared" si="1"/>
        <v>152</v>
      </c>
      <c r="M3" s="201">
        <f t="shared" si="1"/>
        <v>122</v>
      </c>
      <c r="N3" s="201">
        <f t="shared" si="1"/>
        <v>57</v>
      </c>
      <c r="O3" s="201">
        <f t="shared" si="1"/>
        <v>41</v>
      </c>
      <c r="P3" s="201">
        <f t="shared" si="1"/>
        <v>40</v>
      </c>
      <c r="Q3" s="201">
        <f t="shared" si="1"/>
        <v>32</v>
      </c>
      <c r="R3" s="201">
        <f t="shared" si="1"/>
        <v>27</v>
      </c>
      <c r="S3" s="201">
        <f t="shared" si="1"/>
        <v>26</v>
      </c>
      <c r="T3" s="201">
        <f t="shared" si="1"/>
        <v>26</v>
      </c>
      <c r="U3" s="201">
        <f t="shared" si="1"/>
        <v>24</v>
      </c>
      <c r="V3" s="201">
        <f t="shared" si="1"/>
        <v>22</v>
      </c>
      <c r="W3" s="201">
        <f t="shared" si="1"/>
        <v>22</v>
      </c>
      <c r="X3" s="201">
        <f t="shared" si="1"/>
        <v>19</v>
      </c>
      <c r="Y3" s="201">
        <f t="shared" si="1"/>
        <v>18</v>
      </c>
      <c r="Z3" s="201">
        <f t="shared" si="1"/>
        <v>18</v>
      </c>
      <c r="AA3" s="201">
        <f t="shared" si="1"/>
        <v>17</v>
      </c>
      <c r="AB3" s="201">
        <f t="shared" si="1"/>
        <v>16</v>
      </c>
      <c r="AC3" s="201">
        <f t="shared" si="1"/>
        <v>16</v>
      </c>
      <c r="AD3" s="201">
        <f t="shared" si="1"/>
        <v>15</v>
      </c>
      <c r="AE3" s="201">
        <f t="shared" si="1"/>
        <v>14</v>
      </c>
      <c r="AF3" s="201">
        <f t="shared" si="1"/>
        <v>14</v>
      </c>
      <c r="AG3" s="201">
        <f t="shared" si="1"/>
        <v>14</v>
      </c>
      <c r="AH3" s="201">
        <f t="shared" si="1"/>
        <v>14</v>
      </c>
      <c r="AI3" s="201">
        <f t="shared" si="1"/>
        <v>13</v>
      </c>
      <c r="AJ3" s="201">
        <f t="shared" si="1"/>
        <v>12</v>
      </c>
      <c r="AK3" s="201">
        <f t="shared" si="1"/>
        <v>12</v>
      </c>
      <c r="AL3" s="160">
        <f t="shared" si="1"/>
        <v>106</v>
      </c>
      <c r="AM3" s="161" t="s">
        <v>1386</v>
      </c>
      <c r="AN3" s="202"/>
      <c r="AO3" s="204"/>
    </row>
    <row r="4" spans="1:41" ht="13.15">
      <c r="A4" s="192"/>
      <c r="B4" s="208"/>
      <c r="C4" s="162">
        <f>SUM(C5:C654)</f>
        <v>650</v>
      </c>
      <c r="D4" s="163">
        <f>COUNTIF(D5:D654,TRUE)/COUNTA(D5:D654)</f>
        <v>1</v>
      </c>
      <c r="E4" s="202"/>
      <c r="F4" s="202"/>
      <c r="G4" s="202"/>
      <c r="H4" s="202"/>
      <c r="I4" s="202"/>
      <c r="J4" s="202"/>
      <c r="K4" s="164">
        <f>SUM(K5:K654)</f>
        <v>463</v>
      </c>
      <c r="L4" s="202"/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202"/>
      <c r="AH4" s="202"/>
      <c r="AI4" s="202"/>
      <c r="AJ4" s="202"/>
      <c r="AK4" s="202"/>
      <c r="AL4" s="164">
        <f>SUM(AL5:AL654)</f>
        <v>115</v>
      </c>
      <c r="AM4" s="165" t="s">
        <v>1387</v>
      </c>
      <c r="AN4" s="166">
        <f>SUM(AN5:AN654)</f>
        <v>4515</v>
      </c>
      <c r="AO4" s="202"/>
    </row>
    <row r="5" spans="1:41" ht="15.75" customHeight="1">
      <c r="A5" s="167" t="s">
        <v>816</v>
      </c>
      <c r="B5" s="22" t="s">
        <v>815</v>
      </c>
      <c r="C5" s="168">
        <v>1</v>
      </c>
      <c r="D5" s="169" t="b">
        <v>1</v>
      </c>
      <c r="E5" s="170" t="s">
        <v>1388</v>
      </c>
      <c r="F5" s="171">
        <v>1</v>
      </c>
      <c r="G5" s="172">
        <v>1</v>
      </c>
      <c r="H5" s="172">
        <v>1</v>
      </c>
      <c r="I5" s="172">
        <v>1</v>
      </c>
      <c r="J5" s="172">
        <v>1</v>
      </c>
      <c r="K5" s="172">
        <v>4</v>
      </c>
      <c r="L5" s="172">
        <v>1</v>
      </c>
      <c r="M5" s="172"/>
      <c r="N5" s="172"/>
      <c r="O5" s="172"/>
      <c r="P5" s="172"/>
      <c r="Q5" s="172"/>
      <c r="R5" s="172">
        <v>1</v>
      </c>
      <c r="S5" s="172"/>
      <c r="T5" s="172"/>
      <c r="U5" s="172"/>
      <c r="V5" s="172"/>
      <c r="W5" s="172">
        <v>1</v>
      </c>
      <c r="X5" s="172"/>
      <c r="Y5" s="172"/>
      <c r="Z5" s="172"/>
      <c r="AA5" s="172"/>
      <c r="AB5" s="172"/>
      <c r="AC5" s="172"/>
      <c r="AD5" s="171"/>
      <c r="AE5" s="172"/>
      <c r="AF5" s="172"/>
      <c r="AG5" s="172"/>
      <c r="AH5" s="172"/>
      <c r="AI5" s="172"/>
      <c r="AJ5" s="172"/>
      <c r="AK5" s="172"/>
      <c r="AL5" s="171">
        <v>1</v>
      </c>
      <c r="AM5" s="22"/>
      <c r="AN5" s="22">
        <f t="shared" ref="AN5:AN209" si="2">SUM(D5:AL5)</f>
        <v>13</v>
      </c>
      <c r="AO5" s="171" t="s">
        <v>1389</v>
      </c>
    </row>
    <row r="6" spans="1:41" ht="15.75" customHeight="1">
      <c r="A6" s="167" t="s">
        <v>766</v>
      </c>
      <c r="B6" s="22" t="s">
        <v>765</v>
      </c>
      <c r="C6" s="168">
        <v>1</v>
      </c>
      <c r="D6" s="169" t="b">
        <v>1</v>
      </c>
      <c r="E6" s="170" t="s">
        <v>1390</v>
      </c>
      <c r="F6" s="171">
        <v>1</v>
      </c>
      <c r="G6" s="171">
        <v>1</v>
      </c>
      <c r="H6" s="171">
        <v>1</v>
      </c>
      <c r="I6" s="171">
        <v>1</v>
      </c>
      <c r="J6" s="171"/>
      <c r="K6" s="171">
        <v>2</v>
      </c>
      <c r="L6" s="173">
        <v>1</v>
      </c>
      <c r="M6" s="171">
        <v>1</v>
      </c>
      <c r="N6" s="173"/>
      <c r="O6" s="171"/>
      <c r="P6" s="171"/>
      <c r="Q6" s="173"/>
      <c r="R6" s="171"/>
      <c r="S6" s="171">
        <v>1</v>
      </c>
      <c r="T6" s="171">
        <v>1</v>
      </c>
      <c r="U6" s="171"/>
      <c r="V6" s="173"/>
      <c r="W6" s="173"/>
      <c r="X6" s="171"/>
      <c r="Y6" s="173"/>
      <c r="Z6" s="173"/>
      <c r="AA6" s="173"/>
      <c r="AB6" s="173"/>
      <c r="AC6" s="173"/>
      <c r="AD6" s="168">
        <v>1</v>
      </c>
      <c r="AE6" s="173"/>
      <c r="AF6" s="173"/>
      <c r="AG6" s="173"/>
      <c r="AH6" s="173"/>
      <c r="AI6" s="173"/>
      <c r="AJ6" s="173"/>
      <c r="AK6" s="173"/>
      <c r="AL6" s="171">
        <v>1</v>
      </c>
      <c r="AM6" s="22"/>
      <c r="AN6" s="22">
        <f t="shared" si="2"/>
        <v>12</v>
      </c>
      <c r="AO6" s="171" t="s">
        <v>1391</v>
      </c>
    </row>
    <row r="7" spans="1:41" ht="15.75" customHeight="1">
      <c r="A7" s="167" t="s">
        <v>346</v>
      </c>
      <c r="B7" s="22" t="s">
        <v>345</v>
      </c>
      <c r="C7" s="168">
        <v>1</v>
      </c>
      <c r="D7" s="169" t="b">
        <v>1</v>
      </c>
      <c r="E7" s="170" t="s">
        <v>1392</v>
      </c>
      <c r="F7" s="171">
        <v>1</v>
      </c>
      <c r="G7" s="171">
        <v>1</v>
      </c>
      <c r="H7" s="171">
        <v>1</v>
      </c>
      <c r="I7" s="171">
        <v>1</v>
      </c>
      <c r="J7" s="171">
        <v>1</v>
      </c>
      <c r="K7" s="171">
        <v>5</v>
      </c>
      <c r="L7" s="171">
        <v>1</v>
      </c>
      <c r="M7" s="171"/>
      <c r="N7" s="171"/>
      <c r="O7" s="171"/>
      <c r="P7" s="171"/>
      <c r="Q7" s="171"/>
      <c r="R7" s="171"/>
      <c r="S7" s="171"/>
      <c r="T7" s="171">
        <v>1</v>
      </c>
      <c r="U7" s="171"/>
      <c r="V7" s="171"/>
      <c r="W7" s="171"/>
      <c r="X7" s="171"/>
      <c r="Y7" s="171"/>
      <c r="Z7" s="171"/>
      <c r="AA7" s="171"/>
      <c r="AB7" s="171"/>
      <c r="AC7" s="171"/>
      <c r="AD7" s="171"/>
      <c r="AE7" s="171"/>
      <c r="AF7" s="171"/>
      <c r="AG7" s="171"/>
      <c r="AH7" s="171"/>
      <c r="AI7" s="171"/>
      <c r="AJ7" s="171"/>
      <c r="AK7" s="171"/>
      <c r="AL7" s="171"/>
      <c r="AM7" s="22"/>
      <c r="AN7" s="22">
        <f t="shared" si="2"/>
        <v>12</v>
      </c>
      <c r="AO7" s="171"/>
    </row>
    <row r="8" spans="1:41" ht="15.75" customHeight="1">
      <c r="A8" s="167" t="s">
        <v>508</v>
      </c>
      <c r="B8" s="22" t="s">
        <v>507</v>
      </c>
      <c r="C8" s="168">
        <v>1</v>
      </c>
      <c r="D8" s="169" t="b">
        <v>1</v>
      </c>
      <c r="E8" s="174" t="s">
        <v>1393</v>
      </c>
      <c r="F8" s="171">
        <v>1</v>
      </c>
      <c r="G8" s="171">
        <v>1</v>
      </c>
      <c r="H8" s="171">
        <v>1</v>
      </c>
      <c r="I8" s="171">
        <v>1</v>
      </c>
      <c r="J8" s="171">
        <v>1</v>
      </c>
      <c r="K8" s="171">
        <v>4</v>
      </c>
      <c r="L8" s="171"/>
      <c r="M8" s="171"/>
      <c r="N8" s="171"/>
      <c r="O8" s="171"/>
      <c r="P8" s="171"/>
      <c r="Q8" s="171"/>
      <c r="R8" s="171"/>
      <c r="S8" s="171"/>
      <c r="T8" s="171"/>
      <c r="U8" s="171">
        <v>1</v>
      </c>
      <c r="V8" s="171"/>
      <c r="W8" s="171">
        <v>1</v>
      </c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171"/>
      <c r="AI8" s="171"/>
      <c r="AJ8" s="171"/>
      <c r="AK8" s="171"/>
      <c r="AL8" s="171">
        <v>1</v>
      </c>
      <c r="AM8" s="22"/>
      <c r="AN8" s="22">
        <f t="shared" si="2"/>
        <v>12</v>
      </c>
      <c r="AO8" s="171" t="s">
        <v>1394</v>
      </c>
    </row>
    <row r="9" spans="1:41" ht="15.75" customHeight="1">
      <c r="A9" s="167" t="s">
        <v>97</v>
      </c>
      <c r="B9" s="22" t="s">
        <v>96</v>
      </c>
      <c r="C9" s="168">
        <v>1</v>
      </c>
      <c r="D9" s="169" t="b">
        <v>1</v>
      </c>
      <c r="E9" s="170" t="s">
        <v>1395</v>
      </c>
      <c r="F9" s="171">
        <v>1</v>
      </c>
      <c r="G9" s="171">
        <v>1</v>
      </c>
      <c r="H9" s="171">
        <v>1</v>
      </c>
      <c r="I9" s="171">
        <v>1</v>
      </c>
      <c r="J9" s="171">
        <v>1</v>
      </c>
      <c r="K9" s="171">
        <v>4</v>
      </c>
      <c r="L9" s="171"/>
      <c r="M9" s="171">
        <v>1</v>
      </c>
      <c r="N9" s="171"/>
      <c r="O9" s="171"/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1"/>
      <c r="AC9" s="171"/>
      <c r="AD9" s="171"/>
      <c r="AE9" s="171"/>
      <c r="AF9" s="171"/>
      <c r="AG9" s="171"/>
      <c r="AH9" s="171"/>
      <c r="AI9" s="171"/>
      <c r="AJ9" s="171"/>
      <c r="AK9" s="171"/>
      <c r="AL9" s="171">
        <v>1</v>
      </c>
      <c r="AM9" s="22"/>
      <c r="AN9" s="22">
        <f t="shared" si="2"/>
        <v>11</v>
      </c>
      <c r="AO9" s="171" t="s">
        <v>1396</v>
      </c>
    </row>
    <row r="10" spans="1:41" ht="15.75" customHeight="1">
      <c r="A10" s="167" t="s">
        <v>272</v>
      </c>
      <c r="B10" s="22" t="s">
        <v>271</v>
      </c>
      <c r="C10" s="168">
        <v>1</v>
      </c>
      <c r="D10" s="169" t="b">
        <v>1</v>
      </c>
      <c r="E10" s="170" t="s">
        <v>1397</v>
      </c>
      <c r="F10" s="171">
        <v>1</v>
      </c>
      <c r="G10" s="171">
        <v>1</v>
      </c>
      <c r="H10" s="171">
        <v>1</v>
      </c>
      <c r="I10" s="171">
        <v>1</v>
      </c>
      <c r="J10" s="171">
        <v>1</v>
      </c>
      <c r="K10" s="171">
        <v>3</v>
      </c>
      <c r="L10" s="171">
        <v>1</v>
      </c>
      <c r="M10" s="171">
        <v>1</v>
      </c>
      <c r="N10" s="171"/>
      <c r="O10" s="171"/>
      <c r="P10" s="171"/>
      <c r="Q10" s="171"/>
      <c r="R10" s="171"/>
      <c r="S10" s="171"/>
      <c r="T10" s="171">
        <v>1</v>
      </c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22"/>
      <c r="AN10" s="22">
        <f t="shared" si="2"/>
        <v>11</v>
      </c>
      <c r="AO10" s="171"/>
    </row>
    <row r="11" spans="1:41" ht="15.75" customHeight="1">
      <c r="A11" s="167" t="s">
        <v>332</v>
      </c>
      <c r="B11" s="22" t="s">
        <v>331</v>
      </c>
      <c r="C11" s="168">
        <v>1</v>
      </c>
      <c r="D11" s="169" t="b">
        <v>1</v>
      </c>
      <c r="E11" s="170" t="s">
        <v>1398</v>
      </c>
      <c r="F11" s="171">
        <v>1</v>
      </c>
      <c r="G11" s="171">
        <v>1</v>
      </c>
      <c r="H11" s="171">
        <v>1</v>
      </c>
      <c r="I11" s="171">
        <v>1</v>
      </c>
      <c r="J11" s="171">
        <v>1</v>
      </c>
      <c r="K11" s="171">
        <v>3</v>
      </c>
      <c r="L11" s="171">
        <v>1</v>
      </c>
      <c r="M11" s="171"/>
      <c r="N11" s="171"/>
      <c r="O11" s="171">
        <v>1</v>
      </c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>
        <v>1</v>
      </c>
      <c r="AH11" s="171"/>
      <c r="AI11" s="171"/>
      <c r="AJ11" s="171"/>
      <c r="AK11" s="171"/>
      <c r="AL11" s="171"/>
      <c r="AM11" s="22"/>
      <c r="AN11" s="22">
        <f t="shared" si="2"/>
        <v>11</v>
      </c>
      <c r="AO11" s="171"/>
    </row>
    <row r="12" spans="1:41" ht="15.75" customHeight="1">
      <c r="A12" s="167" t="s">
        <v>570</v>
      </c>
      <c r="B12" s="22" t="s">
        <v>569</v>
      </c>
      <c r="C12" s="168">
        <v>1</v>
      </c>
      <c r="D12" s="169" t="b">
        <v>1</v>
      </c>
      <c r="E12" s="170" t="s">
        <v>1399</v>
      </c>
      <c r="F12" s="171">
        <v>1</v>
      </c>
      <c r="G12" s="171">
        <v>1</v>
      </c>
      <c r="H12" s="171">
        <v>1</v>
      </c>
      <c r="I12" s="171">
        <v>1</v>
      </c>
      <c r="J12" s="171">
        <v>1</v>
      </c>
      <c r="K12" s="171"/>
      <c r="L12" s="171">
        <v>1</v>
      </c>
      <c r="M12" s="171">
        <v>1</v>
      </c>
      <c r="N12" s="171"/>
      <c r="O12" s="171"/>
      <c r="P12" s="171"/>
      <c r="Q12" s="171"/>
      <c r="R12" s="171">
        <v>1</v>
      </c>
      <c r="S12" s="171"/>
      <c r="T12" s="171"/>
      <c r="U12" s="171"/>
      <c r="V12" s="171">
        <v>1</v>
      </c>
      <c r="W12" s="171"/>
      <c r="X12" s="171"/>
      <c r="Y12" s="171"/>
      <c r="Z12" s="171"/>
      <c r="AA12" s="171"/>
      <c r="AB12" s="171"/>
      <c r="AC12" s="171"/>
      <c r="AD12" s="171"/>
      <c r="AE12" s="171"/>
      <c r="AF12" s="171"/>
      <c r="AG12" s="171"/>
      <c r="AH12" s="171"/>
      <c r="AI12" s="171">
        <v>1</v>
      </c>
      <c r="AJ12" s="171"/>
      <c r="AK12" s="171"/>
      <c r="AL12" s="171">
        <v>1</v>
      </c>
      <c r="AM12" s="22"/>
      <c r="AN12" s="22">
        <f t="shared" si="2"/>
        <v>11</v>
      </c>
      <c r="AO12" s="171" t="s">
        <v>1400</v>
      </c>
    </row>
    <row r="13" spans="1:41" ht="15.75" customHeight="1">
      <c r="A13" s="167" t="s">
        <v>882</v>
      </c>
      <c r="B13" s="22" t="s">
        <v>881</v>
      </c>
      <c r="C13" s="168">
        <v>1</v>
      </c>
      <c r="D13" s="169" t="b">
        <v>1</v>
      </c>
      <c r="E13" s="170" t="s">
        <v>1401</v>
      </c>
      <c r="F13" s="171">
        <v>1</v>
      </c>
      <c r="G13" s="171">
        <v>1</v>
      </c>
      <c r="H13" s="171">
        <v>1</v>
      </c>
      <c r="I13" s="171">
        <v>1</v>
      </c>
      <c r="J13" s="171">
        <v>1</v>
      </c>
      <c r="K13" s="171">
        <v>4</v>
      </c>
      <c r="L13" s="171">
        <v>1</v>
      </c>
      <c r="M13" s="171"/>
      <c r="N13" s="171"/>
      <c r="O13" s="171">
        <v>1</v>
      </c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171"/>
      <c r="AI13" s="171"/>
      <c r="AJ13" s="171"/>
      <c r="AK13" s="171"/>
      <c r="AL13" s="171"/>
      <c r="AM13" s="22"/>
      <c r="AN13" s="22">
        <f t="shared" si="2"/>
        <v>11</v>
      </c>
      <c r="AO13" s="171"/>
    </row>
    <row r="14" spans="1:41" ht="15.75" customHeight="1">
      <c r="A14" s="167" t="s">
        <v>580</v>
      </c>
      <c r="B14" s="22" t="s">
        <v>579</v>
      </c>
      <c r="C14" s="168">
        <v>1</v>
      </c>
      <c r="D14" s="169" t="b">
        <v>1</v>
      </c>
      <c r="E14" s="170" t="s">
        <v>1402</v>
      </c>
      <c r="F14" s="171">
        <v>1</v>
      </c>
      <c r="G14" s="171">
        <v>1</v>
      </c>
      <c r="H14" s="171">
        <v>1</v>
      </c>
      <c r="I14" s="171">
        <v>1</v>
      </c>
      <c r="J14" s="171">
        <v>1</v>
      </c>
      <c r="K14" s="171">
        <v>4</v>
      </c>
      <c r="L14" s="171"/>
      <c r="M14" s="171"/>
      <c r="N14" s="171"/>
      <c r="O14" s="171"/>
      <c r="P14" s="171"/>
      <c r="Q14" s="171"/>
      <c r="R14" s="171"/>
      <c r="S14" s="171">
        <v>1</v>
      </c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171"/>
      <c r="AI14" s="171"/>
      <c r="AJ14" s="171"/>
      <c r="AK14" s="171"/>
      <c r="AL14" s="171"/>
      <c r="AM14" s="22"/>
      <c r="AN14" s="22">
        <f t="shared" si="2"/>
        <v>10</v>
      </c>
      <c r="AO14" s="171" t="s">
        <v>1403</v>
      </c>
    </row>
    <row r="15" spans="1:41" ht="15.75" customHeight="1">
      <c r="A15" s="167" t="s">
        <v>102</v>
      </c>
      <c r="B15" s="22" t="s">
        <v>101</v>
      </c>
      <c r="C15" s="168">
        <v>1</v>
      </c>
      <c r="D15" s="169" t="b">
        <v>1</v>
      </c>
      <c r="E15" s="170" t="s">
        <v>1404</v>
      </c>
      <c r="F15" s="171">
        <v>1</v>
      </c>
      <c r="G15" s="171">
        <v>1</v>
      </c>
      <c r="H15" s="171">
        <v>1</v>
      </c>
      <c r="I15" s="171">
        <v>1</v>
      </c>
      <c r="J15" s="171">
        <v>1</v>
      </c>
      <c r="K15" s="171">
        <v>3</v>
      </c>
      <c r="L15" s="171"/>
      <c r="M15" s="171"/>
      <c r="N15" s="171"/>
      <c r="O15" s="171"/>
      <c r="P15" s="171"/>
      <c r="Q15" s="171"/>
      <c r="R15" s="171"/>
      <c r="S15" s="171"/>
      <c r="T15" s="171"/>
      <c r="U15" s="171">
        <v>1</v>
      </c>
      <c r="V15" s="171"/>
      <c r="W15" s="171"/>
      <c r="X15" s="171"/>
      <c r="Y15" s="171"/>
      <c r="Z15" s="171"/>
      <c r="AA15" s="171"/>
      <c r="AB15" s="171"/>
      <c r="AC15" s="171"/>
      <c r="AD15" s="171">
        <v>1</v>
      </c>
      <c r="AE15" s="171"/>
      <c r="AF15" s="171"/>
      <c r="AG15" s="171"/>
      <c r="AH15" s="171"/>
      <c r="AI15" s="171"/>
      <c r="AJ15" s="171"/>
      <c r="AK15" s="171"/>
      <c r="AL15" s="171"/>
      <c r="AM15" s="22"/>
      <c r="AN15" s="22">
        <f t="shared" si="2"/>
        <v>10</v>
      </c>
      <c r="AO15" s="175"/>
    </row>
    <row r="16" spans="1:41" ht="15.75" customHeight="1">
      <c r="A16" s="167" t="s">
        <v>163</v>
      </c>
      <c r="B16" s="22" t="s">
        <v>162</v>
      </c>
      <c r="C16" s="168">
        <v>1</v>
      </c>
      <c r="D16" s="169" t="b">
        <v>1</v>
      </c>
      <c r="E16" s="170" t="s">
        <v>1405</v>
      </c>
      <c r="F16" s="171">
        <v>1</v>
      </c>
      <c r="G16" s="171">
        <v>1</v>
      </c>
      <c r="H16" s="171">
        <v>1</v>
      </c>
      <c r="I16" s="171">
        <v>1</v>
      </c>
      <c r="J16" s="171">
        <v>1</v>
      </c>
      <c r="K16" s="171">
        <v>3</v>
      </c>
      <c r="L16" s="171"/>
      <c r="M16" s="171">
        <v>1</v>
      </c>
      <c r="N16" s="171"/>
      <c r="O16" s="171"/>
      <c r="P16" s="171"/>
      <c r="Q16" s="171"/>
      <c r="R16" s="171">
        <v>1</v>
      </c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171"/>
      <c r="AI16" s="171"/>
      <c r="AJ16" s="171"/>
      <c r="AK16" s="171"/>
      <c r="AL16" s="171"/>
      <c r="AM16" s="22"/>
      <c r="AN16" s="22">
        <f t="shared" si="2"/>
        <v>10</v>
      </c>
      <c r="AO16" s="171"/>
    </row>
    <row r="17" spans="1:41" ht="15.75" customHeight="1">
      <c r="A17" s="167" t="s">
        <v>400</v>
      </c>
      <c r="B17" s="22" t="s">
        <v>399</v>
      </c>
      <c r="C17" s="168">
        <v>1</v>
      </c>
      <c r="D17" s="169" t="b">
        <v>1</v>
      </c>
      <c r="E17" s="170" t="s">
        <v>1406</v>
      </c>
      <c r="F17" s="171">
        <v>1</v>
      </c>
      <c r="G17" s="171">
        <v>1</v>
      </c>
      <c r="H17" s="171">
        <v>1</v>
      </c>
      <c r="I17" s="171">
        <v>1</v>
      </c>
      <c r="J17" s="171">
        <v>1</v>
      </c>
      <c r="K17" s="171">
        <v>4</v>
      </c>
      <c r="L17" s="171">
        <v>1</v>
      </c>
      <c r="M17" s="171"/>
      <c r="N17" s="171"/>
      <c r="O17" s="171"/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1"/>
      <c r="AC17" s="171"/>
      <c r="AD17" s="171"/>
      <c r="AE17" s="171"/>
      <c r="AF17" s="171"/>
      <c r="AG17" s="171"/>
      <c r="AH17" s="171"/>
      <c r="AI17" s="171"/>
      <c r="AJ17" s="171"/>
      <c r="AK17" s="171"/>
      <c r="AL17" s="171"/>
      <c r="AM17" s="22"/>
      <c r="AN17" s="22">
        <f t="shared" si="2"/>
        <v>10</v>
      </c>
      <c r="AO17" s="171"/>
    </row>
    <row r="18" spans="1:41" ht="15.75" customHeight="1">
      <c r="A18" s="167" t="s">
        <v>548</v>
      </c>
      <c r="B18" s="22" t="s">
        <v>547</v>
      </c>
      <c r="C18" s="168">
        <v>1</v>
      </c>
      <c r="D18" s="169" t="b">
        <v>1</v>
      </c>
      <c r="E18" s="170" t="s">
        <v>1407</v>
      </c>
      <c r="F18" s="171">
        <v>1</v>
      </c>
      <c r="G18" s="171">
        <v>1</v>
      </c>
      <c r="H18" s="171">
        <v>1</v>
      </c>
      <c r="I18" s="171">
        <v>1</v>
      </c>
      <c r="J18" s="171">
        <v>1</v>
      </c>
      <c r="K18" s="171">
        <v>2</v>
      </c>
      <c r="L18" s="171"/>
      <c r="M18" s="171"/>
      <c r="N18" s="171"/>
      <c r="O18" s="171"/>
      <c r="P18" s="171"/>
      <c r="Q18" s="171"/>
      <c r="R18" s="171"/>
      <c r="S18" s="171"/>
      <c r="T18" s="171">
        <v>1</v>
      </c>
      <c r="U18" s="171"/>
      <c r="V18" s="171">
        <v>1</v>
      </c>
      <c r="W18" s="171"/>
      <c r="X18" s="171"/>
      <c r="Y18" s="171"/>
      <c r="Z18" s="171"/>
      <c r="AA18" s="171"/>
      <c r="AB18" s="171"/>
      <c r="AC18" s="171"/>
      <c r="AD18" s="171">
        <v>1</v>
      </c>
      <c r="AE18" s="171"/>
      <c r="AF18" s="171"/>
      <c r="AG18" s="171"/>
      <c r="AH18" s="171"/>
      <c r="AI18" s="171"/>
      <c r="AJ18" s="171"/>
      <c r="AK18" s="171"/>
      <c r="AL18" s="171"/>
      <c r="AM18" s="22"/>
      <c r="AN18" s="22">
        <f t="shared" si="2"/>
        <v>10</v>
      </c>
      <c r="AO18" s="171"/>
    </row>
    <row r="19" spans="1:41" ht="15.75" customHeight="1">
      <c r="A19" s="167" t="s">
        <v>632</v>
      </c>
      <c r="B19" s="22" t="s">
        <v>631</v>
      </c>
      <c r="C19" s="168">
        <v>1</v>
      </c>
      <c r="D19" s="169" t="b">
        <v>1</v>
      </c>
      <c r="E19" s="170" t="s">
        <v>1408</v>
      </c>
      <c r="F19" s="171">
        <v>1</v>
      </c>
      <c r="G19" s="171">
        <v>1</v>
      </c>
      <c r="H19" s="171">
        <v>1</v>
      </c>
      <c r="I19" s="171">
        <v>1</v>
      </c>
      <c r="J19" s="171">
        <v>1</v>
      </c>
      <c r="K19" s="171">
        <v>2</v>
      </c>
      <c r="L19" s="171">
        <v>1</v>
      </c>
      <c r="M19" s="171">
        <v>1</v>
      </c>
      <c r="N19" s="171"/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171"/>
      <c r="AI19" s="171"/>
      <c r="AJ19" s="171"/>
      <c r="AK19" s="171"/>
      <c r="AL19" s="171">
        <v>1</v>
      </c>
      <c r="AM19" s="22"/>
      <c r="AN19" s="22">
        <f t="shared" si="2"/>
        <v>10</v>
      </c>
      <c r="AO19" s="171" t="s">
        <v>1409</v>
      </c>
    </row>
    <row r="20" spans="1:41" ht="15.75" customHeight="1">
      <c r="A20" s="167" t="s">
        <v>770</v>
      </c>
      <c r="B20" s="22" t="s">
        <v>769</v>
      </c>
      <c r="C20" s="168">
        <v>1</v>
      </c>
      <c r="D20" s="169" t="b">
        <v>1</v>
      </c>
      <c r="E20" s="170" t="s">
        <v>1410</v>
      </c>
      <c r="F20" s="171">
        <v>1</v>
      </c>
      <c r="G20" s="171">
        <v>1</v>
      </c>
      <c r="H20" s="171">
        <v>1</v>
      </c>
      <c r="I20" s="171">
        <v>1</v>
      </c>
      <c r="J20" s="171">
        <v>1</v>
      </c>
      <c r="K20" s="171">
        <v>2</v>
      </c>
      <c r="L20" s="171"/>
      <c r="M20" s="171"/>
      <c r="N20" s="171"/>
      <c r="O20" s="171"/>
      <c r="P20" s="171"/>
      <c r="Q20" s="171"/>
      <c r="R20" s="171"/>
      <c r="S20" s="171"/>
      <c r="T20" s="171">
        <v>1</v>
      </c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171"/>
      <c r="AI20" s="171"/>
      <c r="AJ20" s="171"/>
      <c r="AK20" s="171"/>
      <c r="AL20" s="171">
        <v>2</v>
      </c>
      <c r="AM20" s="22"/>
      <c r="AN20" s="22">
        <f t="shared" si="2"/>
        <v>10</v>
      </c>
      <c r="AO20" s="171" t="s">
        <v>1411</v>
      </c>
    </row>
    <row r="21" spans="1:41" ht="15.75" customHeight="1">
      <c r="A21" s="167" t="s">
        <v>794</v>
      </c>
      <c r="B21" s="22" t="s">
        <v>793</v>
      </c>
      <c r="C21" s="168">
        <v>1</v>
      </c>
      <c r="D21" s="169" t="b">
        <v>1</v>
      </c>
      <c r="E21" s="170" t="s">
        <v>1412</v>
      </c>
      <c r="F21" s="171">
        <v>1</v>
      </c>
      <c r="G21" s="171">
        <v>1</v>
      </c>
      <c r="H21" s="171">
        <v>1</v>
      </c>
      <c r="I21" s="171">
        <v>1</v>
      </c>
      <c r="J21" s="171">
        <v>1</v>
      </c>
      <c r="K21" s="171">
        <v>2</v>
      </c>
      <c r="L21" s="171"/>
      <c r="M21" s="171"/>
      <c r="N21" s="171"/>
      <c r="O21" s="171"/>
      <c r="P21" s="171"/>
      <c r="Q21" s="171"/>
      <c r="R21" s="171"/>
      <c r="S21" s="171"/>
      <c r="T21" s="171">
        <v>1</v>
      </c>
      <c r="U21" s="171">
        <v>1</v>
      </c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/>
      <c r="AH21" s="171"/>
      <c r="AI21" s="171"/>
      <c r="AJ21" s="171"/>
      <c r="AK21" s="171"/>
      <c r="AL21" s="171">
        <v>1</v>
      </c>
      <c r="AM21" s="22"/>
      <c r="AN21" s="22">
        <f t="shared" si="2"/>
        <v>10</v>
      </c>
      <c r="AO21" s="171" t="s">
        <v>1413</v>
      </c>
    </row>
    <row r="22" spans="1:41" ht="15.75" customHeight="1">
      <c r="A22" s="167" t="s">
        <v>872</v>
      </c>
      <c r="B22" s="22" t="s">
        <v>871</v>
      </c>
      <c r="C22" s="168">
        <v>1</v>
      </c>
      <c r="D22" s="169" t="b">
        <v>1</v>
      </c>
      <c r="E22" s="170" t="s">
        <v>1414</v>
      </c>
      <c r="F22" s="171">
        <v>1</v>
      </c>
      <c r="G22" s="171">
        <v>1</v>
      </c>
      <c r="H22" s="171">
        <v>1</v>
      </c>
      <c r="I22" s="171">
        <v>1</v>
      </c>
      <c r="J22" s="171">
        <v>1</v>
      </c>
      <c r="K22" s="171">
        <v>1</v>
      </c>
      <c r="L22" s="171">
        <v>1</v>
      </c>
      <c r="M22" s="171">
        <v>1</v>
      </c>
      <c r="N22" s="171"/>
      <c r="O22" s="171"/>
      <c r="P22" s="171"/>
      <c r="Q22" s="171"/>
      <c r="R22" s="171">
        <v>1</v>
      </c>
      <c r="S22" s="171"/>
      <c r="T22" s="171"/>
      <c r="U22" s="171"/>
      <c r="V22" s="171">
        <v>1</v>
      </c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171"/>
      <c r="AI22" s="171"/>
      <c r="AJ22" s="171"/>
      <c r="AK22" s="171"/>
      <c r="AL22" s="171"/>
      <c r="AM22" s="22"/>
      <c r="AN22" s="22">
        <f t="shared" si="2"/>
        <v>10</v>
      </c>
      <c r="AO22" s="171"/>
    </row>
    <row r="23" spans="1:41" ht="15.75" customHeight="1">
      <c r="A23" s="167" t="s">
        <v>932</v>
      </c>
      <c r="B23" s="22" t="s">
        <v>931</v>
      </c>
      <c r="C23" s="168">
        <v>1</v>
      </c>
      <c r="D23" s="169" t="b">
        <v>1</v>
      </c>
      <c r="E23" s="170" t="s">
        <v>1415</v>
      </c>
      <c r="F23" s="171">
        <v>1</v>
      </c>
      <c r="G23" s="171">
        <v>1</v>
      </c>
      <c r="H23" s="171">
        <v>1</v>
      </c>
      <c r="I23" s="171">
        <v>1</v>
      </c>
      <c r="J23" s="171">
        <v>1</v>
      </c>
      <c r="K23" s="171">
        <v>2</v>
      </c>
      <c r="L23" s="171"/>
      <c r="M23" s="171"/>
      <c r="N23" s="171"/>
      <c r="O23" s="171">
        <v>1</v>
      </c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171"/>
      <c r="AI23" s="171"/>
      <c r="AJ23" s="171"/>
      <c r="AK23" s="171"/>
      <c r="AL23" s="171">
        <v>2</v>
      </c>
      <c r="AM23" s="22"/>
      <c r="AN23" s="22">
        <f t="shared" si="2"/>
        <v>10</v>
      </c>
      <c r="AO23" s="171" t="s">
        <v>1416</v>
      </c>
    </row>
    <row r="24" spans="1:41" ht="15.75" customHeight="1">
      <c r="A24" s="167" t="s">
        <v>978</v>
      </c>
      <c r="B24" s="22" t="s">
        <v>977</v>
      </c>
      <c r="C24" s="168">
        <v>1</v>
      </c>
      <c r="D24" s="169" t="b">
        <v>1</v>
      </c>
      <c r="E24" s="170" t="s">
        <v>1417</v>
      </c>
      <c r="F24" s="171">
        <v>1</v>
      </c>
      <c r="G24" s="171">
        <v>1</v>
      </c>
      <c r="H24" s="171">
        <v>1</v>
      </c>
      <c r="I24" s="171">
        <v>1</v>
      </c>
      <c r="J24" s="171">
        <v>1</v>
      </c>
      <c r="K24" s="171">
        <v>4</v>
      </c>
      <c r="L24" s="171">
        <v>1</v>
      </c>
      <c r="M24" s="171"/>
      <c r="N24" s="171"/>
      <c r="O24" s="171"/>
      <c r="P24" s="171"/>
      <c r="Q24" s="171"/>
      <c r="R24" s="171"/>
      <c r="S24" s="171"/>
      <c r="T24" s="171"/>
      <c r="U24" s="171"/>
      <c r="V24" s="171"/>
      <c r="W24" s="171"/>
      <c r="X24" s="171"/>
      <c r="Y24" s="171"/>
      <c r="Z24" s="171"/>
      <c r="AA24" s="171"/>
      <c r="AB24" s="171"/>
      <c r="AC24" s="171"/>
      <c r="AD24" s="171"/>
      <c r="AE24" s="171"/>
      <c r="AF24" s="171"/>
      <c r="AG24" s="171"/>
      <c r="AH24" s="171"/>
      <c r="AI24" s="171"/>
      <c r="AJ24" s="171"/>
      <c r="AK24" s="171"/>
      <c r="AL24" s="171"/>
      <c r="AM24" s="22"/>
      <c r="AN24" s="22">
        <f t="shared" si="2"/>
        <v>10</v>
      </c>
      <c r="AO24" s="171"/>
    </row>
    <row r="25" spans="1:41" ht="15.75" customHeight="1">
      <c r="A25" s="167" t="s">
        <v>1034</v>
      </c>
      <c r="B25" s="22" t="s">
        <v>1033</v>
      </c>
      <c r="C25" s="168">
        <v>1</v>
      </c>
      <c r="D25" s="169" t="b">
        <v>1</v>
      </c>
      <c r="E25" s="174" t="s">
        <v>1418</v>
      </c>
      <c r="F25" s="171">
        <v>1</v>
      </c>
      <c r="G25" s="171">
        <v>1</v>
      </c>
      <c r="H25" s="171">
        <v>1</v>
      </c>
      <c r="I25" s="171">
        <v>1</v>
      </c>
      <c r="J25" s="171">
        <v>1</v>
      </c>
      <c r="K25" s="171">
        <v>1</v>
      </c>
      <c r="L25" s="171">
        <v>1</v>
      </c>
      <c r="M25" s="171"/>
      <c r="N25" s="171"/>
      <c r="O25" s="171"/>
      <c r="P25" s="171"/>
      <c r="Q25" s="171"/>
      <c r="R25" s="171"/>
      <c r="S25" s="171"/>
      <c r="T25" s="171">
        <v>1</v>
      </c>
      <c r="U25" s="171"/>
      <c r="V25" s="171">
        <v>1</v>
      </c>
      <c r="W25" s="171"/>
      <c r="X25" s="171"/>
      <c r="Y25" s="171"/>
      <c r="Z25" s="171"/>
      <c r="AA25" s="171"/>
      <c r="AB25" s="171"/>
      <c r="AC25" s="171"/>
      <c r="AD25" s="171"/>
      <c r="AE25" s="171"/>
      <c r="AF25" s="171"/>
      <c r="AG25" s="171"/>
      <c r="AH25" s="171"/>
      <c r="AI25" s="171"/>
      <c r="AJ25" s="171"/>
      <c r="AK25" s="171"/>
      <c r="AL25" s="171">
        <v>1</v>
      </c>
      <c r="AM25" s="22"/>
      <c r="AN25" s="22">
        <f t="shared" si="2"/>
        <v>10</v>
      </c>
      <c r="AO25" s="171" t="s">
        <v>1419</v>
      </c>
    </row>
    <row r="26" spans="1:41" ht="15.75" customHeight="1">
      <c r="A26" s="167" t="s">
        <v>1054</v>
      </c>
      <c r="B26" s="22" t="s">
        <v>1053</v>
      </c>
      <c r="C26" s="168">
        <v>1</v>
      </c>
      <c r="D26" s="169" t="b">
        <v>1</v>
      </c>
      <c r="E26" s="170" t="s">
        <v>1420</v>
      </c>
      <c r="F26" s="171">
        <v>1</v>
      </c>
      <c r="G26" s="171">
        <v>1</v>
      </c>
      <c r="H26" s="171">
        <v>1</v>
      </c>
      <c r="I26" s="171">
        <v>1</v>
      </c>
      <c r="J26" s="171">
        <v>1</v>
      </c>
      <c r="K26" s="171">
        <v>3</v>
      </c>
      <c r="L26" s="171">
        <v>1</v>
      </c>
      <c r="M26" s="171"/>
      <c r="N26" s="171"/>
      <c r="O26" s="171"/>
      <c r="P26" s="171">
        <v>1</v>
      </c>
      <c r="Q26" s="171"/>
      <c r="R26" s="171"/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/>
      <c r="AE26" s="171"/>
      <c r="AF26" s="171"/>
      <c r="AG26" s="171"/>
      <c r="AH26" s="171"/>
      <c r="AI26" s="171"/>
      <c r="AJ26" s="171"/>
      <c r="AK26" s="171"/>
      <c r="AL26" s="171"/>
      <c r="AM26" s="22"/>
      <c r="AN26" s="22">
        <f t="shared" si="2"/>
        <v>10</v>
      </c>
      <c r="AO26" s="171"/>
    </row>
    <row r="27" spans="1:41" ht="15.75" customHeight="1">
      <c r="A27" s="167" t="s">
        <v>1147</v>
      </c>
      <c r="B27" s="22" t="s">
        <v>1146</v>
      </c>
      <c r="C27" s="168">
        <v>1</v>
      </c>
      <c r="D27" s="169" t="b">
        <v>1</v>
      </c>
      <c r="E27" s="170" t="s">
        <v>1421</v>
      </c>
      <c r="F27" s="171"/>
      <c r="G27" s="171"/>
      <c r="H27" s="171"/>
      <c r="I27" s="171">
        <v>1</v>
      </c>
      <c r="J27" s="171"/>
      <c r="K27" s="171">
        <v>1</v>
      </c>
      <c r="L27" s="171"/>
      <c r="M27" s="171"/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>
        <v>1</v>
      </c>
      <c r="Z27" s="171">
        <v>1</v>
      </c>
      <c r="AA27" s="171">
        <v>1</v>
      </c>
      <c r="AB27" s="171">
        <v>1</v>
      </c>
      <c r="AC27" s="171"/>
      <c r="AD27" s="171"/>
      <c r="AE27" s="171">
        <v>1</v>
      </c>
      <c r="AF27" s="171">
        <v>1</v>
      </c>
      <c r="AG27" s="171"/>
      <c r="AH27" s="171"/>
      <c r="AI27" s="171"/>
      <c r="AJ27" s="171"/>
      <c r="AK27" s="171"/>
      <c r="AL27" s="171">
        <v>2</v>
      </c>
      <c r="AM27" s="22"/>
      <c r="AN27" s="22">
        <f t="shared" si="2"/>
        <v>10</v>
      </c>
      <c r="AO27" s="171" t="s">
        <v>1422</v>
      </c>
    </row>
    <row r="28" spans="1:41" ht="15.75" customHeight="1">
      <c r="A28" s="167" t="s">
        <v>1171</v>
      </c>
      <c r="B28" s="22" t="s">
        <v>1170</v>
      </c>
      <c r="C28" s="168">
        <v>1</v>
      </c>
      <c r="D28" s="169" t="b">
        <v>1</v>
      </c>
      <c r="E28" s="174" t="s">
        <v>1423</v>
      </c>
      <c r="F28" s="171">
        <v>1</v>
      </c>
      <c r="G28" s="171"/>
      <c r="H28" s="171"/>
      <c r="I28" s="171">
        <v>1</v>
      </c>
      <c r="J28" s="171"/>
      <c r="K28" s="171">
        <v>2</v>
      </c>
      <c r="L28" s="171"/>
      <c r="M28" s="171"/>
      <c r="N28" s="171"/>
      <c r="O28" s="171"/>
      <c r="P28" s="171"/>
      <c r="Q28" s="171"/>
      <c r="R28" s="171"/>
      <c r="S28" s="171"/>
      <c r="T28" s="171"/>
      <c r="U28" s="171"/>
      <c r="V28" s="171"/>
      <c r="W28" s="171"/>
      <c r="X28" s="171"/>
      <c r="Y28" s="171">
        <v>1</v>
      </c>
      <c r="Z28" s="171">
        <v>1</v>
      </c>
      <c r="AA28" s="171">
        <v>1</v>
      </c>
      <c r="AB28" s="171">
        <v>1</v>
      </c>
      <c r="AC28" s="171"/>
      <c r="AD28" s="171"/>
      <c r="AE28" s="171">
        <v>1</v>
      </c>
      <c r="AF28" s="171">
        <v>1</v>
      </c>
      <c r="AG28" s="171"/>
      <c r="AH28" s="171"/>
      <c r="AI28" s="171"/>
      <c r="AJ28" s="171"/>
      <c r="AK28" s="171"/>
      <c r="AL28" s="171"/>
      <c r="AM28" s="22"/>
      <c r="AN28" s="22">
        <f t="shared" si="2"/>
        <v>10</v>
      </c>
      <c r="AO28" s="171"/>
    </row>
    <row r="29" spans="1:41" ht="15.75" customHeight="1">
      <c r="A29" s="167" t="s">
        <v>1228</v>
      </c>
      <c r="B29" s="22" t="s">
        <v>1227</v>
      </c>
      <c r="C29" s="168">
        <v>1</v>
      </c>
      <c r="D29" s="169" t="b">
        <v>1</v>
      </c>
      <c r="E29" s="170" t="s">
        <v>1424</v>
      </c>
      <c r="F29" s="171">
        <v>1</v>
      </c>
      <c r="G29" s="171">
        <v>1</v>
      </c>
      <c r="H29" s="171">
        <v>1</v>
      </c>
      <c r="I29" s="171"/>
      <c r="J29" s="171">
        <v>1</v>
      </c>
      <c r="K29" s="171">
        <v>1</v>
      </c>
      <c r="L29" s="171">
        <v>1</v>
      </c>
      <c r="M29" s="171"/>
      <c r="N29" s="171">
        <v>1</v>
      </c>
      <c r="O29" s="171"/>
      <c r="P29" s="171">
        <v>1</v>
      </c>
      <c r="Q29" s="171"/>
      <c r="R29" s="171"/>
      <c r="S29" s="171"/>
      <c r="T29" s="171"/>
      <c r="U29" s="171"/>
      <c r="V29" s="171"/>
      <c r="W29" s="171"/>
      <c r="X29" s="171">
        <v>1</v>
      </c>
      <c r="Y29" s="171"/>
      <c r="Z29" s="171"/>
      <c r="AA29" s="171"/>
      <c r="AB29" s="171"/>
      <c r="AC29" s="171">
        <v>1</v>
      </c>
      <c r="AD29" s="171"/>
      <c r="AE29" s="171"/>
      <c r="AF29" s="171"/>
      <c r="AG29" s="171"/>
      <c r="AH29" s="171"/>
      <c r="AI29" s="171"/>
      <c r="AJ29" s="171"/>
      <c r="AK29" s="171"/>
      <c r="AL29" s="171"/>
      <c r="AM29" s="22"/>
      <c r="AN29" s="22">
        <f t="shared" si="2"/>
        <v>10</v>
      </c>
      <c r="AO29" s="176"/>
    </row>
    <row r="30" spans="1:41" ht="15.75" customHeight="1">
      <c r="A30" s="167" t="s">
        <v>1236</v>
      </c>
      <c r="B30" s="22" t="s">
        <v>1235</v>
      </c>
      <c r="C30" s="168">
        <v>1</v>
      </c>
      <c r="D30" s="169" t="b">
        <v>1</v>
      </c>
      <c r="E30" s="170" t="s">
        <v>1425</v>
      </c>
      <c r="F30" s="171">
        <v>1</v>
      </c>
      <c r="G30" s="171">
        <v>1</v>
      </c>
      <c r="H30" s="171">
        <v>1</v>
      </c>
      <c r="I30" s="171">
        <v>1</v>
      </c>
      <c r="J30" s="171">
        <v>1</v>
      </c>
      <c r="K30" s="171">
        <v>1</v>
      </c>
      <c r="L30" s="171"/>
      <c r="M30" s="171"/>
      <c r="N30" s="171">
        <v>1</v>
      </c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/>
      <c r="AB30" s="171"/>
      <c r="AC30" s="171">
        <v>1</v>
      </c>
      <c r="AD30" s="171"/>
      <c r="AE30" s="171"/>
      <c r="AF30" s="171"/>
      <c r="AG30" s="171"/>
      <c r="AH30" s="171">
        <v>1</v>
      </c>
      <c r="AI30" s="171"/>
      <c r="AJ30" s="171">
        <v>1</v>
      </c>
      <c r="AK30" s="171"/>
      <c r="AL30" s="171"/>
      <c r="AM30" s="22"/>
      <c r="AN30" s="22">
        <f t="shared" si="2"/>
        <v>10</v>
      </c>
      <c r="AO30" s="171"/>
    </row>
    <row r="31" spans="1:41" ht="15.75" customHeight="1">
      <c r="A31" s="167" t="s">
        <v>1238</v>
      </c>
      <c r="B31" s="22" t="s">
        <v>1237</v>
      </c>
      <c r="C31" s="168">
        <v>1</v>
      </c>
      <c r="D31" s="169" t="b">
        <v>1</v>
      </c>
      <c r="E31" s="170" t="s">
        <v>1425</v>
      </c>
      <c r="F31" s="171">
        <v>1</v>
      </c>
      <c r="G31" s="171">
        <v>1</v>
      </c>
      <c r="H31" s="171">
        <v>1</v>
      </c>
      <c r="I31" s="171">
        <v>1</v>
      </c>
      <c r="J31" s="171">
        <v>1</v>
      </c>
      <c r="K31" s="171">
        <v>2</v>
      </c>
      <c r="L31" s="171"/>
      <c r="M31" s="171"/>
      <c r="N31" s="171">
        <v>1</v>
      </c>
      <c r="O31" s="171"/>
      <c r="P31" s="171"/>
      <c r="Q31" s="171"/>
      <c r="R31" s="171"/>
      <c r="S31" s="171"/>
      <c r="T31" s="171"/>
      <c r="U31" s="171"/>
      <c r="V31" s="171"/>
      <c r="W31" s="171"/>
      <c r="X31" s="171">
        <v>1</v>
      </c>
      <c r="Y31" s="171"/>
      <c r="Z31" s="171"/>
      <c r="AA31" s="171"/>
      <c r="AB31" s="171"/>
      <c r="AC31" s="171">
        <v>1</v>
      </c>
      <c r="AD31" s="171"/>
      <c r="AE31" s="171"/>
      <c r="AF31" s="171"/>
      <c r="AG31" s="171"/>
      <c r="AH31" s="171"/>
      <c r="AI31" s="171"/>
      <c r="AJ31" s="171"/>
      <c r="AK31" s="171"/>
      <c r="AL31" s="171"/>
      <c r="AM31" s="22"/>
      <c r="AN31" s="22">
        <f t="shared" si="2"/>
        <v>10</v>
      </c>
      <c r="AO31" s="171"/>
    </row>
    <row r="32" spans="1:41" ht="15.75" customHeight="1">
      <c r="A32" s="167" t="s">
        <v>602</v>
      </c>
      <c r="B32" s="22" t="s">
        <v>601</v>
      </c>
      <c r="C32" s="168">
        <v>1</v>
      </c>
      <c r="D32" s="169" t="b">
        <v>1</v>
      </c>
      <c r="E32" s="170" t="s">
        <v>1426</v>
      </c>
      <c r="F32" s="171">
        <v>1</v>
      </c>
      <c r="G32" s="171">
        <v>1</v>
      </c>
      <c r="H32" s="171">
        <v>1</v>
      </c>
      <c r="I32" s="171">
        <v>1</v>
      </c>
      <c r="J32" s="171">
        <v>1</v>
      </c>
      <c r="K32" s="171">
        <v>1</v>
      </c>
      <c r="L32" s="171"/>
      <c r="M32" s="171"/>
      <c r="N32" s="171"/>
      <c r="O32" s="171"/>
      <c r="P32" s="171"/>
      <c r="Q32" s="171"/>
      <c r="R32" s="171"/>
      <c r="S32" s="171">
        <v>1</v>
      </c>
      <c r="T32" s="171"/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171"/>
      <c r="AI32" s="171"/>
      <c r="AJ32" s="171"/>
      <c r="AK32" s="171">
        <v>1</v>
      </c>
      <c r="AL32" s="171">
        <v>1</v>
      </c>
      <c r="AM32" s="22"/>
      <c r="AN32" s="22">
        <f t="shared" si="2"/>
        <v>9</v>
      </c>
      <c r="AO32" s="171" t="s">
        <v>1427</v>
      </c>
    </row>
    <row r="33" spans="1:41" ht="15.75" customHeight="1">
      <c r="A33" s="167" t="s">
        <v>1102</v>
      </c>
      <c r="B33" s="22" t="s">
        <v>1101</v>
      </c>
      <c r="C33" s="168">
        <v>1</v>
      </c>
      <c r="D33" s="169" t="b">
        <v>1</v>
      </c>
      <c r="E33" s="170" t="s">
        <v>1428</v>
      </c>
      <c r="F33" s="171">
        <v>1</v>
      </c>
      <c r="G33" s="171">
        <v>1</v>
      </c>
      <c r="H33" s="171">
        <v>1</v>
      </c>
      <c r="I33" s="171">
        <v>1</v>
      </c>
      <c r="J33" s="171">
        <v>1</v>
      </c>
      <c r="K33" s="171">
        <v>2</v>
      </c>
      <c r="L33" s="171"/>
      <c r="M33" s="171">
        <v>1</v>
      </c>
      <c r="N33" s="171"/>
      <c r="O33" s="171"/>
      <c r="P33" s="171"/>
      <c r="Q33" s="171"/>
      <c r="R33" s="171"/>
      <c r="S33" s="171">
        <v>1</v>
      </c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171"/>
      <c r="AI33" s="171"/>
      <c r="AJ33" s="171"/>
      <c r="AK33" s="171"/>
      <c r="AL33" s="171"/>
      <c r="AM33" s="22"/>
      <c r="AN33" s="22">
        <f t="shared" si="2"/>
        <v>9</v>
      </c>
      <c r="AO33" s="171" t="s">
        <v>1429</v>
      </c>
    </row>
    <row r="34" spans="1:41" ht="15.75" customHeight="1">
      <c r="A34" s="167" t="s">
        <v>84</v>
      </c>
      <c r="B34" s="22" t="s">
        <v>83</v>
      </c>
      <c r="C34" s="168">
        <v>1</v>
      </c>
      <c r="D34" s="169" t="b">
        <v>1</v>
      </c>
      <c r="E34" s="170" t="s">
        <v>1430</v>
      </c>
      <c r="F34" s="171">
        <v>1</v>
      </c>
      <c r="G34" s="171">
        <v>1</v>
      </c>
      <c r="H34" s="171">
        <v>1</v>
      </c>
      <c r="I34" s="171">
        <v>1</v>
      </c>
      <c r="J34" s="171">
        <v>1</v>
      </c>
      <c r="K34" s="171">
        <v>3</v>
      </c>
      <c r="L34" s="171">
        <v>1</v>
      </c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171"/>
      <c r="AI34" s="171"/>
      <c r="AJ34" s="171"/>
      <c r="AK34" s="171"/>
      <c r="AL34" s="171"/>
      <c r="AM34" s="22"/>
      <c r="AN34" s="22">
        <f t="shared" si="2"/>
        <v>9</v>
      </c>
      <c r="AO34" s="171"/>
    </row>
    <row r="35" spans="1:41" ht="15.75" customHeight="1">
      <c r="A35" s="167" t="s">
        <v>87</v>
      </c>
      <c r="B35" s="22" t="s">
        <v>86</v>
      </c>
      <c r="C35" s="168">
        <v>1</v>
      </c>
      <c r="D35" s="169" t="b">
        <v>1</v>
      </c>
      <c r="E35" s="174" t="s">
        <v>1431</v>
      </c>
      <c r="F35" s="171">
        <v>1</v>
      </c>
      <c r="G35" s="171">
        <v>1</v>
      </c>
      <c r="H35" s="171">
        <v>1</v>
      </c>
      <c r="I35" s="171">
        <v>1</v>
      </c>
      <c r="J35" s="171">
        <v>1</v>
      </c>
      <c r="K35" s="171">
        <v>1</v>
      </c>
      <c r="L35" s="171">
        <v>1</v>
      </c>
      <c r="M35" s="171">
        <v>1</v>
      </c>
      <c r="N35" s="171"/>
      <c r="O35" s="171"/>
      <c r="P35" s="171"/>
      <c r="Q35" s="171"/>
      <c r="R35" s="171"/>
      <c r="S35" s="171"/>
      <c r="T35" s="171">
        <v>1</v>
      </c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/>
      <c r="AH35" s="171"/>
      <c r="AI35" s="171"/>
      <c r="AJ35" s="171"/>
      <c r="AK35" s="171"/>
      <c r="AL35" s="171"/>
      <c r="AM35" s="22"/>
      <c r="AN35" s="22">
        <f t="shared" si="2"/>
        <v>9</v>
      </c>
      <c r="AO35" s="171"/>
    </row>
    <row r="36" spans="1:41" ht="15.75" customHeight="1">
      <c r="A36" s="167" t="s">
        <v>131</v>
      </c>
      <c r="B36" s="22" t="s">
        <v>130</v>
      </c>
      <c r="C36" s="168">
        <v>1</v>
      </c>
      <c r="D36" s="169" t="b">
        <v>1</v>
      </c>
      <c r="E36" s="170" t="s">
        <v>1432</v>
      </c>
      <c r="F36" s="171">
        <v>1</v>
      </c>
      <c r="G36" s="171">
        <v>1</v>
      </c>
      <c r="H36" s="171">
        <v>1</v>
      </c>
      <c r="I36" s="171">
        <v>1</v>
      </c>
      <c r="J36" s="171">
        <v>1</v>
      </c>
      <c r="K36" s="171">
        <v>3</v>
      </c>
      <c r="L36" s="171">
        <v>1</v>
      </c>
      <c r="M36" s="171"/>
      <c r="N36" s="171"/>
      <c r="O36" s="171"/>
      <c r="P36" s="171"/>
      <c r="Q36" s="171"/>
      <c r="R36" s="171"/>
      <c r="S36" s="171"/>
      <c r="T36" s="171"/>
      <c r="U36" s="171"/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171"/>
      <c r="AI36" s="171"/>
      <c r="AJ36" s="171"/>
      <c r="AK36" s="171"/>
      <c r="AL36" s="171"/>
      <c r="AM36" s="22"/>
      <c r="AN36" s="22">
        <f t="shared" si="2"/>
        <v>9</v>
      </c>
      <c r="AO36" s="171"/>
    </row>
    <row r="37" spans="1:41" ht="15.75" customHeight="1">
      <c r="A37" s="167" t="s">
        <v>165</v>
      </c>
      <c r="B37" s="22" t="s">
        <v>164</v>
      </c>
      <c r="C37" s="168">
        <v>1</v>
      </c>
      <c r="D37" s="169" t="b">
        <v>1</v>
      </c>
      <c r="E37" s="170" t="s">
        <v>1405</v>
      </c>
      <c r="F37" s="171">
        <v>1</v>
      </c>
      <c r="G37" s="171">
        <v>1</v>
      </c>
      <c r="H37" s="171">
        <v>1</v>
      </c>
      <c r="I37" s="171">
        <v>1</v>
      </c>
      <c r="J37" s="171">
        <v>1</v>
      </c>
      <c r="K37" s="171">
        <v>1</v>
      </c>
      <c r="L37" s="171">
        <v>1</v>
      </c>
      <c r="M37" s="171"/>
      <c r="N37" s="171"/>
      <c r="O37" s="171"/>
      <c r="P37" s="171"/>
      <c r="Q37" s="171"/>
      <c r="R37" s="171">
        <v>1</v>
      </c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>
        <v>1</v>
      </c>
      <c r="AM37" s="22"/>
      <c r="AN37" s="22">
        <f t="shared" si="2"/>
        <v>9</v>
      </c>
      <c r="AO37" s="171" t="s">
        <v>1433</v>
      </c>
    </row>
    <row r="38" spans="1:41" ht="15.75" customHeight="1">
      <c r="A38" s="167" t="s">
        <v>171</v>
      </c>
      <c r="B38" s="22" t="s">
        <v>170</v>
      </c>
      <c r="C38" s="168">
        <v>1</v>
      </c>
      <c r="D38" s="169" t="b">
        <v>1</v>
      </c>
      <c r="E38" s="170" t="s">
        <v>1434</v>
      </c>
      <c r="F38" s="171">
        <v>1</v>
      </c>
      <c r="G38" s="171">
        <v>1</v>
      </c>
      <c r="H38" s="171">
        <v>1</v>
      </c>
      <c r="I38" s="171">
        <v>1</v>
      </c>
      <c r="J38" s="171">
        <v>1</v>
      </c>
      <c r="K38" s="171">
        <v>3</v>
      </c>
      <c r="L38" s="171">
        <v>1</v>
      </c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171"/>
      <c r="AI38" s="171"/>
      <c r="AJ38" s="171"/>
      <c r="AK38" s="171"/>
      <c r="AL38" s="171"/>
      <c r="AM38" s="22"/>
      <c r="AN38" s="22">
        <f t="shared" si="2"/>
        <v>9</v>
      </c>
      <c r="AO38" s="171"/>
    </row>
    <row r="39" spans="1:41" ht="15.75" customHeight="1">
      <c r="A39" s="167" t="s">
        <v>217</v>
      </c>
      <c r="B39" s="22" t="s">
        <v>216</v>
      </c>
      <c r="C39" s="168">
        <v>1</v>
      </c>
      <c r="D39" s="169" t="b">
        <v>1</v>
      </c>
      <c r="E39" s="170" t="s">
        <v>1435</v>
      </c>
      <c r="F39" s="171">
        <v>1</v>
      </c>
      <c r="G39" s="171">
        <v>1</v>
      </c>
      <c r="H39" s="171">
        <v>1</v>
      </c>
      <c r="I39" s="171">
        <v>1</v>
      </c>
      <c r="J39" s="171">
        <v>1</v>
      </c>
      <c r="K39" s="171">
        <v>1</v>
      </c>
      <c r="L39" s="171">
        <v>1</v>
      </c>
      <c r="M39" s="171"/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>
        <v>1</v>
      </c>
      <c r="AH39" s="171">
        <v>1</v>
      </c>
      <c r="AI39" s="171"/>
      <c r="AJ39" s="171"/>
      <c r="AK39" s="171"/>
      <c r="AL39" s="171"/>
      <c r="AM39" s="22"/>
      <c r="AN39" s="22">
        <f t="shared" si="2"/>
        <v>9</v>
      </c>
      <c r="AO39" s="171"/>
    </row>
    <row r="40" spans="1:41" ht="15.75" customHeight="1">
      <c r="A40" s="167" t="s">
        <v>245</v>
      </c>
      <c r="B40" s="22" t="s">
        <v>244</v>
      </c>
      <c r="C40" s="168">
        <v>1</v>
      </c>
      <c r="D40" s="169" t="b">
        <v>1</v>
      </c>
      <c r="E40" s="170" t="s">
        <v>1436</v>
      </c>
      <c r="F40" s="171">
        <v>1</v>
      </c>
      <c r="G40" s="171">
        <v>1</v>
      </c>
      <c r="H40" s="171">
        <v>1</v>
      </c>
      <c r="I40" s="171">
        <v>1</v>
      </c>
      <c r="J40" s="171">
        <v>1</v>
      </c>
      <c r="K40" s="171">
        <v>2</v>
      </c>
      <c r="L40" s="171">
        <v>1</v>
      </c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>
        <v>1</v>
      </c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171"/>
      <c r="AI40" s="171"/>
      <c r="AJ40" s="171"/>
      <c r="AK40" s="171"/>
      <c r="AL40" s="171"/>
      <c r="AM40" s="22"/>
      <c r="AN40" s="22">
        <f t="shared" si="2"/>
        <v>9</v>
      </c>
      <c r="AO40" s="171"/>
    </row>
    <row r="41" spans="1:41" ht="15.75" customHeight="1">
      <c r="A41" s="167" t="s">
        <v>270</v>
      </c>
      <c r="B41" s="22" t="s">
        <v>269</v>
      </c>
      <c r="C41" s="168">
        <v>1</v>
      </c>
      <c r="D41" s="169" t="b">
        <v>1</v>
      </c>
      <c r="E41" s="170" t="s">
        <v>1437</v>
      </c>
      <c r="F41" s="171">
        <v>1</v>
      </c>
      <c r="G41" s="171">
        <v>1</v>
      </c>
      <c r="H41" s="171">
        <v>1</v>
      </c>
      <c r="I41" s="171">
        <v>1</v>
      </c>
      <c r="J41" s="171">
        <v>1</v>
      </c>
      <c r="K41" s="171">
        <v>1</v>
      </c>
      <c r="L41" s="171"/>
      <c r="M41" s="171">
        <v>1</v>
      </c>
      <c r="N41" s="171"/>
      <c r="O41" s="171"/>
      <c r="P41" s="171"/>
      <c r="Q41" s="171"/>
      <c r="R41" s="171"/>
      <c r="S41" s="171"/>
      <c r="T41" s="171"/>
      <c r="U41" s="171">
        <v>1</v>
      </c>
      <c r="V41" s="171"/>
      <c r="W41" s="171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1"/>
      <c r="AI41" s="171"/>
      <c r="AJ41" s="171"/>
      <c r="AK41" s="171"/>
      <c r="AL41" s="171">
        <v>1</v>
      </c>
      <c r="AM41" s="22"/>
      <c r="AN41" s="22">
        <f t="shared" si="2"/>
        <v>9</v>
      </c>
      <c r="AO41" s="171" t="s">
        <v>1396</v>
      </c>
    </row>
    <row r="42" spans="1:41" ht="15.75" customHeight="1">
      <c r="A42" s="167" t="s">
        <v>276</v>
      </c>
      <c r="B42" s="22" t="s">
        <v>275</v>
      </c>
      <c r="C42" s="168">
        <v>1</v>
      </c>
      <c r="D42" s="169" t="b">
        <v>1</v>
      </c>
      <c r="E42" s="174" t="s">
        <v>1438</v>
      </c>
      <c r="F42" s="177">
        <v>1</v>
      </c>
      <c r="G42" s="177">
        <v>1</v>
      </c>
      <c r="H42" s="178">
        <v>1</v>
      </c>
      <c r="I42" s="178">
        <v>1</v>
      </c>
      <c r="J42" s="178">
        <v>1</v>
      </c>
      <c r="K42" s="178">
        <v>1</v>
      </c>
      <c r="L42" s="178"/>
      <c r="M42" s="178"/>
      <c r="N42" s="178"/>
      <c r="O42" s="178">
        <v>1</v>
      </c>
      <c r="P42" s="178"/>
      <c r="Q42" s="178"/>
      <c r="R42" s="178"/>
      <c r="S42" s="178"/>
      <c r="T42" s="178"/>
      <c r="U42" s="178">
        <v>1</v>
      </c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8"/>
      <c r="AI42" s="178">
        <v>1</v>
      </c>
      <c r="AJ42" s="178"/>
      <c r="AK42" s="178"/>
      <c r="AL42" s="178"/>
      <c r="AM42" s="22"/>
      <c r="AN42" s="22">
        <f t="shared" si="2"/>
        <v>9</v>
      </c>
      <c r="AO42" s="171"/>
    </row>
    <row r="43" spans="1:41" ht="15.75" customHeight="1">
      <c r="A43" s="167" t="s">
        <v>292</v>
      </c>
      <c r="B43" s="22" t="s">
        <v>291</v>
      </c>
      <c r="C43" s="168">
        <v>1</v>
      </c>
      <c r="D43" s="169" t="b">
        <v>1</v>
      </c>
      <c r="E43" s="170" t="s">
        <v>1439</v>
      </c>
      <c r="F43" s="171">
        <v>1</v>
      </c>
      <c r="G43" s="171">
        <v>1</v>
      </c>
      <c r="H43" s="171">
        <v>1</v>
      </c>
      <c r="I43" s="171">
        <v>1</v>
      </c>
      <c r="J43" s="171">
        <v>1</v>
      </c>
      <c r="K43" s="171">
        <v>2</v>
      </c>
      <c r="L43" s="171">
        <v>1</v>
      </c>
      <c r="M43" s="171">
        <v>1</v>
      </c>
      <c r="N43" s="171"/>
      <c r="O43" s="171"/>
      <c r="P43" s="171"/>
      <c r="Q43" s="171"/>
      <c r="R43" s="171"/>
      <c r="S43" s="171"/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1"/>
      <c r="AI43" s="171"/>
      <c r="AJ43" s="171"/>
      <c r="AK43" s="171"/>
      <c r="AL43" s="171"/>
      <c r="AM43" s="22"/>
      <c r="AN43" s="22">
        <f t="shared" si="2"/>
        <v>9</v>
      </c>
      <c r="AO43" s="171"/>
    </row>
    <row r="44" spans="1:41" ht="15.75" customHeight="1">
      <c r="A44" s="167" t="s">
        <v>328</v>
      </c>
      <c r="B44" s="22" t="s">
        <v>327</v>
      </c>
      <c r="C44" s="168">
        <v>1</v>
      </c>
      <c r="D44" s="169" t="b">
        <v>1</v>
      </c>
      <c r="E44" s="170" t="s">
        <v>1440</v>
      </c>
      <c r="F44" s="178">
        <v>1</v>
      </c>
      <c r="G44" s="178">
        <v>1</v>
      </c>
      <c r="H44" s="178">
        <v>1</v>
      </c>
      <c r="I44" s="178">
        <v>1</v>
      </c>
      <c r="J44" s="178"/>
      <c r="K44" s="178"/>
      <c r="L44" s="178"/>
      <c r="M44" s="178">
        <v>1</v>
      </c>
      <c r="N44" s="178"/>
      <c r="O44" s="178"/>
      <c r="P44" s="178">
        <v>1</v>
      </c>
      <c r="Q44" s="178"/>
      <c r="R44" s="178">
        <v>1</v>
      </c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>
        <v>1</v>
      </c>
      <c r="AE44" s="178"/>
      <c r="AF44" s="178"/>
      <c r="AG44" s="178"/>
      <c r="AH44" s="178"/>
      <c r="AI44" s="178"/>
      <c r="AJ44" s="178"/>
      <c r="AK44" s="178"/>
      <c r="AL44" s="178">
        <v>1</v>
      </c>
      <c r="AM44" s="22"/>
      <c r="AN44" s="22">
        <f t="shared" si="2"/>
        <v>9</v>
      </c>
      <c r="AO44" s="171" t="s">
        <v>1441</v>
      </c>
    </row>
    <row r="45" spans="1:41" ht="15.75" customHeight="1">
      <c r="A45" s="167" t="s">
        <v>374</v>
      </c>
      <c r="B45" s="22" t="s">
        <v>373</v>
      </c>
      <c r="C45" s="168">
        <v>1</v>
      </c>
      <c r="D45" s="169" t="b">
        <v>1</v>
      </c>
      <c r="E45" s="170" t="s">
        <v>1442</v>
      </c>
      <c r="F45" s="171">
        <v>1</v>
      </c>
      <c r="G45" s="171">
        <v>1</v>
      </c>
      <c r="H45" s="171">
        <v>1</v>
      </c>
      <c r="I45" s="171">
        <v>1</v>
      </c>
      <c r="J45" s="171">
        <v>1</v>
      </c>
      <c r="K45" s="171">
        <v>3</v>
      </c>
      <c r="L45" s="171">
        <v>1</v>
      </c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1"/>
      <c r="AI45" s="171"/>
      <c r="AJ45" s="171"/>
      <c r="AK45" s="171"/>
      <c r="AL45" s="171"/>
      <c r="AM45" s="22"/>
      <c r="AN45" s="22">
        <f t="shared" si="2"/>
        <v>9</v>
      </c>
      <c r="AO45" s="171"/>
    </row>
    <row r="46" spans="1:41" ht="15.75" customHeight="1">
      <c r="A46" s="167" t="s">
        <v>376</v>
      </c>
      <c r="B46" s="22" t="s">
        <v>375</v>
      </c>
      <c r="C46" s="168">
        <v>1</v>
      </c>
      <c r="D46" s="169" t="b">
        <v>1</v>
      </c>
      <c r="E46" s="174" t="s">
        <v>1443</v>
      </c>
      <c r="F46" s="171">
        <v>1</v>
      </c>
      <c r="G46" s="171">
        <v>1</v>
      </c>
      <c r="H46" s="171">
        <v>1</v>
      </c>
      <c r="I46" s="171">
        <v>1</v>
      </c>
      <c r="J46" s="171">
        <v>1</v>
      </c>
      <c r="K46" s="171">
        <v>2</v>
      </c>
      <c r="L46" s="171"/>
      <c r="M46" s="171">
        <v>1</v>
      </c>
      <c r="N46" s="171"/>
      <c r="O46" s="171"/>
      <c r="P46" s="171"/>
      <c r="Q46" s="171"/>
      <c r="R46" s="171"/>
      <c r="S46" s="171"/>
      <c r="T46" s="171"/>
      <c r="U46" s="171"/>
      <c r="V46" s="171"/>
      <c r="W46" s="171">
        <v>1</v>
      </c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1"/>
      <c r="AI46" s="171"/>
      <c r="AJ46" s="171"/>
      <c r="AK46" s="171"/>
      <c r="AL46" s="171"/>
      <c r="AM46" s="22"/>
      <c r="AN46" s="22">
        <f t="shared" si="2"/>
        <v>9</v>
      </c>
      <c r="AO46" s="171"/>
    </row>
    <row r="47" spans="1:41" ht="15.75" customHeight="1">
      <c r="A47" s="167" t="s">
        <v>540</v>
      </c>
      <c r="B47" s="22" t="s">
        <v>539</v>
      </c>
      <c r="C47" s="168">
        <v>1</v>
      </c>
      <c r="D47" s="169" t="b">
        <v>1</v>
      </c>
      <c r="E47" s="170" t="s">
        <v>1444</v>
      </c>
      <c r="F47" s="171">
        <v>1</v>
      </c>
      <c r="G47" s="171">
        <v>1</v>
      </c>
      <c r="H47" s="171">
        <v>1</v>
      </c>
      <c r="I47" s="171">
        <v>1</v>
      </c>
      <c r="J47" s="171">
        <v>1</v>
      </c>
      <c r="K47" s="171">
        <v>1</v>
      </c>
      <c r="L47" s="171"/>
      <c r="M47" s="171">
        <v>1</v>
      </c>
      <c r="N47" s="171"/>
      <c r="O47" s="171"/>
      <c r="P47" s="171">
        <v>1</v>
      </c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>
        <v>1</v>
      </c>
      <c r="AE47" s="171"/>
      <c r="AF47" s="171"/>
      <c r="AG47" s="171"/>
      <c r="AH47" s="171"/>
      <c r="AI47" s="171"/>
      <c r="AJ47" s="171"/>
      <c r="AK47" s="171"/>
      <c r="AL47" s="171"/>
      <c r="AM47" s="22"/>
      <c r="AN47" s="22">
        <f t="shared" si="2"/>
        <v>9</v>
      </c>
      <c r="AO47" s="171"/>
    </row>
    <row r="48" spans="1:41" ht="15.75" customHeight="1">
      <c r="A48" s="167" t="s">
        <v>556</v>
      </c>
      <c r="B48" s="22" t="s">
        <v>555</v>
      </c>
      <c r="C48" s="168">
        <v>1</v>
      </c>
      <c r="D48" s="169" t="b">
        <v>1</v>
      </c>
      <c r="E48" s="170" t="s">
        <v>1445</v>
      </c>
      <c r="F48" s="171">
        <v>1</v>
      </c>
      <c r="G48" s="171">
        <v>1</v>
      </c>
      <c r="H48" s="171">
        <v>1</v>
      </c>
      <c r="I48" s="171">
        <v>1</v>
      </c>
      <c r="J48" s="171">
        <v>1</v>
      </c>
      <c r="K48" s="171">
        <v>2</v>
      </c>
      <c r="L48" s="171"/>
      <c r="M48" s="171"/>
      <c r="N48" s="171"/>
      <c r="O48" s="171"/>
      <c r="P48" s="171">
        <v>1</v>
      </c>
      <c r="Q48" s="171"/>
      <c r="R48" s="171">
        <v>1</v>
      </c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171"/>
      <c r="AI48" s="171"/>
      <c r="AJ48" s="171"/>
      <c r="AK48" s="171"/>
      <c r="AL48" s="171"/>
      <c r="AM48" s="22"/>
      <c r="AN48" s="22">
        <f t="shared" si="2"/>
        <v>9</v>
      </c>
      <c r="AO48" s="171"/>
    </row>
    <row r="49" spans="1:41" ht="15.75" customHeight="1">
      <c r="A49" s="167" t="s">
        <v>568</v>
      </c>
      <c r="B49" s="22" t="s">
        <v>567</v>
      </c>
      <c r="C49" s="168">
        <v>1</v>
      </c>
      <c r="D49" s="169" t="b">
        <v>1</v>
      </c>
      <c r="E49" s="170" t="s">
        <v>1446</v>
      </c>
      <c r="F49" s="171">
        <v>1</v>
      </c>
      <c r="G49" s="171">
        <v>1</v>
      </c>
      <c r="H49" s="171">
        <v>1</v>
      </c>
      <c r="I49" s="171">
        <v>1</v>
      </c>
      <c r="J49" s="171">
        <v>1</v>
      </c>
      <c r="K49" s="171">
        <v>2</v>
      </c>
      <c r="L49" s="171"/>
      <c r="M49" s="171">
        <v>1</v>
      </c>
      <c r="N49" s="171"/>
      <c r="O49" s="171"/>
      <c r="P49" s="171"/>
      <c r="Q49" s="171"/>
      <c r="R49" s="171">
        <v>1</v>
      </c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1"/>
      <c r="AI49" s="171"/>
      <c r="AJ49" s="171"/>
      <c r="AK49" s="171"/>
      <c r="AL49" s="171"/>
      <c r="AM49" s="22"/>
      <c r="AN49" s="22">
        <f t="shared" si="2"/>
        <v>9</v>
      </c>
      <c r="AO49" s="171"/>
    </row>
    <row r="50" spans="1:41" ht="15.75" customHeight="1">
      <c r="A50" s="167" t="s">
        <v>582</v>
      </c>
      <c r="B50" s="22" t="s">
        <v>581</v>
      </c>
      <c r="C50" s="168">
        <v>1</v>
      </c>
      <c r="D50" s="169" t="b">
        <v>1</v>
      </c>
      <c r="E50" s="170" t="s">
        <v>1447</v>
      </c>
      <c r="F50" s="171">
        <v>1</v>
      </c>
      <c r="G50" s="171">
        <v>1</v>
      </c>
      <c r="H50" s="171">
        <v>1</v>
      </c>
      <c r="I50" s="171">
        <v>1</v>
      </c>
      <c r="J50" s="171">
        <v>1</v>
      </c>
      <c r="K50" s="171">
        <v>2</v>
      </c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>
        <v>1</v>
      </c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1">
        <v>1</v>
      </c>
      <c r="AI50" s="171"/>
      <c r="AJ50" s="171"/>
      <c r="AK50" s="171"/>
      <c r="AL50" s="171"/>
      <c r="AM50" s="22"/>
      <c r="AN50" s="22">
        <f t="shared" si="2"/>
        <v>9</v>
      </c>
      <c r="AO50" s="171"/>
    </row>
    <row r="51" spans="1:41" ht="15.75" customHeight="1">
      <c r="A51" s="167" t="s">
        <v>592</v>
      </c>
      <c r="B51" s="22" t="s">
        <v>591</v>
      </c>
      <c r="C51" s="168">
        <v>1</v>
      </c>
      <c r="D51" s="169" t="b">
        <v>1</v>
      </c>
      <c r="E51" s="170" t="s">
        <v>1448</v>
      </c>
      <c r="F51" s="171">
        <v>1</v>
      </c>
      <c r="G51" s="171">
        <v>1</v>
      </c>
      <c r="H51" s="171">
        <v>1</v>
      </c>
      <c r="I51" s="171">
        <v>1</v>
      </c>
      <c r="J51" s="171">
        <v>1</v>
      </c>
      <c r="K51" s="171">
        <v>1</v>
      </c>
      <c r="L51" s="171">
        <v>1</v>
      </c>
      <c r="M51" s="171"/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171">
        <v>1</v>
      </c>
      <c r="AI51" s="171"/>
      <c r="AJ51" s="171"/>
      <c r="AK51" s="171"/>
      <c r="AL51" s="171">
        <v>1</v>
      </c>
      <c r="AM51" s="22"/>
      <c r="AN51" s="22">
        <f t="shared" si="2"/>
        <v>9</v>
      </c>
      <c r="AO51" s="171" t="s">
        <v>1400</v>
      </c>
    </row>
    <row r="52" spans="1:41" ht="15.75" customHeight="1">
      <c r="A52" s="167" t="s">
        <v>600</v>
      </c>
      <c r="B52" s="22" t="s">
        <v>599</v>
      </c>
      <c r="C52" s="168">
        <v>1</v>
      </c>
      <c r="D52" s="169" t="b">
        <v>1</v>
      </c>
      <c r="E52" s="170" t="s">
        <v>1449</v>
      </c>
      <c r="F52" s="171">
        <v>1</v>
      </c>
      <c r="G52" s="171">
        <v>1</v>
      </c>
      <c r="H52" s="171">
        <v>1</v>
      </c>
      <c r="I52" s="171">
        <v>1</v>
      </c>
      <c r="J52" s="171">
        <v>1</v>
      </c>
      <c r="K52" s="171">
        <v>1</v>
      </c>
      <c r="L52" s="171">
        <v>1</v>
      </c>
      <c r="M52" s="171">
        <v>1</v>
      </c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>
        <v>1</v>
      </c>
      <c r="AL52" s="171"/>
      <c r="AM52" s="22"/>
      <c r="AN52" s="22">
        <f t="shared" si="2"/>
        <v>9</v>
      </c>
      <c r="AO52" s="171"/>
    </row>
    <row r="53" spans="1:41" ht="15.75" customHeight="1">
      <c r="A53" s="167" t="s">
        <v>638</v>
      </c>
      <c r="B53" s="22" t="s">
        <v>637</v>
      </c>
      <c r="C53" s="168">
        <v>1</v>
      </c>
      <c r="D53" s="169" t="b">
        <v>1</v>
      </c>
      <c r="E53" s="170" t="s">
        <v>1450</v>
      </c>
      <c r="F53" s="171">
        <v>1</v>
      </c>
      <c r="G53" s="171">
        <v>1</v>
      </c>
      <c r="H53" s="171">
        <v>1</v>
      </c>
      <c r="I53" s="171">
        <v>1</v>
      </c>
      <c r="J53" s="171">
        <v>1</v>
      </c>
      <c r="K53" s="171">
        <v>2</v>
      </c>
      <c r="L53" s="171"/>
      <c r="M53" s="171"/>
      <c r="N53" s="171"/>
      <c r="O53" s="171"/>
      <c r="P53" s="171">
        <v>1</v>
      </c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/>
      <c r="AH53" s="171"/>
      <c r="AI53" s="171"/>
      <c r="AJ53" s="171">
        <v>1</v>
      </c>
      <c r="AK53" s="171"/>
      <c r="AL53" s="171"/>
      <c r="AM53" s="22"/>
      <c r="AN53" s="22">
        <f t="shared" si="2"/>
        <v>9</v>
      </c>
      <c r="AO53" s="171"/>
    </row>
    <row r="54" spans="1:41" ht="15.75" customHeight="1">
      <c r="A54" s="167" t="s">
        <v>678</v>
      </c>
      <c r="B54" s="22" t="s">
        <v>677</v>
      </c>
      <c r="C54" s="168">
        <v>1</v>
      </c>
      <c r="D54" s="169" t="b">
        <v>1</v>
      </c>
      <c r="E54" s="170" t="s">
        <v>1451</v>
      </c>
      <c r="F54" s="171">
        <v>1</v>
      </c>
      <c r="G54" s="171">
        <v>1</v>
      </c>
      <c r="H54" s="171">
        <v>1</v>
      </c>
      <c r="I54" s="171">
        <v>1</v>
      </c>
      <c r="J54" s="171">
        <v>1</v>
      </c>
      <c r="K54" s="171">
        <v>2</v>
      </c>
      <c r="L54" s="171">
        <v>1</v>
      </c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/>
      <c r="AF54" s="171"/>
      <c r="AG54" s="171">
        <v>1</v>
      </c>
      <c r="AH54" s="171"/>
      <c r="AI54" s="171"/>
      <c r="AJ54" s="171"/>
      <c r="AK54" s="171"/>
      <c r="AL54" s="171"/>
      <c r="AM54" s="22"/>
      <c r="AN54" s="22">
        <f t="shared" si="2"/>
        <v>9</v>
      </c>
      <c r="AO54" s="171"/>
    </row>
    <row r="55" spans="1:41" ht="15.75" customHeight="1">
      <c r="A55" s="167" t="s">
        <v>684</v>
      </c>
      <c r="B55" s="22" t="s">
        <v>683</v>
      </c>
      <c r="C55" s="168">
        <v>1</v>
      </c>
      <c r="D55" s="169" t="b">
        <v>1</v>
      </c>
      <c r="E55" s="170" t="s">
        <v>1452</v>
      </c>
      <c r="F55" s="171">
        <v>1</v>
      </c>
      <c r="G55" s="171">
        <v>1</v>
      </c>
      <c r="H55" s="171">
        <v>1</v>
      </c>
      <c r="I55" s="171">
        <v>1</v>
      </c>
      <c r="J55" s="171">
        <v>1</v>
      </c>
      <c r="K55" s="171"/>
      <c r="L55" s="171">
        <v>1</v>
      </c>
      <c r="M55" s="171">
        <v>1</v>
      </c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>
        <v>1</v>
      </c>
      <c r="AE55" s="171"/>
      <c r="AF55" s="171"/>
      <c r="AG55" s="171"/>
      <c r="AH55" s="171">
        <v>1</v>
      </c>
      <c r="AI55" s="171"/>
      <c r="AJ55" s="171"/>
      <c r="AK55" s="171"/>
      <c r="AL55" s="171"/>
      <c r="AM55" s="22"/>
      <c r="AN55" s="22">
        <f t="shared" si="2"/>
        <v>9</v>
      </c>
      <c r="AO55" s="171"/>
    </row>
    <row r="56" spans="1:41" ht="15.75" customHeight="1">
      <c r="A56" s="167" t="s">
        <v>772</v>
      </c>
      <c r="B56" s="22" t="s">
        <v>771</v>
      </c>
      <c r="C56" s="168">
        <v>1</v>
      </c>
      <c r="D56" s="169" t="b">
        <v>1</v>
      </c>
      <c r="E56" s="170" t="s">
        <v>1453</v>
      </c>
      <c r="F56" s="171">
        <v>1</v>
      </c>
      <c r="G56" s="171">
        <v>1</v>
      </c>
      <c r="H56" s="171">
        <v>1</v>
      </c>
      <c r="I56" s="171">
        <v>1</v>
      </c>
      <c r="J56" s="171">
        <v>1</v>
      </c>
      <c r="K56" s="171">
        <v>2</v>
      </c>
      <c r="L56" s="171">
        <v>1</v>
      </c>
      <c r="M56" s="171"/>
      <c r="N56" s="171"/>
      <c r="O56" s="171"/>
      <c r="P56" s="171"/>
      <c r="Q56" s="171"/>
      <c r="R56" s="171"/>
      <c r="S56" s="171"/>
      <c r="T56" s="171">
        <v>1</v>
      </c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171"/>
      <c r="AI56" s="171"/>
      <c r="AJ56" s="171"/>
      <c r="AK56" s="171"/>
      <c r="AL56" s="171"/>
      <c r="AM56" s="22"/>
      <c r="AN56" s="22">
        <f t="shared" si="2"/>
        <v>9</v>
      </c>
      <c r="AO56" s="171"/>
    </row>
    <row r="57" spans="1:41" ht="15.75" customHeight="1">
      <c r="A57" s="167" t="s">
        <v>782</v>
      </c>
      <c r="B57" s="22" t="s">
        <v>781</v>
      </c>
      <c r="C57" s="168">
        <v>1</v>
      </c>
      <c r="D57" s="169" t="b">
        <v>1</v>
      </c>
      <c r="E57" s="174" t="s">
        <v>1454</v>
      </c>
      <c r="F57" s="171">
        <v>1</v>
      </c>
      <c r="G57" s="171">
        <v>1</v>
      </c>
      <c r="H57" s="171">
        <v>1</v>
      </c>
      <c r="I57" s="171">
        <v>1</v>
      </c>
      <c r="J57" s="171">
        <v>1</v>
      </c>
      <c r="K57" s="171">
        <v>1</v>
      </c>
      <c r="L57" s="171">
        <v>1</v>
      </c>
      <c r="M57" s="171"/>
      <c r="N57" s="171"/>
      <c r="O57" s="171"/>
      <c r="P57" s="171">
        <v>1</v>
      </c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/>
      <c r="AH57" s="171"/>
      <c r="AI57" s="171"/>
      <c r="AJ57" s="171">
        <v>1</v>
      </c>
      <c r="AK57" s="171"/>
      <c r="AL57" s="171"/>
      <c r="AM57" s="22"/>
      <c r="AN57" s="22">
        <f t="shared" si="2"/>
        <v>9</v>
      </c>
      <c r="AO57" s="171"/>
    </row>
    <row r="58" spans="1:41" ht="15.75" customHeight="1">
      <c r="A58" s="167" t="s">
        <v>884</v>
      </c>
      <c r="B58" s="22" t="s">
        <v>883</v>
      </c>
      <c r="C58" s="168">
        <v>1</v>
      </c>
      <c r="D58" s="169" t="b">
        <v>1</v>
      </c>
      <c r="E58" s="170" t="s">
        <v>1455</v>
      </c>
      <c r="F58" s="171">
        <v>1</v>
      </c>
      <c r="G58" s="171">
        <v>1</v>
      </c>
      <c r="H58" s="171">
        <v>1</v>
      </c>
      <c r="I58" s="171">
        <v>1</v>
      </c>
      <c r="J58" s="171">
        <v>1</v>
      </c>
      <c r="K58" s="171">
        <v>2</v>
      </c>
      <c r="L58" s="171">
        <v>1</v>
      </c>
      <c r="M58" s="171"/>
      <c r="N58" s="171"/>
      <c r="O58" s="171"/>
      <c r="P58" s="171">
        <v>1</v>
      </c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171"/>
      <c r="AI58" s="171"/>
      <c r="AJ58" s="171"/>
      <c r="AK58" s="171"/>
      <c r="AL58" s="171"/>
      <c r="AM58" s="22"/>
      <c r="AN58" s="22">
        <f t="shared" si="2"/>
        <v>9</v>
      </c>
      <c r="AO58" s="171"/>
    </row>
    <row r="59" spans="1:41" ht="15.75" customHeight="1">
      <c r="A59" s="167" t="s">
        <v>892</v>
      </c>
      <c r="B59" s="22" t="s">
        <v>891</v>
      </c>
      <c r="C59" s="168">
        <v>1</v>
      </c>
      <c r="D59" s="169" t="b">
        <v>1</v>
      </c>
      <c r="E59" s="170" t="s">
        <v>1456</v>
      </c>
      <c r="F59" s="171">
        <v>1</v>
      </c>
      <c r="G59" s="171">
        <v>1</v>
      </c>
      <c r="H59" s="171">
        <v>1</v>
      </c>
      <c r="I59" s="171">
        <v>1</v>
      </c>
      <c r="J59" s="171">
        <v>1</v>
      </c>
      <c r="K59" s="171">
        <v>2</v>
      </c>
      <c r="L59" s="171"/>
      <c r="M59" s="171">
        <v>1</v>
      </c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1"/>
      <c r="AI59" s="171"/>
      <c r="AJ59" s="171"/>
      <c r="AK59" s="171">
        <v>1</v>
      </c>
      <c r="AL59" s="171"/>
      <c r="AM59" s="22"/>
      <c r="AN59" s="22">
        <f t="shared" si="2"/>
        <v>9</v>
      </c>
      <c r="AO59" s="171"/>
    </row>
    <row r="60" spans="1:41" ht="15.75" customHeight="1">
      <c r="A60" s="167" t="s">
        <v>920</v>
      </c>
      <c r="B60" s="22" t="s">
        <v>919</v>
      </c>
      <c r="C60" s="168">
        <v>1</v>
      </c>
      <c r="D60" s="169" t="b">
        <v>1</v>
      </c>
      <c r="E60" s="174" t="s">
        <v>1457</v>
      </c>
      <c r="F60" s="171">
        <v>1</v>
      </c>
      <c r="G60" s="171">
        <v>1</v>
      </c>
      <c r="H60" s="171">
        <v>1</v>
      </c>
      <c r="I60" s="171">
        <v>1</v>
      </c>
      <c r="J60" s="171">
        <v>1</v>
      </c>
      <c r="K60" s="171"/>
      <c r="L60" s="171"/>
      <c r="M60" s="171">
        <v>1</v>
      </c>
      <c r="N60" s="171"/>
      <c r="O60" s="171"/>
      <c r="P60" s="171"/>
      <c r="Q60" s="171"/>
      <c r="R60" s="171"/>
      <c r="S60" s="171"/>
      <c r="T60" s="171">
        <v>1</v>
      </c>
      <c r="U60" s="171"/>
      <c r="V60" s="171"/>
      <c r="W60" s="171"/>
      <c r="X60" s="171"/>
      <c r="Y60" s="171"/>
      <c r="Z60" s="171"/>
      <c r="AA60" s="171"/>
      <c r="AB60" s="171"/>
      <c r="AC60" s="171"/>
      <c r="AD60" s="171">
        <v>1</v>
      </c>
      <c r="AE60" s="171"/>
      <c r="AF60" s="171"/>
      <c r="AG60" s="171"/>
      <c r="AH60" s="171"/>
      <c r="AI60" s="171"/>
      <c r="AJ60" s="171"/>
      <c r="AK60" s="171"/>
      <c r="AL60" s="171">
        <v>1</v>
      </c>
      <c r="AM60" s="22"/>
      <c r="AN60" s="22">
        <f t="shared" si="2"/>
        <v>9</v>
      </c>
      <c r="AO60" s="171" t="s">
        <v>1458</v>
      </c>
    </row>
    <row r="61" spans="1:41" ht="15.75" customHeight="1">
      <c r="A61" s="167" t="s">
        <v>922</v>
      </c>
      <c r="B61" s="22" t="s">
        <v>921</v>
      </c>
      <c r="C61" s="168">
        <v>1</v>
      </c>
      <c r="D61" s="169" t="b">
        <v>1</v>
      </c>
      <c r="E61" s="170" t="s">
        <v>1459</v>
      </c>
      <c r="F61" s="171">
        <v>1</v>
      </c>
      <c r="G61" s="171">
        <v>1</v>
      </c>
      <c r="H61" s="171">
        <v>1</v>
      </c>
      <c r="I61" s="171">
        <v>1</v>
      </c>
      <c r="J61" s="171">
        <v>1</v>
      </c>
      <c r="K61" s="171">
        <v>1</v>
      </c>
      <c r="L61" s="171"/>
      <c r="M61" s="171"/>
      <c r="N61" s="171"/>
      <c r="O61" s="171">
        <v>1</v>
      </c>
      <c r="P61" s="171"/>
      <c r="Q61" s="171"/>
      <c r="R61" s="171"/>
      <c r="S61" s="171"/>
      <c r="T61" s="171"/>
      <c r="U61" s="171"/>
      <c r="V61" s="171"/>
      <c r="W61" s="171">
        <v>1</v>
      </c>
      <c r="X61" s="171"/>
      <c r="Y61" s="171"/>
      <c r="Z61" s="171"/>
      <c r="AA61" s="171"/>
      <c r="AB61" s="171"/>
      <c r="AC61" s="171"/>
      <c r="AD61" s="171"/>
      <c r="AE61" s="171"/>
      <c r="AF61" s="171"/>
      <c r="AG61" s="171"/>
      <c r="AH61" s="171">
        <v>1</v>
      </c>
      <c r="AI61" s="171"/>
      <c r="AJ61" s="171"/>
      <c r="AK61" s="171"/>
      <c r="AL61" s="171"/>
      <c r="AM61" s="22"/>
      <c r="AN61" s="22">
        <f t="shared" si="2"/>
        <v>9</v>
      </c>
      <c r="AO61" s="171"/>
    </row>
    <row r="62" spans="1:41" ht="15.75" customHeight="1">
      <c r="A62" s="167" t="s">
        <v>950</v>
      </c>
      <c r="B62" s="22" t="s">
        <v>949</v>
      </c>
      <c r="C62" s="168">
        <v>1</v>
      </c>
      <c r="D62" s="169" t="b">
        <v>1</v>
      </c>
      <c r="E62" s="170" t="s">
        <v>1460</v>
      </c>
      <c r="F62" s="171">
        <v>1</v>
      </c>
      <c r="G62" s="171">
        <v>1</v>
      </c>
      <c r="H62" s="171">
        <v>1</v>
      </c>
      <c r="I62" s="171">
        <v>1</v>
      </c>
      <c r="J62" s="171">
        <v>1</v>
      </c>
      <c r="K62" s="171">
        <v>1</v>
      </c>
      <c r="L62" s="171"/>
      <c r="M62" s="171"/>
      <c r="N62" s="171"/>
      <c r="O62" s="171"/>
      <c r="P62" s="171"/>
      <c r="Q62" s="171"/>
      <c r="R62" s="171"/>
      <c r="S62" s="171"/>
      <c r="T62" s="171"/>
      <c r="U62" s="171">
        <v>1</v>
      </c>
      <c r="V62" s="171"/>
      <c r="W62" s="171"/>
      <c r="X62" s="171"/>
      <c r="Y62" s="171"/>
      <c r="Z62" s="171"/>
      <c r="AA62" s="171"/>
      <c r="AB62" s="171"/>
      <c r="AC62" s="171"/>
      <c r="AD62" s="171"/>
      <c r="AE62" s="171"/>
      <c r="AF62" s="171"/>
      <c r="AG62" s="171"/>
      <c r="AH62" s="171"/>
      <c r="AI62" s="171"/>
      <c r="AJ62" s="171"/>
      <c r="AK62" s="171">
        <v>1</v>
      </c>
      <c r="AL62" s="171">
        <v>1</v>
      </c>
      <c r="AM62" s="22"/>
      <c r="AN62" s="22">
        <f t="shared" si="2"/>
        <v>9</v>
      </c>
      <c r="AO62" s="171" t="s">
        <v>1461</v>
      </c>
    </row>
    <row r="63" spans="1:41" ht="15.75" customHeight="1">
      <c r="A63" s="167" t="s">
        <v>966</v>
      </c>
      <c r="B63" s="22" t="s">
        <v>965</v>
      </c>
      <c r="C63" s="168">
        <v>1</v>
      </c>
      <c r="D63" s="169" t="b">
        <v>1</v>
      </c>
      <c r="E63" s="170" t="s">
        <v>1462</v>
      </c>
      <c r="F63" s="171">
        <v>1</v>
      </c>
      <c r="G63" s="171">
        <v>1</v>
      </c>
      <c r="H63" s="171">
        <v>1</v>
      </c>
      <c r="I63" s="171">
        <v>1</v>
      </c>
      <c r="J63" s="171">
        <v>1</v>
      </c>
      <c r="K63" s="171">
        <v>3</v>
      </c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171"/>
      <c r="AI63" s="171"/>
      <c r="AJ63" s="171"/>
      <c r="AK63" s="171"/>
      <c r="AL63" s="171">
        <v>1</v>
      </c>
      <c r="AM63" s="22"/>
      <c r="AN63" s="22">
        <f t="shared" si="2"/>
        <v>9</v>
      </c>
      <c r="AO63" s="171" t="s">
        <v>1463</v>
      </c>
    </row>
    <row r="64" spans="1:41" ht="15.75" customHeight="1">
      <c r="A64" s="167" t="s">
        <v>994</v>
      </c>
      <c r="B64" s="22" t="s">
        <v>993</v>
      </c>
      <c r="C64" s="168">
        <v>1</v>
      </c>
      <c r="D64" s="169" t="b">
        <v>1</v>
      </c>
      <c r="E64" s="170" t="s">
        <v>1464</v>
      </c>
      <c r="F64" s="171">
        <v>1</v>
      </c>
      <c r="G64" s="171">
        <v>1</v>
      </c>
      <c r="H64" s="171">
        <v>1</v>
      </c>
      <c r="I64" s="171">
        <v>1</v>
      </c>
      <c r="J64" s="171">
        <v>1</v>
      </c>
      <c r="K64" s="171">
        <v>1</v>
      </c>
      <c r="L64" s="171"/>
      <c r="M64" s="171">
        <v>1</v>
      </c>
      <c r="N64" s="171"/>
      <c r="O64" s="171">
        <v>1</v>
      </c>
      <c r="P64" s="171"/>
      <c r="Q64" s="171"/>
      <c r="R64" s="171"/>
      <c r="S64" s="171"/>
      <c r="T64" s="171"/>
      <c r="U64" s="171">
        <v>1</v>
      </c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171"/>
      <c r="AI64" s="171"/>
      <c r="AJ64" s="171"/>
      <c r="AK64" s="171"/>
      <c r="AL64" s="171"/>
      <c r="AM64" s="22"/>
      <c r="AN64" s="22">
        <f t="shared" si="2"/>
        <v>9</v>
      </c>
      <c r="AO64" s="171"/>
    </row>
    <row r="65" spans="1:41" ht="15.75" customHeight="1">
      <c r="A65" s="167" t="s">
        <v>1042</v>
      </c>
      <c r="B65" s="22" t="s">
        <v>1041</v>
      </c>
      <c r="C65" s="168">
        <v>1</v>
      </c>
      <c r="D65" s="169" t="b">
        <v>1</v>
      </c>
      <c r="E65" s="170" t="s">
        <v>1465</v>
      </c>
      <c r="F65" s="171">
        <v>1</v>
      </c>
      <c r="G65" s="171">
        <v>1</v>
      </c>
      <c r="H65" s="171">
        <v>1</v>
      </c>
      <c r="I65" s="171">
        <v>1</v>
      </c>
      <c r="J65" s="171">
        <v>1</v>
      </c>
      <c r="K65" s="171">
        <v>2</v>
      </c>
      <c r="L65" s="171"/>
      <c r="M65" s="171"/>
      <c r="N65" s="171"/>
      <c r="O65" s="171">
        <v>1</v>
      </c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>
        <v>1</v>
      </c>
      <c r="AE65" s="171"/>
      <c r="AF65" s="171"/>
      <c r="AG65" s="171"/>
      <c r="AH65" s="171"/>
      <c r="AI65" s="171"/>
      <c r="AJ65" s="171"/>
      <c r="AK65" s="171"/>
      <c r="AL65" s="171"/>
      <c r="AM65" s="22"/>
      <c r="AN65" s="22">
        <f t="shared" si="2"/>
        <v>9</v>
      </c>
      <c r="AO65" s="171"/>
    </row>
    <row r="66" spans="1:41" ht="15.75" customHeight="1">
      <c r="A66" s="167" t="s">
        <v>1100</v>
      </c>
      <c r="B66" s="22" t="s">
        <v>1099</v>
      </c>
      <c r="C66" s="168">
        <v>1</v>
      </c>
      <c r="D66" s="169" t="b">
        <v>1</v>
      </c>
      <c r="E66" s="174" t="s">
        <v>1466</v>
      </c>
      <c r="F66" s="171">
        <v>1</v>
      </c>
      <c r="G66" s="171">
        <v>1</v>
      </c>
      <c r="H66" s="171">
        <v>1</v>
      </c>
      <c r="I66" s="171">
        <v>1</v>
      </c>
      <c r="J66" s="171">
        <v>1</v>
      </c>
      <c r="K66" s="171">
        <v>2</v>
      </c>
      <c r="L66" s="171">
        <v>1</v>
      </c>
      <c r="M66" s="171"/>
      <c r="N66" s="171"/>
      <c r="O66" s="171">
        <v>1</v>
      </c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171"/>
      <c r="AI66" s="171"/>
      <c r="AJ66" s="171"/>
      <c r="AK66" s="171"/>
      <c r="AL66" s="171"/>
      <c r="AM66" s="22"/>
      <c r="AN66" s="22">
        <f t="shared" si="2"/>
        <v>9</v>
      </c>
      <c r="AO66" s="22"/>
    </row>
    <row r="67" spans="1:41" ht="15.75" customHeight="1">
      <c r="A67" s="167" t="s">
        <v>1128</v>
      </c>
      <c r="B67" s="22" t="s">
        <v>1127</v>
      </c>
      <c r="C67" s="168">
        <v>1</v>
      </c>
      <c r="D67" s="169" t="b">
        <v>1</v>
      </c>
      <c r="E67" s="170" t="s">
        <v>1467</v>
      </c>
      <c r="F67" s="171">
        <v>1</v>
      </c>
      <c r="G67" s="171">
        <v>1</v>
      </c>
      <c r="H67" s="171">
        <v>1</v>
      </c>
      <c r="I67" s="171">
        <v>1</v>
      </c>
      <c r="J67" s="171">
        <v>1</v>
      </c>
      <c r="K67" s="171">
        <v>2</v>
      </c>
      <c r="L67" s="171">
        <v>1</v>
      </c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171"/>
      <c r="AI67" s="171">
        <v>1</v>
      </c>
      <c r="AJ67" s="171"/>
      <c r="AK67" s="171"/>
      <c r="AL67" s="171"/>
      <c r="AM67" s="22"/>
      <c r="AN67" s="22">
        <f t="shared" si="2"/>
        <v>9</v>
      </c>
      <c r="AO67" s="171"/>
    </row>
    <row r="68" spans="1:41" ht="15.75" customHeight="1">
      <c r="A68" s="167" t="s">
        <v>1136</v>
      </c>
      <c r="B68" s="22" t="s">
        <v>1135</v>
      </c>
      <c r="C68" s="168">
        <v>1</v>
      </c>
      <c r="D68" s="169" t="b">
        <v>1</v>
      </c>
      <c r="E68" s="170" t="s">
        <v>1468</v>
      </c>
      <c r="F68" s="171">
        <v>1</v>
      </c>
      <c r="G68" s="171">
        <v>1</v>
      </c>
      <c r="H68" s="171">
        <v>1</v>
      </c>
      <c r="I68" s="171">
        <v>1</v>
      </c>
      <c r="J68" s="171">
        <v>1</v>
      </c>
      <c r="K68" s="171">
        <v>4</v>
      </c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171"/>
      <c r="AI68" s="171"/>
      <c r="AJ68" s="171"/>
      <c r="AK68" s="171"/>
      <c r="AL68" s="171"/>
      <c r="AM68" s="22"/>
      <c r="AN68" s="22">
        <f t="shared" si="2"/>
        <v>9</v>
      </c>
      <c r="AO68" s="171"/>
    </row>
    <row r="69" spans="1:41" ht="15.75" customHeight="1">
      <c r="A69" s="167" t="s">
        <v>1138</v>
      </c>
      <c r="B69" s="22" t="s">
        <v>1137</v>
      </c>
      <c r="C69" s="168">
        <v>1</v>
      </c>
      <c r="D69" s="169" t="b">
        <v>1</v>
      </c>
      <c r="E69" s="170" t="s">
        <v>1469</v>
      </c>
      <c r="F69" s="171">
        <v>1</v>
      </c>
      <c r="G69" s="171">
        <v>1</v>
      </c>
      <c r="H69" s="171">
        <v>1</v>
      </c>
      <c r="I69" s="171">
        <v>1</v>
      </c>
      <c r="J69" s="171">
        <v>1</v>
      </c>
      <c r="K69" s="171">
        <v>3</v>
      </c>
      <c r="L69" s="171"/>
      <c r="M69" s="171"/>
      <c r="N69" s="171"/>
      <c r="O69" s="171"/>
      <c r="P69" s="171"/>
      <c r="Q69" s="171"/>
      <c r="R69" s="171">
        <v>1</v>
      </c>
      <c r="S69" s="171"/>
      <c r="T69" s="171"/>
      <c r="U69" s="171"/>
      <c r="V69" s="171"/>
      <c r="W69" s="171"/>
      <c r="X69" s="171"/>
      <c r="Y69" s="171"/>
      <c r="Z69" s="171"/>
      <c r="AA69" s="171"/>
      <c r="AB69" s="171"/>
      <c r="AC69" s="171"/>
      <c r="AD69" s="171"/>
      <c r="AE69" s="171"/>
      <c r="AF69" s="171"/>
      <c r="AG69" s="171"/>
      <c r="AH69" s="171"/>
      <c r="AI69" s="171"/>
      <c r="AJ69" s="171"/>
      <c r="AK69" s="171"/>
      <c r="AL69" s="171"/>
      <c r="AM69" s="22"/>
      <c r="AN69" s="22">
        <f t="shared" si="2"/>
        <v>9</v>
      </c>
      <c r="AO69" s="171"/>
    </row>
    <row r="70" spans="1:41" ht="15.75" customHeight="1">
      <c r="A70" s="167" t="s">
        <v>1151</v>
      </c>
      <c r="B70" s="22" t="s">
        <v>1150</v>
      </c>
      <c r="C70" s="168">
        <v>1</v>
      </c>
      <c r="D70" s="169" t="b">
        <v>1</v>
      </c>
      <c r="E70" s="174" t="s">
        <v>1421</v>
      </c>
      <c r="F70" s="171">
        <v>1</v>
      </c>
      <c r="G70" s="171"/>
      <c r="H70" s="171"/>
      <c r="I70" s="171">
        <v>1</v>
      </c>
      <c r="J70" s="171"/>
      <c r="K70" s="171"/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>
        <v>1</v>
      </c>
      <c r="Z70" s="171">
        <v>1</v>
      </c>
      <c r="AA70" s="171">
        <v>1</v>
      </c>
      <c r="AB70" s="171">
        <v>1</v>
      </c>
      <c r="AC70" s="171"/>
      <c r="AD70" s="171"/>
      <c r="AE70" s="171">
        <v>1</v>
      </c>
      <c r="AF70" s="171">
        <v>1</v>
      </c>
      <c r="AG70" s="171"/>
      <c r="AH70" s="171"/>
      <c r="AI70" s="171"/>
      <c r="AJ70" s="171"/>
      <c r="AK70" s="171"/>
      <c r="AL70" s="171">
        <v>1</v>
      </c>
      <c r="AM70" s="22"/>
      <c r="AN70" s="22">
        <f t="shared" si="2"/>
        <v>9</v>
      </c>
      <c r="AO70" s="171" t="s">
        <v>1470</v>
      </c>
    </row>
    <row r="71" spans="1:41" ht="15.75" customHeight="1">
      <c r="A71" s="167" t="s">
        <v>1169</v>
      </c>
      <c r="B71" s="22" t="s">
        <v>1168</v>
      </c>
      <c r="C71" s="168">
        <v>1</v>
      </c>
      <c r="D71" s="169" t="b">
        <v>1</v>
      </c>
      <c r="E71" s="170" t="s">
        <v>1421</v>
      </c>
      <c r="F71" s="171">
        <v>1</v>
      </c>
      <c r="G71" s="171"/>
      <c r="H71" s="171"/>
      <c r="I71" s="171">
        <v>1</v>
      </c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>
        <v>1</v>
      </c>
      <c r="Z71" s="171">
        <v>1</v>
      </c>
      <c r="AA71" s="171">
        <v>1</v>
      </c>
      <c r="AB71" s="171">
        <v>1</v>
      </c>
      <c r="AC71" s="171"/>
      <c r="AD71" s="171"/>
      <c r="AE71" s="171">
        <v>1</v>
      </c>
      <c r="AF71" s="171">
        <v>1</v>
      </c>
      <c r="AG71" s="171"/>
      <c r="AH71" s="171"/>
      <c r="AI71" s="171"/>
      <c r="AJ71" s="171"/>
      <c r="AK71" s="171"/>
      <c r="AL71" s="171">
        <v>1</v>
      </c>
      <c r="AM71" s="22"/>
      <c r="AN71" s="22">
        <f t="shared" si="2"/>
        <v>9</v>
      </c>
      <c r="AO71" s="171" t="s">
        <v>1470</v>
      </c>
    </row>
    <row r="72" spans="1:41" ht="15.75" customHeight="1">
      <c r="A72" s="167" t="s">
        <v>1184</v>
      </c>
      <c r="B72" s="22" t="s">
        <v>1183</v>
      </c>
      <c r="C72" s="168">
        <v>1</v>
      </c>
      <c r="D72" s="169" t="b">
        <v>1</v>
      </c>
      <c r="E72" s="170" t="s">
        <v>1471</v>
      </c>
      <c r="F72" s="171">
        <v>1</v>
      </c>
      <c r="G72" s="171">
        <v>1</v>
      </c>
      <c r="H72" s="171">
        <v>1</v>
      </c>
      <c r="I72" s="171">
        <v>1</v>
      </c>
      <c r="J72" s="171">
        <v>1</v>
      </c>
      <c r="K72" s="171"/>
      <c r="L72" s="171"/>
      <c r="M72" s="171"/>
      <c r="N72" s="171">
        <v>1</v>
      </c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>
        <v>1</v>
      </c>
      <c r="AD72" s="171"/>
      <c r="AE72" s="171"/>
      <c r="AF72" s="171"/>
      <c r="AG72" s="171"/>
      <c r="AH72" s="171"/>
      <c r="AI72" s="171"/>
      <c r="AJ72" s="171"/>
      <c r="AK72" s="171">
        <v>1</v>
      </c>
      <c r="AL72" s="171">
        <v>1</v>
      </c>
      <c r="AM72" s="22"/>
      <c r="AN72" s="22">
        <f t="shared" si="2"/>
        <v>9</v>
      </c>
      <c r="AO72" s="171" t="s">
        <v>1472</v>
      </c>
    </row>
    <row r="73" spans="1:41" ht="15.75" customHeight="1">
      <c r="A73" s="167" t="s">
        <v>1198</v>
      </c>
      <c r="B73" s="22" t="s">
        <v>1197</v>
      </c>
      <c r="C73" s="168">
        <v>1</v>
      </c>
      <c r="D73" s="169" t="b">
        <v>1</v>
      </c>
      <c r="E73" s="170" t="s">
        <v>1473</v>
      </c>
      <c r="F73" s="171">
        <v>1</v>
      </c>
      <c r="G73" s="171">
        <v>1</v>
      </c>
      <c r="H73" s="171">
        <v>1</v>
      </c>
      <c r="I73" s="171">
        <v>1</v>
      </c>
      <c r="J73" s="171">
        <v>1</v>
      </c>
      <c r="K73" s="171"/>
      <c r="L73" s="171"/>
      <c r="M73" s="171"/>
      <c r="N73" s="171">
        <v>1</v>
      </c>
      <c r="O73" s="171"/>
      <c r="P73" s="171">
        <v>1</v>
      </c>
      <c r="Q73" s="171"/>
      <c r="R73" s="171"/>
      <c r="S73" s="171"/>
      <c r="T73" s="171"/>
      <c r="U73" s="171"/>
      <c r="V73" s="171"/>
      <c r="W73" s="171"/>
      <c r="X73" s="171">
        <v>1</v>
      </c>
      <c r="Y73" s="171"/>
      <c r="Z73" s="171"/>
      <c r="AA73" s="171"/>
      <c r="AB73" s="171"/>
      <c r="AC73" s="171">
        <v>1</v>
      </c>
      <c r="AD73" s="171"/>
      <c r="AE73" s="171"/>
      <c r="AF73" s="171"/>
      <c r="AG73" s="171"/>
      <c r="AH73" s="171"/>
      <c r="AI73" s="171"/>
      <c r="AJ73" s="171"/>
      <c r="AK73" s="171"/>
      <c r="AL73" s="171"/>
      <c r="AM73" s="22"/>
      <c r="AN73" s="22">
        <f t="shared" si="2"/>
        <v>9</v>
      </c>
      <c r="AO73" s="171"/>
    </row>
    <row r="74" spans="1:41" ht="15.75" customHeight="1">
      <c r="A74" s="167" t="s">
        <v>1206</v>
      </c>
      <c r="B74" s="22" t="s">
        <v>1205</v>
      </c>
      <c r="C74" s="168">
        <v>1</v>
      </c>
      <c r="D74" s="169" t="b">
        <v>1</v>
      </c>
      <c r="E74" s="170" t="s">
        <v>1474</v>
      </c>
      <c r="F74" s="171">
        <v>1</v>
      </c>
      <c r="G74" s="171">
        <v>1</v>
      </c>
      <c r="H74" s="171">
        <v>1</v>
      </c>
      <c r="I74" s="171">
        <v>1</v>
      </c>
      <c r="J74" s="171">
        <v>1</v>
      </c>
      <c r="K74" s="171">
        <v>1</v>
      </c>
      <c r="L74" s="171">
        <v>1</v>
      </c>
      <c r="M74" s="171"/>
      <c r="N74" s="171">
        <v>1</v>
      </c>
      <c r="O74" s="171"/>
      <c r="P74" s="171"/>
      <c r="Q74" s="171"/>
      <c r="R74" s="171"/>
      <c r="S74" s="171"/>
      <c r="T74" s="171"/>
      <c r="U74" s="171"/>
      <c r="V74" s="171"/>
      <c r="W74" s="171"/>
      <c r="X74" s="171">
        <v>1</v>
      </c>
      <c r="Y74" s="171"/>
      <c r="Z74" s="171"/>
      <c r="AA74" s="171"/>
      <c r="AB74" s="171"/>
      <c r="AC74" s="171"/>
      <c r="AD74" s="171"/>
      <c r="AE74" s="171"/>
      <c r="AF74" s="171"/>
      <c r="AG74" s="171"/>
      <c r="AH74" s="171"/>
      <c r="AI74" s="171"/>
      <c r="AJ74" s="171"/>
      <c r="AK74" s="171"/>
      <c r="AL74" s="171"/>
      <c r="AM74" s="22"/>
      <c r="AN74" s="22">
        <f t="shared" si="2"/>
        <v>9</v>
      </c>
      <c r="AO74" s="171"/>
    </row>
    <row r="75" spans="1:41" ht="15.75" customHeight="1">
      <c r="A75" s="167" t="s">
        <v>1230</v>
      </c>
      <c r="B75" s="22" t="s">
        <v>1229</v>
      </c>
      <c r="C75" s="168">
        <v>1</v>
      </c>
      <c r="D75" s="169" t="b">
        <v>1</v>
      </c>
      <c r="E75" s="170" t="s">
        <v>1475</v>
      </c>
      <c r="F75" s="171">
        <v>1</v>
      </c>
      <c r="G75" s="171">
        <v>1</v>
      </c>
      <c r="H75" s="171">
        <v>1</v>
      </c>
      <c r="I75" s="171">
        <v>1</v>
      </c>
      <c r="J75" s="171">
        <v>1</v>
      </c>
      <c r="K75" s="171">
        <v>2</v>
      </c>
      <c r="L75" s="171"/>
      <c r="M75" s="171"/>
      <c r="N75" s="171">
        <v>1</v>
      </c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1"/>
      <c r="AB75" s="171"/>
      <c r="AC75" s="171">
        <v>1</v>
      </c>
      <c r="AD75" s="171"/>
      <c r="AE75" s="171"/>
      <c r="AF75" s="171"/>
      <c r="AG75" s="171"/>
      <c r="AH75" s="171"/>
      <c r="AI75" s="171"/>
      <c r="AJ75" s="171"/>
      <c r="AK75" s="171"/>
      <c r="AL75" s="171"/>
      <c r="AM75" s="22"/>
      <c r="AN75" s="22">
        <f t="shared" si="2"/>
        <v>9</v>
      </c>
      <c r="AO75" s="171"/>
    </row>
    <row r="76" spans="1:41" ht="15.75" customHeight="1">
      <c r="A76" s="167" t="s">
        <v>1242</v>
      </c>
      <c r="B76" s="22" t="s">
        <v>1241</v>
      </c>
      <c r="C76" s="168">
        <v>1</v>
      </c>
      <c r="D76" s="169" t="b">
        <v>1</v>
      </c>
      <c r="E76" s="170" t="s">
        <v>1425</v>
      </c>
      <c r="F76" s="171">
        <v>1</v>
      </c>
      <c r="G76" s="171">
        <v>1</v>
      </c>
      <c r="H76" s="171">
        <v>1</v>
      </c>
      <c r="I76" s="171">
        <v>1</v>
      </c>
      <c r="J76" s="171">
        <v>1</v>
      </c>
      <c r="K76" s="171">
        <v>2</v>
      </c>
      <c r="L76" s="171"/>
      <c r="M76" s="171"/>
      <c r="N76" s="171">
        <v>1</v>
      </c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/>
      <c r="AH76" s="171"/>
      <c r="AI76" s="171"/>
      <c r="AJ76" s="171"/>
      <c r="AK76" s="171"/>
      <c r="AL76" s="171">
        <v>1</v>
      </c>
      <c r="AM76" s="22"/>
      <c r="AN76" s="22">
        <f t="shared" si="2"/>
        <v>9</v>
      </c>
      <c r="AO76" s="171" t="s">
        <v>1476</v>
      </c>
    </row>
    <row r="77" spans="1:41" ht="15.75" customHeight="1">
      <c r="A77" s="167" t="s">
        <v>1250</v>
      </c>
      <c r="B77" s="22" t="s">
        <v>1249</v>
      </c>
      <c r="C77" s="168">
        <v>1</v>
      </c>
      <c r="D77" s="169" t="b">
        <v>1</v>
      </c>
      <c r="E77" s="170" t="s">
        <v>1477</v>
      </c>
      <c r="F77" s="171">
        <v>1</v>
      </c>
      <c r="G77" s="171">
        <v>1</v>
      </c>
      <c r="H77" s="171">
        <v>1</v>
      </c>
      <c r="I77" s="171">
        <v>1</v>
      </c>
      <c r="J77" s="171">
        <v>1</v>
      </c>
      <c r="K77" s="171"/>
      <c r="L77" s="171"/>
      <c r="M77" s="171"/>
      <c r="N77" s="171">
        <v>1</v>
      </c>
      <c r="O77" s="171"/>
      <c r="P77" s="171">
        <v>1</v>
      </c>
      <c r="Q77" s="171"/>
      <c r="R77" s="171"/>
      <c r="S77" s="171"/>
      <c r="T77" s="171"/>
      <c r="U77" s="171"/>
      <c r="V77" s="171"/>
      <c r="W77" s="171"/>
      <c r="X77" s="171">
        <v>1</v>
      </c>
      <c r="Y77" s="171"/>
      <c r="Z77" s="171"/>
      <c r="AA77" s="171"/>
      <c r="AB77" s="171"/>
      <c r="AC77" s="171"/>
      <c r="AD77" s="171"/>
      <c r="AE77" s="171"/>
      <c r="AF77" s="171"/>
      <c r="AG77" s="171"/>
      <c r="AH77" s="171">
        <v>1</v>
      </c>
      <c r="AI77" s="171"/>
      <c r="AJ77" s="171"/>
      <c r="AK77" s="171"/>
      <c r="AL77" s="171"/>
      <c r="AM77" s="22"/>
      <c r="AN77" s="22">
        <f t="shared" si="2"/>
        <v>9</v>
      </c>
      <c r="AO77" s="171"/>
    </row>
    <row r="78" spans="1:41" ht="15.75" customHeight="1">
      <c r="A78" s="167" t="s">
        <v>1276</v>
      </c>
      <c r="B78" s="22" t="s">
        <v>1275</v>
      </c>
      <c r="C78" s="168">
        <v>1</v>
      </c>
      <c r="D78" s="169" t="b">
        <v>1</v>
      </c>
      <c r="E78" s="170" t="s">
        <v>1478</v>
      </c>
      <c r="F78" s="171">
        <v>1</v>
      </c>
      <c r="G78" s="171">
        <v>1</v>
      </c>
      <c r="H78" s="171">
        <v>1</v>
      </c>
      <c r="I78" s="171">
        <v>1</v>
      </c>
      <c r="J78" s="171">
        <v>1</v>
      </c>
      <c r="K78" s="171"/>
      <c r="L78" s="171"/>
      <c r="M78" s="171"/>
      <c r="N78" s="171">
        <v>1</v>
      </c>
      <c r="O78" s="171"/>
      <c r="P78" s="171"/>
      <c r="Q78" s="171"/>
      <c r="R78" s="171"/>
      <c r="S78" s="171"/>
      <c r="T78" s="171"/>
      <c r="U78" s="171">
        <v>1</v>
      </c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1">
        <v>2</v>
      </c>
      <c r="AM78" s="22"/>
      <c r="AN78" s="22">
        <f t="shared" si="2"/>
        <v>9</v>
      </c>
      <c r="AO78" s="171" t="s">
        <v>1479</v>
      </c>
    </row>
    <row r="79" spans="1:41" ht="15.75" customHeight="1">
      <c r="A79" s="167" t="s">
        <v>1286</v>
      </c>
      <c r="B79" s="22" t="s">
        <v>1285</v>
      </c>
      <c r="C79" s="168">
        <v>1</v>
      </c>
      <c r="D79" s="169" t="b">
        <v>1</v>
      </c>
      <c r="E79" s="170" t="s">
        <v>1480</v>
      </c>
      <c r="F79" s="171">
        <v>1</v>
      </c>
      <c r="G79" s="171">
        <v>1</v>
      </c>
      <c r="H79" s="171">
        <v>1</v>
      </c>
      <c r="I79" s="171"/>
      <c r="J79" s="171">
        <v>1</v>
      </c>
      <c r="K79" s="171">
        <v>1</v>
      </c>
      <c r="L79" s="171"/>
      <c r="M79" s="171"/>
      <c r="N79" s="171">
        <v>1</v>
      </c>
      <c r="O79" s="171"/>
      <c r="P79" s="171"/>
      <c r="Q79" s="171"/>
      <c r="R79" s="171"/>
      <c r="S79" s="171"/>
      <c r="T79" s="171"/>
      <c r="U79" s="171"/>
      <c r="V79" s="171"/>
      <c r="W79" s="171"/>
      <c r="X79" s="171">
        <v>1</v>
      </c>
      <c r="Y79" s="171"/>
      <c r="Z79" s="171"/>
      <c r="AA79" s="171"/>
      <c r="AB79" s="171"/>
      <c r="AC79" s="171">
        <v>1</v>
      </c>
      <c r="AD79" s="171"/>
      <c r="AE79" s="171"/>
      <c r="AF79" s="171"/>
      <c r="AG79" s="171"/>
      <c r="AH79" s="171"/>
      <c r="AI79" s="171"/>
      <c r="AJ79" s="171"/>
      <c r="AK79" s="171"/>
      <c r="AL79" s="171">
        <v>1</v>
      </c>
      <c r="AM79" s="22"/>
      <c r="AN79" s="22">
        <f t="shared" si="2"/>
        <v>9</v>
      </c>
      <c r="AO79" s="171" t="s">
        <v>1481</v>
      </c>
    </row>
    <row r="80" spans="1:41" ht="15.75" customHeight="1">
      <c r="A80" s="167" t="s">
        <v>1315</v>
      </c>
      <c r="B80" s="22" t="s">
        <v>1314</v>
      </c>
      <c r="C80" s="168">
        <v>1</v>
      </c>
      <c r="D80" s="169" t="b">
        <v>1</v>
      </c>
      <c r="E80" s="174" t="s">
        <v>1482</v>
      </c>
      <c r="F80" s="171">
        <v>1</v>
      </c>
      <c r="G80" s="171">
        <v>1</v>
      </c>
      <c r="H80" s="171">
        <v>1</v>
      </c>
      <c r="I80" s="171">
        <v>1</v>
      </c>
      <c r="J80" s="171">
        <v>1</v>
      </c>
      <c r="K80" s="171">
        <v>1</v>
      </c>
      <c r="L80" s="171"/>
      <c r="M80" s="171"/>
      <c r="N80" s="171"/>
      <c r="O80" s="171">
        <v>1</v>
      </c>
      <c r="P80" s="171"/>
      <c r="Q80" s="171">
        <v>1</v>
      </c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171"/>
      <c r="AI80" s="171"/>
      <c r="AJ80" s="171"/>
      <c r="AK80" s="171"/>
      <c r="AL80" s="171">
        <v>1</v>
      </c>
      <c r="AM80" s="22"/>
      <c r="AN80" s="22">
        <f t="shared" si="2"/>
        <v>9</v>
      </c>
      <c r="AO80" s="171" t="s">
        <v>1483</v>
      </c>
    </row>
    <row r="81" spans="1:41" ht="15.75" customHeight="1">
      <c r="A81" s="167" t="s">
        <v>1329</v>
      </c>
      <c r="B81" s="22" t="s">
        <v>1328</v>
      </c>
      <c r="C81" s="168">
        <v>1</v>
      </c>
      <c r="D81" s="169" t="b">
        <v>1</v>
      </c>
      <c r="E81" s="170" t="s">
        <v>1484</v>
      </c>
      <c r="F81" s="171">
        <v>1</v>
      </c>
      <c r="G81" s="171">
        <v>1</v>
      </c>
      <c r="H81" s="171">
        <v>1</v>
      </c>
      <c r="I81" s="171">
        <v>1</v>
      </c>
      <c r="J81" s="171">
        <v>1</v>
      </c>
      <c r="K81" s="171">
        <v>1</v>
      </c>
      <c r="L81" s="171">
        <v>1</v>
      </c>
      <c r="M81" s="171"/>
      <c r="N81" s="171"/>
      <c r="O81" s="171"/>
      <c r="P81" s="171"/>
      <c r="Q81" s="171">
        <v>1</v>
      </c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171">
        <v>1</v>
      </c>
      <c r="AI81" s="171"/>
      <c r="AJ81" s="171"/>
      <c r="AK81" s="171"/>
      <c r="AL81" s="171"/>
      <c r="AM81" s="22"/>
      <c r="AN81" s="22">
        <f t="shared" si="2"/>
        <v>9</v>
      </c>
      <c r="AO81" s="171"/>
    </row>
    <row r="82" spans="1:41" ht="15.75" customHeight="1">
      <c r="A82" s="167" t="s">
        <v>1333</v>
      </c>
      <c r="B82" s="22" t="s">
        <v>1332</v>
      </c>
      <c r="C82" s="168">
        <v>1</v>
      </c>
      <c r="D82" s="169" t="b">
        <v>1</v>
      </c>
      <c r="E82" s="170" t="s">
        <v>1485</v>
      </c>
      <c r="F82" s="171">
        <v>1</v>
      </c>
      <c r="G82" s="171">
        <v>1</v>
      </c>
      <c r="H82" s="171">
        <v>1</v>
      </c>
      <c r="I82" s="171">
        <v>1</v>
      </c>
      <c r="J82" s="171">
        <v>1</v>
      </c>
      <c r="K82" s="171">
        <v>1</v>
      </c>
      <c r="L82" s="171"/>
      <c r="M82" s="171"/>
      <c r="N82" s="171"/>
      <c r="O82" s="171">
        <v>1</v>
      </c>
      <c r="P82" s="171"/>
      <c r="Q82" s="171">
        <v>1</v>
      </c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171"/>
      <c r="AI82" s="171"/>
      <c r="AJ82" s="171"/>
      <c r="AK82" s="171"/>
      <c r="AL82" s="171">
        <v>1</v>
      </c>
      <c r="AM82" s="22"/>
      <c r="AN82" s="22">
        <f t="shared" si="2"/>
        <v>9</v>
      </c>
      <c r="AO82" s="171" t="s">
        <v>1486</v>
      </c>
    </row>
    <row r="83" spans="1:41" ht="15.75" customHeight="1">
      <c r="A83" s="167" t="s">
        <v>1343</v>
      </c>
      <c r="B83" s="22" t="s">
        <v>1342</v>
      </c>
      <c r="C83" s="168">
        <v>1</v>
      </c>
      <c r="D83" s="169" t="b">
        <v>1</v>
      </c>
      <c r="E83" s="170" t="s">
        <v>1487</v>
      </c>
      <c r="F83" s="171">
        <v>1</v>
      </c>
      <c r="G83" s="171">
        <v>1</v>
      </c>
      <c r="H83" s="171">
        <v>1</v>
      </c>
      <c r="I83" s="171">
        <v>1</v>
      </c>
      <c r="J83" s="171">
        <v>1</v>
      </c>
      <c r="K83" s="171">
        <v>3</v>
      </c>
      <c r="L83" s="171"/>
      <c r="M83" s="171"/>
      <c r="N83" s="171"/>
      <c r="O83" s="171"/>
      <c r="P83" s="171"/>
      <c r="Q83" s="171">
        <v>1</v>
      </c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/>
      <c r="AC83" s="171"/>
      <c r="AD83" s="171"/>
      <c r="AE83" s="171"/>
      <c r="AF83" s="171"/>
      <c r="AG83" s="171"/>
      <c r="AH83" s="171"/>
      <c r="AI83" s="171"/>
      <c r="AJ83" s="171"/>
      <c r="AK83" s="171"/>
      <c r="AL83" s="171"/>
      <c r="AM83" s="22"/>
      <c r="AN83" s="22">
        <f t="shared" si="2"/>
        <v>9</v>
      </c>
      <c r="AO83" s="171"/>
    </row>
    <row r="84" spans="1:41" ht="15.75" customHeight="1">
      <c r="A84" s="167" t="s">
        <v>298</v>
      </c>
      <c r="B84" s="22" t="s">
        <v>297</v>
      </c>
      <c r="C84" s="168">
        <v>1</v>
      </c>
      <c r="D84" s="169" t="b">
        <v>1</v>
      </c>
      <c r="E84" s="170" t="s">
        <v>1488</v>
      </c>
      <c r="F84" s="171">
        <v>1</v>
      </c>
      <c r="G84" s="171">
        <v>1</v>
      </c>
      <c r="H84" s="171">
        <v>1</v>
      </c>
      <c r="I84" s="171">
        <v>1</v>
      </c>
      <c r="J84" s="171">
        <v>1</v>
      </c>
      <c r="K84" s="171"/>
      <c r="L84" s="171">
        <v>1</v>
      </c>
      <c r="M84" s="171"/>
      <c r="N84" s="171"/>
      <c r="O84" s="171"/>
      <c r="P84" s="171"/>
      <c r="Q84" s="171"/>
      <c r="R84" s="171"/>
      <c r="S84" s="171">
        <v>1</v>
      </c>
      <c r="T84" s="171"/>
      <c r="U84" s="171"/>
      <c r="V84" s="171"/>
      <c r="W84" s="171">
        <v>1</v>
      </c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171"/>
      <c r="AI84" s="171"/>
      <c r="AJ84" s="171"/>
      <c r="AK84" s="171"/>
      <c r="AL84" s="171"/>
      <c r="AM84" s="22"/>
      <c r="AN84" s="22">
        <f t="shared" si="2"/>
        <v>8</v>
      </c>
      <c r="AO84" s="171" t="s">
        <v>1489</v>
      </c>
    </row>
    <row r="85" spans="1:41" ht="15.75" customHeight="1">
      <c r="A85" s="167" t="s">
        <v>432</v>
      </c>
      <c r="B85" s="22" t="s">
        <v>431</v>
      </c>
      <c r="C85" s="168">
        <v>1</v>
      </c>
      <c r="D85" s="169" t="b">
        <v>1</v>
      </c>
      <c r="E85" s="170" t="s">
        <v>1490</v>
      </c>
      <c r="F85" s="171">
        <v>1</v>
      </c>
      <c r="G85" s="171">
        <v>1</v>
      </c>
      <c r="H85" s="171">
        <v>1</v>
      </c>
      <c r="I85" s="171">
        <v>1</v>
      </c>
      <c r="J85" s="171">
        <v>1</v>
      </c>
      <c r="K85" s="171">
        <v>1</v>
      </c>
      <c r="L85" s="171"/>
      <c r="M85" s="171"/>
      <c r="N85" s="171"/>
      <c r="O85" s="171">
        <v>1</v>
      </c>
      <c r="P85" s="171"/>
      <c r="Q85" s="171"/>
      <c r="R85" s="171"/>
      <c r="S85" s="171">
        <v>1</v>
      </c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171"/>
      <c r="AI85" s="171"/>
      <c r="AJ85" s="171"/>
      <c r="AK85" s="171"/>
      <c r="AL85" s="171"/>
      <c r="AM85" s="22"/>
      <c r="AN85" s="22">
        <f t="shared" si="2"/>
        <v>8</v>
      </c>
      <c r="AO85" s="171" t="s">
        <v>1429</v>
      </c>
    </row>
    <row r="86" spans="1:41" ht="15.75" customHeight="1">
      <c r="A86" s="167" t="s">
        <v>434</v>
      </c>
      <c r="B86" s="22" t="s">
        <v>433</v>
      </c>
      <c r="C86" s="168">
        <v>1</v>
      </c>
      <c r="D86" s="169" t="b">
        <v>1</v>
      </c>
      <c r="E86" s="170" t="s">
        <v>1491</v>
      </c>
      <c r="F86" s="171">
        <v>1</v>
      </c>
      <c r="G86" s="171">
        <v>1</v>
      </c>
      <c r="H86" s="171">
        <v>1</v>
      </c>
      <c r="I86" s="171">
        <v>1</v>
      </c>
      <c r="J86" s="171">
        <v>1</v>
      </c>
      <c r="K86" s="171">
        <v>1</v>
      </c>
      <c r="L86" s="171"/>
      <c r="M86" s="171">
        <v>1</v>
      </c>
      <c r="N86" s="171"/>
      <c r="O86" s="171"/>
      <c r="P86" s="171"/>
      <c r="Q86" s="171"/>
      <c r="R86" s="171"/>
      <c r="S86" s="171">
        <v>1</v>
      </c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171"/>
      <c r="AI86" s="171"/>
      <c r="AJ86" s="171"/>
      <c r="AK86" s="171"/>
      <c r="AL86" s="171"/>
      <c r="AM86" s="22"/>
      <c r="AN86" s="22">
        <f t="shared" si="2"/>
        <v>8</v>
      </c>
      <c r="AO86" s="171" t="s">
        <v>1492</v>
      </c>
    </row>
    <row r="87" spans="1:41" ht="15.75" customHeight="1">
      <c r="A87" s="167" t="s">
        <v>552</v>
      </c>
      <c r="B87" s="22" t="s">
        <v>551</v>
      </c>
      <c r="C87" s="168">
        <v>1</v>
      </c>
      <c r="D87" s="169" t="b">
        <v>1</v>
      </c>
      <c r="E87" s="170" t="s">
        <v>1493</v>
      </c>
      <c r="F87" s="171">
        <v>1</v>
      </c>
      <c r="G87" s="171">
        <v>1</v>
      </c>
      <c r="H87" s="171">
        <v>1</v>
      </c>
      <c r="I87" s="171">
        <v>1</v>
      </c>
      <c r="J87" s="171">
        <v>1</v>
      </c>
      <c r="K87" s="171"/>
      <c r="L87" s="171">
        <v>1</v>
      </c>
      <c r="M87" s="171"/>
      <c r="N87" s="171"/>
      <c r="O87" s="171"/>
      <c r="P87" s="171"/>
      <c r="Q87" s="171"/>
      <c r="R87" s="171"/>
      <c r="S87" s="171">
        <v>1</v>
      </c>
      <c r="T87" s="171"/>
      <c r="U87" s="171"/>
      <c r="V87" s="171"/>
      <c r="W87" s="171">
        <v>1</v>
      </c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171"/>
      <c r="AI87" s="171"/>
      <c r="AJ87" s="171"/>
      <c r="AK87" s="171"/>
      <c r="AL87" s="171"/>
      <c r="AM87" s="22"/>
      <c r="AN87" s="22">
        <f t="shared" si="2"/>
        <v>8</v>
      </c>
      <c r="AO87" s="171" t="s">
        <v>1494</v>
      </c>
    </row>
    <row r="88" spans="1:41" ht="15.75" customHeight="1">
      <c r="A88" s="167" t="s">
        <v>690</v>
      </c>
      <c r="B88" s="22" t="s">
        <v>689</v>
      </c>
      <c r="C88" s="168">
        <v>1</v>
      </c>
      <c r="D88" s="169" t="b">
        <v>1</v>
      </c>
      <c r="E88" s="170" t="s">
        <v>1495</v>
      </c>
      <c r="F88" s="171">
        <v>1</v>
      </c>
      <c r="G88" s="171">
        <v>1</v>
      </c>
      <c r="H88" s="171">
        <v>1</v>
      </c>
      <c r="I88" s="171">
        <v>1</v>
      </c>
      <c r="J88" s="171">
        <v>1</v>
      </c>
      <c r="K88" s="171"/>
      <c r="L88" s="171"/>
      <c r="M88" s="171"/>
      <c r="N88" s="171"/>
      <c r="O88" s="171">
        <v>1</v>
      </c>
      <c r="P88" s="171"/>
      <c r="Q88" s="171"/>
      <c r="R88" s="171"/>
      <c r="S88" s="171">
        <v>1</v>
      </c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171"/>
      <c r="AI88" s="171"/>
      <c r="AJ88" s="171"/>
      <c r="AK88" s="171"/>
      <c r="AL88" s="171">
        <v>1</v>
      </c>
      <c r="AM88" s="22"/>
      <c r="AN88" s="22">
        <f t="shared" si="2"/>
        <v>8</v>
      </c>
      <c r="AO88" s="171" t="s">
        <v>1496</v>
      </c>
    </row>
    <row r="89" spans="1:41" ht="15.75" customHeight="1">
      <c r="A89" s="167" t="s">
        <v>712</v>
      </c>
      <c r="B89" s="22" t="s">
        <v>711</v>
      </c>
      <c r="C89" s="168">
        <v>1</v>
      </c>
      <c r="D89" s="169" t="b">
        <v>1</v>
      </c>
      <c r="E89" s="170" t="s">
        <v>1497</v>
      </c>
      <c r="F89" s="171">
        <v>1</v>
      </c>
      <c r="G89" s="171">
        <v>1</v>
      </c>
      <c r="H89" s="171">
        <v>1</v>
      </c>
      <c r="I89" s="171">
        <v>1</v>
      </c>
      <c r="J89" s="171">
        <v>1</v>
      </c>
      <c r="K89" s="171"/>
      <c r="L89" s="171"/>
      <c r="M89" s="171"/>
      <c r="N89" s="171"/>
      <c r="O89" s="171"/>
      <c r="P89" s="171"/>
      <c r="Q89" s="171"/>
      <c r="R89" s="171"/>
      <c r="S89" s="171">
        <v>1</v>
      </c>
      <c r="T89" s="171"/>
      <c r="U89" s="171"/>
      <c r="V89" s="171"/>
      <c r="W89" s="171">
        <v>1</v>
      </c>
      <c r="X89" s="171"/>
      <c r="Y89" s="171"/>
      <c r="Z89" s="171"/>
      <c r="AA89" s="171"/>
      <c r="AB89" s="171"/>
      <c r="AC89" s="171"/>
      <c r="AD89" s="171"/>
      <c r="AE89" s="171"/>
      <c r="AF89" s="171"/>
      <c r="AG89" s="171"/>
      <c r="AH89" s="171"/>
      <c r="AI89" s="171"/>
      <c r="AJ89" s="171"/>
      <c r="AK89" s="171"/>
      <c r="AL89" s="171">
        <v>1</v>
      </c>
      <c r="AM89" s="22"/>
      <c r="AN89" s="22">
        <f t="shared" si="2"/>
        <v>8</v>
      </c>
      <c r="AO89" s="171" t="s">
        <v>1498</v>
      </c>
    </row>
    <row r="90" spans="1:41" ht="15.75" customHeight="1">
      <c r="A90" s="167" t="s">
        <v>876</v>
      </c>
      <c r="B90" s="22" t="s">
        <v>875</v>
      </c>
      <c r="C90" s="168">
        <v>1</v>
      </c>
      <c r="D90" s="169" t="b">
        <v>1</v>
      </c>
      <c r="E90" s="170" t="s">
        <v>1499</v>
      </c>
      <c r="F90" s="171">
        <v>1</v>
      </c>
      <c r="G90" s="171">
        <v>1</v>
      </c>
      <c r="H90" s="171">
        <v>1</v>
      </c>
      <c r="I90" s="171">
        <v>1</v>
      </c>
      <c r="J90" s="171">
        <v>1</v>
      </c>
      <c r="K90" s="171">
        <v>1</v>
      </c>
      <c r="L90" s="171"/>
      <c r="M90" s="171"/>
      <c r="N90" s="171"/>
      <c r="O90" s="171"/>
      <c r="P90" s="171"/>
      <c r="Q90" s="171"/>
      <c r="R90" s="171"/>
      <c r="S90" s="171">
        <v>1</v>
      </c>
      <c r="T90" s="171"/>
      <c r="U90" s="171"/>
      <c r="V90" s="171"/>
      <c r="W90" s="171">
        <v>1</v>
      </c>
      <c r="X90" s="171"/>
      <c r="Y90" s="171"/>
      <c r="Z90" s="171"/>
      <c r="AA90" s="171"/>
      <c r="AB90" s="171"/>
      <c r="AC90" s="171"/>
      <c r="AD90" s="171"/>
      <c r="AE90" s="171"/>
      <c r="AF90" s="171"/>
      <c r="AG90" s="171"/>
      <c r="AH90" s="171"/>
      <c r="AI90" s="171"/>
      <c r="AJ90" s="171"/>
      <c r="AK90" s="171"/>
      <c r="AL90" s="171"/>
      <c r="AM90" s="22"/>
      <c r="AN90" s="22">
        <f t="shared" si="2"/>
        <v>8</v>
      </c>
      <c r="AO90" s="171" t="s">
        <v>1500</v>
      </c>
    </row>
    <row r="91" spans="1:41" ht="15.75" customHeight="1">
      <c r="A91" s="167" t="s">
        <v>1080</v>
      </c>
      <c r="B91" s="22" t="s">
        <v>1079</v>
      </c>
      <c r="C91" s="168">
        <v>1</v>
      </c>
      <c r="D91" s="169" t="b">
        <v>1</v>
      </c>
      <c r="E91" s="170" t="s">
        <v>1501</v>
      </c>
      <c r="F91" s="171">
        <v>1</v>
      </c>
      <c r="G91" s="171">
        <v>1</v>
      </c>
      <c r="H91" s="171">
        <v>1</v>
      </c>
      <c r="I91" s="171">
        <v>1</v>
      </c>
      <c r="J91" s="171">
        <v>1</v>
      </c>
      <c r="K91" s="171"/>
      <c r="L91" s="171"/>
      <c r="M91" s="171"/>
      <c r="N91" s="171"/>
      <c r="O91" s="171"/>
      <c r="P91" s="171">
        <v>1</v>
      </c>
      <c r="Q91" s="171"/>
      <c r="R91" s="171"/>
      <c r="S91" s="171">
        <v>1</v>
      </c>
      <c r="T91" s="171"/>
      <c r="U91" s="171"/>
      <c r="V91" s="171">
        <v>1</v>
      </c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171"/>
      <c r="AI91" s="171"/>
      <c r="AJ91" s="171"/>
      <c r="AK91" s="171"/>
      <c r="AL91" s="171"/>
      <c r="AM91" s="22"/>
      <c r="AN91" s="22">
        <f t="shared" si="2"/>
        <v>8</v>
      </c>
      <c r="AO91" s="171" t="s">
        <v>1502</v>
      </c>
    </row>
    <row r="92" spans="1:41" ht="15.75" customHeight="1">
      <c r="A92" s="167" t="s">
        <v>65</v>
      </c>
      <c r="B92" s="22" t="s">
        <v>64</v>
      </c>
      <c r="C92" s="168">
        <v>1</v>
      </c>
      <c r="D92" s="169" t="b">
        <v>1</v>
      </c>
      <c r="E92" s="170" t="s">
        <v>1503</v>
      </c>
      <c r="F92" s="171">
        <v>1</v>
      </c>
      <c r="G92" s="171">
        <v>1</v>
      </c>
      <c r="H92" s="171">
        <v>1</v>
      </c>
      <c r="I92" s="171">
        <v>1</v>
      </c>
      <c r="J92" s="171">
        <v>1</v>
      </c>
      <c r="K92" s="171">
        <v>1</v>
      </c>
      <c r="L92" s="171"/>
      <c r="M92" s="171">
        <v>1</v>
      </c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171"/>
      <c r="AI92" s="171">
        <v>1</v>
      </c>
      <c r="AJ92" s="171"/>
      <c r="AK92" s="171"/>
      <c r="AL92" s="171"/>
      <c r="AM92" s="22"/>
      <c r="AN92" s="22">
        <f t="shared" si="2"/>
        <v>8</v>
      </c>
      <c r="AO92" s="171"/>
    </row>
    <row r="93" spans="1:41" ht="15.75" customHeight="1">
      <c r="A93" s="167" t="s">
        <v>67</v>
      </c>
      <c r="B93" s="22" t="s">
        <v>66</v>
      </c>
      <c r="C93" s="168">
        <v>1</v>
      </c>
      <c r="D93" s="169" t="b">
        <v>1</v>
      </c>
      <c r="E93" s="170" t="s">
        <v>1504</v>
      </c>
      <c r="F93" s="179">
        <v>1</v>
      </c>
      <c r="G93" s="179">
        <v>1</v>
      </c>
      <c r="H93" s="171">
        <v>1</v>
      </c>
      <c r="I93" s="171">
        <v>1</v>
      </c>
      <c r="J93" s="171">
        <v>1</v>
      </c>
      <c r="K93" s="171">
        <v>1</v>
      </c>
      <c r="L93" s="171">
        <v>1</v>
      </c>
      <c r="M93" s="171"/>
      <c r="N93" s="171"/>
      <c r="O93" s="171"/>
      <c r="P93" s="179"/>
      <c r="Q93" s="171"/>
      <c r="R93" s="171"/>
      <c r="S93" s="171"/>
      <c r="T93" s="171"/>
      <c r="U93" s="171"/>
      <c r="V93" s="171">
        <v>1</v>
      </c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171"/>
      <c r="AI93" s="171"/>
      <c r="AJ93" s="171"/>
      <c r="AK93" s="171"/>
      <c r="AL93" s="171"/>
      <c r="AM93" s="22"/>
      <c r="AN93" s="22">
        <f t="shared" si="2"/>
        <v>8</v>
      </c>
      <c r="AO93" s="171"/>
    </row>
    <row r="94" spans="1:41" ht="15.75" customHeight="1">
      <c r="A94" s="167" t="s">
        <v>70</v>
      </c>
      <c r="B94" s="22" t="s">
        <v>69</v>
      </c>
      <c r="C94" s="168">
        <v>1</v>
      </c>
      <c r="D94" s="169" t="b">
        <v>1</v>
      </c>
      <c r="E94" s="174" t="s">
        <v>1505</v>
      </c>
      <c r="F94" s="178">
        <v>1</v>
      </c>
      <c r="G94" s="178">
        <v>1</v>
      </c>
      <c r="H94" s="178">
        <v>1</v>
      </c>
      <c r="I94" s="178">
        <v>1</v>
      </c>
      <c r="J94" s="178">
        <v>1</v>
      </c>
      <c r="K94" s="178">
        <v>1</v>
      </c>
      <c r="L94" s="178"/>
      <c r="M94" s="178"/>
      <c r="N94" s="178"/>
      <c r="O94" s="178"/>
      <c r="P94" s="178"/>
      <c r="Q94" s="178"/>
      <c r="R94" s="178">
        <v>1</v>
      </c>
      <c r="S94" s="178"/>
      <c r="T94" s="178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  <c r="AE94" s="178"/>
      <c r="AF94" s="178"/>
      <c r="AG94" s="178">
        <v>1</v>
      </c>
      <c r="AH94" s="178"/>
      <c r="AI94" s="178"/>
      <c r="AJ94" s="178"/>
      <c r="AK94" s="178"/>
      <c r="AL94" s="178"/>
      <c r="AM94" s="22"/>
      <c r="AN94" s="22">
        <f t="shared" si="2"/>
        <v>8</v>
      </c>
      <c r="AO94" s="171"/>
    </row>
    <row r="95" spans="1:41" ht="15.75" customHeight="1">
      <c r="A95" s="167" t="s">
        <v>73</v>
      </c>
      <c r="B95" s="22" t="s">
        <v>72</v>
      </c>
      <c r="C95" s="168">
        <v>1</v>
      </c>
      <c r="D95" s="169" t="b">
        <v>1</v>
      </c>
      <c r="E95" s="170" t="s">
        <v>1505</v>
      </c>
      <c r="F95" s="178">
        <v>1</v>
      </c>
      <c r="G95" s="178">
        <v>1</v>
      </c>
      <c r="H95" s="178">
        <v>1</v>
      </c>
      <c r="I95" s="178">
        <v>1</v>
      </c>
      <c r="J95" s="178">
        <v>1</v>
      </c>
      <c r="K95" s="178"/>
      <c r="L95" s="178"/>
      <c r="M95" s="178"/>
      <c r="N95" s="178"/>
      <c r="O95" s="178"/>
      <c r="P95" s="178"/>
      <c r="Q95" s="178"/>
      <c r="R95" s="178">
        <v>1</v>
      </c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>
        <v>1</v>
      </c>
      <c r="AH95" s="178"/>
      <c r="AI95" s="178"/>
      <c r="AJ95" s="178">
        <v>1</v>
      </c>
      <c r="AK95" s="178"/>
      <c r="AL95" s="178"/>
      <c r="AM95" s="22"/>
      <c r="AN95" s="22">
        <f t="shared" si="2"/>
        <v>8</v>
      </c>
      <c r="AO95" s="171" t="s">
        <v>1506</v>
      </c>
    </row>
    <row r="96" spans="1:41" ht="15.75" customHeight="1">
      <c r="A96" s="167" t="s">
        <v>89</v>
      </c>
      <c r="B96" s="22" t="s">
        <v>88</v>
      </c>
      <c r="C96" s="168">
        <v>1</v>
      </c>
      <c r="D96" s="169" t="b">
        <v>1</v>
      </c>
      <c r="E96" s="170" t="s">
        <v>1507</v>
      </c>
      <c r="F96" s="171">
        <v>1</v>
      </c>
      <c r="G96" s="171">
        <v>1</v>
      </c>
      <c r="H96" s="171">
        <v>1</v>
      </c>
      <c r="I96" s="171">
        <v>1</v>
      </c>
      <c r="J96" s="171">
        <v>1</v>
      </c>
      <c r="K96" s="171">
        <v>2</v>
      </c>
      <c r="L96" s="171"/>
      <c r="M96" s="171">
        <v>1</v>
      </c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/>
      <c r="AE96" s="171"/>
      <c r="AF96" s="171"/>
      <c r="AG96" s="171"/>
      <c r="AH96" s="171"/>
      <c r="AI96" s="171"/>
      <c r="AJ96" s="171"/>
      <c r="AK96" s="171"/>
      <c r="AL96" s="171"/>
      <c r="AM96" s="22"/>
      <c r="AN96" s="22">
        <f t="shared" si="2"/>
        <v>8</v>
      </c>
      <c r="AO96" s="171"/>
    </row>
    <row r="97" spans="1:41" ht="15.75" customHeight="1">
      <c r="A97" s="167" t="s">
        <v>95</v>
      </c>
      <c r="B97" s="22" t="s">
        <v>94</v>
      </c>
      <c r="C97" s="168">
        <v>1</v>
      </c>
      <c r="D97" s="169" t="b">
        <v>1</v>
      </c>
      <c r="E97" s="170" t="s">
        <v>1508</v>
      </c>
      <c r="F97" s="171">
        <v>1</v>
      </c>
      <c r="G97" s="171">
        <v>1</v>
      </c>
      <c r="H97" s="171">
        <v>1</v>
      </c>
      <c r="I97" s="171">
        <v>1</v>
      </c>
      <c r="J97" s="171">
        <v>1</v>
      </c>
      <c r="K97" s="171">
        <v>3</v>
      </c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171"/>
      <c r="AI97" s="171"/>
      <c r="AJ97" s="171"/>
      <c r="AK97" s="171"/>
      <c r="AL97" s="171"/>
      <c r="AM97" s="22"/>
      <c r="AN97" s="22">
        <f t="shared" si="2"/>
        <v>8</v>
      </c>
      <c r="AO97" s="171"/>
    </row>
    <row r="98" spans="1:41" ht="15.75" customHeight="1">
      <c r="A98" s="167" t="s">
        <v>100</v>
      </c>
      <c r="B98" s="22" t="s">
        <v>99</v>
      </c>
      <c r="C98" s="168">
        <v>1</v>
      </c>
      <c r="D98" s="169" t="b">
        <v>1</v>
      </c>
      <c r="E98" s="170" t="s">
        <v>1509</v>
      </c>
      <c r="F98" s="171">
        <v>1</v>
      </c>
      <c r="G98" s="171">
        <v>1</v>
      </c>
      <c r="H98" s="171">
        <v>1</v>
      </c>
      <c r="I98" s="171">
        <v>1</v>
      </c>
      <c r="J98" s="171">
        <v>1</v>
      </c>
      <c r="K98" s="171"/>
      <c r="L98" s="171"/>
      <c r="M98" s="171">
        <v>1</v>
      </c>
      <c r="N98" s="171"/>
      <c r="O98" s="171"/>
      <c r="P98" s="171"/>
      <c r="Q98" s="171"/>
      <c r="R98" s="171">
        <v>1</v>
      </c>
      <c r="S98" s="171"/>
      <c r="T98" s="171"/>
      <c r="U98" s="171"/>
      <c r="V98" s="171"/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/>
      <c r="AH98" s="171"/>
      <c r="AI98" s="171"/>
      <c r="AJ98" s="171"/>
      <c r="AK98" s="171"/>
      <c r="AL98" s="171">
        <v>1</v>
      </c>
      <c r="AM98" s="22"/>
      <c r="AN98" s="22">
        <f t="shared" si="2"/>
        <v>8</v>
      </c>
      <c r="AO98" s="171" t="s">
        <v>1413</v>
      </c>
    </row>
    <row r="99" spans="1:41" ht="15.75" customHeight="1">
      <c r="A99" s="167" t="s">
        <v>114</v>
      </c>
      <c r="B99" s="22" t="s">
        <v>113</v>
      </c>
      <c r="C99" s="168">
        <v>1</v>
      </c>
      <c r="D99" s="169" t="b">
        <v>1</v>
      </c>
      <c r="E99" s="170" t="s">
        <v>1510</v>
      </c>
      <c r="F99" s="171">
        <v>1</v>
      </c>
      <c r="G99" s="171">
        <v>1</v>
      </c>
      <c r="H99" s="171">
        <v>1</v>
      </c>
      <c r="I99" s="171">
        <v>1</v>
      </c>
      <c r="J99" s="171">
        <v>1</v>
      </c>
      <c r="K99" s="171">
        <v>3</v>
      </c>
      <c r="L99" s="171"/>
      <c r="M99" s="171"/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171"/>
      <c r="AI99" s="171"/>
      <c r="AJ99" s="171"/>
      <c r="AK99" s="171"/>
      <c r="AL99" s="171"/>
      <c r="AM99" s="22"/>
      <c r="AN99" s="22">
        <f t="shared" si="2"/>
        <v>8</v>
      </c>
      <c r="AO99" s="171"/>
    </row>
    <row r="100" spans="1:41" ht="15.75" customHeight="1">
      <c r="A100" s="167" t="s">
        <v>120</v>
      </c>
      <c r="B100" s="22" t="s">
        <v>119</v>
      </c>
      <c r="C100" s="168">
        <v>1</v>
      </c>
      <c r="D100" s="169" t="b">
        <v>1</v>
      </c>
      <c r="E100" s="170" t="s">
        <v>1511</v>
      </c>
      <c r="F100" s="171">
        <v>1</v>
      </c>
      <c r="G100" s="171">
        <v>1</v>
      </c>
      <c r="H100" s="171">
        <v>1</v>
      </c>
      <c r="I100" s="171">
        <v>1</v>
      </c>
      <c r="J100" s="171">
        <v>1</v>
      </c>
      <c r="K100" s="171">
        <v>2</v>
      </c>
      <c r="L100" s="171"/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171"/>
      <c r="AI100" s="171"/>
      <c r="AJ100" s="171"/>
      <c r="AK100" s="171"/>
      <c r="AL100" s="171">
        <v>1</v>
      </c>
      <c r="AM100" s="22"/>
      <c r="AN100" s="22">
        <f t="shared" si="2"/>
        <v>8</v>
      </c>
      <c r="AO100" s="171" t="s">
        <v>1512</v>
      </c>
    </row>
    <row r="101" spans="1:41" ht="15.75" customHeight="1">
      <c r="A101" s="167" t="s">
        <v>122</v>
      </c>
      <c r="B101" s="22" t="s">
        <v>121</v>
      </c>
      <c r="C101" s="168">
        <v>1</v>
      </c>
      <c r="D101" s="169" t="b">
        <v>1</v>
      </c>
      <c r="E101" s="170" t="s">
        <v>1513</v>
      </c>
      <c r="F101" s="171">
        <v>1</v>
      </c>
      <c r="G101" s="171">
        <v>1</v>
      </c>
      <c r="H101" s="171">
        <v>1</v>
      </c>
      <c r="I101" s="171">
        <v>1</v>
      </c>
      <c r="J101" s="171">
        <v>1</v>
      </c>
      <c r="K101" s="171">
        <v>2</v>
      </c>
      <c r="L101" s="171"/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171"/>
      <c r="AI101" s="171"/>
      <c r="AJ101" s="171">
        <v>1</v>
      </c>
      <c r="AK101" s="171"/>
      <c r="AL101" s="171"/>
      <c r="AM101" s="22"/>
      <c r="AN101" s="22">
        <f t="shared" si="2"/>
        <v>8</v>
      </c>
      <c r="AO101" s="171"/>
    </row>
    <row r="102" spans="1:41" ht="15.75" customHeight="1">
      <c r="A102" s="167" t="s">
        <v>135</v>
      </c>
      <c r="B102" s="22" t="s">
        <v>134</v>
      </c>
      <c r="C102" s="168">
        <v>1</v>
      </c>
      <c r="D102" s="169" t="b">
        <v>1</v>
      </c>
      <c r="E102" s="170" t="s">
        <v>1514</v>
      </c>
      <c r="F102" s="171">
        <v>1</v>
      </c>
      <c r="G102" s="171">
        <v>1</v>
      </c>
      <c r="H102" s="171">
        <v>1</v>
      </c>
      <c r="I102" s="171">
        <v>1</v>
      </c>
      <c r="J102" s="171">
        <v>1</v>
      </c>
      <c r="K102" s="171">
        <v>1</v>
      </c>
      <c r="L102" s="171"/>
      <c r="M102" s="171">
        <v>1</v>
      </c>
      <c r="N102" s="171"/>
      <c r="O102" s="171"/>
      <c r="P102" s="171"/>
      <c r="Q102" s="171"/>
      <c r="R102" s="171"/>
      <c r="S102" s="171"/>
      <c r="T102" s="171"/>
      <c r="U102" s="171"/>
      <c r="V102" s="171"/>
      <c r="W102" s="171">
        <v>1</v>
      </c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171"/>
      <c r="AI102" s="171"/>
      <c r="AJ102" s="171"/>
      <c r="AK102" s="171"/>
      <c r="AL102" s="171"/>
      <c r="AM102" s="22"/>
      <c r="AN102" s="22">
        <f t="shared" si="2"/>
        <v>8</v>
      </c>
      <c r="AO102" s="171"/>
    </row>
    <row r="103" spans="1:41" ht="15.75" customHeight="1">
      <c r="A103" s="167" t="s">
        <v>147</v>
      </c>
      <c r="B103" s="22" t="s">
        <v>146</v>
      </c>
      <c r="C103" s="168">
        <v>1</v>
      </c>
      <c r="D103" s="169" t="b">
        <v>1</v>
      </c>
      <c r="E103" s="174" t="s">
        <v>1515</v>
      </c>
      <c r="F103" s="171">
        <v>1</v>
      </c>
      <c r="G103" s="171">
        <v>1</v>
      </c>
      <c r="H103" s="171">
        <v>1</v>
      </c>
      <c r="I103" s="171">
        <v>1</v>
      </c>
      <c r="J103" s="171">
        <v>1</v>
      </c>
      <c r="K103" s="171">
        <v>2</v>
      </c>
      <c r="L103" s="171">
        <v>1</v>
      </c>
      <c r="M103" s="171"/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171"/>
      <c r="AI103" s="171"/>
      <c r="AJ103" s="171"/>
      <c r="AK103" s="171"/>
      <c r="AL103" s="171"/>
      <c r="AM103" s="22"/>
      <c r="AN103" s="22">
        <f t="shared" si="2"/>
        <v>8</v>
      </c>
      <c r="AO103" s="171"/>
    </row>
    <row r="104" spans="1:41" ht="15.75" customHeight="1">
      <c r="A104" s="167" t="s">
        <v>167</v>
      </c>
      <c r="B104" s="22" t="s">
        <v>166</v>
      </c>
      <c r="C104" s="168">
        <v>1</v>
      </c>
      <c r="D104" s="169" t="b">
        <v>1</v>
      </c>
      <c r="E104" s="170" t="s">
        <v>1405</v>
      </c>
      <c r="F104" s="171">
        <v>1</v>
      </c>
      <c r="G104" s="171">
        <v>1</v>
      </c>
      <c r="H104" s="171">
        <v>1</v>
      </c>
      <c r="I104" s="171">
        <v>1</v>
      </c>
      <c r="J104" s="171">
        <v>1</v>
      </c>
      <c r="K104" s="171">
        <v>3</v>
      </c>
      <c r="L104" s="171"/>
      <c r="M104" s="171"/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/>
      <c r="AC104" s="171"/>
      <c r="AD104" s="171"/>
      <c r="AE104" s="171"/>
      <c r="AF104" s="171"/>
      <c r="AG104" s="171"/>
      <c r="AH104" s="171"/>
      <c r="AI104" s="171"/>
      <c r="AJ104" s="171"/>
      <c r="AK104" s="171"/>
      <c r="AL104" s="171"/>
      <c r="AM104" s="22"/>
      <c r="AN104" s="22">
        <f t="shared" si="2"/>
        <v>8</v>
      </c>
      <c r="AO104" s="171"/>
    </row>
    <row r="105" spans="1:41" ht="15.75" customHeight="1">
      <c r="A105" s="167" t="s">
        <v>181</v>
      </c>
      <c r="B105" s="22" t="s">
        <v>180</v>
      </c>
      <c r="C105" s="168">
        <v>1</v>
      </c>
      <c r="D105" s="169" t="b">
        <v>1</v>
      </c>
      <c r="E105" s="170" t="s">
        <v>1516</v>
      </c>
      <c r="F105" s="171">
        <v>1</v>
      </c>
      <c r="G105" s="171">
        <v>1</v>
      </c>
      <c r="H105" s="171">
        <v>1</v>
      </c>
      <c r="I105" s="171">
        <v>1</v>
      </c>
      <c r="J105" s="171">
        <v>1</v>
      </c>
      <c r="K105" s="171">
        <v>1</v>
      </c>
      <c r="L105" s="171"/>
      <c r="M105" s="171">
        <v>1</v>
      </c>
      <c r="N105" s="171"/>
      <c r="O105" s="171"/>
      <c r="P105" s="171"/>
      <c r="Q105" s="171"/>
      <c r="R105" s="171">
        <v>1</v>
      </c>
      <c r="S105" s="171"/>
      <c r="T105" s="171"/>
      <c r="U105" s="171"/>
      <c r="V105" s="171"/>
      <c r="W105" s="171"/>
      <c r="X105" s="171"/>
      <c r="Y105" s="171"/>
      <c r="Z105" s="171"/>
      <c r="AA105" s="171"/>
      <c r="AB105" s="171"/>
      <c r="AC105" s="171"/>
      <c r="AD105" s="171"/>
      <c r="AE105" s="171"/>
      <c r="AF105" s="171"/>
      <c r="AG105" s="171"/>
      <c r="AH105" s="171"/>
      <c r="AI105" s="171"/>
      <c r="AJ105" s="171"/>
      <c r="AK105" s="171"/>
      <c r="AL105" s="171"/>
      <c r="AM105" s="22"/>
      <c r="AN105" s="22">
        <f t="shared" si="2"/>
        <v>8</v>
      </c>
      <c r="AO105" s="171"/>
    </row>
    <row r="106" spans="1:41" ht="15.75" customHeight="1">
      <c r="A106" s="167" t="s">
        <v>187</v>
      </c>
      <c r="B106" s="22" t="s">
        <v>186</v>
      </c>
      <c r="C106" s="168">
        <v>1</v>
      </c>
      <c r="D106" s="169" t="b">
        <v>1</v>
      </c>
      <c r="E106" s="170" t="s">
        <v>1517</v>
      </c>
      <c r="F106" s="171">
        <v>1</v>
      </c>
      <c r="G106" s="171">
        <v>1</v>
      </c>
      <c r="H106" s="171">
        <v>1</v>
      </c>
      <c r="I106" s="171">
        <v>1</v>
      </c>
      <c r="J106" s="171">
        <v>1</v>
      </c>
      <c r="K106" s="171">
        <v>1</v>
      </c>
      <c r="L106" s="171"/>
      <c r="M106" s="171">
        <v>1</v>
      </c>
      <c r="N106" s="171"/>
      <c r="O106" s="171"/>
      <c r="P106" s="171"/>
      <c r="Q106" s="171"/>
      <c r="R106" s="171"/>
      <c r="S106" s="171"/>
      <c r="T106" s="171"/>
      <c r="U106" s="171"/>
      <c r="V106" s="171"/>
      <c r="W106" s="171">
        <v>1</v>
      </c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/>
      <c r="AH106" s="171"/>
      <c r="AI106" s="171"/>
      <c r="AJ106" s="171"/>
      <c r="AK106" s="171"/>
      <c r="AL106" s="171"/>
      <c r="AM106" s="22"/>
      <c r="AN106" s="22">
        <f t="shared" si="2"/>
        <v>8</v>
      </c>
      <c r="AO106" s="171"/>
    </row>
    <row r="107" spans="1:41" ht="15.75" customHeight="1">
      <c r="A107" s="167" t="s">
        <v>193</v>
      </c>
      <c r="B107" s="22" t="s">
        <v>192</v>
      </c>
      <c r="C107" s="168">
        <v>1</v>
      </c>
      <c r="D107" s="169" t="b">
        <v>1</v>
      </c>
      <c r="E107" s="170" t="s">
        <v>1518</v>
      </c>
      <c r="F107" s="171">
        <v>1</v>
      </c>
      <c r="G107" s="171">
        <v>1</v>
      </c>
      <c r="H107" s="171">
        <v>1</v>
      </c>
      <c r="I107" s="171">
        <v>1</v>
      </c>
      <c r="J107" s="171">
        <v>1</v>
      </c>
      <c r="K107" s="171">
        <v>1</v>
      </c>
      <c r="L107" s="171"/>
      <c r="M107" s="171">
        <v>1</v>
      </c>
      <c r="N107" s="171"/>
      <c r="O107" s="171"/>
      <c r="P107" s="171">
        <v>1</v>
      </c>
      <c r="Q107" s="171"/>
      <c r="R107" s="171"/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171"/>
      <c r="AI107" s="171"/>
      <c r="AJ107" s="171"/>
      <c r="AK107" s="171"/>
      <c r="AL107" s="171"/>
      <c r="AM107" s="22"/>
      <c r="AN107" s="22">
        <f t="shared" si="2"/>
        <v>8</v>
      </c>
      <c r="AO107" s="171"/>
    </row>
    <row r="108" spans="1:41" ht="15.75" customHeight="1">
      <c r="A108" s="167" t="s">
        <v>211</v>
      </c>
      <c r="B108" s="22" t="s">
        <v>210</v>
      </c>
      <c r="C108" s="168">
        <v>1</v>
      </c>
      <c r="D108" s="169" t="b">
        <v>1</v>
      </c>
      <c r="E108" s="170" t="s">
        <v>1519</v>
      </c>
      <c r="F108" s="171">
        <v>1</v>
      </c>
      <c r="G108" s="171">
        <v>1</v>
      </c>
      <c r="H108" s="171">
        <v>1</v>
      </c>
      <c r="I108" s="171">
        <v>1</v>
      </c>
      <c r="J108" s="171">
        <v>1</v>
      </c>
      <c r="K108" s="171">
        <v>3</v>
      </c>
      <c r="L108" s="171"/>
      <c r="M108" s="171"/>
      <c r="N108" s="171"/>
      <c r="O108" s="171"/>
      <c r="P108" s="171"/>
      <c r="Q108" s="171"/>
      <c r="R108" s="171"/>
      <c r="S108" s="171"/>
      <c r="T108" s="171"/>
      <c r="U108" s="171"/>
      <c r="V108" s="171"/>
      <c r="W108" s="171"/>
      <c r="X108" s="171"/>
      <c r="Y108" s="171"/>
      <c r="Z108" s="171"/>
      <c r="AA108" s="171"/>
      <c r="AB108" s="171"/>
      <c r="AC108" s="171"/>
      <c r="AD108" s="171"/>
      <c r="AE108" s="171"/>
      <c r="AF108" s="171"/>
      <c r="AG108" s="171"/>
      <c r="AH108" s="171"/>
      <c r="AI108" s="171"/>
      <c r="AJ108" s="171"/>
      <c r="AK108" s="171"/>
      <c r="AL108" s="171"/>
      <c r="AM108" s="22"/>
      <c r="AN108" s="22">
        <f t="shared" si="2"/>
        <v>8</v>
      </c>
      <c r="AO108" s="171"/>
    </row>
    <row r="109" spans="1:41" ht="15.75" customHeight="1">
      <c r="A109" s="167" t="s">
        <v>215</v>
      </c>
      <c r="B109" s="22" t="s">
        <v>214</v>
      </c>
      <c r="C109" s="168">
        <v>1</v>
      </c>
      <c r="D109" s="169" t="b">
        <v>1</v>
      </c>
      <c r="E109" s="174" t="s">
        <v>1520</v>
      </c>
      <c r="F109" s="171">
        <v>1</v>
      </c>
      <c r="G109" s="171">
        <v>1</v>
      </c>
      <c r="H109" s="171">
        <v>1</v>
      </c>
      <c r="I109" s="171">
        <v>1</v>
      </c>
      <c r="J109" s="171">
        <v>1</v>
      </c>
      <c r="K109" s="171">
        <v>2</v>
      </c>
      <c r="L109" s="171">
        <v>1</v>
      </c>
      <c r="M109" s="171"/>
      <c r="N109" s="171"/>
      <c r="O109" s="171"/>
      <c r="P109" s="171"/>
      <c r="Q109" s="171"/>
      <c r="R109" s="171"/>
      <c r="S109" s="171"/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171"/>
      <c r="AI109" s="171"/>
      <c r="AJ109" s="171"/>
      <c r="AK109" s="171"/>
      <c r="AL109" s="171"/>
      <c r="AM109" s="22"/>
      <c r="AN109" s="22">
        <f t="shared" si="2"/>
        <v>8</v>
      </c>
      <c r="AO109" s="171"/>
    </row>
    <row r="110" spans="1:41" ht="15.75" customHeight="1">
      <c r="A110" s="167" t="s">
        <v>219</v>
      </c>
      <c r="B110" s="22" t="s">
        <v>218</v>
      </c>
      <c r="C110" s="168">
        <v>1</v>
      </c>
      <c r="D110" s="169" t="b">
        <v>1</v>
      </c>
      <c r="E110" s="174" t="s">
        <v>1521</v>
      </c>
      <c r="F110" s="171">
        <v>1</v>
      </c>
      <c r="G110" s="171">
        <v>1</v>
      </c>
      <c r="H110" s="171">
        <v>1</v>
      </c>
      <c r="I110" s="171">
        <v>1</v>
      </c>
      <c r="J110" s="171">
        <v>1</v>
      </c>
      <c r="K110" s="171">
        <v>1</v>
      </c>
      <c r="L110" s="171"/>
      <c r="M110" s="171"/>
      <c r="N110" s="171"/>
      <c r="O110" s="171"/>
      <c r="P110" s="171"/>
      <c r="Q110" s="171"/>
      <c r="R110" s="171"/>
      <c r="S110" s="171"/>
      <c r="T110" s="171">
        <v>1</v>
      </c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/>
      <c r="AF110" s="171"/>
      <c r="AG110" s="171"/>
      <c r="AH110" s="171">
        <v>1</v>
      </c>
      <c r="AI110" s="171"/>
      <c r="AJ110" s="171"/>
      <c r="AK110" s="171"/>
      <c r="AL110" s="171"/>
      <c r="AM110" s="22"/>
      <c r="AN110" s="22">
        <f t="shared" si="2"/>
        <v>8</v>
      </c>
      <c r="AO110" s="171"/>
    </row>
    <row r="111" spans="1:41" ht="15.75" customHeight="1">
      <c r="A111" s="167" t="s">
        <v>231</v>
      </c>
      <c r="B111" s="22" t="s">
        <v>230</v>
      </c>
      <c r="C111" s="168">
        <v>1</v>
      </c>
      <c r="D111" s="169" t="b">
        <v>1</v>
      </c>
      <c r="E111" s="174" t="s">
        <v>1522</v>
      </c>
      <c r="F111" s="171">
        <v>1</v>
      </c>
      <c r="G111" s="171">
        <v>1</v>
      </c>
      <c r="H111" s="171">
        <v>1</v>
      </c>
      <c r="I111" s="171">
        <v>1</v>
      </c>
      <c r="J111" s="171">
        <v>1</v>
      </c>
      <c r="K111" s="171">
        <v>2</v>
      </c>
      <c r="L111" s="171"/>
      <c r="M111" s="171">
        <v>1</v>
      </c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/>
      <c r="AH111" s="171"/>
      <c r="AI111" s="171"/>
      <c r="AJ111" s="171"/>
      <c r="AK111" s="171"/>
      <c r="AL111" s="171"/>
      <c r="AM111" s="22"/>
      <c r="AN111" s="22">
        <f t="shared" si="2"/>
        <v>8</v>
      </c>
      <c r="AO111" s="171"/>
    </row>
    <row r="112" spans="1:41" ht="15.75" customHeight="1">
      <c r="A112" s="167" t="s">
        <v>233</v>
      </c>
      <c r="B112" s="22" t="s">
        <v>232</v>
      </c>
      <c r="C112" s="168">
        <v>1</v>
      </c>
      <c r="D112" s="169" t="b">
        <v>1</v>
      </c>
      <c r="E112" s="170" t="s">
        <v>1523</v>
      </c>
      <c r="F112" s="171">
        <v>1</v>
      </c>
      <c r="G112" s="171">
        <v>1</v>
      </c>
      <c r="H112" s="171">
        <v>1</v>
      </c>
      <c r="I112" s="171">
        <v>1</v>
      </c>
      <c r="J112" s="171">
        <v>1</v>
      </c>
      <c r="K112" s="171"/>
      <c r="L112" s="171">
        <v>1</v>
      </c>
      <c r="M112" s="171">
        <v>1</v>
      </c>
      <c r="N112" s="171"/>
      <c r="O112" s="171"/>
      <c r="P112" s="171"/>
      <c r="Q112" s="171"/>
      <c r="R112" s="171"/>
      <c r="S112" s="171"/>
      <c r="T112" s="171"/>
      <c r="U112" s="171"/>
      <c r="V112" s="171">
        <v>1</v>
      </c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171"/>
      <c r="AI112" s="171"/>
      <c r="AJ112" s="171"/>
      <c r="AK112" s="171"/>
      <c r="AL112" s="171"/>
      <c r="AM112" s="22"/>
      <c r="AN112" s="22">
        <f t="shared" si="2"/>
        <v>8</v>
      </c>
      <c r="AO112" s="171"/>
    </row>
    <row r="113" spans="1:41" ht="15.75" customHeight="1">
      <c r="A113" s="167" t="s">
        <v>241</v>
      </c>
      <c r="B113" s="22" t="s">
        <v>240</v>
      </c>
      <c r="C113" s="168">
        <v>1</v>
      </c>
      <c r="D113" s="169" t="b">
        <v>1</v>
      </c>
      <c r="E113" s="170" t="s">
        <v>1524</v>
      </c>
      <c r="F113" s="171">
        <v>1</v>
      </c>
      <c r="G113" s="171">
        <v>1</v>
      </c>
      <c r="H113" s="171">
        <v>1</v>
      </c>
      <c r="I113" s="171">
        <v>1</v>
      </c>
      <c r="J113" s="171">
        <v>1</v>
      </c>
      <c r="K113" s="171"/>
      <c r="L113" s="171">
        <v>1</v>
      </c>
      <c r="M113" s="171">
        <v>1</v>
      </c>
      <c r="N113" s="171"/>
      <c r="O113" s="171"/>
      <c r="P113" s="171"/>
      <c r="Q113" s="171"/>
      <c r="R113" s="171"/>
      <c r="S113" s="171"/>
      <c r="T113" s="171"/>
      <c r="U113" s="171"/>
      <c r="V113" s="171">
        <v>1</v>
      </c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171"/>
      <c r="AI113" s="171"/>
      <c r="AJ113" s="171"/>
      <c r="AK113" s="171"/>
      <c r="AL113" s="171"/>
      <c r="AM113" s="22"/>
      <c r="AN113" s="22">
        <f t="shared" si="2"/>
        <v>8</v>
      </c>
      <c r="AO113" s="171"/>
    </row>
    <row r="114" spans="1:41" ht="15.75" customHeight="1">
      <c r="A114" s="167" t="s">
        <v>294</v>
      </c>
      <c r="B114" s="22" t="s">
        <v>293</v>
      </c>
      <c r="C114" s="168">
        <v>1</v>
      </c>
      <c r="D114" s="169" t="b">
        <v>1</v>
      </c>
      <c r="E114" s="170" t="s">
        <v>1525</v>
      </c>
      <c r="F114" s="171">
        <v>1</v>
      </c>
      <c r="G114" s="171">
        <v>1</v>
      </c>
      <c r="H114" s="171">
        <v>1</v>
      </c>
      <c r="I114" s="171">
        <v>1</v>
      </c>
      <c r="J114" s="171">
        <v>1</v>
      </c>
      <c r="K114" s="171">
        <v>2</v>
      </c>
      <c r="L114" s="171"/>
      <c r="M114" s="171">
        <v>1</v>
      </c>
      <c r="N114" s="171"/>
      <c r="O114" s="171"/>
      <c r="P114" s="171"/>
      <c r="Q114" s="171"/>
      <c r="R114" s="171"/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1"/>
      <c r="AH114" s="171"/>
      <c r="AI114" s="171"/>
      <c r="AJ114" s="171"/>
      <c r="AK114" s="171"/>
      <c r="AL114" s="171"/>
      <c r="AM114" s="22"/>
      <c r="AN114" s="22">
        <f t="shared" si="2"/>
        <v>8</v>
      </c>
      <c r="AO114" s="171"/>
    </row>
    <row r="115" spans="1:41" ht="15.75" customHeight="1">
      <c r="A115" s="167" t="s">
        <v>296</v>
      </c>
      <c r="B115" s="22" t="s">
        <v>295</v>
      </c>
      <c r="C115" s="168">
        <v>1</v>
      </c>
      <c r="D115" s="169" t="b">
        <v>1</v>
      </c>
      <c r="E115" s="174" t="s">
        <v>1526</v>
      </c>
      <c r="F115" s="171">
        <v>1</v>
      </c>
      <c r="G115" s="171">
        <v>1</v>
      </c>
      <c r="H115" s="171">
        <v>1</v>
      </c>
      <c r="I115" s="171">
        <v>1</v>
      </c>
      <c r="J115" s="171">
        <v>1</v>
      </c>
      <c r="K115" s="171"/>
      <c r="L115" s="171">
        <v>1</v>
      </c>
      <c r="M115" s="171"/>
      <c r="N115" s="171"/>
      <c r="O115" s="171">
        <v>1</v>
      </c>
      <c r="P115" s="171">
        <v>1</v>
      </c>
      <c r="Q115" s="171"/>
      <c r="R115" s="171"/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  <c r="AG115" s="171"/>
      <c r="AH115" s="171"/>
      <c r="AI115" s="171"/>
      <c r="AJ115" s="171"/>
      <c r="AK115" s="171"/>
      <c r="AL115" s="171"/>
      <c r="AM115" s="22"/>
      <c r="AN115" s="22">
        <f t="shared" si="2"/>
        <v>8</v>
      </c>
      <c r="AO115" s="171"/>
    </row>
    <row r="116" spans="1:41" ht="15.75" customHeight="1">
      <c r="A116" s="167" t="s">
        <v>304</v>
      </c>
      <c r="B116" s="22" t="s">
        <v>303</v>
      </c>
      <c r="C116" s="168">
        <v>1</v>
      </c>
      <c r="D116" s="169" t="b">
        <v>1</v>
      </c>
      <c r="E116" s="170" t="s">
        <v>1527</v>
      </c>
      <c r="F116" s="171">
        <v>1</v>
      </c>
      <c r="G116" s="171">
        <v>1</v>
      </c>
      <c r="H116" s="171">
        <v>1</v>
      </c>
      <c r="I116" s="171">
        <v>1</v>
      </c>
      <c r="J116" s="171">
        <v>1</v>
      </c>
      <c r="K116" s="171"/>
      <c r="L116" s="171">
        <v>1</v>
      </c>
      <c r="M116" s="171"/>
      <c r="N116" s="171"/>
      <c r="O116" s="171"/>
      <c r="P116" s="171">
        <v>1</v>
      </c>
      <c r="Q116" s="171"/>
      <c r="R116" s="171"/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  <c r="AG116" s="171"/>
      <c r="AH116" s="171"/>
      <c r="AI116" s="171"/>
      <c r="AJ116" s="171"/>
      <c r="AK116" s="171"/>
      <c r="AL116" s="171">
        <v>1</v>
      </c>
      <c r="AM116" s="22"/>
      <c r="AN116" s="22">
        <f t="shared" si="2"/>
        <v>8</v>
      </c>
      <c r="AO116" s="171" t="s">
        <v>1528</v>
      </c>
    </row>
    <row r="117" spans="1:41" ht="15.75" customHeight="1">
      <c r="A117" s="167" t="s">
        <v>336</v>
      </c>
      <c r="B117" s="22" t="s">
        <v>335</v>
      </c>
      <c r="C117" s="168">
        <v>1</v>
      </c>
      <c r="D117" s="169" t="b">
        <v>1</v>
      </c>
      <c r="E117" s="174" t="s">
        <v>1529</v>
      </c>
      <c r="F117" s="171">
        <v>1</v>
      </c>
      <c r="G117" s="171">
        <v>1</v>
      </c>
      <c r="H117" s="171">
        <v>1</v>
      </c>
      <c r="I117" s="171">
        <v>1</v>
      </c>
      <c r="J117" s="171">
        <v>1</v>
      </c>
      <c r="K117" s="171">
        <v>2</v>
      </c>
      <c r="L117" s="171">
        <v>1</v>
      </c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  <c r="AG117" s="171"/>
      <c r="AH117" s="171"/>
      <c r="AI117" s="171"/>
      <c r="AJ117" s="171"/>
      <c r="AK117" s="171"/>
      <c r="AL117" s="171"/>
      <c r="AM117" s="22"/>
      <c r="AN117" s="22">
        <f t="shared" si="2"/>
        <v>8</v>
      </c>
      <c r="AO117" s="171"/>
    </row>
    <row r="118" spans="1:41" ht="15.75" customHeight="1">
      <c r="A118" s="167" t="s">
        <v>342</v>
      </c>
      <c r="B118" s="22" t="s">
        <v>341</v>
      </c>
      <c r="C118" s="168">
        <v>1</v>
      </c>
      <c r="D118" s="169" t="b">
        <v>1</v>
      </c>
      <c r="E118" s="170" t="s">
        <v>1530</v>
      </c>
      <c r="F118" s="171">
        <v>1</v>
      </c>
      <c r="G118" s="171">
        <v>1</v>
      </c>
      <c r="H118" s="171">
        <v>1</v>
      </c>
      <c r="I118" s="171">
        <v>1</v>
      </c>
      <c r="J118" s="171">
        <v>1</v>
      </c>
      <c r="K118" s="171">
        <v>1</v>
      </c>
      <c r="L118" s="171">
        <v>1</v>
      </c>
      <c r="M118" s="171">
        <v>1</v>
      </c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  <c r="AG118" s="171"/>
      <c r="AH118" s="171"/>
      <c r="AI118" s="171"/>
      <c r="AJ118" s="171"/>
      <c r="AK118" s="171"/>
      <c r="AL118" s="171"/>
      <c r="AM118" s="22"/>
      <c r="AN118" s="22">
        <f t="shared" si="2"/>
        <v>8</v>
      </c>
      <c r="AO118" s="171"/>
    </row>
    <row r="119" spans="1:41" ht="15.75" customHeight="1">
      <c r="A119" s="167" t="s">
        <v>344</v>
      </c>
      <c r="B119" s="22" t="s">
        <v>343</v>
      </c>
      <c r="C119" s="168">
        <v>1</v>
      </c>
      <c r="D119" s="169" t="b">
        <v>1</v>
      </c>
      <c r="E119" s="170" t="s">
        <v>1531</v>
      </c>
      <c r="F119" s="171">
        <v>1</v>
      </c>
      <c r="G119" s="171">
        <v>1</v>
      </c>
      <c r="H119" s="171">
        <v>1</v>
      </c>
      <c r="I119" s="171">
        <v>1</v>
      </c>
      <c r="J119" s="171">
        <v>1</v>
      </c>
      <c r="K119" s="171">
        <v>1</v>
      </c>
      <c r="L119" s="171">
        <v>1</v>
      </c>
      <c r="M119" s="171">
        <v>1</v>
      </c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  <c r="X119" s="171"/>
      <c r="Y119" s="171"/>
      <c r="Z119" s="171"/>
      <c r="AA119" s="171"/>
      <c r="AB119" s="171"/>
      <c r="AC119" s="171"/>
      <c r="AD119" s="171"/>
      <c r="AE119" s="171"/>
      <c r="AF119" s="171"/>
      <c r="AG119" s="171"/>
      <c r="AH119" s="171"/>
      <c r="AI119" s="171"/>
      <c r="AJ119" s="171"/>
      <c r="AK119" s="171"/>
      <c r="AL119" s="171"/>
      <c r="AM119" s="22"/>
      <c r="AN119" s="22">
        <f t="shared" si="2"/>
        <v>8</v>
      </c>
      <c r="AO119" s="171"/>
    </row>
    <row r="120" spans="1:41" ht="15.75" customHeight="1">
      <c r="A120" s="167" t="s">
        <v>354</v>
      </c>
      <c r="B120" s="22" t="s">
        <v>353</v>
      </c>
      <c r="C120" s="168">
        <v>1</v>
      </c>
      <c r="D120" s="169" t="b">
        <v>1</v>
      </c>
      <c r="E120" s="170" t="s">
        <v>1532</v>
      </c>
      <c r="F120" s="171">
        <v>1</v>
      </c>
      <c r="G120" s="171">
        <v>1</v>
      </c>
      <c r="H120" s="171">
        <v>1</v>
      </c>
      <c r="I120" s="171">
        <v>1</v>
      </c>
      <c r="J120" s="171">
        <v>1</v>
      </c>
      <c r="K120" s="171">
        <v>3</v>
      </c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  <c r="AF120" s="171"/>
      <c r="AG120" s="171"/>
      <c r="AH120" s="171"/>
      <c r="AI120" s="171"/>
      <c r="AJ120" s="171"/>
      <c r="AK120" s="171"/>
      <c r="AL120" s="171"/>
      <c r="AM120" s="22"/>
      <c r="AN120" s="22">
        <f t="shared" si="2"/>
        <v>8</v>
      </c>
      <c r="AO120" s="171"/>
    </row>
    <row r="121" spans="1:41" ht="15.75" customHeight="1">
      <c r="A121" s="167" t="s">
        <v>360</v>
      </c>
      <c r="B121" s="22" t="s">
        <v>359</v>
      </c>
      <c r="C121" s="168">
        <v>1</v>
      </c>
      <c r="D121" s="169" t="b">
        <v>1</v>
      </c>
      <c r="E121" s="170" t="s">
        <v>1533</v>
      </c>
      <c r="F121" s="171">
        <v>1</v>
      </c>
      <c r="G121" s="171">
        <v>1</v>
      </c>
      <c r="H121" s="171">
        <v>1</v>
      </c>
      <c r="I121" s="171">
        <v>1</v>
      </c>
      <c r="J121" s="171">
        <v>1</v>
      </c>
      <c r="K121" s="171">
        <v>3</v>
      </c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/>
      <c r="AF121" s="171"/>
      <c r="AG121" s="171"/>
      <c r="AH121" s="171"/>
      <c r="AI121" s="171"/>
      <c r="AJ121" s="171"/>
      <c r="AK121" s="171"/>
      <c r="AL121" s="171"/>
      <c r="AM121" s="22"/>
      <c r="AN121" s="22">
        <f t="shared" si="2"/>
        <v>8</v>
      </c>
      <c r="AO121" s="171"/>
    </row>
    <row r="122" spans="1:41" ht="15.75" customHeight="1">
      <c r="A122" s="167" t="s">
        <v>364</v>
      </c>
      <c r="B122" s="22" t="s">
        <v>363</v>
      </c>
      <c r="C122" s="168">
        <v>1</v>
      </c>
      <c r="D122" s="169" t="b">
        <v>1</v>
      </c>
      <c r="E122" s="170" t="s">
        <v>1534</v>
      </c>
      <c r="F122" s="171">
        <v>1</v>
      </c>
      <c r="G122" s="171">
        <v>1</v>
      </c>
      <c r="H122" s="171">
        <v>1</v>
      </c>
      <c r="I122" s="171">
        <v>1</v>
      </c>
      <c r="J122" s="171">
        <v>1</v>
      </c>
      <c r="K122" s="171">
        <v>3</v>
      </c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  <c r="AG122" s="171"/>
      <c r="AH122" s="171"/>
      <c r="AI122" s="171"/>
      <c r="AJ122" s="171"/>
      <c r="AK122" s="171"/>
      <c r="AL122" s="171"/>
      <c r="AM122" s="22"/>
      <c r="AN122" s="22">
        <f t="shared" si="2"/>
        <v>8</v>
      </c>
      <c r="AO122" s="171"/>
    </row>
    <row r="123" spans="1:41" ht="15.75" customHeight="1">
      <c r="A123" s="167" t="s">
        <v>370</v>
      </c>
      <c r="B123" s="22" t="s">
        <v>369</v>
      </c>
      <c r="C123" s="168">
        <v>1</v>
      </c>
      <c r="D123" s="169" t="b">
        <v>1</v>
      </c>
      <c r="E123" s="170" t="s">
        <v>1535</v>
      </c>
      <c r="F123" s="171">
        <v>1</v>
      </c>
      <c r="G123" s="171">
        <v>1</v>
      </c>
      <c r="H123" s="171">
        <v>1</v>
      </c>
      <c r="I123" s="171">
        <v>1</v>
      </c>
      <c r="J123" s="171">
        <v>1</v>
      </c>
      <c r="K123" s="171">
        <v>1</v>
      </c>
      <c r="L123" s="171">
        <v>1</v>
      </c>
      <c r="M123" s="171"/>
      <c r="N123" s="171"/>
      <c r="O123" s="171"/>
      <c r="P123" s="171"/>
      <c r="Q123" s="171"/>
      <c r="R123" s="171"/>
      <c r="S123" s="171"/>
      <c r="T123" s="171"/>
      <c r="U123" s="171"/>
      <c r="V123" s="171">
        <v>1</v>
      </c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171"/>
      <c r="AI123" s="171"/>
      <c r="AJ123" s="171"/>
      <c r="AK123" s="171"/>
      <c r="AL123" s="171"/>
      <c r="AM123" s="22"/>
      <c r="AN123" s="22">
        <f t="shared" si="2"/>
        <v>8</v>
      </c>
      <c r="AO123" s="171"/>
    </row>
    <row r="124" spans="1:41" ht="15.75" customHeight="1">
      <c r="A124" s="167" t="s">
        <v>392</v>
      </c>
      <c r="B124" s="22" t="s">
        <v>391</v>
      </c>
      <c r="C124" s="168">
        <v>1</v>
      </c>
      <c r="D124" s="169" t="b">
        <v>1</v>
      </c>
      <c r="E124" s="170" t="s">
        <v>1536</v>
      </c>
      <c r="F124" s="171">
        <v>1</v>
      </c>
      <c r="G124" s="171">
        <v>1</v>
      </c>
      <c r="H124" s="171">
        <v>1</v>
      </c>
      <c r="I124" s="171">
        <v>1</v>
      </c>
      <c r="J124" s="171">
        <v>1</v>
      </c>
      <c r="K124" s="171">
        <v>2</v>
      </c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  <c r="AG124" s="171"/>
      <c r="AH124" s="171"/>
      <c r="AI124" s="171">
        <v>1</v>
      </c>
      <c r="AJ124" s="171"/>
      <c r="AK124" s="171"/>
      <c r="AL124" s="171"/>
      <c r="AM124" s="22"/>
      <c r="AN124" s="22">
        <f t="shared" si="2"/>
        <v>8</v>
      </c>
      <c r="AO124" s="171"/>
    </row>
    <row r="125" spans="1:41" ht="15.75" customHeight="1">
      <c r="A125" s="167" t="s">
        <v>404</v>
      </c>
      <c r="B125" s="22" t="s">
        <v>403</v>
      </c>
      <c r="C125" s="168">
        <v>1</v>
      </c>
      <c r="D125" s="169" t="b">
        <v>1</v>
      </c>
      <c r="E125" s="174" t="s">
        <v>1537</v>
      </c>
      <c r="F125" s="171">
        <v>1</v>
      </c>
      <c r="G125" s="171">
        <v>1</v>
      </c>
      <c r="H125" s="171">
        <v>1</v>
      </c>
      <c r="I125" s="171">
        <v>1</v>
      </c>
      <c r="J125" s="171">
        <v>1</v>
      </c>
      <c r="K125" s="171">
        <v>1</v>
      </c>
      <c r="L125" s="171"/>
      <c r="M125" s="171"/>
      <c r="N125" s="171"/>
      <c r="O125" s="171"/>
      <c r="P125" s="171"/>
      <c r="Q125" s="171"/>
      <c r="R125" s="171"/>
      <c r="S125" s="171"/>
      <c r="T125" s="171">
        <v>1</v>
      </c>
      <c r="U125" s="171"/>
      <c r="V125" s="171"/>
      <c r="W125" s="171"/>
      <c r="X125" s="171"/>
      <c r="Y125" s="171"/>
      <c r="Z125" s="171"/>
      <c r="AA125" s="171"/>
      <c r="AB125" s="171"/>
      <c r="AC125" s="171"/>
      <c r="AD125" s="171">
        <v>1</v>
      </c>
      <c r="AE125" s="171"/>
      <c r="AF125" s="171"/>
      <c r="AG125" s="171"/>
      <c r="AH125" s="171"/>
      <c r="AI125" s="171"/>
      <c r="AJ125" s="171"/>
      <c r="AK125" s="171"/>
      <c r="AL125" s="171"/>
      <c r="AM125" s="22"/>
      <c r="AN125" s="22">
        <f t="shared" si="2"/>
        <v>8</v>
      </c>
      <c r="AO125" s="171"/>
    </row>
    <row r="126" spans="1:41" ht="15.75" customHeight="1">
      <c r="A126" s="167" t="s">
        <v>406</v>
      </c>
      <c r="B126" s="22" t="s">
        <v>405</v>
      </c>
      <c r="C126" s="168">
        <v>1</v>
      </c>
      <c r="D126" s="169" t="b">
        <v>1</v>
      </c>
      <c r="E126" s="170" t="s">
        <v>1538</v>
      </c>
      <c r="F126" s="171">
        <v>1</v>
      </c>
      <c r="G126" s="171">
        <v>1</v>
      </c>
      <c r="H126" s="171">
        <v>1</v>
      </c>
      <c r="I126" s="171">
        <v>1</v>
      </c>
      <c r="J126" s="171">
        <v>1</v>
      </c>
      <c r="K126" s="171"/>
      <c r="L126" s="171"/>
      <c r="M126" s="171"/>
      <c r="N126" s="171"/>
      <c r="O126" s="171"/>
      <c r="P126" s="171">
        <v>1</v>
      </c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171"/>
      <c r="AI126" s="171"/>
      <c r="AJ126" s="171"/>
      <c r="AK126" s="171"/>
      <c r="AL126" s="171">
        <v>2</v>
      </c>
      <c r="AM126" s="22"/>
      <c r="AN126" s="22">
        <f t="shared" si="2"/>
        <v>8</v>
      </c>
      <c r="AO126" s="171" t="s">
        <v>1539</v>
      </c>
    </row>
    <row r="127" spans="1:41" ht="15.75" customHeight="1">
      <c r="A127" s="167" t="s">
        <v>420</v>
      </c>
      <c r="B127" s="22" t="s">
        <v>419</v>
      </c>
      <c r="C127" s="168">
        <v>1</v>
      </c>
      <c r="D127" s="169" t="b">
        <v>1</v>
      </c>
      <c r="E127" s="170" t="s">
        <v>1540</v>
      </c>
      <c r="F127" s="171">
        <v>1</v>
      </c>
      <c r="G127" s="171">
        <v>1</v>
      </c>
      <c r="H127" s="171">
        <v>1</v>
      </c>
      <c r="I127" s="171">
        <v>1</v>
      </c>
      <c r="J127" s="171">
        <v>1</v>
      </c>
      <c r="K127" s="171">
        <v>1</v>
      </c>
      <c r="L127" s="171"/>
      <c r="M127" s="171">
        <v>1</v>
      </c>
      <c r="N127" s="171"/>
      <c r="O127" s="171"/>
      <c r="P127" s="171"/>
      <c r="Q127" s="171"/>
      <c r="R127" s="171"/>
      <c r="S127" s="171"/>
      <c r="T127" s="171"/>
      <c r="U127" s="171"/>
      <c r="V127" s="171">
        <v>1</v>
      </c>
      <c r="W127" s="171"/>
      <c r="X127" s="171"/>
      <c r="Y127" s="171"/>
      <c r="Z127" s="171"/>
      <c r="AA127" s="171"/>
      <c r="AB127" s="171"/>
      <c r="AC127" s="171"/>
      <c r="AD127" s="171"/>
      <c r="AE127" s="171"/>
      <c r="AF127" s="171"/>
      <c r="AG127" s="171"/>
      <c r="AH127" s="171"/>
      <c r="AI127" s="171"/>
      <c r="AJ127" s="171"/>
      <c r="AK127" s="171"/>
      <c r="AL127" s="171"/>
      <c r="AM127" s="22"/>
      <c r="AN127" s="22">
        <f t="shared" si="2"/>
        <v>8</v>
      </c>
      <c r="AO127" s="171"/>
    </row>
    <row r="128" spans="1:41" ht="15.75" customHeight="1">
      <c r="A128" s="167" t="s">
        <v>424</v>
      </c>
      <c r="B128" s="22" t="s">
        <v>423</v>
      </c>
      <c r="C128" s="168">
        <v>1</v>
      </c>
      <c r="D128" s="169" t="b">
        <v>1</v>
      </c>
      <c r="E128" s="170" t="s">
        <v>1541</v>
      </c>
      <c r="F128" s="171">
        <v>1</v>
      </c>
      <c r="G128" s="171">
        <v>1</v>
      </c>
      <c r="H128" s="171">
        <v>1</v>
      </c>
      <c r="I128" s="171">
        <v>1</v>
      </c>
      <c r="J128" s="171">
        <v>1</v>
      </c>
      <c r="K128" s="171">
        <v>1</v>
      </c>
      <c r="L128" s="171">
        <v>1</v>
      </c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171"/>
      <c r="AI128" s="171"/>
      <c r="AJ128" s="171">
        <v>1</v>
      </c>
      <c r="AK128" s="171"/>
      <c r="AL128" s="171"/>
      <c r="AM128" s="22"/>
      <c r="AN128" s="22">
        <f t="shared" si="2"/>
        <v>8</v>
      </c>
      <c r="AO128" s="171"/>
    </row>
    <row r="129" spans="1:41" ht="15.75" customHeight="1">
      <c r="A129" s="167" t="s">
        <v>440</v>
      </c>
      <c r="B129" s="22" t="s">
        <v>439</v>
      </c>
      <c r="C129" s="168">
        <v>1</v>
      </c>
      <c r="D129" s="169" t="b">
        <v>1</v>
      </c>
      <c r="E129" s="170" t="s">
        <v>1542</v>
      </c>
      <c r="F129" s="171">
        <v>1</v>
      </c>
      <c r="G129" s="171">
        <v>1</v>
      </c>
      <c r="H129" s="171">
        <v>1</v>
      </c>
      <c r="I129" s="171">
        <v>1</v>
      </c>
      <c r="J129" s="171">
        <v>1</v>
      </c>
      <c r="K129" s="171">
        <v>2</v>
      </c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1">
        <v>1</v>
      </c>
      <c r="AH129" s="171"/>
      <c r="AI129" s="171"/>
      <c r="AJ129" s="171"/>
      <c r="AK129" s="171"/>
      <c r="AL129" s="171"/>
      <c r="AM129" s="22"/>
      <c r="AN129" s="22">
        <f t="shared" si="2"/>
        <v>8</v>
      </c>
      <c r="AO129" s="171"/>
    </row>
    <row r="130" spans="1:41" ht="15.75" customHeight="1">
      <c r="A130" s="167" t="s">
        <v>442</v>
      </c>
      <c r="B130" s="22" t="s">
        <v>441</v>
      </c>
      <c r="C130" s="168">
        <v>1</v>
      </c>
      <c r="D130" s="169" t="b">
        <v>1</v>
      </c>
      <c r="E130" s="170" t="s">
        <v>1543</v>
      </c>
      <c r="F130" s="171">
        <v>1</v>
      </c>
      <c r="G130" s="171">
        <v>1</v>
      </c>
      <c r="H130" s="171">
        <v>1</v>
      </c>
      <c r="I130" s="171">
        <v>1</v>
      </c>
      <c r="J130" s="171">
        <v>1</v>
      </c>
      <c r="K130" s="171">
        <v>1</v>
      </c>
      <c r="L130" s="171">
        <v>1</v>
      </c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171"/>
      <c r="AI130" s="171">
        <v>1</v>
      </c>
      <c r="AJ130" s="171"/>
      <c r="AK130" s="171"/>
      <c r="AL130" s="171"/>
      <c r="AM130" s="22"/>
      <c r="AN130" s="22">
        <f t="shared" si="2"/>
        <v>8</v>
      </c>
      <c r="AO130" s="171"/>
    </row>
    <row r="131" spans="1:41" ht="15.75" customHeight="1">
      <c r="A131" s="167" t="s">
        <v>446</v>
      </c>
      <c r="B131" s="22" t="s">
        <v>445</v>
      </c>
      <c r="C131" s="168">
        <v>1</v>
      </c>
      <c r="D131" s="169" t="b">
        <v>1</v>
      </c>
      <c r="E131" s="174" t="s">
        <v>1544</v>
      </c>
      <c r="F131" s="171">
        <v>1</v>
      </c>
      <c r="G131" s="171">
        <v>1</v>
      </c>
      <c r="H131" s="171">
        <v>1</v>
      </c>
      <c r="I131" s="171">
        <v>1</v>
      </c>
      <c r="J131" s="171">
        <v>1</v>
      </c>
      <c r="K131" s="171">
        <v>2</v>
      </c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>
        <v>1</v>
      </c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171"/>
      <c r="AI131" s="171"/>
      <c r="AJ131" s="171"/>
      <c r="AK131" s="171"/>
      <c r="AL131" s="171"/>
      <c r="AM131" s="22"/>
      <c r="AN131" s="22">
        <f t="shared" si="2"/>
        <v>8</v>
      </c>
      <c r="AO131" s="171"/>
    </row>
    <row r="132" spans="1:41" ht="15.75" customHeight="1">
      <c r="A132" s="167" t="s">
        <v>456</v>
      </c>
      <c r="B132" s="22" t="s">
        <v>455</v>
      </c>
      <c r="C132" s="168">
        <v>1</v>
      </c>
      <c r="D132" s="169" t="b">
        <v>1</v>
      </c>
      <c r="E132" s="170" t="s">
        <v>1545</v>
      </c>
      <c r="F132" s="171">
        <v>1</v>
      </c>
      <c r="G132" s="171">
        <v>1</v>
      </c>
      <c r="H132" s="171">
        <v>1</v>
      </c>
      <c r="I132" s="171">
        <v>1</v>
      </c>
      <c r="J132" s="171">
        <v>1</v>
      </c>
      <c r="K132" s="171"/>
      <c r="L132" s="171">
        <v>1</v>
      </c>
      <c r="M132" s="171"/>
      <c r="N132" s="171"/>
      <c r="O132" s="171"/>
      <c r="P132" s="171"/>
      <c r="Q132" s="171"/>
      <c r="R132" s="171"/>
      <c r="S132" s="171"/>
      <c r="T132" s="171">
        <v>1</v>
      </c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171"/>
      <c r="AI132" s="171"/>
      <c r="AJ132" s="171"/>
      <c r="AK132" s="171"/>
      <c r="AL132" s="171">
        <v>1</v>
      </c>
      <c r="AM132" s="22"/>
      <c r="AN132" s="22">
        <f t="shared" si="2"/>
        <v>8</v>
      </c>
      <c r="AO132" s="171" t="s">
        <v>1546</v>
      </c>
    </row>
    <row r="133" spans="1:41" ht="15.75" customHeight="1">
      <c r="A133" s="167" t="s">
        <v>472</v>
      </c>
      <c r="B133" s="22" t="s">
        <v>471</v>
      </c>
      <c r="C133" s="168">
        <v>1</v>
      </c>
      <c r="D133" s="169" t="b">
        <v>1</v>
      </c>
      <c r="E133" s="170" t="s">
        <v>1547</v>
      </c>
      <c r="F133" s="171">
        <v>1</v>
      </c>
      <c r="G133" s="171">
        <v>1</v>
      </c>
      <c r="H133" s="171">
        <v>1</v>
      </c>
      <c r="I133" s="171">
        <v>1</v>
      </c>
      <c r="J133" s="171">
        <v>1</v>
      </c>
      <c r="K133" s="171">
        <v>1</v>
      </c>
      <c r="L133" s="171">
        <v>1</v>
      </c>
      <c r="M133" s="171"/>
      <c r="N133" s="171"/>
      <c r="O133" s="171">
        <v>1</v>
      </c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171"/>
      <c r="AI133" s="171"/>
      <c r="AJ133" s="171"/>
      <c r="AK133" s="171"/>
      <c r="AL133" s="171"/>
      <c r="AM133" s="22"/>
      <c r="AN133" s="22">
        <f t="shared" si="2"/>
        <v>8</v>
      </c>
      <c r="AO133" s="171"/>
    </row>
    <row r="134" spans="1:41" ht="15.75" customHeight="1">
      <c r="A134" s="167" t="s">
        <v>476</v>
      </c>
      <c r="B134" s="22" t="s">
        <v>475</v>
      </c>
      <c r="C134" s="168">
        <v>1</v>
      </c>
      <c r="D134" s="169" t="b">
        <v>1</v>
      </c>
      <c r="E134" s="170" t="s">
        <v>1548</v>
      </c>
      <c r="F134" s="171">
        <v>1</v>
      </c>
      <c r="G134" s="171">
        <v>1</v>
      </c>
      <c r="H134" s="171">
        <v>1</v>
      </c>
      <c r="I134" s="171">
        <v>1</v>
      </c>
      <c r="J134" s="171">
        <v>1</v>
      </c>
      <c r="K134" s="171">
        <v>1</v>
      </c>
      <c r="L134" s="171">
        <v>1</v>
      </c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171">
        <v>1</v>
      </c>
      <c r="AI134" s="171"/>
      <c r="AJ134" s="171"/>
      <c r="AK134" s="171"/>
      <c r="AL134" s="171"/>
      <c r="AM134" s="22"/>
      <c r="AN134" s="22">
        <f t="shared" si="2"/>
        <v>8</v>
      </c>
      <c r="AO134" s="171"/>
    </row>
    <row r="135" spans="1:41" ht="15.75" customHeight="1">
      <c r="A135" s="167" t="s">
        <v>486</v>
      </c>
      <c r="B135" s="22" t="s">
        <v>485</v>
      </c>
      <c r="C135" s="168">
        <v>1</v>
      </c>
      <c r="D135" s="169" t="b">
        <v>1</v>
      </c>
      <c r="E135" s="170" t="s">
        <v>1549</v>
      </c>
      <c r="F135" s="171">
        <v>1</v>
      </c>
      <c r="G135" s="171">
        <v>1</v>
      </c>
      <c r="H135" s="171">
        <v>1</v>
      </c>
      <c r="I135" s="171">
        <v>1</v>
      </c>
      <c r="J135" s="171">
        <v>1</v>
      </c>
      <c r="K135" s="171"/>
      <c r="L135" s="171">
        <v>1</v>
      </c>
      <c r="M135" s="171">
        <v>1</v>
      </c>
      <c r="N135" s="171"/>
      <c r="O135" s="171"/>
      <c r="P135" s="171"/>
      <c r="Q135" s="171"/>
      <c r="R135" s="171"/>
      <c r="S135" s="171"/>
      <c r="T135" s="171">
        <v>1</v>
      </c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171"/>
      <c r="AI135" s="171"/>
      <c r="AJ135" s="171"/>
      <c r="AK135" s="171"/>
      <c r="AL135" s="171"/>
      <c r="AM135" s="22"/>
      <c r="AN135" s="22">
        <f t="shared" si="2"/>
        <v>8</v>
      </c>
      <c r="AO135" s="171"/>
    </row>
    <row r="136" spans="1:41" ht="15.75" customHeight="1">
      <c r="A136" s="167" t="s">
        <v>530</v>
      </c>
      <c r="B136" s="22" t="s">
        <v>529</v>
      </c>
      <c r="C136" s="168">
        <v>1</v>
      </c>
      <c r="D136" s="169" t="b">
        <v>1</v>
      </c>
      <c r="E136" s="170" t="s">
        <v>1550</v>
      </c>
      <c r="F136" s="171">
        <v>1</v>
      </c>
      <c r="G136" s="171">
        <v>1</v>
      </c>
      <c r="H136" s="171">
        <v>1</v>
      </c>
      <c r="I136" s="171">
        <v>1</v>
      </c>
      <c r="J136" s="171">
        <v>1</v>
      </c>
      <c r="K136" s="171">
        <v>1</v>
      </c>
      <c r="L136" s="171">
        <v>1</v>
      </c>
      <c r="M136" s="171"/>
      <c r="N136" s="171"/>
      <c r="O136" s="171"/>
      <c r="P136" s="171">
        <v>1</v>
      </c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171"/>
      <c r="AI136" s="171"/>
      <c r="AJ136" s="171"/>
      <c r="AK136" s="171"/>
      <c r="AL136" s="171"/>
      <c r="AM136" s="22"/>
      <c r="AN136" s="22">
        <f t="shared" si="2"/>
        <v>8</v>
      </c>
      <c r="AO136" s="171"/>
    </row>
    <row r="137" spans="1:41" ht="15.75" customHeight="1">
      <c r="A137" s="167" t="s">
        <v>550</v>
      </c>
      <c r="B137" s="22" t="s">
        <v>549</v>
      </c>
      <c r="C137" s="168">
        <v>1</v>
      </c>
      <c r="D137" s="169" t="b">
        <v>1</v>
      </c>
      <c r="E137" s="170" t="s">
        <v>1551</v>
      </c>
      <c r="F137" s="171">
        <v>1</v>
      </c>
      <c r="G137" s="171">
        <v>1</v>
      </c>
      <c r="H137" s="171">
        <v>1</v>
      </c>
      <c r="I137" s="171">
        <v>1</v>
      </c>
      <c r="J137" s="171">
        <v>1</v>
      </c>
      <c r="K137" s="171">
        <v>1</v>
      </c>
      <c r="L137" s="171"/>
      <c r="M137" s="171">
        <v>1</v>
      </c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  <c r="AG137" s="171"/>
      <c r="AH137" s="171"/>
      <c r="AI137" s="171"/>
      <c r="AJ137" s="171"/>
      <c r="AK137" s="171"/>
      <c r="AL137" s="171">
        <v>1</v>
      </c>
      <c r="AM137" s="22"/>
      <c r="AN137" s="22">
        <f t="shared" si="2"/>
        <v>8</v>
      </c>
      <c r="AO137" s="171" t="s">
        <v>1413</v>
      </c>
    </row>
    <row r="138" spans="1:41" ht="15.75" customHeight="1">
      <c r="A138" s="167" t="s">
        <v>566</v>
      </c>
      <c r="B138" s="22" t="s">
        <v>565</v>
      </c>
      <c r="C138" s="168">
        <v>1</v>
      </c>
      <c r="D138" s="169" t="b">
        <v>1</v>
      </c>
      <c r="E138" s="170" t="s">
        <v>1552</v>
      </c>
      <c r="F138" s="171">
        <v>1</v>
      </c>
      <c r="G138" s="171">
        <v>1</v>
      </c>
      <c r="H138" s="171">
        <v>1</v>
      </c>
      <c r="I138" s="171">
        <v>1</v>
      </c>
      <c r="J138" s="171">
        <v>1</v>
      </c>
      <c r="K138" s="171"/>
      <c r="L138" s="171">
        <v>1</v>
      </c>
      <c r="M138" s="171">
        <v>1</v>
      </c>
      <c r="N138" s="171"/>
      <c r="O138" s="171"/>
      <c r="P138" s="171">
        <v>1</v>
      </c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/>
      <c r="AH138" s="171"/>
      <c r="AI138" s="171"/>
      <c r="AJ138" s="171"/>
      <c r="AK138" s="171"/>
      <c r="AL138" s="171"/>
      <c r="AM138" s="22"/>
      <c r="AN138" s="22">
        <f t="shared" si="2"/>
        <v>8</v>
      </c>
      <c r="AO138" s="171"/>
    </row>
    <row r="139" spans="1:41" ht="15.75" customHeight="1">
      <c r="A139" s="167" t="s">
        <v>574</v>
      </c>
      <c r="B139" s="22" t="s">
        <v>573</v>
      </c>
      <c r="C139" s="168">
        <v>1</v>
      </c>
      <c r="D139" s="169" t="b">
        <v>1</v>
      </c>
      <c r="E139" s="170" t="s">
        <v>1553</v>
      </c>
      <c r="F139" s="171">
        <v>1</v>
      </c>
      <c r="G139" s="171">
        <v>1</v>
      </c>
      <c r="H139" s="171">
        <v>1</v>
      </c>
      <c r="I139" s="171">
        <v>1</v>
      </c>
      <c r="J139" s="171"/>
      <c r="K139" s="171">
        <v>1</v>
      </c>
      <c r="L139" s="171">
        <v>1</v>
      </c>
      <c r="M139" s="171">
        <v>1</v>
      </c>
      <c r="N139" s="171"/>
      <c r="O139" s="171"/>
      <c r="P139" s="171"/>
      <c r="Q139" s="171"/>
      <c r="R139" s="171"/>
      <c r="S139" s="171"/>
      <c r="T139" s="171"/>
      <c r="U139" s="171"/>
      <c r="V139" s="171">
        <v>1</v>
      </c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/>
      <c r="AH139" s="171"/>
      <c r="AI139" s="171"/>
      <c r="AJ139" s="171"/>
      <c r="AK139" s="171"/>
      <c r="AL139" s="171"/>
      <c r="AM139" s="22"/>
      <c r="AN139" s="22">
        <f t="shared" si="2"/>
        <v>8</v>
      </c>
      <c r="AO139" s="171"/>
    </row>
    <row r="140" spans="1:41" ht="15.75" customHeight="1">
      <c r="A140" s="167" t="s">
        <v>578</v>
      </c>
      <c r="B140" s="22" t="s">
        <v>577</v>
      </c>
      <c r="C140" s="168">
        <v>1</v>
      </c>
      <c r="D140" s="169" t="b">
        <v>1</v>
      </c>
      <c r="E140" s="170" t="s">
        <v>1554</v>
      </c>
      <c r="F140" s="171">
        <v>1</v>
      </c>
      <c r="G140" s="171">
        <v>1</v>
      </c>
      <c r="H140" s="171">
        <v>1</v>
      </c>
      <c r="I140" s="171">
        <v>1</v>
      </c>
      <c r="J140" s="171">
        <v>1</v>
      </c>
      <c r="K140" s="171"/>
      <c r="L140" s="171">
        <v>1</v>
      </c>
      <c r="M140" s="171">
        <v>1</v>
      </c>
      <c r="N140" s="171"/>
      <c r="O140" s="171"/>
      <c r="P140" s="171"/>
      <c r="Q140" s="171"/>
      <c r="R140" s="171">
        <v>1</v>
      </c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/>
      <c r="AH140" s="171"/>
      <c r="AI140" s="171"/>
      <c r="AJ140" s="171"/>
      <c r="AK140" s="171"/>
      <c r="AL140" s="171"/>
      <c r="AM140" s="22"/>
      <c r="AN140" s="22">
        <f t="shared" si="2"/>
        <v>8</v>
      </c>
      <c r="AO140" s="171"/>
    </row>
    <row r="141" spans="1:41" ht="15.75" customHeight="1">
      <c r="A141" s="167" t="s">
        <v>590</v>
      </c>
      <c r="B141" s="22" t="s">
        <v>589</v>
      </c>
      <c r="C141" s="168">
        <v>1</v>
      </c>
      <c r="D141" s="169" t="b">
        <v>1</v>
      </c>
      <c r="E141" s="170" t="s">
        <v>1555</v>
      </c>
      <c r="F141" s="171">
        <v>1</v>
      </c>
      <c r="G141" s="171">
        <v>1</v>
      </c>
      <c r="H141" s="171">
        <v>1</v>
      </c>
      <c r="I141" s="171">
        <v>1</v>
      </c>
      <c r="J141" s="171">
        <v>1</v>
      </c>
      <c r="K141" s="171"/>
      <c r="L141" s="171">
        <v>1</v>
      </c>
      <c r="M141" s="171"/>
      <c r="N141" s="171"/>
      <c r="O141" s="171"/>
      <c r="P141" s="171"/>
      <c r="Q141" s="171"/>
      <c r="R141" s="171"/>
      <c r="S141" s="171"/>
      <c r="T141" s="171"/>
      <c r="U141" s="171"/>
      <c r="V141" s="171">
        <v>1</v>
      </c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  <c r="AG141" s="171"/>
      <c r="AH141" s="171"/>
      <c r="AI141" s="171"/>
      <c r="AJ141" s="171"/>
      <c r="AK141" s="171"/>
      <c r="AL141" s="171">
        <v>1</v>
      </c>
      <c r="AM141" s="22"/>
      <c r="AN141" s="22">
        <f t="shared" si="2"/>
        <v>8</v>
      </c>
      <c r="AO141" s="171" t="s">
        <v>1556</v>
      </c>
    </row>
    <row r="142" spans="1:41" ht="15.75" customHeight="1">
      <c r="A142" s="167" t="s">
        <v>596</v>
      </c>
      <c r="B142" s="22" t="s">
        <v>595</v>
      </c>
      <c r="C142" s="168">
        <v>1</v>
      </c>
      <c r="D142" s="169" t="b">
        <v>1</v>
      </c>
      <c r="E142" s="170" t="s">
        <v>1557</v>
      </c>
      <c r="F142" s="171">
        <v>1</v>
      </c>
      <c r="G142" s="171">
        <v>1</v>
      </c>
      <c r="H142" s="171">
        <v>1</v>
      </c>
      <c r="I142" s="171">
        <v>1</v>
      </c>
      <c r="J142" s="171">
        <v>1</v>
      </c>
      <c r="K142" s="171">
        <v>1</v>
      </c>
      <c r="L142" s="171">
        <v>1</v>
      </c>
      <c r="M142" s="171"/>
      <c r="N142" s="171"/>
      <c r="O142" s="171"/>
      <c r="P142" s="171"/>
      <c r="Q142" s="171"/>
      <c r="R142" s="171"/>
      <c r="S142" s="171"/>
      <c r="T142" s="171">
        <v>1</v>
      </c>
      <c r="U142" s="171"/>
      <c r="V142" s="171"/>
      <c r="W142" s="171"/>
      <c r="X142" s="171"/>
      <c r="Y142" s="171"/>
      <c r="Z142" s="171"/>
      <c r="AA142" s="171"/>
      <c r="AB142" s="171"/>
      <c r="AC142" s="171"/>
      <c r="AD142" s="171"/>
      <c r="AE142" s="171"/>
      <c r="AF142" s="171"/>
      <c r="AG142" s="171"/>
      <c r="AH142" s="171"/>
      <c r="AI142" s="171"/>
      <c r="AJ142" s="171"/>
      <c r="AK142" s="171"/>
      <c r="AL142" s="171"/>
      <c r="AM142" s="22"/>
      <c r="AN142" s="22">
        <f t="shared" si="2"/>
        <v>8</v>
      </c>
      <c r="AO142" s="171"/>
    </row>
    <row r="143" spans="1:41" ht="15.75" customHeight="1">
      <c r="A143" s="167" t="s">
        <v>604</v>
      </c>
      <c r="B143" s="22" t="s">
        <v>603</v>
      </c>
      <c r="C143" s="168">
        <v>1</v>
      </c>
      <c r="D143" s="169" t="b">
        <v>1</v>
      </c>
      <c r="E143" s="170" t="s">
        <v>1558</v>
      </c>
      <c r="F143" s="171">
        <v>1</v>
      </c>
      <c r="G143" s="171">
        <v>1</v>
      </c>
      <c r="H143" s="171">
        <v>1</v>
      </c>
      <c r="I143" s="171">
        <v>1</v>
      </c>
      <c r="J143" s="171">
        <v>1</v>
      </c>
      <c r="K143" s="171"/>
      <c r="L143" s="171"/>
      <c r="M143" s="171"/>
      <c r="N143" s="171"/>
      <c r="O143" s="171"/>
      <c r="P143" s="171">
        <v>1</v>
      </c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  <c r="AG143" s="171"/>
      <c r="AH143" s="171"/>
      <c r="AI143" s="171"/>
      <c r="AJ143" s="171"/>
      <c r="AK143" s="171">
        <v>1</v>
      </c>
      <c r="AL143" s="171">
        <v>1</v>
      </c>
      <c r="AM143" s="22"/>
      <c r="AN143" s="22">
        <f t="shared" si="2"/>
        <v>8</v>
      </c>
      <c r="AO143" s="171" t="s">
        <v>1559</v>
      </c>
    </row>
    <row r="144" spans="1:41" ht="15.75" customHeight="1">
      <c r="A144" s="167" t="s">
        <v>608</v>
      </c>
      <c r="B144" s="22" t="s">
        <v>607</v>
      </c>
      <c r="C144" s="168">
        <v>1</v>
      </c>
      <c r="D144" s="169" t="b">
        <v>1</v>
      </c>
      <c r="E144" s="170" t="s">
        <v>1560</v>
      </c>
      <c r="F144" s="171">
        <v>1</v>
      </c>
      <c r="G144" s="171">
        <v>1</v>
      </c>
      <c r="H144" s="171">
        <v>1</v>
      </c>
      <c r="I144" s="171">
        <v>1</v>
      </c>
      <c r="J144" s="171">
        <v>1</v>
      </c>
      <c r="K144" s="171">
        <v>3</v>
      </c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  <c r="AG144" s="171"/>
      <c r="AH144" s="171"/>
      <c r="AI144" s="171"/>
      <c r="AJ144" s="171"/>
      <c r="AK144" s="171"/>
      <c r="AL144" s="171"/>
      <c r="AM144" s="22"/>
      <c r="AN144" s="22">
        <f t="shared" si="2"/>
        <v>8</v>
      </c>
      <c r="AO144" s="171"/>
    </row>
    <row r="145" spans="1:41" ht="15.75" customHeight="1">
      <c r="A145" s="167" t="s">
        <v>614</v>
      </c>
      <c r="B145" s="22" t="s">
        <v>613</v>
      </c>
      <c r="C145" s="168">
        <v>1</v>
      </c>
      <c r="D145" s="169" t="b">
        <v>1</v>
      </c>
      <c r="E145" s="170" t="s">
        <v>1561</v>
      </c>
      <c r="F145" s="171">
        <v>1</v>
      </c>
      <c r="G145" s="171">
        <v>1</v>
      </c>
      <c r="H145" s="171">
        <v>1</v>
      </c>
      <c r="I145" s="171">
        <v>1</v>
      </c>
      <c r="J145" s="171">
        <v>1</v>
      </c>
      <c r="K145" s="171">
        <v>1</v>
      </c>
      <c r="L145" s="171"/>
      <c r="M145" s="171">
        <v>1</v>
      </c>
      <c r="N145" s="171"/>
      <c r="O145" s="171"/>
      <c r="P145" s="171"/>
      <c r="Q145" s="171"/>
      <c r="R145" s="171"/>
      <c r="S145" s="171"/>
      <c r="T145" s="171"/>
      <c r="U145" s="171"/>
      <c r="V145" s="171"/>
      <c r="W145" s="171">
        <v>1</v>
      </c>
      <c r="X145" s="171"/>
      <c r="Y145" s="171"/>
      <c r="Z145" s="171"/>
      <c r="AA145" s="171"/>
      <c r="AB145" s="171"/>
      <c r="AC145" s="171"/>
      <c r="AD145" s="171"/>
      <c r="AE145" s="171"/>
      <c r="AF145" s="171"/>
      <c r="AG145" s="171"/>
      <c r="AH145" s="171"/>
      <c r="AI145" s="171"/>
      <c r="AJ145" s="171"/>
      <c r="AK145" s="171"/>
      <c r="AL145" s="171"/>
      <c r="AM145" s="22"/>
      <c r="AN145" s="22">
        <f t="shared" si="2"/>
        <v>8</v>
      </c>
      <c r="AO145" s="171"/>
    </row>
    <row r="146" spans="1:41" ht="15.75" customHeight="1">
      <c r="A146" s="167" t="s">
        <v>618</v>
      </c>
      <c r="B146" s="22" t="s">
        <v>617</v>
      </c>
      <c r="C146" s="168">
        <v>1</v>
      </c>
      <c r="D146" s="169" t="b">
        <v>1</v>
      </c>
      <c r="E146" s="170" t="s">
        <v>1562</v>
      </c>
      <c r="F146" s="171">
        <v>1</v>
      </c>
      <c r="G146" s="171">
        <v>1</v>
      </c>
      <c r="H146" s="171">
        <v>1</v>
      </c>
      <c r="I146" s="171">
        <v>1</v>
      </c>
      <c r="J146" s="171">
        <v>1</v>
      </c>
      <c r="K146" s="171">
        <v>1</v>
      </c>
      <c r="L146" s="171">
        <v>1</v>
      </c>
      <c r="M146" s="171">
        <v>1</v>
      </c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  <c r="AD146" s="171"/>
      <c r="AE146" s="171"/>
      <c r="AF146" s="171"/>
      <c r="AG146" s="171"/>
      <c r="AH146" s="171"/>
      <c r="AI146" s="171"/>
      <c r="AJ146" s="171"/>
      <c r="AK146" s="171"/>
      <c r="AL146" s="171"/>
      <c r="AM146" s="22"/>
      <c r="AN146" s="22">
        <f t="shared" si="2"/>
        <v>8</v>
      </c>
      <c r="AO146" s="171"/>
    </row>
    <row r="147" spans="1:41" ht="15.75" customHeight="1">
      <c r="A147" s="167" t="s">
        <v>642</v>
      </c>
      <c r="B147" s="22" t="s">
        <v>641</v>
      </c>
      <c r="C147" s="168">
        <v>1</v>
      </c>
      <c r="D147" s="169" t="b">
        <v>1</v>
      </c>
      <c r="E147" s="170" t="s">
        <v>1563</v>
      </c>
      <c r="F147" s="171">
        <v>1</v>
      </c>
      <c r="G147" s="171">
        <v>1</v>
      </c>
      <c r="H147" s="171">
        <v>1</v>
      </c>
      <c r="I147" s="171">
        <v>1</v>
      </c>
      <c r="J147" s="171">
        <v>1</v>
      </c>
      <c r="K147" s="171">
        <v>1</v>
      </c>
      <c r="L147" s="171"/>
      <c r="M147" s="171"/>
      <c r="N147" s="171"/>
      <c r="O147" s="171"/>
      <c r="P147" s="171"/>
      <c r="Q147" s="171"/>
      <c r="R147" s="171"/>
      <c r="S147" s="171"/>
      <c r="T147" s="171">
        <v>1</v>
      </c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/>
      <c r="AE147" s="171"/>
      <c r="AF147" s="171"/>
      <c r="AG147" s="171"/>
      <c r="AH147" s="171"/>
      <c r="AI147" s="171"/>
      <c r="AJ147" s="171"/>
      <c r="AK147" s="171"/>
      <c r="AL147" s="171">
        <v>1</v>
      </c>
      <c r="AM147" s="22"/>
      <c r="AN147" s="22">
        <f t="shared" si="2"/>
        <v>8</v>
      </c>
      <c r="AO147" s="171" t="s">
        <v>1564</v>
      </c>
    </row>
    <row r="148" spans="1:41" ht="15.75" customHeight="1">
      <c r="A148" s="167" t="s">
        <v>704</v>
      </c>
      <c r="B148" s="22" t="s">
        <v>703</v>
      </c>
      <c r="C148" s="168">
        <v>1</v>
      </c>
      <c r="D148" s="169" t="b">
        <v>1</v>
      </c>
      <c r="E148" s="170" t="s">
        <v>1565</v>
      </c>
      <c r="F148" s="171">
        <v>1</v>
      </c>
      <c r="G148" s="171">
        <v>1</v>
      </c>
      <c r="H148" s="171">
        <v>1</v>
      </c>
      <c r="I148" s="171">
        <v>1</v>
      </c>
      <c r="J148" s="171">
        <v>1</v>
      </c>
      <c r="K148" s="171">
        <v>1</v>
      </c>
      <c r="L148" s="171"/>
      <c r="M148" s="171">
        <v>1</v>
      </c>
      <c r="N148" s="171"/>
      <c r="O148" s="171"/>
      <c r="P148" s="171"/>
      <c r="Q148" s="171"/>
      <c r="R148" s="171"/>
      <c r="S148" s="171"/>
      <c r="T148" s="171"/>
      <c r="U148" s="171">
        <v>1</v>
      </c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1"/>
      <c r="AH148" s="171"/>
      <c r="AI148" s="171"/>
      <c r="AJ148" s="171"/>
      <c r="AK148" s="171"/>
      <c r="AL148" s="171"/>
      <c r="AM148" s="22"/>
      <c r="AN148" s="22">
        <f t="shared" si="2"/>
        <v>8</v>
      </c>
      <c r="AO148" s="171"/>
    </row>
    <row r="149" spans="1:41" ht="15.75" customHeight="1">
      <c r="A149" s="167" t="s">
        <v>722</v>
      </c>
      <c r="B149" s="22" t="s">
        <v>721</v>
      </c>
      <c r="C149" s="168">
        <v>1</v>
      </c>
      <c r="D149" s="169" t="b">
        <v>1</v>
      </c>
      <c r="E149" s="170" t="s">
        <v>1566</v>
      </c>
      <c r="F149" s="171">
        <v>1</v>
      </c>
      <c r="G149" s="171">
        <v>1</v>
      </c>
      <c r="H149" s="171">
        <v>1</v>
      </c>
      <c r="I149" s="171">
        <v>1</v>
      </c>
      <c r="J149" s="171">
        <v>1</v>
      </c>
      <c r="K149" s="171">
        <v>2</v>
      </c>
      <c r="L149" s="171"/>
      <c r="M149" s="171">
        <v>1</v>
      </c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  <c r="AG149" s="171"/>
      <c r="AH149" s="171"/>
      <c r="AI149" s="171"/>
      <c r="AJ149" s="171"/>
      <c r="AK149" s="171"/>
      <c r="AL149" s="171"/>
      <c r="AM149" s="22"/>
      <c r="AN149" s="22">
        <f t="shared" si="2"/>
        <v>8</v>
      </c>
      <c r="AO149" s="171"/>
    </row>
    <row r="150" spans="1:41" ht="15.75" customHeight="1">
      <c r="A150" s="167" t="s">
        <v>732</v>
      </c>
      <c r="B150" s="22" t="s">
        <v>731</v>
      </c>
      <c r="C150" s="168">
        <v>1</v>
      </c>
      <c r="D150" s="169" t="b">
        <v>1</v>
      </c>
      <c r="E150" s="174" t="s">
        <v>1567</v>
      </c>
      <c r="F150" s="171">
        <v>1</v>
      </c>
      <c r="G150" s="171">
        <v>1</v>
      </c>
      <c r="H150" s="171">
        <v>1</v>
      </c>
      <c r="I150" s="171">
        <v>1</v>
      </c>
      <c r="J150" s="171">
        <v>1</v>
      </c>
      <c r="K150" s="171">
        <v>3</v>
      </c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  <c r="AG150" s="171"/>
      <c r="AH150" s="171"/>
      <c r="AI150" s="171"/>
      <c r="AJ150" s="171"/>
      <c r="AK150" s="171"/>
      <c r="AL150" s="171"/>
      <c r="AM150" s="22"/>
      <c r="AN150" s="22">
        <f t="shared" si="2"/>
        <v>8</v>
      </c>
      <c r="AO150" s="171"/>
    </row>
    <row r="151" spans="1:41" ht="15.75" customHeight="1">
      <c r="A151" s="167" t="s">
        <v>748</v>
      </c>
      <c r="B151" s="22" t="s">
        <v>747</v>
      </c>
      <c r="C151" s="168">
        <v>1</v>
      </c>
      <c r="D151" s="169" t="b">
        <v>1</v>
      </c>
      <c r="E151" s="170" t="s">
        <v>1568</v>
      </c>
      <c r="F151" s="171">
        <v>1</v>
      </c>
      <c r="G151" s="171">
        <v>1</v>
      </c>
      <c r="H151" s="171">
        <v>1</v>
      </c>
      <c r="I151" s="171">
        <v>1</v>
      </c>
      <c r="J151" s="171">
        <v>1</v>
      </c>
      <c r="K151" s="171">
        <v>2</v>
      </c>
      <c r="L151" s="171">
        <v>1</v>
      </c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  <c r="AG151" s="171"/>
      <c r="AH151" s="171"/>
      <c r="AI151" s="171"/>
      <c r="AJ151" s="171"/>
      <c r="AK151" s="171"/>
      <c r="AL151" s="171"/>
      <c r="AM151" s="22"/>
      <c r="AN151" s="22">
        <f t="shared" si="2"/>
        <v>8</v>
      </c>
      <c r="AO151" s="171"/>
    </row>
    <row r="152" spans="1:41" ht="15.75" customHeight="1">
      <c r="A152" s="167" t="s">
        <v>752</v>
      </c>
      <c r="B152" s="22" t="s">
        <v>751</v>
      </c>
      <c r="C152" s="168">
        <v>1</v>
      </c>
      <c r="D152" s="169" t="b">
        <v>1</v>
      </c>
      <c r="E152" s="170" t="s">
        <v>1569</v>
      </c>
      <c r="F152" s="171">
        <v>1</v>
      </c>
      <c r="G152" s="171">
        <v>1</v>
      </c>
      <c r="H152" s="171">
        <v>1</v>
      </c>
      <c r="I152" s="171">
        <v>1</v>
      </c>
      <c r="J152" s="171">
        <v>1</v>
      </c>
      <c r="K152" s="171">
        <v>2</v>
      </c>
      <c r="L152" s="171">
        <v>1</v>
      </c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171"/>
      <c r="AI152" s="171"/>
      <c r="AJ152" s="171"/>
      <c r="AK152" s="171"/>
      <c r="AL152" s="171"/>
      <c r="AM152" s="22"/>
      <c r="AN152" s="22">
        <f t="shared" si="2"/>
        <v>8</v>
      </c>
      <c r="AO152" s="171"/>
    </row>
    <row r="153" spans="1:41" ht="15.75" customHeight="1">
      <c r="A153" s="167" t="s">
        <v>758</v>
      </c>
      <c r="B153" s="22" t="s">
        <v>757</v>
      </c>
      <c r="C153" s="168">
        <v>1</v>
      </c>
      <c r="D153" s="169" t="b">
        <v>1</v>
      </c>
      <c r="E153" s="174" t="s">
        <v>1570</v>
      </c>
      <c r="F153" s="171">
        <v>1</v>
      </c>
      <c r="G153" s="171">
        <v>1</v>
      </c>
      <c r="H153" s="171">
        <v>1</v>
      </c>
      <c r="I153" s="171">
        <v>1</v>
      </c>
      <c r="J153" s="171">
        <v>1</v>
      </c>
      <c r="K153" s="171">
        <v>2</v>
      </c>
      <c r="L153" s="171">
        <v>1</v>
      </c>
      <c r="M153" s="171"/>
      <c r="N153" s="171"/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  <c r="AG153" s="171"/>
      <c r="AH153" s="171"/>
      <c r="AI153" s="171"/>
      <c r="AJ153" s="171"/>
      <c r="AK153" s="171"/>
      <c r="AL153" s="171"/>
      <c r="AM153" s="22"/>
      <c r="AN153" s="22">
        <f t="shared" si="2"/>
        <v>8</v>
      </c>
      <c r="AO153" s="171"/>
    </row>
    <row r="154" spans="1:41" ht="15.75" customHeight="1">
      <c r="A154" s="167" t="s">
        <v>760</v>
      </c>
      <c r="B154" s="22" t="s">
        <v>759</v>
      </c>
      <c r="C154" s="168">
        <v>1</v>
      </c>
      <c r="D154" s="169" t="b">
        <v>1</v>
      </c>
      <c r="E154" s="170" t="s">
        <v>1571</v>
      </c>
      <c r="F154" s="171">
        <v>1</v>
      </c>
      <c r="G154" s="171">
        <v>1</v>
      </c>
      <c r="H154" s="171">
        <v>1</v>
      </c>
      <c r="I154" s="171">
        <v>1</v>
      </c>
      <c r="J154" s="171">
        <v>1</v>
      </c>
      <c r="K154" s="171">
        <v>3</v>
      </c>
      <c r="L154" s="171"/>
      <c r="M154" s="171"/>
      <c r="N154" s="171"/>
      <c r="O154" s="171"/>
      <c r="P154" s="171"/>
      <c r="Q154" s="171"/>
      <c r="R154" s="171"/>
      <c r="S154" s="171"/>
      <c r="T154" s="171"/>
      <c r="U154" s="171"/>
      <c r="V154" s="171"/>
      <c r="W154" s="171"/>
      <c r="X154" s="171"/>
      <c r="Y154" s="171"/>
      <c r="Z154" s="171"/>
      <c r="AA154" s="171"/>
      <c r="AB154" s="171"/>
      <c r="AC154" s="171"/>
      <c r="AD154" s="171"/>
      <c r="AE154" s="171"/>
      <c r="AF154" s="171"/>
      <c r="AG154" s="171"/>
      <c r="AH154" s="171"/>
      <c r="AI154" s="171"/>
      <c r="AJ154" s="171"/>
      <c r="AK154" s="171"/>
      <c r="AL154" s="171"/>
      <c r="AM154" s="22"/>
      <c r="AN154" s="22">
        <f t="shared" si="2"/>
        <v>8</v>
      </c>
      <c r="AO154" s="171"/>
    </row>
    <row r="155" spans="1:41" ht="15.75" customHeight="1">
      <c r="A155" s="167" t="s">
        <v>768</v>
      </c>
      <c r="B155" s="22" t="s">
        <v>767</v>
      </c>
      <c r="C155" s="168">
        <v>1</v>
      </c>
      <c r="D155" s="169" t="b">
        <v>1</v>
      </c>
      <c r="E155" s="170" t="s">
        <v>1572</v>
      </c>
      <c r="F155" s="171">
        <v>1</v>
      </c>
      <c r="G155" s="171">
        <v>1</v>
      </c>
      <c r="H155" s="171">
        <v>1</v>
      </c>
      <c r="I155" s="171">
        <v>1</v>
      </c>
      <c r="J155" s="171">
        <v>1</v>
      </c>
      <c r="K155" s="171">
        <v>1</v>
      </c>
      <c r="L155" s="171"/>
      <c r="M155" s="171">
        <v>1</v>
      </c>
      <c r="N155" s="171"/>
      <c r="O155" s="171"/>
      <c r="P155" s="171"/>
      <c r="Q155" s="171"/>
      <c r="R155" s="171"/>
      <c r="S155" s="171"/>
      <c r="T155" s="171"/>
      <c r="U155" s="171"/>
      <c r="V155" s="171">
        <v>1</v>
      </c>
      <c r="W155" s="171"/>
      <c r="X155" s="171"/>
      <c r="Y155" s="171"/>
      <c r="Z155" s="171"/>
      <c r="AA155" s="171"/>
      <c r="AB155" s="171"/>
      <c r="AC155" s="171"/>
      <c r="AD155" s="171"/>
      <c r="AE155" s="171"/>
      <c r="AF155" s="171"/>
      <c r="AG155" s="171"/>
      <c r="AH155" s="171"/>
      <c r="AI155" s="171"/>
      <c r="AJ155" s="171"/>
      <c r="AK155" s="171"/>
      <c r="AL155" s="171"/>
      <c r="AM155" s="22"/>
      <c r="AN155" s="22">
        <f t="shared" si="2"/>
        <v>8</v>
      </c>
      <c r="AO155" s="171"/>
    </row>
    <row r="156" spans="1:41" ht="15.75" customHeight="1">
      <c r="A156" s="167" t="s">
        <v>776</v>
      </c>
      <c r="B156" s="22" t="s">
        <v>775</v>
      </c>
      <c r="C156" s="168">
        <v>1</v>
      </c>
      <c r="D156" s="169" t="b">
        <v>1</v>
      </c>
      <c r="E156" s="170" t="s">
        <v>1573</v>
      </c>
      <c r="F156" s="171">
        <v>1</v>
      </c>
      <c r="G156" s="171">
        <v>1</v>
      </c>
      <c r="H156" s="171">
        <v>1</v>
      </c>
      <c r="I156" s="171">
        <v>1</v>
      </c>
      <c r="J156" s="171">
        <v>1</v>
      </c>
      <c r="K156" s="171">
        <v>2</v>
      </c>
      <c r="L156" s="171"/>
      <c r="M156" s="171">
        <v>1</v>
      </c>
      <c r="N156" s="171"/>
      <c r="O156" s="171"/>
      <c r="P156" s="171"/>
      <c r="Q156" s="171"/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1"/>
      <c r="AH156" s="171"/>
      <c r="AI156" s="171"/>
      <c r="AJ156" s="171"/>
      <c r="AK156" s="171"/>
      <c r="AL156" s="171"/>
      <c r="AM156" s="22"/>
      <c r="AN156" s="22">
        <f t="shared" si="2"/>
        <v>8</v>
      </c>
      <c r="AO156" s="171"/>
    </row>
    <row r="157" spans="1:41" ht="15.75" customHeight="1">
      <c r="A157" s="167" t="s">
        <v>778</v>
      </c>
      <c r="B157" s="22" t="s">
        <v>777</v>
      </c>
      <c r="C157" s="168">
        <v>1</v>
      </c>
      <c r="D157" s="169" t="b">
        <v>1</v>
      </c>
      <c r="E157" s="174" t="s">
        <v>1574</v>
      </c>
      <c r="F157" s="171">
        <v>1</v>
      </c>
      <c r="G157" s="171">
        <v>1</v>
      </c>
      <c r="H157" s="171">
        <v>1</v>
      </c>
      <c r="I157" s="171">
        <v>1</v>
      </c>
      <c r="J157" s="171">
        <v>1</v>
      </c>
      <c r="K157" s="171">
        <v>1</v>
      </c>
      <c r="L157" s="171">
        <v>1</v>
      </c>
      <c r="M157" s="171"/>
      <c r="N157" s="171"/>
      <c r="O157" s="171"/>
      <c r="P157" s="171"/>
      <c r="Q157" s="171"/>
      <c r="R157" s="171"/>
      <c r="S157" s="171"/>
      <c r="T157" s="171"/>
      <c r="U157" s="171"/>
      <c r="V157" s="171">
        <v>1</v>
      </c>
      <c r="W157" s="171"/>
      <c r="X157" s="171"/>
      <c r="Y157" s="171"/>
      <c r="Z157" s="171"/>
      <c r="AA157" s="171"/>
      <c r="AB157" s="171"/>
      <c r="AC157" s="171"/>
      <c r="AD157" s="171"/>
      <c r="AE157" s="171"/>
      <c r="AF157" s="171"/>
      <c r="AG157" s="171"/>
      <c r="AH157" s="171"/>
      <c r="AI157" s="171"/>
      <c r="AJ157" s="171"/>
      <c r="AK157" s="171"/>
      <c r="AL157" s="171"/>
      <c r="AM157" s="22"/>
      <c r="AN157" s="22">
        <f t="shared" si="2"/>
        <v>8</v>
      </c>
      <c r="AO157" s="171"/>
    </row>
    <row r="158" spans="1:41" ht="15.75" customHeight="1">
      <c r="A158" s="167" t="s">
        <v>788</v>
      </c>
      <c r="B158" s="22" t="s">
        <v>787</v>
      </c>
      <c r="C158" s="168">
        <v>1</v>
      </c>
      <c r="D158" s="169" t="b">
        <v>1</v>
      </c>
      <c r="E158" s="170" t="s">
        <v>1575</v>
      </c>
      <c r="F158" s="171">
        <v>1</v>
      </c>
      <c r="G158" s="171">
        <v>1</v>
      </c>
      <c r="H158" s="171">
        <v>1</v>
      </c>
      <c r="I158" s="171">
        <v>1</v>
      </c>
      <c r="J158" s="171">
        <v>1</v>
      </c>
      <c r="K158" s="171">
        <v>1</v>
      </c>
      <c r="L158" s="171">
        <v>1</v>
      </c>
      <c r="M158" s="171">
        <v>1</v>
      </c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  <c r="AG158" s="171"/>
      <c r="AH158" s="171"/>
      <c r="AI158" s="171"/>
      <c r="AJ158" s="171"/>
      <c r="AK158" s="171"/>
      <c r="AL158" s="171"/>
      <c r="AM158" s="22"/>
      <c r="AN158" s="22">
        <f t="shared" si="2"/>
        <v>8</v>
      </c>
      <c r="AO158" s="171"/>
    </row>
    <row r="159" spans="1:41" ht="15.75" customHeight="1">
      <c r="A159" s="167" t="s">
        <v>850</v>
      </c>
      <c r="B159" s="22" t="s">
        <v>849</v>
      </c>
      <c r="C159" s="168">
        <v>1</v>
      </c>
      <c r="D159" s="169" t="b">
        <v>1</v>
      </c>
      <c r="E159" s="170" t="s">
        <v>1576</v>
      </c>
      <c r="F159" s="171">
        <v>1</v>
      </c>
      <c r="G159" s="171">
        <v>1</v>
      </c>
      <c r="H159" s="171">
        <v>1</v>
      </c>
      <c r="I159" s="171">
        <v>1</v>
      </c>
      <c r="J159" s="171">
        <v>1</v>
      </c>
      <c r="K159" s="171"/>
      <c r="L159" s="171"/>
      <c r="M159" s="171">
        <v>1</v>
      </c>
      <c r="N159" s="171"/>
      <c r="O159" s="171"/>
      <c r="P159" s="171"/>
      <c r="Q159" s="171"/>
      <c r="R159" s="171">
        <v>1</v>
      </c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  <c r="AG159" s="171"/>
      <c r="AH159" s="171"/>
      <c r="AI159" s="171"/>
      <c r="AJ159" s="171"/>
      <c r="AK159" s="171"/>
      <c r="AL159" s="171">
        <v>1</v>
      </c>
      <c r="AM159" s="22"/>
      <c r="AN159" s="22">
        <f t="shared" si="2"/>
        <v>8</v>
      </c>
      <c r="AO159" s="171" t="s">
        <v>1577</v>
      </c>
    </row>
    <row r="160" spans="1:41" ht="15.75" customHeight="1">
      <c r="A160" s="167" t="s">
        <v>862</v>
      </c>
      <c r="B160" s="22" t="s">
        <v>861</v>
      </c>
      <c r="C160" s="168">
        <v>1</v>
      </c>
      <c r="D160" s="169" t="b">
        <v>1</v>
      </c>
      <c r="E160" s="170" t="s">
        <v>1578</v>
      </c>
      <c r="F160" s="171">
        <v>1</v>
      </c>
      <c r="G160" s="171">
        <v>1</v>
      </c>
      <c r="H160" s="171">
        <v>1</v>
      </c>
      <c r="I160" s="171">
        <v>1</v>
      </c>
      <c r="J160" s="171"/>
      <c r="K160" s="171">
        <v>1</v>
      </c>
      <c r="L160" s="171">
        <v>1</v>
      </c>
      <c r="M160" s="171">
        <v>1</v>
      </c>
      <c r="N160" s="171"/>
      <c r="O160" s="171"/>
      <c r="P160" s="171">
        <v>1</v>
      </c>
      <c r="Q160" s="171"/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1"/>
      <c r="AH160" s="171"/>
      <c r="AI160" s="171"/>
      <c r="AJ160" s="171"/>
      <c r="AK160" s="171"/>
      <c r="AL160" s="171"/>
      <c r="AM160" s="22"/>
      <c r="AN160" s="22">
        <f t="shared" si="2"/>
        <v>8</v>
      </c>
      <c r="AO160" s="171"/>
    </row>
    <row r="161" spans="1:41" ht="15.75" customHeight="1">
      <c r="A161" s="167" t="s">
        <v>866</v>
      </c>
      <c r="B161" s="22" t="s">
        <v>865</v>
      </c>
      <c r="C161" s="168">
        <v>1</v>
      </c>
      <c r="D161" s="169" t="b">
        <v>1</v>
      </c>
      <c r="E161" s="170" t="s">
        <v>1578</v>
      </c>
      <c r="F161" s="171">
        <v>1</v>
      </c>
      <c r="G161" s="171">
        <v>1</v>
      </c>
      <c r="H161" s="171">
        <v>1</v>
      </c>
      <c r="I161" s="171">
        <v>1</v>
      </c>
      <c r="J161" s="171"/>
      <c r="K161" s="171"/>
      <c r="L161" s="171">
        <v>1</v>
      </c>
      <c r="M161" s="171">
        <v>1</v>
      </c>
      <c r="N161" s="171"/>
      <c r="O161" s="171"/>
      <c r="P161" s="171">
        <v>1</v>
      </c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>
        <v>1</v>
      </c>
      <c r="AE161" s="171"/>
      <c r="AF161" s="171"/>
      <c r="AG161" s="171"/>
      <c r="AH161" s="171"/>
      <c r="AI161" s="171"/>
      <c r="AJ161" s="171"/>
      <c r="AK161" s="171"/>
      <c r="AL161" s="171"/>
      <c r="AM161" s="22"/>
      <c r="AN161" s="22">
        <f t="shared" si="2"/>
        <v>8</v>
      </c>
      <c r="AO161" s="171"/>
    </row>
    <row r="162" spans="1:41" ht="15.75" customHeight="1">
      <c r="A162" s="167" t="s">
        <v>878</v>
      </c>
      <c r="B162" s="22" t="s">
        <v>877</v>
      </c>
      <c r="C162" s="168">
        <v>1</v>
      </c>
      <c r="D162" s="169" t="b">
        <v>1</v>
      </c>
      <c r="E162" s="170" t="s">
        <v>1579</v>
      </c>
      <c r="F162" s="171">
        <v>1</v>
      </c>
      <c r="G162" s="171">
        <v>1</v>
      </c>
      <c r="H162" s="171">
        <v>1</v>
      </c>
      <c r="I162" s="171">
        <v>1</v>
      </c>
      <c r="J162" s="171">
        <v>1</v>
      </c>
      <c r="K162" s="171">
        <v>1</v>
      </c>
      <c r="L162" s="171"/>
      <c r="M162" s="171"/>
      <c r="N162" s="171"/>
      <c r="O162" s="171">
        <v>1</v>
      </c>
      <c r="P162" s="171"/>
      <c r="Q162" s="171"/>
      <c r="R162" s="171">
        <v>1</v>
      </c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  <c r="AF162" s="171"/>
      <c r="AG162" s="171"/>
      <c r="AH162" s="171"/>
      <c r="AI162" s="171"/>
      <c r="AJ162" s="171"/>
      <c r="AK162" s="171"/>
      <c r="AL162" s="171"/>
      <c r="AM162" s="22"/>
      <c r="AN162" s="22">
        <f t="shared" si="2"/>
        <v>8</v>
      </c>
      <c r="AO162" s="171"/>
    </row>
    <row r="163" spans="1:41" ht="15.75" customHeight="1">
      <c r="A163" s="167" t="s">
        <v>888</v>
      </c>
      <c r="B163" s="22" t="s">
        <v>887</v>
      </c>
      <c r="C163" s="168">
        <v>1</v>
      </c>
      <c r="D163" s="169" t="b">
        <v>1</v>
      </c>
      <c r="E163" s="170" t="s">
        <v>1580</v>
      </c>
      <c r="F163" s="171">
        <v>1</v>
      </c>
      <c r="G163" s="171">
        <v>1</v>
      </c>
      <c r="H163" s="171">
        <v>1</v>
      </c>
      <c r="I163" s="171">
        <v>1</v>
      </c>
      <c r="J163" s="171">
        <v>1</v>
      </c>
      <c r="K163" s="171">
        <v>2</v>
      </c>
      <c r="L163" s="171"/>
      <c r="M163" s="171">
        <v>1</v>
      </c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  <c r="AG163" s="171"/>
      <c r="AH163" s="171"/>
      <c r="AI163" s="171"/>
      <c r="AJ163" s="171"/>
      <c r="AK163" s="171"/>
      <c r="AL163" s="171"/>
      <c r="AM163" s="22"/>
      <c r="AN163" s="22">
        <f t="shared" si="2"/>
        <v>8</v>
      </c>
      <c r="AO163" s="171"/>
    </row>
    <row r="164" spans="1:41" ht="15.75" customHeight="1">
      <c r="A164" s="167" t="s">
        <v>898</v>
      </c>
      <c r="B164" s="22" t="s">
        <v>897</v>
      </c>
      <c r="C164" s="168">
        <v>1</v>
      </c>
      <c r="D164" s="169" t="b">
        <v>1</v>
      </c>
      <c r="E164" s="170" t="s">
        <v>1565</v>
      </c>
      <c r="F164" s="171">
        <v>1</v>
      </c>
      <c r="G164" s="171">
        <v>1</v>
      </c>
      <c r="H164" s="171">
        <v>1</v>
      </c>
      <c r="I164" s="171">
        <v>1</v>
      </c>
      <c r="J164" s="171">
        <v>1</v>
      </c>
      <c r="K164" s="171">
        <v>3</v>
      </c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171"/>
      <c r="AI164" s="171"/>
      <c r="AJ164" s="171"/>
      <c r="AK164" s="171"/>
      <c r="AL164" s="171"/>
      <c r="AM164" s="22"/>
      <c r="AN164" s="22">
        <f t="shared" si="2"/>
        <v>8</v>
      </c>
      <c r="AO164" s="171"/>
    </row>
    <row r="165" spans="1:41" ht="15.75" customHeight="1">
      <c r="A165" s="167" t="s">
        <v>908</v>
      </c>
      <c r="B165" s="22" t="s">
        <v>907</v>
      </c>
      <c r="C165" s="168">
        <v>1</v>
      </c>
      <c r="D165" s="169" t="b">
        <v>1</v>
      </c>
      <c r="E165" s="170" t="s">
        <v>1581</v>
      </c>
      <c r="F165" s="171">
        <v>1</v>
      </c>
      <c r="G165" s="171">
        <v>1</v>
      </c>
      <c r="H165" s="171">
        <v>1</v>
      </c>
      <c r="I165" s="171">
        <v>1</v>
      </c>
      <c r="J165" s="171">
        <v>1</v>
      </c>
      <c r="K165" s="171">
        <v>2</v>
      </c>
      <c r="L165" s="171">
        <v>1</v>
      </c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171"/>
      <c r="AI165" s="171"/>
      <c r="AJ165" s="171"/>
      <c r="AK165" s="171"/>
      <c r="AL165" s="171"/>
      <c r="AM165" s="22"/>
      <c r="AN165" s="22">
        <f t="shared" si="2"/>
        <v>8</v>
      </c>
      <c r="AO165" s="171"/>
    </row>
    <row r="166" spans="1:41" ht="15.75" customHeight="1">
      <c r="A166" s="167" t="s">
        <v>918</v>
      </c>
      <c r="B166" s="22" t="s">
        <v>917</v>
      </c>
      <c r="C166" s="168">
        <v>1</v>
      </c>
      <c r="D166" s="169" t="b">
        <v>1</v>
      </c>
      <c r="E166" s="170" t="s">
        <v>1582</v>
      </c>
      <c r="F166" s="171">
        <v>1</v>
      </c>
      <c r="G166" s="171">
        <v>1</v>
      </c>
      <c r="H166" s="171">
        <v>1</v>
      </c>
      <c r="I166" s="171">
        <v>1</v>
      </c>
      <c r="J166" s="171">
        <v>1</v>
      </c>
      <c r="K166" s="171">
        <v>1</v>
      </c>
      <c r="L166" s="171"/>
      <c r="M166" s="171"/>
      <c r="N166" s="171"/>
      <c r="O166" s="171">
        <v>1</v>
      </c>
      <c r="P166" s="171">
        <v>1</v>
      </c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  <c r="AF166" s="171"/>
      <c r="AG166" s="171"/>
      <c r="AH166" s="171"/>
      <c r="AI166" s="171"/>
      <c r="AJ166" s="171"/>
      <c r="AK166" s="171"/>
      <c r="AL166" s="171"/>
      <c r="AM166" s="22"/>
      <c r="AN166" s="22">
        <f t="shared" si="2"/>
        <v>8</v>
      </c>
      <c r="AO166" s="171"/>
    </row>
    <row r="167" spans="1:41" ht="15.75" customHeight="1">
      <c r="A167" s="167" t="s">
        <v>968</v>
      </c>
      <c r="B167" s="22" t="s">
        <v>967</v>
      </c>
      <c r="C167" s="168">
        <v>1</v>
      </c>
      <c r="D167" s="169" t="b">
        <v>1</v>
      </c>
      <c r="E167" s="174" t="s">
        <v>1583</v>
      </c>
      <c r="F167" s="171">
        <v>1</v>
      </c>
      <c r="G167" s="171">
        <v>1</v>
      </c>
      <c r="H167" s="171">
        <v>1</v>
      </c>
      <c r="I167" s="171">
        <v>1</v>
      </c>
      <c r="J167" s="171">
        <v>1</v>
      </c>
      <c r="K167" s="171">
        <v>3</v>
      </c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  <c r="AG167" s="171"/>
      <c r="AH167" s="171"/>
      <c r="AI167" s="171"/>
      <c r="AJ167" s="171"/>
      <c r="AK167" s="171"/>
      <c r="AL167" s="171"/>
      <c r="AM167" s="22"/>
      <c r="AN167" s="22">
        <f t="shared" si="2"/>
        <v>8</v>
      </c>
      <c r="AO167" s="171"/>
    </row>
    <row r="168" spans="1:41" ht="15.75" customHeight="1">
      <c r="A168" s="167" t="s">
        <v>982</v>
      </c>
      <c r="B168" s="22" t="s">
        <v>981</v>
      </c>
      <c r="C168" s="168">
        <v>1</v>
      </c>
      <c r="D168" s="169" t="b">
        <v>1</v>
      </c>
      <c r="E168" s="170" t="s">
        <v>1584</v>
      </c>
      <c r="F168" s="171">
        <v>1</v>
      </c>
      <c r="G168" s="171">
        <v>1</v>
      </c>
      <c r="H168" s="171">
        <v>1</v>
      </c>
      <c r="I168" s="171">
        <v>1</v>
      </c>
      <c r="J168" s="171">
        <v>1</v>
      </c>
      <c r="K168" s="171"/>
      <c r="L168" s="171">
        <v>1</v>
      </c>
      <c r="M168" s="171">
        <v>1</v>
      </c>
      <c r="N168" s="171"/>
      <c r="O168" s="171"/>
      <c r="P168" s="171"/>
      <c r="Q168" s="171"/>
      <c r="R168" s="171"/>
      <c r="S168" s="171"/>
      <c r="T168" s="171"/>
      <c r="U168" s="171"/>
      <c r="V168" s="171">
        <v>1</v>
      </c>
      <c r="W168" s="171"/>
      <c r="X168" s="171"/>
      <c r="Y168" s="171"/>
      <c r="Z168" s="171"/>
      <c r="AA168" s="171"/>
      <c r="AB168" s="171"/>
      <c r="AC168" s="171"/>
      <c r="AD168" s="171"/>
      <c r="AE168" s="171"/>
      <c r="AF168" s="171"/>
      <c r="AG168" s="171"/>
      <c r="AH168" s="171"/>
      <c r="AI168" s="171"/>
      <c r="AJ168" s="171"/>
      <c r="AK168" s="171"/>
      <c r="AL168" s="171"/>
      <c r="AM168" s="22"/>
      <c r="AN168" s="22">
        <f t="shared" si="2"/>
        <v>8</v>
      </c>
      <c r="AO168" s="171"/>
    </row>
    <row r="169" spans="1:41" ht="15.75" customHeight="1">
      <c r="A169" s="167" t="s">
        <v>1028</v>
      </c>
      <c r="B169" s="22" t="s">
        <v>1027</v>
      </c>
      <c r="C169" s="168">
        <v>1</v>
      </c>
      <c r="D169" s="169" t="b">
        <v>1</v>
      </c>
      <c r="E169" s="170" t="s">
        <v>1585</v>
      </c>
      <c r="F169" s="171">
        <v>1</v>
      </c>
      <c r="G169" s="171">
        <v>1</v>
      </c>
      <c r="H169" s="171">
        <v>1</v>
      </c>
      <c r="I169" s="171">
        <v>1</v>
      </c>
      <c r="J169" s="171">
        <v>1</v>
      </c>
      <c r="K169" s="171">
        <v>1</v>
      </c>
      <c r="L169" s="171">
        <v>1</v>
      </c>
      <c r="M169" s="171"/>
      <c r="N169" s="171"/>
      <c r="O169" s="171"/>
      <c r="P169" s="171"/>
      <c r="Q169" s="171"/>
      <c r="R169" s="171"/>
      <c r="S169" s="171"/>
      <c r="T169" s="171">
        <v>1</v>
      </c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171"/>
      <c r="AI169" s="171"/>
      <c r="AJ169" s="171"/>
      <c r="AK169" s="171"/>
      <c r="AL169" s="171"/>
      <c r="AM169" s="22"/>
      <c r="AN169" s="22">
        <f t="shared" si="2"/>
        <v>8</v>
      </c>
      <c r="AO169" s="171"/>
    </row>
    <row r="170" spans="1:41" ht="15.75" customHeight="1">
      <c r="A170" s="167" t="s">
        <v>1044</v>
      </c>
      <c r="B170" s="22" t="s">
        <v>1043</v>
      </c>
      <c r="C170" s="168">
        <v>1</v>
      </c>
      <c r="D170" s="169" t="b">
        <v>1</v>
      </c>
      <c r="E170" s="170" t="s">
        <v>1586</v>
      </c>
      <c r="F170" s="171">
        <v>1</v>
      </c>
      <c r="G170" s="171">
        <v>1</v>
      </c>
      <c r="H170" s="171">
        <v>1</v>
      </c>
      <c r="I170" s="171">
        <v>1</v>
      </c>
      <c r="J170" s="171">
        <v>1</v>
      </c>
      <c r="K170" s="171"/>
      <c r="L170" s="171"/>
      <c r="M170" s="171">
        <v>1</v>
      </c>
      <c r="N170" s="171"/>
      <c r="O170" s="171"/>
      <c r="P170" s="171">
        <v>1</v>
      </c>
      <c r="Q170" s="171"/>
      <c r="R170" s="171"/>
      <c r="S170" s="171"/>
      <c r="T170" s="171"/>
      <c r="U170" s="171">
        <v>1</v>
      </c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  <c r="AG170" s="171"/>
      <c r="AH170" s="171"/>
      <c r="AI170" s="171"/>
      <c r="AJ170" s="171"/>
      <c r="AK170" s="171"/>
      <c r="AL170" s="171"/>
      <c r="AM170" s="22"/>
      <c r="AN170" s="22">
        <f t="shared" si="2"/>
        <v>8</v>
      </c>
      <c r="AO170" s="171"/>
    </row>
    <row r="171" spans="1:41" ht="15.75" customHeight="1">
      <c r="A171" s="167" t="s">
        <v>1048</v>
      </c>
      <c r="B171" s="22" t="s">
        <v>1047</v>
      </c>
      <c r="C171" s="168">
        <v>1</v>
      </c>
      <c r="D171" s="169" t="b">
        <v>1</v>
      </c>
      <c r="E171" s="170" t="s">
        <v>1587</v>
      </c>
      <c r="F171" s="171">
        <v>1</v>
      </c>
      <c r="G171" s="171">
        <v>1</v>
      </c>
      <c r="H171" s="171">
        <v>1</v>
      </c>
      <c r="I171" s="171">
        <v>1</v>
      </c>
      <c r="J171" s="171">
        <v>1</v>
      </c>
      <c r="K171" s="171"/>
      <c r="L171" s="171">
        <v>1</v>
      </c>
      <c r="M171" s="171">
        <v>1</v>
      </c>
      <c r="N171" s="171"/>
      <c r="O171" s="171"/>
      <c r="P171" s="171"/>
      <c r="Q171" s="171"/>
      <c r="R171" s="171">
        <v>1</v>
      </c>
      <c r="S171" s="171"/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171"/>
      <c r="AI171" s="171"/>
      <c r="AJ171" s="171"/>
      <c r="AK171" s="171"/>
      <c r="AL171" s="171"/>
      <c r="AM171" s="22"/>
      <c r="AN171" s="22">
        <f t="shared" si="2"/>
        <v>8</v>
      </c>
      <c r="AO171" s="171"/>
    </row>
    <row r="172" spans="1:41" ht="15.75" customHeight="1">
      <c r="A172" s="167" t="s">
        <v>1084</v>
      </c>
      <c r="B172" s="22" t="s">
        <v>1083</v>
      </c>
      <c r="C172" s="168">
        <v>1</v>
      </c>
      <c r="D172" s="169" t="b">
        <v>1</v>
      </c>
      <c r="E172" s="170" t="s">
        <v>1588</v>
      </c>
      <c r="F172" s="171">
        <v>1</v>
      </c>
      <c r="G172" s="171">
        <v>1</v>
      </c>
      <c r="H172" s="171">
        <v>1</v>
      </c>
      <c r="I172" s="171">
        <v>1</v>
      </c>
      <c r="J172" s="171">
        <v>1</v>
      </c>
      <c r="K172" s="171">
        <v>2</v>
      </c>
      <c r="L172" s="171"/>
      <c r="M172" s="171">
        <v>1</v>
      </c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/>
      <c r="AE172" s="171"/>
      <c r="AF172" s="171"/>
      <c r="AG172" s="171"/>
      <c r="AH172" s="171"/>
      <c r="AI172" s="171"/>
      <c r="AJ172" s="171"/>
      <c r="AK172" s="171"/>
      <c r="AL172" s="171"/>
      <c r="AM172" s="22"/>
      <c r="AN172" s="22">
        <f t="shared" si="2"/>
        <v>8</v>
      </c>
      <c r="AO172" s="171"/>
    </row>
    <row r="173" spans="1:41" ht="15.75" customHeight="1">
      <c r="A173" s="167" t="s">
        <v>1088</v>
      </c>
      <c r="B173" s="22" t="s">
        <v>1087</v>
      </c>
      <c r="C173" s="168">
        <v>1</v>
      </c>
      <c r="D173" s="169" t="b">
        <v>1</v>
      </c>
      <c r="E173" s="170" t="s">
        <v>1589</v>
      </c>
      <c r="F173" s="171">
        <v>1</v>
      </c>
      <c r="G173" s="171">
        <v>1</v>
      </c>
      <c r="H173" s="171">
        <v>1</v>
      </c>
      <c r="I173" s="171">
        <v>1</v>
      </c>
      <c r="J173" s="171">
        <v>1</v>
      </c>
      <c r="K173" s="171">
        <v>1</v>
      </c>
      <c r="L173" s="171"/>
      <c r="M173" s="171">
        <v>1</v>
      </c>
      <c r="N173" s="171"/>
      <c r="O173" s="171">
        <v>1</v>
      </c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  <c r="AA173" s="171"/>
      <c r="AB173" s="171"/>
      <c r="AC173" s="171"/>
      <c r="AD173" s="171"/>
      <c r="AE173" s="171"/>
      <c r="AF173" s="171"/>
      <c r="AG173" s="171"/>
      <c r="AH173" s="171"/>
      <c r="AI173" s="171"/>
      <c r="AJ173" s="171"/>
      <c r="AK173" s="171"/>
      <c r="AL173" s="171"/>
      <c r="AM173" s="22"/>
      <c r="AN173" s="22">
        <f t="shared" si="2"/>
        <v>8</v>
      </c>
      <c r="AO173" s="171"/>
    </row>
    <row r="174" spans="1:41" ht="15.75" customHeight="1">
      <c r="A174" s="167" t="s">
        <v>1098</v>
      </c>
      <c r="B174" s="22" t="s">
        <v>1097</v>
      </c>
      <c r="C174" s="168">
        <v>1</v>
      </c>
      <c r="D174" s="169" t="b">
        <v>1</v>
      </c>
      <c r="E174" s="170" t="s">
        <v>1590</v>
      </c>
      <c r="F174" s="171">
        <v>1</v>
      </c>
      <c r="G174" s="171">
        <v>1</v>
      </c>
      <c r="H174" s="171">
        <v>1</v>
      </c>
      <c r="I174" s="171">
        <v>1</v>
      </c>
      <c r="J174" s="171">
        <v>1</v>
      </c>
      <c r="K174" s="171">
        <v>3</v>
      </c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  <c r="AF174" s="171"/>
      <c r="AG174" s="171"/>
      <c r="AH174" s="171"/>
      <c r="AI174" s="171"/>
      <c r="AJ174" s="171"/>
      <c r="AK174" s="171"/>
      <c r="AL174" s="171"/>
      <c r="AM174" s="22"/>
      <c r="AN174" s="22">
        <f t="shared" si="2"/>
        <v>8</v>
      </c>
      <c r="AO174" s="171"/>
    </row>
    <row r="175" spans="1:41" ht="15.75" customHeight="1">
      <c r="A175" s="167" t="s">
        <v>1120</v>
      </c>
      <c r="B175" s="22" t="s">
        <v>1119</v>
      </c>
      <c r="C175" s="168">
        <v>1</v>
      </c>
      <c r="D175" s="169" t="b">
        <v>1</v>
      </c>
      <c r="E175" s="170" t="s">
        <v>1591</v>
      </c>
      <c r="F175" s="171">
        <v>1</v>
      </c>
      <c r="G175" s="171">
        <v>1</v>
      </c>
      <c r="H175" s="171">
        <v>1</v>
      </c>
      <c r="I175" s="171">
        <v>1</v>
      </c>
      <c r="J175" s="171">
        <v>1</v>
      </c>
      <c r="K175" s="171">
        <v>2</v>
      </c>
      <c r="L175" s="171">
        <v>1</v>
      </c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/>
      <c r="AC175" s="171"/>
      <c r="AD175" s="171"/>
      <c r="AE175" s="171"/>
      <c r="AF175" s="171"/>
      <c r="AG175" s="171"/>
      <c r="AH175" s="171"/>
      <c r="AI175" s="171"/>
      <c r="AJ175" s="171"/>
      <c r="AK175" s="171"/>
      <c r="AL175" s="171"/>
      <c r="AM175" s="22"/>
      <c r="AN175" s="22">
        <f t="shared" si="2"/>
        <v>8</v>
      </c>
      <c r="AO175" s="171"/>
    </row>
    <row r="176" spans="1:41" ht="15.75" customHeight="1">
      <c r="A176" s="167" t="s">
        <v>1124</v>
      </c>
      <c r="B176" s="22" t="s">
        <v>1123</v>
      </c>
      <c r="C176" s="168">
        <v>1</v>
      </c>
      <c r="D176" s="169" t="b">
        <v>1</v>
      </c>
      <c r="E176" s="170" t="s">
        <v>1592</v>
      </c>
      <c r="F176" s="171">
        <v>1</v>
      </c>
      <c r="G176" s="171">
        <v>1</v>
      </c>
      <c r="H176" s="171">
        <v>1</v>
      </c>
      <c r="I176" s="171">
        <v>1</v>
      </c>
      <c r="J176" s="171">
        <v>1</v>
      </c>
      <c r="K176" s="171">
        <v>1</v>
      </c>
      <c r="L176" s="171">
        <v>1</v>
      </c>
      <c r="M176" s="171"/>
      <c r="N176" s="171"/>
      <c r="O176" s="171"/>
      <c r="P176" s="171">
        <v>1</v>
      </c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1"/>
      <c r="AH176" s="171"/>
      <c r="AI176" s="171"/>
      <c r="AJ176" s="171"/>
      <c r="AK176" s="171"/>
      <c r="AL176" s="171"/>
      <c r="AM176" s="22"/>
      <c r="AN176" s="22">
        <f t="shared" si="2"/>
        <v>8</v>
      </c>
      <c r="AO176" s="171"/>
    </row>
    <row r="177" spans="1:41" ht="15.75" customHeight="1">
      <c r="A177" s="167" t="s">
        <v>1155</v>
      </c>
      <c r="B177" s="22" t="s">
        <v>1154</v>
      </c>
      <c r="C177" s="168">
        <v>1</v>
      </c>
      <c r="D177" s="169" t="b">
        <v>1</v>
      </c>
      <c r="E177" s="170" t="s">
        <v>1421</v>
      </c>
      <c r="F177" s="171"/>
      <c r="G177" s="171"/>
      <c r="H177" s="171"/>
      <c r="I177" s="171"/>
      <c r="J177" s="171"/>
      <c r="K177" s="171">
        <v>1</v>
      </c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>
        <v>1</v>
      </c>
      <c r="Z177" s="171">
        <v>1</v>
      </c>
      <c r="AA177" s="171">
        <v>1</v>
      </c>
      <c r="AB177" s="171">
        <v>1</v>
      </c>
      <c r="AC177" s="171"/>
      <c r="AD177" s="171"/>
      <c r="AE177" s="171">
        <v>1</v>
      </c>
      <c r="AF177" s="171"/>
      <c r="AG177" s="171"/>
      <c r="AH177" s="171"/>
      <c r="AI177" s="171"/>
      <c r="AJ177" s="171"/>
      <c r="AK177" s="171"/>
      <c r="AL177" s="171">
        <v>2</v>
      </c>
      <c r="AM177" s="22"/>
      <c r="AN177" s="22">
        <f t="shared" si="2"/>
        <v>8</v>
      </c>
      <c r="AO177" s="171" t="s">
        <v>1422</v>
      </c>
    </row>
    <row r="178" spans="1:41" ht="15.75" customHeight="1">
      <c r="A178" s="167" t="s">
        <v>1159</v>
      </c>
      <c r="B178" s="22" t="s">
        <v>1158</v>
      </c>
      <c r="C178" s="168">
        <v>1</v>
      </c>
      <c r="D178" s="169" t="b">
        <v>1</v>
      </c>
      <c r="E178" s="174" t="s">
        <v>1421</v>
      </c>
      <c r="F178" s="171"/>
      <c r="G178" s="171"/>
      <c r="H178" s="171"/>
      <c r="I178" s="171"/>
      <c r="J178" s="171"/>
      <c r="K178" s="171">
        <v>1</v>
      </c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>
        <v>1</v>
      </c>
      <c r="Z178" s="171">
        <v>1</v>
      </c>
      <c r="AA178" s="171">
        <v>1</v>
      </c>
      <c r="AB178" s="171">
        <v>1</v>
      </c>
      <c r="AC178" s="171"/>
      <c r="AD178" s="171"/>
      <c r="AE178" s="171">
        <v>1</v>
      </c>
      <c r="AF178" s="171">
        <v>1</v>
      </c>
      <c r="AG178" s="171"/>
      <c r="AH178" s="171"/>
      <c r="AI178" s="171"/>
      <c r="AJ178" s="171"/>
      <c r="AK178" s="171"/>
      <c r="AL178" s="171">
        <v>1</v>
      </c>
      <c r="AM178" s="22"/>
      <c r="AN178" s="22">
        <f t="shared" si="2"/>
        <v>8</v>
      </c>
      <c r="AO178" s="171" t="s">
        <v>1470</v>
      </c>
    </row>
    <row r="179" spans="1:41" ht="15.75" customHeight="1">
      <c r="A179" s="167" t="s">
        <v>1161</v>
      </c>
      <c r="B179" s="22" t="s">
        <v>1160</v>
      </c>
      <c r="C179" s="168">
        <v>1</v>
      </c>
      <c r="D179" s="169" t="b">
        <v>1</v>
      </c>
      <c r="E179" s="174" t="s">
        <v>1421</v>
      </c>
      <c r="F179" s="171">
        <v>1</v>
      </c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>
        <v>1</v>
      </c>
      <c r="Z179" s="171">
        <v>1</v>
      </c>
      <c r="AA179" s="171">
        <v>1</v>
      </c>
      <c r="AB179" s="171">
        <v>1</v>
      </c>
      <c r="AC179" s="171"/>
      <c r="AD179" s="171"/>
      <c r="AE179" s="171">
        <v>1</v>
      </c>
      <c r="AF179" s="171">
        <v>1</v>
      </c>
      <c r="AG179" s="171"/>
      <c r="AH179" s="171"/>
      <c r="AI179" s="171"/>
      <c r="AJ179" s="171"/>
      <c r="AK179" s="171"/>
      <c r="AL179" s="171">
        <v>1</v>
      </c>
      <c r="AM179" s="22"/>
      <c r="AN179" s="22">
        <f t="shared" si="2"/>
        <v>8</v>
      </c>
      <c r="AO179" s="171" t="s">
        <v>1470</v>
      </c>
    </row>
    <row r="180" spans="1:41" ht="15.75" customHeight="1">
      <c r="A180" s="167" t="s">
        <v>1163</v>
      </c>
      <c r="B180" s="22" t="s">
        <v>1162</v>
      </c>
      <c r="C180" s="168">
        <v>1</v>
      </c>
      <c r="D180" s="169" t="b">
        <v>1</v>
      </c>
      <c r="E180" s="174" t="s">
        <v>1421</v>
      </c>
      <c r="F180" s="171"/>
      <c r="G180" s="171"/>
      <c r="H180" s="171"/>
      <c r="I180" s="171"/>
      <c r="J180" s="171"/>
      <c r="K180" s="171">
        <v>1</v>
      </c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>
        <v>1</v>
      </c>
      <c r="Z180" s="171">
        <v>1</v>
      </c>
      <c r="AA180" s="171">
        <v>1</v>
      </c>
      <c r="AB180" s="171">
        <v>1</v>
      </c>
      <c r="AC180" s="171"/>
      <c r="AD180" s="171"/>
      <c r="AE180" s="171">
        <v>1</v>
      </c>
      <c r="AF180" s="171">
        <v>1</v>
      </c>
      <c r="AG180" s="171"/>
      <c r="AH180" s="171"/>
      <c r="AI180" s="171"/>
      <c r="AJ180" s="171"/>
      <c r="AK180" s="171"/>
      <c r="AL180" s="171">
        <v>1</v>
      </c>
      <c r="AM180" s="22"/>
      <c r="AN180" s="22">
        <f t="shared" si="2"/>
        <v>8</v>
      </c>
      <c r="AO180" s="171" t="s">
        <v>1470</v>
      </c>
    </row>
    <row r="181" spans="1:41" ht="15.75" customHeight="1">
      <c r="A181" s="167" t="s">
        <v>1167</v>
      </c>
      <c r="B181" s="22" t="s">
        <v>1166</v>
      </c>
      <c r="C181" s="168">
        <v>1</v>
      </c>
      <c r="D181" s="169" t="b">
        <v>1</v>
      </c>
      <c r="E181" s="170" t="s">
        <v>1421</v>
      </c>
      <c r="F181" s="171"/>
      <c r="G181" s="171"/>
      <c r="H181" s="171"/>
      <c r="I181" s="171">
        <v>1</v>
      </c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>
        <v>1</v>
      </c>
      <c r="Z181" s="171">
        <v>1</v>
      </c>
      <c r="AA181" s="171">
        <v>1</v>
      </c>
      <c r="AB181" s="171">
        <v>1</v>
      </c>
      <c r="AC181" s="171"/>
      <c r="AD181" s="171"/>
      <c r="AE181" s="171">
        <v>1</v>
      </c>
      <c r="AF181" s="171">
        <v>1</v>
      </c>
      <c r="AG181" s="171"/>
      <c r="AH181" s="171"/>
      <c r="AI181" s="171"/>
      <c r="AJ181" s="171"/>
      <c r="AK181" s="171"/>
      <c r="AL181" s="171">
        <v>1</v>
      </c>
      <c r="AM181" s="22"/>
      <c r="AN181" s="22">
        <f t="shared" si="2"/>
        <v>8</v>
      </c>
      <c r="AO181" s="171" t="s">
        <v>1470</v>
      </c>
    </row>
    <row r="182" spans="1:41" ht="15.75" customHeight="1">
      <c r="A182" s="167" t="s">
        <v>1175</v>
      </c>
      <c r="B182" s="22" t="s">
        <v>1174</v>
      </c>
      <c r="C182" s="168">
        <v>1</v>
      </c>
      <c r="D182" s="169" t="b">
        <v>1</v>
      </c>
      <c r="E182" s="170" t="s">
        <v>1421</v>
      </c>
      <c r="F182" s="171">
        <v>1</v>
      </c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>
        <v>1</v>
      </c>
      <c r="Z182" s="171">
        <v>1</v>
      </c>
      <c r="AA182" s="171">
        <v>1</v>
      </c>
      <c r="AB182" s="171">
        <v>1</v>
      </c>
      <c r="AC182" s="171"/>
      <c r="AD182" s="171"/>
      <c r="AE182" s="171">
        <v>1</v>
      </c>
      <c r="AF182" s="171">
        <v>1</v>
      </c>
      <c r="AG182" s="171"/>
      <c r="AH182" s="171"/>
      <c r="AI182" s="171"/>
      <c r="AJ182" s="171"/>
      <c r="AK182" s="171"/>
      <c r="AL182" s="171">
        <v>1</v>
      </c>
      <c r="AM182" s="22"/>
      <c r="AN182" s="22">
        <f t="shared" si="2"/>
        <v>8</v>
      </c>
      <c r="AO182" s="171" t="s">
        <v>1470</v>
      </c>
    </row>
    <row r="183" spans="1:41" ht="15.75" customHeight="1">
      <c r="A183" s="167" t="s">
        <v>1180</v>
      </c>
      <c r="B183" s="22" t="s">
        <v>1179</v>
      </c>
      <c r="C183" s="168">
        <v>1</v>
      </c>
      <c r="D183" s="169" t="b">
        <v>1</v>
      </c>
      <c r="E183" s="170" t="s">
        <v>1593</v>
      </c>
      <c r="F183" s="171">
        <v>1</v>
      </c>
      <c r="G183" s="171">
        <v>1</v>
      </c>
      <c r="H183" s="171">
        <v>1</v>
      </c>
      <c r="I183" s="171">
        <v>1</v>
      </c>
      <c r="J183" s="171">
        <v>1</v>
      </c>
      <c r="K183" s="171">
        <v>1</v>
      </c>
      <c r="L183" s="171"/>
      <c r="M183" s="171"/>
      <c r="N183" s="171">
        <v>1</v>
      </c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/>
      <c r="AC183" s="171">
        <v>1</v>
      </c>
      <c r="AD183" s="171"/>
      <c r="AE183" s="171"/>
      <c r="AF183" s="171"/>
      <c r="AG183" s="171"/>
      <c r="AH183" s="171"/>
      <c r="AI183" s="171"/>
      <c r="AJ183" s="171"/>
      <c r="AK183" s="171"/>
      <c r="AL183" s="171"/>
      <c r="AM183" s="22"/>
      <c r="AN183" s="22">
        <f t="shared" si="2"/>
        <v>8</v>
      </c>
      <c r="AO183" s="171"/>
    </row>
    <row r="184" spans="1:41" ht="15.75" customHeight="1">
      <c r="A184" s="167" t="s">
        <v>1182</v>
      </c>
      <c r="B184" s="22" t="s">
        <v>1181</v>
      </c>
      <c r="C184" s="168">
        <v>1</v>
      </c>
      <c r="D184" s="169" t="b">
        <v>1</v>
      </c>
      <c r="E184" s="170" t="s">
        <v>1594</v>
      </c>
      <c r="F184" s="171">
        <v>1</v>
      </c>
      <c r="G184" s="171">
        <v>1</v>
      </c>
      <c r="H184" s="171">
        <v>1</v>
      </c>
      <c r="I184" s="171">
        <v>1</v>
      </c>
      <c r="J184" s="171">
        <v>1</v>
      </c>
      <c r="K184" s="171"/>
      <c r="L184" s="171"/>
      <c r="M184" s="171">
        <v>1</v>
      </c>
      <c r="N184" s="171">
        <v>1</v>
      </c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  <c r="AG184" s="171"/>
      <c r="AH184" s="171"/>
      <c r="AI184" s="171"/>
      <c r="AJ184" s="171">
        <v>1</v>
      </c>
      <c r="AK184" s="171"/>
      <c r="AL184" s="171"/>
      <c r="AM184" s="22"/>
      <c r="AN184" s="22">
        <f t="shared" si="2"/>
        <v>8</v>
      </c>
      <c r="AO184" s="171"/>
    </row>
    <row r="185" spans="1:41" ht="15.75" customHeight="1">
      <c r="A185" s="167" t="s">
        <v>1186</v>
      </c>
      <c r="B185" s="22" t="s">
        <v>1185</v>
      </c>
      <c r="C185" s="168">
        <v>1</v>
      </c>
      <c r="D185" s="169" t="b">
        <v>1</v>
      </c>
      <c r="E185" s="170" t="s">
        <v>1595</v>
      </c>
      <c r="F185" s="171">
        <v>1</v>
      </c>
      <c r="G185" s="171">
        <v>1</v>
      </c>
      <c r="H185" s="171">
        <v>1</v>
      </c>
      <c r="I185" s="171"/>
      <c r="J185" s="171">
        <v>1</v>
      </c>
      <c r="K185" s="171">
        <v>1</v>
      </c>
      <c r="L185" s="171"/>
      <c r="M185" s="171"/>
      <c r="N185" s="171">
        <v>1</v>
      </c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>
        <v>1</v>
      </c>
      <c r="AD185" s="171"/>
      <c r="AE185" s="171"/>
      <c r="AF185" s="171"/>
      <c r="AG185" s="171"/>
      <c r="AH185" s="171"/>
      <c r="AI185" s="171"/>
      <c r="AJ185" s="171"/>
      <c r="AK185" s="171"/>
      <c r="AL185" s="171">
        <v>1</v>
      </c>
      <c r="AM185" s="22" t="s">
        <v>1596</v>
      </c>
      <c r="AN185" s="22">
        <f t="shared" si="2"/>
        <v>8</v>
      </c>
      <c r="AO185" s="171"/>
    </row>
    <row r="186" spans="1:41" ht="15.75" customHeight="1">
      <c r="A186" s="167" t="s">
        <v>1192</v>
      </c>
      <c r="B186" s="22" t="s">
        <v>1191</v>
      </c>
      <c r="C186" s="168">
        <v>1</v>
      </c>
      <c r="D186" s="169" t="b">
        <v>1</v>
      </c>
      <c r="E186" s="170" t="s">
        <v>1597</v>
      </c>
      <c r="F186" s="171">
        <v>1</v>
      </c>
      <c r="G186" s="171">
        <v>1</v>
      </c>
      <c r="H186" s="171">
        <v>1</v>
      </c>
      <c r="I186" s="171">
        <v>1</v>
      </c>
      <c r="J186" s="171">
        <v>1</v>
      </c>
      <c r="K186" s="171"/>
      <c r="L186" s="171"/>
      <c r="M186" s="171">
        <v>1</v>
      </c>
      <c r="N186" s="171">
        <v>1</v>
      </c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1"/>
      <c r="AD186" s="171"/>
      <c r="AE186" s="171"/>
      <c r="AF186" s="171"/>
      <c r="AG186" s="171"/>
      <c r="AH186" s="171"/>
      <c r="AI186" s="171"/>
      <c r="AJ186" s="171">
        <v>1</v>
      </c>
      <c r="AK186" s="171"/>
      <c r="AL186" s="171"/>
      <c r="AM186" s="22"/>
      <c r="AN186" s="22">
        <f t="shared" si="2"/>
        <v>8</v>
      </c>
      <c r="AO186" s="171"/>
    </row>
    <row r="187" spans="1:41" ht="15.75" customHeight="1">
      <c r="A187" s="167" t="s">
        <v>1196</v>
      </c>
      <c r="B187" s="22" t="s">
        <v>1195</v>
      </c>
      <c r="C187" s="168">
        <v>1</v>
      </c>
      <c r="D187" s="169" t="b">
        <v>1</v>
      </c>
      <c r="E187" s="170" t="s">
        <v>1598</v>
      </c>
      <c r="F187" s="171">
        <v>1</v>
      </c>
      <c r="G187" s="171">
        <v>1</v>
      </c>
      <c r="H187" s="171">
        <v>1</v>
      </c>
      <c r="I187" s="171">
        <v>1</v>
      </c>
      <c r="J187" s="171">
        <v>1</v>
      </c>
      <c r="K187" s="171">
        <v>2</v>
      </c>
      <c r="L187" s="171"/>
      <c r="M187" s="171"/>
      <c r="N187" s="171">
        <v>1</v>
      </c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1"/>
      <c r="AH187" s="171"/>
      <c r="AI187" s="171"/>
      <c r="AJ187" s="171"/>
      <c r="AK187" s="171"/>
      <c r="AL187" s="171"/>
      <c r="AM187" s="22"/>
      <c r="AN187" s="22">
        <f t="shared" si="2"/>
        <v>8</v>
      </c>
      <c r="AO187" s="171"/>
    </row>
    <row r="188" spans="1:41" ht="15.75" customHeight="1">
      <c r="A188" s="167" t="s">
        <v>1200</v>
      </c>
      <c r="B188" s="22" t="s">
        <v>1199</v>
      </c>
      <c r="C188" s="168">
        <v>1</v>
      </c>
      <c r="D188" s="169" t="b">
        <v>1</v>
      </c>
      <c r="E188" s="170" t="s">
        <v>1599</v>
      </c>
      <c r="F188" s="171">
        <v>1</v>
      </c>
      <c r="G188" s="171">
        <v>1</v>
      </c>
      <c r="H188" s="171">
        <v>1</v>
      </c>
      <c r="I188" s="171">
        <v>1</v>
      </c>
      <c r="J188" s="171">
        <v>1</v>
      </c>
      <c r="K188" s="171">
        <v>1</v>
      </c>
      <c r="L188" s="171"/>
      <c r="M188" s="171"/>
      <c r="N188" s="171">
        <v>1</v>
      </c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>
        <v>1</v>
      </c>
      <c r="AD188" s="171"/>
      <c r="AE188" s="171"/>
      <c r="AF188" s="171"/>
      <c r="AG188" s="171"/>
      <c r="AH188" s="171"/>
      <c r="AI188" s="171"/>
      <c r="AJ188" s="171"/>
      <c r="AK188" s="171"/>
      <c r="AL188" s="171"/>
      <c r="AM188" s="22"/>
      <c r="AN188" s="22">
        <f t="shared" si="2"/>
        <v>8</v>
      </c>
      <c r="AO188" s="171"/>
    </row>
    <row r="189" spans="1:41" ht="15.75" customHeight="1">
      <c r="A189" s="167" t="s">
        <v>1214</v>
      </c>
      <c r="B189" s="22" t="s">
        <v>1213</v>
      </c>
      <c r="C189" s="168">
        <v>1</v>
      </c>
      <c r="D189" s="169" t="b">
        <v>1</v>
      </c>
      <c r="E189" s="170" t="s">
        <v>1600</v>
      </c>
      <c r="F189" s="171">
        <v>1</v>
      </c>
      <c r="G189" s="171">
        <v>1</v>
      </c>
      <c r="H189" s="171">
        <v>1</v>
      </c>
      <c r="I189" s="171">
        <v>1</v>
      </c>
      <c r="J189" s="171">
        <v>1</v>
      </c>
      <c r="K189" s="171">
        <v>1</v>
      </c>
      <c r="L189" s="171"/>
      <c r="M189" s="171"/>
      <c r="N189" s="171">
        <v>1</v>
      </c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  <c r="AG189" s="171"/>
      <c r="AH189" s="171"/>
      <c r="AI189" s="171"/>
      <c r="AJ189" s="171"/>
      <c r="AK189" s="171"/>
      <c r="AL189" s="171">
        <v>1</v>
      </c>
      <c r="AM189" s="22"/>
      <c r="AN189" s="22">
        <f t="shared" si="2"/>
        <v>8</v>
      </c>
      <c r="AO189" s="171" t="s">
        <v>1601</v>
      </c>
    </row>
    <row r="190" spans="1:41" ht="15.75" customHeight="1">
      <c r="A190" s="167" t="s">
        <v>1218</v>
      </c>
      <c r="B190" s="22" t="s">
        <v>1217</v>
      </c>
      <c r="C190" s="168">
        <v>1</v>
      </c>
      <c r="D190" s="169" t="b">
        <v>1</v>
      </c>
      <c r="E190" s="170" t="s">
        <v>1602</v>
      </c>
      <c r="F190" s="171">
        <v>1</v>
      </c>
      <c r="G190" s="171">
        <v>1</v>
      </c>
      <c r="H190" s="171">
        <v>1</v>
      </c>
      <c r="I190" s="171">
        <v>1</v>
      </c>
      <c r="J190" s="171">
        <v>1</v>
      </c>
      <c r="K190" s="171"/>
      <c r="L190" s="171"/>
      <c r="M190" s="171"/>
      <c r="N190" s="171">
        <v>1</v>
      </c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/>
      <c r="AC190" s="171">
        <v>1</v>
      </c>
      <c r="AD190" s="171"/>
      <c r="AE190" s="171"/>
      <c r="AF190" s="171"/>
      <c r="AG190" s="171"/>
      <c r="AH190" s="171">
        <v>1</v>
      </c>
      <c r="AI190" s="171"/>
      <c r="AJ190" s="171"/>
      <c r="AK190" s="171"/>
      <c r="AL190" s="171"/>
      <c r="AM190" s="22"/>
      <c r="AN190" s="22">
        <f t="shared" si="2"/>
        <v>8</v>
      </c>
      <c r="AO190" s="171"/>
    </row>
    <row r="191" spans="1:41" ht="15.75" customHeight="1">
      <c r="A191" s="167" t="s">
        <v>1220</v>
      </c>
      <c r="B191" s="22" t="s">
        <v>1219</v>
      </c>
      <c r="C191" s="168">
        <v>1</v>
      </c>
      <c r="D191" s="169" t="b">
        <v>1</v>
      </c>
      <c r="E191" s="170" t="s">
        <v>1603</v>
      </c>
      <c r="F191" s="171">
        <v>1</v>
      </c>
      <c r="G191" s="171">
        <v>1</v>
      </c>
      <c r="H191" s="171">
        <v>1</v>
      </c>
      <c r="I191" s="171">
        <v>1</v>
      </c>
      <c r="J191" s="171">
        <v>1</v>
      </c>
      <c r="K191" s="171"/>
      <c r="L191" s="171"/>
      <c r="M191" s="171"/>
      <c r="N191" s="171">
        <v>1</v>
      </c>
      <c r="O191" s="171"/>
      <c r="P191" s="171"/>
      <c r="Q191" s="171"/>
      <c r="R191" s="171"/>
      <c r="S191" s="171"/>
      <c r="T191" s="171"/>
      <c r="U191" s="171"/>
      <c r="V191" s="171"/>
      <c r="W191" s="171"/>
      <c r="X191" s="171">
        <v>1</v>
      </c>
      <c r="Y191" s="171"/>
      <c r="Z191" s="171"/>
      <c r="AA191" s="171"/>
      <c r="AB191" s="171"/>
      <c r="AC191" s="171"/>
      <c r="AD191" s="171"/>
      <c r="AE191" s="171"/>
      <c r="AF191" s="171"/>
      <c r="AG191" s="171"/>
      <c r="AH191" s="171"/>
      <c r="AI191" s="171"/>
      <c r="AJ191" s="171"/>
      <c r="AK191" s="171"/>
      <c r="AL191" s="171">
        <v>1</v>
      </c>
      <c r="AM191" s="22"/>
      <c r="AN191" s="22">
        <f t="shared" si="2"/>
        <v>8</v>
      </c>
      <c r="AO191" s="171" t="s">
        <v>1604</v>
      </c>
    </row>
    <row r="192" spans="1:41" ht="15.75" customHeight="1">
      <c r="A192" s="167" t="s">
        <v>1232</v>
      </c>
      <c r="B192" s="22" t="s">
        <v>1231</v>
      </c>
      <c r="C192" s="168">
        <v>1</v>
      </c>
      <c r="D192" s="169" t="b">
        <v>1</v>
      </c>
      <c r="E192" s="170" t="s">
        <v>1605</v>
      </c>
      <c r="F192" s="171">
        <v>1</v>
      </c>
      <c r="G192" s="171">
        <v>1</v>
      </c>
      <c r="H192" s="171">
        <v>1</v>
      </c>
      <c r="I192" s="171">
        <v>1</v>
      </c>
      <c r="J192" s="171">
        <v>1</v>
      </c>
      <c r="K192" s="171"/>
      <c r="L192" s="171"/>
      <c r="M192" s="171"/>
      <c r="N192" s="171">
        <v>1</v>
      </c>
      <c r="O192" s="171"/>
      <c r="P192" s="171"/>
      <c r="Q192" s="171"/>
      <c r="R192" s="171"/>
      <c r="S192" s="171"/>
      <c r="T192" s="171"/>
      <c r="U192" s="171">
        <v>1</v>
      </c>
      <c r="V192" s="171"/>
      <c r="W192" s="171"/>
      <c r="X192" s="171"/>
      <c r="Y192" s="171"/>
      <c r="Z192" s="171"/>
      <c r="AA192" s="171"/>
      <c r="AB192" s="171"/>
      <c r="AC192" s="171">
        <v>1</v>
      </c>
      <c r="AD192" s="171"/>
      <c r="AE192" s="171"/>
      <c r="AF192" s="171"/>
      <c r="AG192" s="171"/>
      <c r="AH192" s="171"/>
      <c r="AI192" s="171"/>
      <c r="AJ192" s="171"/>
      <c r="AK192" s="171"/>
      <c r="AL192" s="171"/>
      <c r="AM192" s="22"/>
      <c r="AN192" s="22">
        <f t="shared" si="2"/>
        <v>8</v>
      </c>
      <c r="AO192" s="171"/>
    </row>
    <row r="193" spans="1:41" ht="15.75" customHeight="1">
      <c r="A193" s="167" t="s">
        <v>1240</v>
      </c>
      <c r="B193" s="22" t="s">
        <v>1239</v>
      </c>
      <c r="C193" s="168">
        <v>1</v>
      </c>
      <c r="D193" s="169" t="b">
        <v>1</v>
      </c>
      <c r="E193" s="170" t="s">
        <v>1425</v>
      </c>
      <c r="F193" s="171">
        <v>1</v>
      </c>
      <c r="G193" s="171">
        <v>1</v>
      </c>
      <c r="H193" s="171">
        <v>1</v>
      </c>
      <c r="I193" s="171">
        <v>1</v>
      </c>
      <c r="J193" s="171">
        <v>1</v>
      </c>
      <c r="K193" s="171">
        <v>1</v>
      </c>
      <c r="L193" s="171"/>
      <c r="M193" s="171"/>
      <c r="N193" s="171">
        <v>1</v>
      </c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  <c r="AA193" s="171"/>
      <c r="AB193" s="171"/>
      <c r="AC193" s="171">
        <v>1</v>
      </c>
      <c r="AD193" s="171"/>
      <c r="AE193" s="171"/>
      <c r="AF193" s="171"/>
      <c r="AG193" s="171"/>
      <c r="AH193" s="171"/>
      <c r="AI193" s="171"/>
      <c r="AJ193" s="171"/>
      <c r="AK193" s="171"/>
      <c r="AL193" s="171"/>
      <c r="AM193" s="22"/>
      <c r="AN193" s="22">
        <f t="shared" si="2"/>
        <v>8</v>
      </c>
      <c r="AO193" s="171"/>
    </row>
    <row r="194" spans="1:41" ht="15.75" customHeight="1">
      <c r="A194" s="167" t="s">
        <v>1244</v>
      </c>
      <c r="B194" s="22" t="s">
        <v>1243</v>
      </c>
      <c r="C194" s="168">
        <v>1</v>
      </c>
      <c r="D194" s="169" t="b">
        <v>1</v>
      </c>
      <c r="E194" s="170" t="s">
        <v>1606</v>
      </c>
      <c r="F194" s="171">
        <v>1</v>
      </c>
      <c r="G194" s="171">
        <v>1</v>
      </c>
      <c r="H194" s="171">
        <v>1</v>
      </c>
      <c r="I194" s="171">
        <v>1</v>
      </c>
      <c r="J194" s="171">
        <v>1</v>
      </c>
      <c r="K194" s="171">
        <v>1</v>
      </c>
      <c r="L194" s="171"/>
      <c r="M194" s="171"/>
      <c r="N194" s="171">
        <v>1</v>
      </c>
      <c r="O194" s="171"/>
      <c r="P194" s="171"/>
      <c r="Q194" s="171"/>
      <c r="R194" s="171"/>
      <c r="S194" s="171"/>
      <c r="T194" s="171"/>
      <c r="U194" s="171"/>
      <c r="V194" s="171"/>
      <c r="W194" s="171"/>
      <c r="X194" s="171">
        <v>1</v>
      </c>
      <c r="Y194" s="171"/>
      <c r="Z194" s="171"/>
      <c r="AA194" s="171"/>
      <c r="AB194" s="171"/>
      <c r="AC194" s="171"/>
      <c r="AD194" s="171"/>
      <c r="AE194" s="171"/>
      <c r="AF194" s="171"/>
      <c r="AG194" s="171"/>
      <c r="AH194" s="171"/>
      <c r="AI194" s="171"/>
      <c r="AJ194" s="171"/>
      <c r="AK194" s="171"/>
      <c r="AL194" s="171"/>
      <c r="AM194" s="22"/>
      <c r="AN194" s="22">
        <f t="shared" si="2"/>
        <v>8</v>
      </c>
      <c r="AO194" s="171"/>
    </row>
    <row r="195" spans="1:41" ht="15.75" customHeight="1">
      <c r="A195" s="167" t="s">
        <v>1252</v>
      </c>
      <c r="B195" s="22" t="s">
        <v>1251</v>
      </c>
      <c r="C195" s="168">
        <v>1</v>
      </c>
      <c r="D195" s="169" t="b">
        <v>1</v>
      </c>
      <c r="E195" s="170" t="s">
        <v>1607</v>
      </c>
      <c r="F195" s="171">
        <v>1</v>
      </c>
      <c r="G195" s="171">
        <v>1</v>
      </c>
      <c r="H195" s="171">
        <v>1</v>
      </c>
      <c r="I195" s="171">
        <v>1</v>
      </c>
      <c r="J195" s="171">
        <v>1</v>
      </c>
      <c r="K195" s="171"/>
      <c r="L195" s="171"/>
      <c r="M195" s="171"/>
      <c r="N195" s="171">
        <v>1</v>
      </c>
      <c r="O195" s="171"/>
      <c r="P195" s="171">
        <v>1</v>
      </c>
      <c r="Q195" s="171"/>
      <c r="R195" s="171"/>
      <c r="S195" s="171"/>
      <c r="T195" s="171"/>
      <c r="U195" s="171"/>
      <c r="V195" s="171"/>
      <c r="W195" s="171"/>
      <c r="X195" s="171">
        <v>1</v>
      </c>
      <c r="Y195" s="171"/>
      <c r="Z195" s="171"/>
      <c r="AA195" s="171"/>
      <c r="AB195" s="171"/>
      <c r="AC195" s="171"/>
      <c r="AD195" s="171"/>
      <c r="AE195" s="171"/>
      <c r="AF195" s="171"/>
      <c r="AG195" s="171"/>
      <c r="AH195" s="171"/>
      <c r="AI195" s="171"/>
      <c r="AJ195" s="171"/>
      <c r="AK195" s="171"/>
      <c r="AL195" s="171"/>
      <c r="AM195" s="22"/>
      <c r="AN195" s="22">
        <f t="shared" si="2"/>
        <v>8</v>
      </c>
      <c r="AO195" s="171"/>
    </row>
    <row r="196" spans="1:41" ht="15.75" customHeight="1">
      <c r="A196" s="167" t="s">
        <v>1264</v>
      </c>
      <c r="B196" s="22" t="s">
        <v>1263</v>
      </c>
      <c r="C196" s="168">
        <v>1</v>
      </c>
      <c r="D196" s="169" t="b">
        <v>1</v>
      </c>
      <c r="E196" s="170" t="s">
        <v>1608</v>
      </c>
      <c r="F196" s="171">
        <v>1</v>
      </c>
      <c r="G196" s="171">
        <v>1</v>
      </c>
      <c r="H196" s="171">
        <v>1</v>
      </c>
      <c r="I196" s="171">
        <v>1</v>
      </c>
      <c r="J196" s="171">
        <v>1</v>
      </c>
      <c r="K196" s="171">
        <v>1</v>
      </c>
      <c r="L196" s="171"/>
      <c r="M196" s="171"/>
      <c r="N196" s="171">
        <v>1</v>
      </c>
      <c r="O196" s="171"/>
      <c r="P196" s="171"/>
      <c r="Q196" s="171"/>
      <c r="R196" s="171"/>
      <c r="S196" s="171"/>
      <c r="T196" s="171"/>
      <c r="U196" s="171"/>
      <c r="V196" s="171"/>
      <c r="W196" s="171"/>
      <c r="X196" s="171">
        <v>1</v>
      </c>
      <c r="Y196" s="171"/>
      <c r="Z196" s="171"/>
      <c r="AA196" s="171"/>
      <c r="AB196" s="171"/>
      <c r="AC196" s="171"/>
      <c r="AD196" s="171"/>
      <c r="AE196" s="171"/>
      <c r="AF196" s="171"/>
      <c r="AG196" s="171"/>
      <c r="AH196" s="171"/>
      <c r="AI196" s="171"/>
      <c r="AJ196" s="171"/>
      <c r="AK196" s="171"/>
      <c r="AL196" s="171"/>
      <c r="AM196" s="22"/>
      <c r="AN196" s="22">
        <f t="shared" si="2"/>
        <v>8</v>
      </c>
      <c r="AO196" s="171"/>
    </row>
    <row r="197" spans="1:41" ht="15.75" customHeight="1">
      <c r="A197" s="167" t="s">
        <v>1282</v>
      </c>
      <c r="B197" s="22" t="s">
        <v>1281</v>
      </c>
      <c r="C197" s="168">
        <v>1</v>
      </c>
      <c r="D197" s="169" t="b">
        <v>1</v>
      </c>
      <c r="E197" s="170" t="s">
        <v>1609</v>
      </c>
      <c r="F197" s="171">
        <v>1</v>
      </c>
      <c r="G197" s="171">
        <v>1</v>
      </c>
      <c r="H197" s="171">
        <v>1</v>
      </c>
      <c r="I197" s="171">
        <v>1</v>
      </c>
      <c r="J197" s="171">
        <v>1</v>
      </c>
      <c r="K197" s="171">
        <v>1</v>
      </c>
      <c r="L197" s="171"/>
      <c r="M197" s="171"/>
      <c r="N197" s="171">
        <v>1</v>
      </c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  <c r="AF197" s="171"/>
      <c r="AG197" s="171"/>
      <c r="AH197" s="171"/>
      <c r="AI197" s="171"/>
      <c r="AJ197" s="171"/>
      <c r="AK197" s="171"/>
      <c r="AL197" s="171">
        <v>1</v>
      </c>
      <c r="AM197" s="22"/>
      <c r="AN197" s="22">
        <f t="shared" si="2"/>
        <v>8</v>
      </c>
      <c r="AO197" s="171" t="s">
        <v>1610</v>
      </c>
    </row>
    <row r="198" spans="1:41" ht="15.75" customHeight="1">
      <c r="A198" s="167" t="s">
        <v>1290</v>
      </c>
      <c r="B198" s="22" t="s">
        <v>1289</v>
      </c>
      <c r="C198" s="168">
        <v>1</v>
      </c>
      <c r="D198" s="169" t="b">
        <v>1</v>
      </c>
      <c r="E198" s="170" t="s">
        <v>1611</v>
      </c>
      <c r="F198" s="171">
        <v>1</v>
      </c>
      <c r="G198" s="171">
        <v>1</v>
      </c>
      <c r="H198" s="171">
        <v>1</v>
      </c>
      <c r="I198" s="171">
        <v>1</v>
      </c>
      <c r="J198" s="171">
        <v>1</v>
      </c>
      <c r="K198" s="171"/>
      <c r="L198" s="171"/>
      <c r="M198" s="171"/>
      <c r="N198" s="171">
        <v>1</v>
      </c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1">
        <v>1</v>
      </c>
      <c r="AD198" s="171"/>
      <c r="AE198" s="171"/>
      <c r="AF198" s="171"/>
      <c r="AG198" s="171"/>
      <c r="AH198" s="171"/>
      <c r="AI198" s="171"/>
      <c r="AJ198" s="171"/>
      <c r="AK198" s="171"/>
      <c r="AL198" s="171">
        <v>1</v>
      </c>
      <c r="AM198" s="22"/>
      <c r="AN198" s="22">
        <f t="shared" si="2"/>
        <v>8</v>
      </c>
      <c r="AO198" s="171" t="s">
        <v>1612</v>
      </c>
    </row>
    <row r="199" spans="1:41" ht="15.75" customHeight="1">
      <c r="A199" s="167" t="s">
        <v>1292</v>
      </c>
      <c r="B199" s="22" t="s">
        <v>1291</v>
      </c>
      <c r="C199" s="168">
        <v>1</v>
      </c>
      <c r="D199" s="169" t="b">
        <v>1</v>
      </c>
      <c r="E199" s="180" t="s">
        <v>1613</v>
      </c>
      <c r="F199" s="171">
        <v>1</v>
      </c>
      <c r="G199" s="171">
        <v>1</v>
      </c>
      <c r="H199" s="171">
        <v>1</v>
      </c>
      <c r="I199" s="171">
        <v>1</v>
      </c>
      <c r="J199" s="171">
        <v>1</v>
      </c>
      <c r="K199" s="171">
        <v>1</v>
      </c>
      <c r="L199" s="171"/>
      <c r="M199" s="171"/>
      <c r="N199" s="171"/>
      <c r="O199" s="171">
        <v>1</v>
      </c>
      <c r="P199" s="171"/>
      <c r="Q199" s="171">
        <v>1</v>
      </c>
      <c r="R199" s="171"/>
      <c r="S199" s="171"/>
      <c r="T199" s="171"/>
      <c r="U199" s="171"/>
      <c r="V199" s="171"/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1"/>
      <c r="AK199" s="171"/>
      <c r="AL199" s="171"/>
      <c r="AM199" s="22"/>
      <c r="AN199" s="22">
        <f t="shared" si="2"/>
        <v>8</v>
      </c>
      <c r="AO199" s="171"/>
    </row>
    <row r="200" spans="1:41" ht="15.75" customHeight="1">
      <c r="A200" s="167" t="s">
        <v>1297</v>
      </c>
      <c r="B200" s="22" t="s">
        <v>1296</v>
      </c>
      <c r="C200" s="168">
        <v>1</v>
      </c>
      <c r="D200" s="169" t="b">
        <v>1</v>
      </c>
      <c r="E200" s="170" t="s">
        <v>1614</v>
      </c>
      <c r="F200" s="171">
        <v>1</v>
      </c>
      <c r="G200" s="171">
        <v>1</v>
      </c>
      <c r="H200" s="171">
        <v>1</v>
      </c>
      <c r="I200" s="171">
        <v>1</v>
      </c>
      <c r="J200" s="171">
        <v>1</v>
      </c>
      <c r="K200" s="171"/>
      <c r="L200" s="171"/>
      <c r="M200" s="171"/>
      <c r="N200" s="171"/>
      <c r="O200" s="171"/>
      <c r="P200" s="171"/>
      <c r="Q200" s="171">
        <v>1</v>
      </c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  <c r="AG200" s="171"/>
      <c r="AH200" s="171"/>
      <c r="AI200" s="171">
        <v>1</v>
      </c>
      <c r="AJ200" s="171">
        <v>1</v>
      </c>
      <c r="AK200" s="171"/>
      <c r="AL200" s="171"/>
      <c r="AM200" s="22"/>
      <c r="AN200" s="22">
        <f t="shared" si="2"/>
        <v>8</v>
      </c>
      <c r="AO200" s="171"/>
    </row>
    <row r="201" spans="1:41" ht="15.75" customHeight="1">
      <c r="A201" s="167" t="s">
        <v>1299</v>
      </c>
      <c r="B201" s="22" t="s">
        <v>1298</v>
      </c>
      <c r="C201" s="168">
        <v>1</v>
      </c>
      <c r="D201" s="169" t="b">
        <v>1</v>
      </c>
      <c r="E201" s="170" t="s">
        <v>1615</v>
      </c>
      <c r="F201" s="171">
        <v>1</v>
      </c>
      <c r="G201" s="171">
        <v>1</v>
      </c>
      <c r="H201" s="171">
        <v>1</v>
      </c>
      <c r="I201" s="171">
        <v>1</v>
      </c>
      <c r="J201" s="171"/>
      <c r="K201" s="171">
        <v>1</v>
      </c>
      <c r="L201" s="171">
        <v>1</v>
      </c>
      <c r="M201" s="171"/>
      <c r="N201" s="171"/>
      <c r="O201" s="171"/>
      <c r="P201" s="171"/>
      <c r="Q201" s="171">
        <v>1</v>
      </c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171">
        <v>1</v>
      </c>
      <c r="AI201" s="171"/>
      <c r="AJ201" s="171"/>
      <c r="AK201" s="171"/>
      <c r="AL201" s="171"/>
      <c r="AM201" s="22"/>
      <c r="AN201" s="22">
        <f t="shared" si="2"/>
        <v>8</v>
      </c>
      <c r="AO201" s="171"/>
    </row>
    <row r="202" spans="1:41" ht="15.75" customHeight="1">
      <c r="A202" s="167" t="s">
        <v>1301</v>
      </c>
      <c r="B202" s="22" t="s">
        <v>1300</v>
      </c>
      <c r="C202" s="168">
        <v>1</v>
      </c>
      <c r="D202" s="169" t="b">
        <v>1</v>
      </c>
      <c r="E202" s="170" t="s">
        <v>1616</v>
      </c>
      <c r="F202" s="171">
        <v>1</v>
      </c>
      <c r="G202" s="171">
        <v>1</v>
      </c>
      <c r="H202" s="171">
        <v>1</v>
      </c>
      <c r="I202" s="171">
        <v>1</v>
      </c>
      <c r="J202" s="171">
        <v>1</v>
      </c>
      <c r="K202" s="171"/>
      <c r="L202" s="171"/>
      <c r="M202" s="171"/>
      <c r="N202" s="171"/>
      <c r="O202" s="171"/>
      <c r="P202" s="171"/>
      <c r="Q202" s="171">
        <v>1</v>
      </c>
      <c r="R202" s="171"/>
      <c r="S202" s="171"/>
      <c r="T202" s="171"/>
      <c r="U202" s="171"/>
      <c r="V202" s="171"/>
      <c r="W202" s="171">
        <v>1</v>
      </c>
      <c r="X202" s="171"/>
      <c r="Y202" s="171"/>
      <c r="Z202" s="171"/>
      <c r="AA202" s="171"/>
      <c r="AB202" s="171"/>
      <c r="AC202" s="171"/>
      <c r="AD202" s="171"/>
      <c r="AE202" s="171"/>
      <c r="AF202" s="171"/>
      <c r="AG202" s="171"/>
      <c r="AH202" s="171"/>
      <c r="AI202" s="171"/>
      <c r="AJ202" s="171"/>
      <c r="AK202" s="171"/>
      <c r="AL202" s="171">
        <v>1</v>
      </c>
      <c r="AM202" s="22"/>
      <c r="AN202" s="22">
        <f t="shared" si="2"/>
        <v>8</v>
      </c>
      <c r="AO202" s="171" t="s">
        <v>1617</v>
      </c>
    </row>
    <row r="203" spans="1:41" ht="15.75" customHeight="1">
      <c r="A203" s="167" t="s">
        <v>1305</v>
      </c>
      <c r="B203" s="22" t="s">
        <v>1304</v>
      </c>
      <c r="C203" s="168">
        <v>1</v>
      </c>
      <c r="D203" s="169" t="b">
        <v>1</v>
      </c>
      <c r="E203" s="170" t="s">
        <v>1618</v>
      </c>
      <c r="F203" s="171">
        <v>1</v>
      </c>
      <c r="G203" s="171">
        <v>1</v>
      </c>
      <c r="H203" s="171">
        <v>1</v>
      </c>
      <c r="I203" s="171">
        <v>1</v>
      </c>
      <c r="J203" s="171">
        <v>1</v>
      </c>
      <c r="K203" s="171"/>
      <c r="L203" s="171">
        <v>1</v>
      </c>
      <c r="M203" s="171"/>
      <c r="N203" s="171"/>
      <c r="O203" s="171"/>
      <c r="P203" s="171"/>
      <c r="Q203" s="171">
        <v>1</v>
      </c>
      <c r="R203" s="171"/>
      <c r="S203" s="171"/>
      <c r="T203" s="171"/>
      <c r="U203" s="171"/>
      <c r="V203" s="171"/>
      <c r="W203" s="171"/>
      <c r="X203" s="171"/>
      <c r="Y203" s="171"/>
      <c r="Z203" s="171"/>
      <c r="AA203" s="171"/>
      <c r="AB203" s="171"/>
      <c r="AC203" s="171"/>
      <c r="AD203" s="171"/>
      <c r="AE203" s="171"/>
      <c r="AF203" s="171"/>
      <c r="AG203" s="171"/>
      <c r="AH203" s="171"/>
      <c r="AI203" s="171"/>
      <c r="AJ203" s="171"/>
      <c r="AK203" s="171"/>
      <c r="AL203" s="171">
        <v>1</v>
      </c>
      <c r="AM203" s="22"/>
      <c r="AN203" s="22">
        <f t="shared" si="2"/>
        <v>8</v>
      </c>
      <c r="AO203" s="171" t="s">
        <v>1619</v>
      </c>
    </row>
    <row r="204" spans="1:41" ht="15.75" customHeight="1">
      <c r="A204" s="167" t="s">
        <v>1331</v>
      </c>
      <c r="B204" s="22" t="s">
        <v>1330</v>
      </c>
      <c r="C204" s="168">
        <v>1</v>
      </c>
      <c r="D204" s="169" t="b">
        <v>1</v>
      </c>
      <c r="E204" s="170" t="s">
        <v>1620</v>
      </c>
      <c r="F204" s="171">
        <v>1</v>
      </c>
      <c r="G204" s="171">
        <v>1</v>
      </c>
      <c r="H204" s="171">
        <v>1</v>
      </c>
      <c r="I204" s="171">
        <v>1</v>
      </c>
      <c r="J204" s="171">
        <v>1</v>
      </c>
      <c r="K204" s="171">
        <v>1</v>
      </c>
      <c r="L204" s="171"/>
      <c r="M204" s="171"/>
      <c r="N204" s="171"/>
      <c r="O204" s="171"/>
      <c r="P204" s="171"/>
      <c r="Q204" s="171">
        <v>1</v>
      </c>
      <c r="R204" s="171"/>
      <c r="S204" s="171"/>
      <c r="T204" s="171"/>
      <c r="U204" s="171"/>
      <c r="V204" s="171"/>
      <c r="W204" s="171"/>
      <c r="X204" s="171"/>
      <c r="Y204" s="171"/>
      <c r="Z204" s="171"/>
      <c r="AA204" s="171"/>
      <c r="AB204" s="171"/>
      <c r="AC204" s="171"/>
      <c r="AD204" s="171"/>
      <c r="AE204" s="171"/>
      <c r="AF204" s="171"/>
      <c r="AG204" s="171"/>
      <c r="AH204" s="171"/>
      <c r="AI204" s="171"/>
      <c r="AJ204" s="171"/>
      <c r="AK204" s="171"/>
      <c r="AL204" s="171">
        <v>1</v>
      </c>
      <c r="AM204" s="22"/>
      <c r="AN204" s="22">
        <f t="shared" si="2"/>
        <v>8</v>
      </c>
      <c r="AO204" s="171" t="s">
        <v>1619</v>
      </c>
    </row>
    <row r="205" spans="1:41" ht="15.75" customHeight="1">
      <c r="A205" s="167" t="s">
        <v>1339</v>
      </c>
      <c r="B205" s="22" t="s">
        <v>1338</v>
      </c>
      <c r="C205" s="168">
        <v>1</v>
      </c>
      <c r="D205" s="169" t="b">
        <v>1</v>
      </c>
      <c r="E205" s="174" t="s">
        <v>1621</v>
      </c>
      <c r="F205" s="171">
        <v>1</v>
      </c>
      <c r="G205" s="171">
        <v>1</v>
      </c>
      <c r="H205" s="171">
        <v>1</v>
      </c>
      <c r="I205" s="171">
        <v>1</v>
      </c>
      <c r="J205" s="171">
        <v>1</v>
      </c>
      <c r="K205" s="171">
        <v>1</v>
      </c>
      <c r="L205" s="171"/>
      <c r="M205" s="171"/>
      <c r="N205" s="171"/>
      <c r="O205" s="171">
        <v>1</v>
      </c>
      <c r="P205" s="171"/>
      <c r="Q205" s="171">
        <v>1</v>
      </c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  <c r="AG205" s="171"/>
      <c r="AH205" s="171"/>
      <c r="AI205" s="171"/>
      <c r="AJ205" s="171"/>
      <c r="AK205" s="171"/>
      <c r="AL205" s="171"/>
      <c r="AM205" s="22"/>
      <c r="AN205" s="22">
        <f t="shared" si="2"/>
        <v>8</v>
      </c>
      <c r="AO205" s="171"/>
    </row>
    <row r="206" spans="1:41" ht="15.75" customHeight="1">
      <c r="A206" s="167" t="s">
        <v>1349</v>
      </c>
      <c r="B206" s="22" t="s">
        <v>1348</v>
      </c>
      <c r="C206" s="168">
        <v>1</v>
      </c>
      <c r="D206" s="169" t="b">
        <v>1</v>
      </c>
      <c r="E206" s="174" t="s">
        <v>1622</v>
      </c>
      <c r="F206" s="171">
        <v>1</v>
      </c>
      <c r="G206" s="171">
        <v>1</v>
      </c>
      <c r="H206" s="171">
        <v>1</v>
      </c>
      <c r="I206" s="171">
        <v>1</v>
      </c>
      <c r="J206" s="171">
        <v>1</v>
      </c>
      <c r="K206" s="171">
        <v>1</v>
      </c>
      <c r="L206" s="171"/>
      <c r="M206" s="171"/>
      <c r="N206" s="171"/>
      <c r="O206" s="171">
        <v>1</v>
      </c>
      <c r="P206" s="171"/>
      <c r="Q206" s="171">
        <v>1</v>
      </c>
      <c r="R206" s="171"/>
      <c r="S206" s="171"/>
      <c r="T206" s="171"/>
      <c r="U206" s="171"/>
      <c r="V206" s="171"/>
      <c r="W206" s="171"/>
      <c r="X206" s="171"/>
      <c r="Y206" s="171"/>
      <c r="Z206" s="171"/>
      <c r="AA206" s="171"/>
      <c r="AB206" s="171"/>
      <c r="AC206" s="171"/>
      <c r="AD206" s="171"/>
      <c r="AE206" s="171"/>
      <c r="AF206" s="171"/>
      <c r="AG206" s="171"/>
      <c r="AH206" s="171"/>
      <c r="AI206" s="171"/>
      <c r="AJ206" s="171"/>
      <c r="AK206" s="171"/>
      <c r="AL206" s="171"/>
      <c r="AM206" s="22"/>
      <c r="AN206" s="22">
        <f t="shared" si="2"/>
        <v>8</v>
      </c>
      <c r="AO206" s="171"/>
    </row>
    <row r="207" spans="1:41" ht="15.75" customHeight="1">
      <c r="A207" s="167" t="s">
        <v>1351</v>
      </c>
      <c r="B207" s="22" t="s">
        <v>1350</v>
      </c>
      <c r="C207" s="168">
        <v>1</v>
      </c>
      <c r="D207" s="169" t="b">
        <v>1</v>
      </c>
      <c r="E207" s="174" t="s">
        <v>1623</v>
      </c>
      <c r="F207" s="171">
        <v>1</v>
      </c>
      <c r="G207" s="171">
        <v>1</v>
      </c>
      <c r="H207" s="171">
        <v>1</v>
      </c>
      <c r="I207" s="171">
        <v>1</v>
      </c>
      <c r="J207" s="171">
        <v>1</v>
      </c>
      <c r="K207" s="171">
        <v>1</v>
      </c>
      <c r="L207" s="171"/>
      <c r="M207" s="171"/>
      <c r="N207" s="171"/>
      <c r="O207" s="171"/>
      <c r="P207" s="171"/>
      <c r="Q207" s="171">
        <v>1</v>
      </c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  <c r="AH207" s="171"/>
      <c r="AI207" s="171"/>
      <c r="AJ207" s="171"/>
      <c r="AK207" s="171"/>
      <c r="AL207" s="171">
        <v>1</v>
      </c>
      <c r="AM207" s="22"/>
      <c r="AN207" s="22">
        <f t="shared" si="2"/>
        <v>8</v>
      </c>
      <c r="AO207" s="171" t="s">
        <v>1617</v>
      </c>
    </row>
    <row r="208" spans="1:41" ht="15.75" customHeight="1">
      <c r="A208" s="167" t="s">
        <v>1355</v>
      </c>
      <c r="B208" s="22" t="s">
        <v>1354</v>
      </c>
      <c r="C208" s="168">
        <v>1</v>
      </c>
      <c r="D208" s="169" t="b">
        <v>1</v>
      </c>
      <c r="E208" s="170" t="s">
        <v>1624</v>
      </c>
      <c r="F208" s="171">
        <v>1</v>
      </c>
      <c r="G208" s="171">
        <v>1</v>
      </c>
      <c r="H208" s="171">
        <v>1</v>
      </c>
      <c r="I208" s="171">
        <v>1</v>
      </c>
      <c r="J208" s="171">
        <v>1</v>
      </c>
      <c r="K208" s="171"/>
      <c r="L208" s="171"/>
      <c r="M208" s="171"/>
      <c r="N208" s="171"/>
      <c r="O208" s="171"/>
      <c r="P208" s="171"/>
      <c r="Q208" s="171">
        <v>1</v>
      </c>
      <c r="R208" s="171"/>
      <c r="S208" s="171"/>
      <c r="T208" s="171"/>
      <c r="U208" s="171"/>
      <c r="V208" s="171"/>
      <c r="W208" s="171">
        <v>1</v>
      </c>
      <c r="X208" s="171"/>
      <c r="Y208" s="171"/>
      <c r="Z208" s="171"/>
      <c r="AA208" s="171"/>
      <c r="AB208" s="171"/>
      <c r="AC208" s="171"/>
      <c r="AD208" s="171"/>
      <c r="AE208" s="171"/>
      <c r="AF208" s="171"/>
      <c r="AG208" s="171"/>
      <c r="AH208" s="171"/>
      <c r="AI208" s="171"/>
      <c r="AJ208" s="171"/>
      <c r="AK208" s="171"/>
      <c r="AL208" s="171">
        <v>1</v>
      </c>
      <c r="AM208" s="22"/>
      <c r="AN208" s="22">
        <f t="shared" si="2"/>
        <v>8</v>
      </c>
      <c r="AO208" s="171" t="s">
        <v>1498</v>
      </c>
    </row>
    <row r="209" spans="1:41" ht="15.75" customHeight="1">
      <c r="A209" s="167" t="s">
        <v>257</v>
      </c>
      <c r="B209" s="22" t="s">
        <v>256</v>
      </c>
      <c r="C209" s="168">
        <v>1</v>
      </c>
      <c r="D209" s="169" t="b">
        <v>1</v>
      </c>
      <c r="E209" s="170" t="s">
        <v>1625</v>
      </c>
      <c r="F209" s="171">
        <v>1</v>
      </c>
      <c r="G209" s="171">
        <v>1</v>
      </c>
      <c r="H209" s="171">
        <v>1</v>
      </c>
      <c r="I209" s="171">
        <v>1</v>
      </c>
      <c r="J209" s="171">
        <v>1</v>
      </c>
      <c r="K209" s="171"/>
      <c r="L209" s="171">
        <v>1</v>
      </c>
      <c r="M209" s="171"/>
      <c r="N209" s="171"/>
      <c r="O209" s="171"/>
      <c r="P209" s="171"/>
      <c r="Q209" s="171"/>
      <c r="R209" s="171"/>
      <c r="S209" s="171">
        <v>1</v>
      </c>
      <c r="T209" s="171"/>
      <c r="U209" s="171"/>
      <c r="V209" s="171"/>
      <c r="W209" s="171"/>
      <c r="X209" s="171"/>
      <c r="Y209" s="171"/>
      <c r="Z209" s="171"/>
      <c r="AA209" s="171"/>
      <c r="AB209" s="171"/>
      <c r="AC209" s="171"/>
      <c r="AD209" s="171"/>
      <c r="AE209" s="171"/>
      <c r="AF209" s="171"/>
      <c r="AG209" s="171"/>
      <c r="AH209" s="171"/>
      <c r="AI209" s="171"/>
      <c r="AJ209" s="171"/>
      <c r="AK209" s="171"/>
      <c r="AL209" s="171"/>
      <c r="AM209" s="22"/>
      <c r="AN209" s="22">
        <f t="shared" si="2"/>
        <v>7</v>
      </c>
      <c r="AO209" s="171"/>
    </row>
    <row r="210" spans="1:41" ht="15.75" customHeight="1">
      <c r="A210" s="167" t="s">
        <v>356</v>
      </c>
      <c r="B210" s="22" t="s">
        <v>355</v>
      </c>
      <c r="C210" s="168">
        <v>1</v>
      </c>
      <c r="D210" s="169" t="b">
        <v>1</v>
      </c>
      <c r="E210" s="170" t="s">
        <v>1626</v>
      </c>
      <c r="F210" s="171">
        <v>1</v>
      </c>
      <c r="G210" s="171">
        <v>1</v>
      </c>
      <c r="H210" s="171">
        <v>1</v>
      </c>
      <c r="I210" s="171">
        <v>1</v>
      </c>
      <c r="J210" s="171">
        <v>1</v>
      </c>
      <c r="K210" s="171"/>
      <c r="L210" s="171"/>
      <c r="M210" s="171">
        <v>1</v>
      </c>
      <c r="N210" s="171"/>
      <c r="O210" s="171"/>
      <c r="P210" s="171"/>
      <c r="Q210" s="171"/>
      <c r="R210" s="171"/>
      <c r="S210" s="171">
        <v>1</v>
      </c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  <c r="AE210" s="171"/>
      <c r="AF210" s="171"/>
      <c r="AG210" s="171"/>
      <c r="AH210" s="171"/>
      <c r="AI210" s="171"/>
      <c r="AJ210" s="171"/>
      <c r="AK210" s="171"/>
      <c r="AL210" s="171"/>
      <c r="AM210" s="22"/>
      <c r="AN210" s="22">
        <f>SUM(D210:AH210)</f>
        <v>7</v>
      </c>
      <c r="AO210" s="171" t="s">
        <v>1429</v>
      </c>
    </row>
    <row r="211" spans="1:41" ht="15.75" customHeight="1">
      <c r="A211" s="167" t="s">
        <v>394</v>
      </c>
      <c r="B211" s="22" t="s">
        <v>393</v>
      </c>
      <c r="C211" s="168">
        <v>1</v>
      </c>
      <c r="D211" s="169" t="b">
        <v>1</v>
      </c>
      <c r="E211" s="170" t="s">
        <v>1627</v>
      </c>
      <c r="F211" s="171">
        <v>1</v>
      </c>
      <c r="G211" s="171">
        <v>1</v>
      </c>
      <c r="H211" s="171">
        <v>1</v>
      </c>
      <c r="I211" s="171">
        <v>1</v>
      </c>
      <c r="J211" s="171">
        <v>1</v>
      </c>
      <c r="K211" s="171"/>
      <c r="L211" s="171"/>
      <c r="M211" s="171"/>
      <c r="N211" s="171"/>
      <c r="O211" s="171"/>
      <c r="P211" s="171"/>
      <c r="Q211" s="171"/>
      <c r="R211" s="171"/>
      <c r="S211" s="171">
        <v>1</v>
      </c>
      <c r="T211" s="171">
        <v>1</v>
      </c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1"/>
      <c r="AG211" s="171"/>
      <c r="AH211" s="171"/>
      <c r="AI211" s="171"/>
      <c r="AJ211" s="171"/>
      <c r="AK211" s="171"/>
      <c r="AL211" s="171"/>
      <c r="AM211" s="22"/>
      <c r="AN211" s="22">
        <f t="shared" ref="AN211:AN465" si="3">SUM(D211:AL211)</f>
        <v>7</v>
      </c>
      <c r="AO211" s="171" t="s">
        <v>1429</v>
      </c>
    </row>
    <row r="212" spans="1:41" ht="15.75" customHeight="1">
      <c r="A212" s="167" t="s">
        <v>584</v>
      </c>
      <c r="B212" s="22" t="s">
        <v>583</v>
      </c>
      <c r="C212" s="168">
        <v>1</v>
      </c>
      <c r="D212" s="169" t="b">
        <v>1</v>
      </c>
      <c r="E212" s="170" t="s">
        <v>1628</v>
      </c>
      <c r="F212" s="171">
        <v>1</v>
      </c>
      <c r="G212" s="171">
        <v>1</v>
      </c>
      <c r="H212" s="171">
        <v>1</v>
      </c>
      <c r="I212" s="171">
        <v>1</v>
      </c>
      <c r="J212" s="171">
        <v>1</v>
      </c>
      <c r="K212" s="171"/>
      <c r="L212" s="171"/>
      <c r="M212" s="171"/>
      <c r="N212" s="171"/>
      <c r="O212" s="171"/>
      <c r="P212" s="171">
        <v>1</v>
      </c>
      <c r="Q212" s="171"/>
      <c r="R212" s="171"/>
      <c r="S212" s="171">
        <v>1</v>
      </c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  <c r="AG212" s="171"/>
      <c r="AH212" s="171"/>
      <c r="AI212" s="171"/>
      <c r="AJ212" s="171"/>
      <c r="AK212" s="171"/>
      <c r="AL212" s="171"/>
      <c r="AM212" s="22"/>
      <c r="AN212" s="22">
        <f t="shared" si="3"/>
        <v>7</v>
      </c>
      <c r="AO212" s="171" t="s">
        <v>1403</v>
      </c>
    </row>
    <row r="213" spans="1:41" ht="15.75" customHeight="1">
      <c r="A213" s="167" t="s">
        <v>930</v>
      </c>
      <c r="B213" s="22" t="s">
        <v>929</v>
      </c>
      <c r="C213" s="168">
        <v>1</v>
      </c>
      <c r="D213" s="169" t="b">
        <v>1</v>
      </c>
      <c r="E213" s="170" t="s">
        <v>1629</v>
      </c>
      <c r="F213" s="171">
        <v>1</v>
      </c>
      <c r="G213" s="171">
        <v>1</v>
      </c>
      <c r="H213" s="171">
        <v>1</v>
      </c>
      <c r="I213" s="171">
        <v>1</v>
      </c>
      <c r="J213" s="171">
        <v>1</v>
      </c>
      <c r="K213" s="171"/>
      <c r="L213" s="171"/>
      <c r="M213" s="171"/>
      <c r="N213" s="171"/>
      <c r="O213" s="171">
        <v>1</v>
      </c>
      <c r="P213" s="171"/>
      <c r="Q213" s="171"/>
      <c r="R213" s="171"/>
      <c r="S213" s="171">
        <v>1</v>
      </c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  <c r="AG213" s="171"/>
      <c r="AH213" s="171"/>
      <c r="AI213" s="171"/>
      <c r="AJ213" s="171"/>
      <c r="AK213" s="171"/>
      <c r="AL213" s="171"/>
      <c r="AM213" s="22"/>
      <c r="AN213" s="22">
        <f t="shared" si="3"/>
        <v>7</v>
      </c>
      <c r="AO213" s="171" t="s">
        <v>1630</v>
      </c>
    </row>
    <row r="214" spans="1:41" ht="15.75" customHeight="1">
      <c r="A214" s="167" t="s">
        <v>1026</v>
      </c>
      <c r="B214" s="22" t="s">
        <v>1025</v>
      </c>
      <c r="C214" s="168">
        <v>1</v>
      </c>
      <c r="D214" s="169" t="b">
        <v>1</v>
      </c>
      <c r="E214" s="170" t="s">
        <v>1631</v>
      </c>
      <c r="F214" s="171">
        <v>1</v>
      </c>
      <c r="G214" s="171">
        <v>1</v>
      </c>
      <c r="H214" s="171">
        <v>1</v>
      </c>
      <c r="I214" s="171">
        <v>1</v>
      </c>
      <c r="J214" s="171">
        <v>1</v>
      </c>
      <c r="K214" s="171"/>
      <c r="L214" s="171"/>
      <c r="M214" s="171">
        <v>1</v>
      </c>
      <c r="N214" s="171"/>
      <c r="O214" s="171"/>
      <c r="P214" s="171"/>
      <c r="Q214" s="171"/>
      <c r="R214" s="171"/>
      <c r="S214" s="171">
        <v>1</v>
      </c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1"/>
      <c r="AH214" s="171"/>
      <c r="AI214" s="171"/>
      <c r="AJ214" s="171"/>
      <c r="AK214" s="171"/>
      <c r="AL214" s="171"/>
      <c r="AM214" s="22"/>
      <c r="AN214" s="22">
        <f t="shared" si="3"/>
        <v>7</v>
      </c>
      <c r="AO214" s="171" t="s">
        <v>1632</v>
      </c>
    </row>
    <row r="215" spans="1:41" ht="15.75" customHeight="1">
      <c r="A215" s="167" t="s">
        <v>63</v>
      </c>
      <c r="B215" s="22" t="s">
        <v>62</v>
      </c>
      <c r="C215" s="168">
        <v>1</v>
      </c>
      <c r="D215" s="169" t="b">
        <v>1</v>
      </c>
      <c r="E215" s="170" t="s">
        <v>1633</v>
      </c>
      <c r="F215" s="171">
        <v>1</v>
      </c>
      <c r="G215" s="171">
        <v>1</v>
      </c>
      <c r="H215" s="171">
        <v>1</v>
      </c>
      <c r="I215" s="171">
        <v>1</v>
      </c>
      <c r="J215" s="171">
        <v>1</v>
      </c>
      <c r="K215" s="171"/>
      <c r="L215" s="171">
        <v>1</v>
      </c>
      <c r="M215" s="171">
        <v>1</v>
      </c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  <c r="AG215" s="171"/>
      <c r="AH215" s="171"/>
      <c r="AI215" s="171"/>
      <c r="AJ215" s="171"/>
      <c r="AK215" s="171"/>
      <c r="AL215" s="171"/>
      <c r="AM215" s="22"/>
      <c r="AN215" s="22">
        <f t="shared" si="3"/>
        <v>7</v>
      </c>
      <c r="AO215" s="171"/>
    </row>
    <row r="216" spans="1:41" ht="15.75" customHeight="1">
      <c r="A216" s="167" t="s">
        <v>77</v>
      </c>
      <c r="B216" s="22" t="s">
        <v>76</v>
      </c>
      <c r="C216" s="168">
        <v>1</v>
      </c>
      <c r="D216" s="169" t="b">
        <v>1</v>
      </c>
      <c r="E216" s="174" t="s">
        <v>1634</v>
      </c>
      <c r="F216" s="171">
        <v>1</v>
      </c>
      <c r="G216" s="171">
        <v>1</v>
      </c>
      <c r="H216" s="171">
        <v>1</v>
      </c>
      <c r="I216" s="171">
        <v>1</v>
      </c>
      <c r="J216" s="171">
        <v>1</v>
      </c>
      <c r="K216" s="171"/>
      <c r="L216" s="171"/>
      <c r="M216" s="171"/>
      <c r="N216" s="171"/>
      <c r="O216" s="171"/>
      <c r="P216" s="171">
        <v>1</v>
      </c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  <c r="AF216" s="171"/>
      <c r="AG216" s="171"/>
      <c r="AH216" s="171"/>
      <c r="AI216" s="171"/>
      <c r="AJ216" s="171"/>
      <c r="AK216" s="171"/>
      <c r="AL216" s="171">
        <v>1</v>
      </c>
      <c r="AM216" s="22"/>
      <c r="AN216" s="22">
        <f t="shared" si="3"/>
        <v>7</v>
      </c>
      <c r="AO216" s="171" t="s">
        <v>1635</v>
      </c>
    </row>
    <row r="217" spans="1:41" ht="15.75" customHeight="1">
      <c r="A217" s="167" t="s">
        <v>93</v>
      </c>
      <c r="B217" s="22" t="s">
        <v>92</v>
      </c>
      <c r="C217" s="168">
        <v>1</v>
      </c>
      <c r="D217" s="169" t="b">
        <v>1</v>
      </c>
      <c r="E217" s="170" t="s">
        <v>1636</v>
      </c>
      <c r="F217" s="171">
        <v>1</v>
      </c>
      <c r="G217" s="171">
        <v>1</v>
      </c>
      <c r="H217" s="171">
        <v>1</v>
      </c>
      <c r="I217" s="171">
        <v>1</v>
      </c>
      <c r="J217" s="171">
        <v>1</v>
      </c>
      <c r="K217" s="171">
        <v>1</v>
      </c>
      <c r="L217" s="171">
        <v>1</v>
      </c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/>
      <c r="AE217" s="171"/>
      <c r="AF217" s="171"/>
      <c r="AG217" s="171"/>
      <c r="AH217" s="171"/>
      <c r="AI217" s="171"/>
      <c r="AJ217" s="171"/>
      <c r="AK217" s="171"/>
      <c r="AL217" s="171"/>
      <c r="AM217" s="22"/>
      <c r="AN217" s="22">
        <f t="shared" si="3"/>
        <v>7</v>
      </c>
      <c r="AO217" s="171"/>
    </row>
    <row r="218" spans="1:41" ht="15.75" customHeight="1">
      <c r="A218" s="167" t="s">
        <v>112</v>
      </c>
      <c r="B218" s="22" t="s">
        <v>111</v>
      </c>
      <c r="C218" s="168">
        <v>1</v>
      </c>
      <c r="D218" s="169" t="b">
        <v>1</v>
      </c>
      <c r="E218" s="170" t="s">
        <v>1637</v>
      </c>
      <c r="F218" s="171">
        <v>1</v>
      </c>
      <c r="G218" s="171">
        <v>1</v>
      </c>
      <c r="H218" s="171">
        <v>1</v>
      </c>
      <c r="I218" s="171">
        <v>1</v>
      </c>
      <c r="J218" s="171">
        <v>1</v>
      </c>
      <c r="K218" s="171">
        <v>1</v>
      </c>
      <c r="L218" s="171"/>
      <c r="M218" s="171"/>
      <c r="N218" s="171"/>
      <c r="O218" s="171"/>
      <c r="P218" s="171">
        <v>1</v>
      </c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171"/>
      <c r="AJ218" s="171"/>
      <c r="AK218" s="171"/>
      <c r="AL218" s="171"/>
      <c r="AM218" s="22"/>
      <c r="AN218" s="22">
        <f t="shared" si="3"/>
        <v>7</v>
      </c>
      <c r="AO218" s="171"/>
    </row>
    <row r="219" spans="1:41" ht="15.75" customHeight="1">
      <c r="A219" s="167" t="s">
        <v>137</v>
      </c>
      <c r="B219" s="22" t="s">
        <v>136</v>
      </c>
      <c r="C219" s="168">
        <v>1</v>
      </c>
      <c r="D219" s="169" t="b">
        <v>1</v>
      </c>
      <c r="E219" s="170" t="s">
        <v>1638</v>
      </c>
      <c r="F219" s="171">
        <v>1</v>
      </c>
      <c r="G219" s="171">
        <v>1</v>
      </c>
      <c r="H219" s="171">
        <v>1</v>
      </c>
      <c r="I219" s="171">
        <v>1</v>
      </c>
      <c r="J219" s="171">
        <v>1</v>
      </c>
      <c r="K219" s="171">
        <v>1</v>
      </c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171"/>
      <c r="AI219" s="171"/>
      <c r="AJ219" s="171"/>
      <c r="AK219" s="171"/>
      <c r="AL219" s="171">
        <v>1</v>
      </c>
      <c r="AM219" s="22"/>
      <c r="AN219" s="22">
        <f t="shared" si="3"/>
        <v>7</v>
      </c>
      <c r="AO219" s="171" t="s">
        <v>1413</v>
      </c>
    </row>
    <row r="220" spans="1:41" ht="15.75" customHeight="1">
      <c r="A220" s="167" t="s">
        <v>149</v>
      </c>
      <c r="B220" s="22" t="s">
        <v>148</v>
      </c>
      <c r="C220" s="168">
        <v>1</v>
      </c>
      <c r="D220" s="169" t="b">
        <v>1</v>
      </c>
      <c r="E220" s="170" t="s">
        <v>1639</v>
      </c>
      <c r="F220" s="171">
        <v>1</v>
      </c>
      <c r="G220" s="171">
        <v>1</v>
      </c>
      <c r="H220" s="171">
        <v>1</v>
      </c>
      <c r="I220" s="171">
        <v>1</v>
      </c>
      <c r="J220" s="171">
        <v>1</v>
      </c>
      <c r="K220" s="171">
        <v>1</v>
      </c>
      <c r="L220" s="171">
        <v>1</v>
      </c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  <c r="AG220" s="171"/>
      <c r="AH220" s="171"/>
      <c r="AI220" s="171"/>
      <c r="AJ220" s="171"/>
      <c r="AK220" s="171"/>
      <c r="AL220" s="171"/>
      <c r="AM220" s="22"/>
      <c r="AN220" s="22">
        <f t="shared" si="3"/>
        <v>7</v>
      </c>
      <c r="AO220" s="171"/>
    </row>
    <row r="221" spans="1:41" ht="15.75" customHeight="1">
      <c r="A221" s="167" t="s">
        <v>155</v>
      </c>
      <c r="B221" s="22" t="s">
        <v>154</v>
      </c>
      <c r="C221" s="168">
        <v>1</v>
      </c>
      <c r="D221" s="169" t="b">
        <v>1</v>
      </c>
      <c r="E221" s="174" t="s">
        <v>1640</v>
      </c>
      <c r="F221" s="178">
        <v>1</v>
      </c>
      <c r="G221" s="178">
        <v>1</v>
      </c>
      <c r="H221" s="178">
        <v>1</v>
      </c>
      <c r="I221" s="178">
        <v>1</v>
      </c>
      <c r="J221" s="178">
        <v>1</v>
      </c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  <c r="AE221" s="178"/>
      <c r="AF221" s="178"/>
      <c r="AG221" s="178">
        <v>1</v>
      </c>
      <c r="AH221" s="178"/>
      <c r="AI221" s="178"/>
      <c r="AJ221" s="178"/>
      <c r="AK221" s="178"/>
      <c r="AL221" s="178">
        <v>1</v>
      </c>
      <c r="AM221" s="22"/>
      <c r="AN221" s="22">
        <f t="shared" si="3"/>
        <v>7</v>
      </c>
      <c r="AO221" s="171" t="s">
        <v>1641</v>
      </c>
    </row>
    <row r="222" spans="1:41" ht="15.75" customHeight="1">
      <c r="A222" s="167" t="s">
        <v>157</v>
      </c>
      <c r="B222" s="22" t="s">
        <v>156</v>
      </c>
      <c r="C222" s="168">
        <v>1</v>
      </c>
      <c r="D222" s="169" t="b">
        <v>1</v>
      </c>
      <c r="E222" s="170" t="s">
        <v>1437</v>
      </c>
      <c r="F222" s="171">
        <v>1</v>
      </c>
      <c r="G222" s="171">
        <v>1</v>
      </c>
      <c r="H222" s="171">
        <v>1</v>
      </c>
      <c r="I222" s="171">
        <v>1</v>
      </c>
      <c r="J222" s="171">
        <v>1</v>
      </c>
      <c r="K222" s="171">
        <v>1</v>
      </c>
      <c r="L222" s="171"/>
      <c r="M222" s="171">
        <v>1</v>
      </c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  <c r="AG222" s="171"/>
      <c r="AH222" s="171"/>
      <c r="AI222" s="171"/>
      <c r="AJ222" s="171"/>
      <c r="AK222" s="171"/>
      <c r="AL222" s="171"/>
      <c r="AM222" s="22"/>
      <c r="AN222" s="22">
        <f t="shared" si="3"/>
        <v>7</v>
      </c>
      <c r="AO222" s="171"/>
    </row>
    <row r="223" spans="1:41" ht="15.75" customHeight="1">
      <c r="A223" s="167" t="s">
        <v>159</v>
      </c>
      <c r="B223" s="22" t="s">
        <v>158</v>
      </c>
      <c r="C223" s="168">
        <v>1</v>
      </c>
      <c r="D223" s="169" t="b">
        <v>1</v>
      </c>
      <c r="E223" s="170" t="s">
        <v>1437</v>
      </c>
      <c r="F223" s="171">
        <v>1</v>
      </c>
      <c r="G223" s="171">
        <v>1</v>
      </c>
      <c r="H223" s="171">
        <v>1</v>
      </c>
      <c r="I223" s="171">
        <v>1</v>
      </c>
      <c r="J223" s="171">
        <v>1</v>
      </c>
      <c r="K223" s="171"/>
      <c r="L223" s="171"/>
      <c r="M223" s="171">
        <v>1</v>
      </c>
      <c r="N223" s="171"/>
      <c r="O223" s="171"/>
      <c r="P223" s="171"/>
      <c r="Q223" s="171"/>
      <c r="R223" s="171"/>
      <c r="S223" s="171"/>
      <c r="T223" s="171"/>
      <c r="U223" s="171"/>
      <c r="V223" s="171">
        <v>1</v>
      </c>
      <c r="W223" s="171"/>
      <c r="X223" s="171"/>
      <c r="Y223" s="171"/>
      <c r="Z223" s="171"/>
      <c r="AA223" s="171"/>
      <c r="AB223" s="171"/>
      <c r="AC223" s="171"/>
      <c r="AD223" s="171"/>
      <c r="AE223" s="171"/>
      <c r="AF223" s="171"/>
      <c r="AG223" s="171"/>
      <c r="AH223" s="171"/>
      <c r="AI223" s="171"/>
      <c r="AJ223" s="171"/>
      <c r="AK223" s="171"/>
      <c r="AL223" s="171"/>
      <c r="AM223" s="22"/>
      <c r="AN223" s="22">
        <f t="shared" si="3"/>
        <v>7</v>
      </c>
      <c r="AO223" s="171"/>
    </row>
    <row r="224" spans="1:41" ht="15.75" customHeight="1">
      <c r="A224" s="167" t="s">
        <v>161</v>
      </c>
      <c r="B224" s="22" t="s">
        <v>160</v>
      </c>
      <c r="C224" s="168">
        <v>1</v>
      </c>
      <c r="D224" s="169" t="b">
        <v>1</v>
      </c>
      <c r="E224" s="170" t="s">
        <v>1642</v>
      </c>
      <c r="F224" s="171">
        <v>1</v>
      </c>
      <c r="G224" s="171">
        <v>1</v>
      </c>
      <c r="H224" s="171">
        <v>1</v>
      </c>
      <c r="I224" s="171">
        <v>1</v>
      </c>
      <c r="J224" s="171">
        <v>1</v>
      </c>
      <c r="K224" s="171">
        <v>1</v>
      </c>
      <c r="L224" s="171"/>
      <c r="M224" s="171"/>
      <c r="N224" s="171"/>
      <c r="O224" s="171">
        <v>1</v>
      </c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  <c r="AA224" s="171"/>
      <c r="AB224" s="171"/>
      <c r="AC224" s="171"/>
      <c r="AD224" s="171"/>
      <c r="AE224" s="171"/>
      <c r="AF224" s="171"/>
      <c r="AG224" s="171"/>
      <c r="AH224" s="171"/>
      <c r="AI224" s="171"/>
      <c r="AJ224" s="171"/>
      <c r="AK224" s="171"/>
      <c r="AL224" s="171"/>
      <c r="AM224" s="22"/>
      <c r="AN224" s="22">
        <f t="shared" si="3"/>
        <v>7</v>
      </c>
      <c r="AO224" s="171"/>
    </row>
    <row r="225" spans="1:41" ht="15.75" customHeight="1">
      <c r="A225" s="167" t="s">
        <v>175</v>
      </c>
      <c r="B225" s="22" t="s">
        <v>174</v>
      </c>
      <c r="C225" s="168">
        <v>1</v>
      </c>
      <c r="D225" s="169" t="b">
        <v>1</v>
      </c>
      <c r="E225" s="170" t="s">
        <v>1643</v>
      </c>
      <c r="F225" s="171">
        <v>1</v>
      </c>
      <c r="G225" s="171">
        <v>1</v>
      </c>
      <c r="H225" s="171">
        <v>1</v>
      </c>
      <c r="I225" s="171">
        <v>1</v>
      </c>
      <c r="J225" s="171">
        <v>1</v>
      </c>
      <c r="K225" s="171">
        <v>1</v>
      </c>
      <c r="L225" s="171">
        <v>1</v>
      </c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  <c r="AF225" s="171"/>
      <c r="AG225" s="171"/>
      <c r="AH225" s="171"/>
      <c r="AI225" s="171"/>
      <c r="AJ225" s="171"/>
      <c r="AK225" s="171"/>
      <c r="AL225" s="171"/>
      <c r="AM225" s="22"/>
      <c r="AN225" s="22">
        <f t="shared" si="3"/>
        <v>7</v>
      </c>
      <c r="AO225" s="171"/>
    </row>
    <row r="226" spans="1:41" ht="15.75" customHeight="1">
      <c r="A226" s="167" t="s">
        <v>179</v>
      </c>
      <c r="B226" s="22" t="s">
        <v>178</v>
      </c>
      <c r="C226" s="168">
        <v>1</v>
      </c>
      <c r="D226" s="169" t="b">
        <v>1</v>
      </c>
      <c r="E226" s="170" t="s">
        <v>1644</v>
      </c>
      <c r="F226" s="171">
        <v>1</v>
      </c>
      <c r="G226" s="171">
        <v>1</v>
      </c>
      <c r="H226" s="171">
        <v>1</v>
      </c>
      <c r="I226" s="171">
        <v>1</v>
      </c>
      <c r="J226" s="171">
        <v>1</v>
      </c>
      <c r="K226" s="171">
        <v>1</v>
      </c>
      <c r="L226" s="171">
        <v>1</v>
      </c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/>
      <c r="AF226" s="171"/>
      <c r="AG226" s="171"/>
      <c r="AH226" s="171"/>
      <c r="AI226" s="171"/>
      <c r="AJ226" s="171"/>
      <c r="AK226" s="171"/>
      <c r="AL226" s="171"/>
      <c r="AM226" s="22"/>
      <c r="AN226" s="22">
        <f t="shared" si="3"/>
        <v>7</v>
      </c>
      <c r="AO226" s="171"/>
    </row>
    <row r="227" spans="1:41" ht="15.75" customHeight="1">
      <c r="A227" s="167" t="s">
        <v>191</v>
      </c>
      <c r="B227" s="22" t="s">
        <v>190</v>
      </c>
      <c r="C227" s="168">
        <v>1</v>
      </c>
      <c r="D227" s="169" t="b">
        <v>1</v>
      </c>
      <c r="E227" s="170" t="s">
        <v>1645</v>
      </c>
      <c r="F227" s="171">
        <v>1</v>
      </c>
      <c r="G227" s="171">
        <v>1</v>
      </c>
      <c r="H227" s="171">
        <v>1</v>
      </c>
      <c r="I227" s="171">
        <v>1</v>
      </c>
      <c r="J227" s="171"/>
      <c r="K227" s="171">
        <v>2</v>
      </c>
      <c r="L227" s="171"/>
      <c r="M227" s="171">
        <v>1</v>
      </c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  <c r="AG227" s="171"/>
      <c r="AH227" s="171"/>
      <c r="AI227" s="171"/>
      <c r="AJ227" s="171"/>
      <c r="AK227" s="171"/>
      <c r="AL227" s="171"/>
      <c r="AM227" s="22"/>
      <c r="AN227" s="22">
        <f t="shared" si="3"/>
        <v>7</v>
      </c>
      <c r="AO227" s="171"/>
    </row>
    <row r="228" spans="1:41" ht="15.75" customHeight="1">
      <c r="A228" s="167" t="s">
        <v>203</v>
      </c>
      <c r="B228" s="22" t="s">
        <v>202</v>
      </c>
      <c r="C228" s="168">
        <v>1</v>
      </c>
      <c r="D228" s="169" t="b">
        <v>1</v>
      </c>
      <c r="E228" s="170" t="s">
        <v>1646</v>
      </c>
      <c r="F228" s="171">
        <v>1</v>
      </c>
      <c r="G228" s="171">
        <v>1</v>
      </c>
      <c r="H228" s="171">
        <v>1</v>
      </c>
      <c r="I228" s="171">
        <v>1</v>
      </c>
      <c r="J228" s="171">
        <v>1</v>
      </c>
      <c r="K228" s="171">
        <v>1</v>
      </c>
      <c r="L228" s="171">
        <v>1</v>
      </c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  <c r="AF228" s="171"/>
      <c r="AG228" s="171"/>
      <c r="AH228" s="171"/>
      <c r="AI228" s="171"/>
      <c r="AJ228" s="171"/>
      <c r="AK228" s="171"/>
      <c r="AL228" s="171"/>
      <c r="AM228" s="22"/>
      <c r="AN228" s="22">
        <f t="shared" si="3"/>
        <v>7</v>
      </c>
      <c r="AO228" s="171"/>
    </row>
    <row r="229" spans="1:41" ht="15.75" customHeight="1">
      <c r="A229" s="167" t="s">
        <v>205</v>
      </c>
      <c r="B229" s="22" t="s">
        <v>204</v>
      </c>
      <c r="C229" s="168">
        <v>1</v>
      </c>
      <c r="D229" s="169" t="b">
        <v>1</v>
      </c>
      <c r="E229" s="170" t="s">
        <v>1647</v>
      </c>
      <c r="F229" s="171">
        <v>1</v>
      </c>
      <c r="G229" s="171">
        <v>1</v>
      </c>
      <c r="H229" s="171">
        <v>1</v>
      </c>
      <c r="I229" s="171">
        <v>1</v>
      </c>
      <c r="J229" s="171">
        <v>1</v>
      </c>
      <c r="K229" s="171"/>
      <c r="L229" s="171"/>
      <c r="M229" s="171"/>
      <c r="N229" s="171"/>
      <c r="O229" s="171"/>
      <c r="P229" s="171"/>
      <c r="Q229" s="171"/>
      <c r="R229" s="171"/>
      <c r="S229" s="171"/>
      <c r="T229" s="171"/>
      <c r="U229" s="171">
        <v>1</v>
      </c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1"/>
      <c r="AH229" s="171"/>
      <c r="AI229" s="171"/>
      <c r="AJ229" s="171"/>
      <c r="AK229" s="171"/>
      <c r="AL229" s="171">
        <v>1</v>
      </c>
      <c r="AM229" s="22"/>
      <c r="AN229" s="22">
        <f t="shared" si="3"/>
        <v>7</v>
      </c>
      <c r="AO229" s="171" t="s">
        <v>1648</v>
      </c>
    </row>
    <row r="230" spans="1:41" ht="15.75" customHeight="1">
      <c r="A230" s="167" t="s">
        <v>207</v>
      </c>
      <c r="B230" s="22" t="s">
        <v>206</v>
      </c>
      <c r="C230" s="168">
        <v>1</v>
      </c>
      <c r="D230" s="169" t="b">
        <v>1</v>
      </c>
      <c r="E230" s="170" t="s">
        <v>1649</v>
      </c>
      <c r="F230" s="171">
        <v>1</v>
      </c>
      <c r="G230" s="171">
        <v>1</v>
      </c>
      <c r="H230" s="171">
        <v>1</v>
      </c>
      <c r="I230" s="171">
        <v>1</v>
      </c>
      <c r="J230" s="171">
        <v>1</v>
      </c>
      <c r="K230" s="171">
        <v>1</v>
      </c>
      <c r="L230" s="171">
        <v>1</v>
      </c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/>
      <c r="AH230" s="171"/>
      <c r="AI230" s="171"/>
      <c r="AJ230" s="171"/>
      <c r="AK230" s="171"/>
      <c r="AL230" s="171"/>
      <c r="AM230" s="22"/>
      <c r="AN230" s="22">
        <f t="shared" si="3"/>
        <v>7</v>
      </c>
      <c r="AO230" s="171"/>
    </row>
    <row r="231" spans="1:41" ht="15.75" customHeight="1">
      <c r="A231" s="167" t="s">
        <v>221</v>
      </c>
      <c r="B231" s="22" t="s">
        <v>220</v>
      </c>
      <c r="C231" s="168">
        <v>1</v>
      </c>
      <c r="D231" s="169" t="b">
        <v>1</v>
      </c>
      <c r="E231" s="174" t="s">
        <v>1650</v>
      </c>
      <c r="F231" s="171">
        <v>1</v>
      </c>
      <c r="G231" s="171">
        <v>1</v>
      </c>
      <c r="H231" s="171">
        <v>1</v>
      </c>
      <c r="I231" s="171">
        <v>1</v>
      </c>
      <c r="J231" s="171">
        <v>1</v>
      </c>
      <c r="K231" s="171"/>
      <c r="L231" s="171"/>
      <c r="M231" s="171">
        <v>1</v>
      </c>
      <c r="N231" s="171"/>
      <c r="O231" s="171"/>
      <c r="P231" s="171"/>
      <c r="Q231" s="171"/>
      <c r="R231" s="171">
        <v>1</v>
      </c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1"/>
      <c r="AH231" s="171"/>
      <c r="AI231" s="171"/>
      <c r="AJ231" s="171"/>
      <c r="AK231" s="171"/>
      <c r="AL231" s="171"/>
      <c r="AM231" s="22"/>
      <c r="AN231" s="22">
        <f t="shared" si="3"/>
        <v>7</v>
      </c>
      <c r="AO231" s="171"/>
    </row>
    <row r="232" spans="1:41" ht="15.75" customHeight="1">
      <c r="A232" s="167" t="s">
        <v>223</v>
      </c>
      <c r="B232" s="22" t="s">
        <v>222</v>
      </c>
      <c r="C232" s="168">
        <v>1</v>
      </c>
      <c r="D232" s="169" t="b">
        <v>1</v>
      </c>
      <c r="E232" s="170" t="s">
        <v>1460</v>
      </c>
      <c r="F232" s="171">
        <v>1</v>
      </c>
      <c r="G232" s="171">
        <v>1</v>
      </c>
      <c r="H232" s="171">
        <v>1</v>
      </c>
      <c r="I232" s="171">
        <v>1</v>
      </c>
      <c r="J232" s="171">
        <v>1</v>
      </c>
      <c r="K232" s="171"/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  <c r="AA232" s="171"/>
      <c r="AB232" s="171"/>
      <c r="AC232" s="171"/>
      <c r="AD232" s="171"/>
      <c r="AE232" s="171"/>
      <c r="AF232" s="171"/>
      <c r="AG232" s="171"/>
      <c r="AH232" s="171"/>
      <c r="AI232" s="171"/>
      <c r="AJ232" s="171">
        <v>1</v>
      </c>
      <c r="AK232" s="171">
        <v>1</v>
      </c>
      <c r="AL232" s="171"/>
      <c r="AM232" s="22"/>
      <c r="AN232" s="22">
        <f t="shared" si="3"/>
        <v>7</v>
      </c>
      <c r="AO232" s="171"/>
    </row>
    <row r="233" spans="1:41" ht="15.75" customHeight="1">
      <c r="A233" s="167" t="s">
        <v>225</v>
      </c>
      <c r="B233" s="22" t="s">
        <v>224</v>
      </c>
      <c r="C233" s="168">
        <v>1</v>
      </c>
      <c r="D233" s="169" t="b">
        <v>1</v>
      </c>
      <c r="E233" s="174" t="s">
        <v>1651</v>
      </c>
      <c r="F233" s="171">
        <v>1</v>
      </c>
      <c r="G233" s="171">
        <v>1</v>
      </c>
      <c r="H233" s="171">
        <v>1</v>
      </c>
      <c r="I233" s="171">
        <v>1</v>
      </c>
      <c r="J233" s="171"/>
      <c r="K233" s="171">
        <v>1</v>
      </c>
      <c r="L233" s="171">
        <v>1</v>
      </c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1"/>
      <c r="AH233" s="171"/>
      <c r="AI233" s="171"/>
      <c r="AJ233" s="171"/>
      <c r="AK233" s="171"/>
      <c r="AL233" s="171">
        <v>1</v>
      </c>
      <c r="AM233" s="22"/>
      <c r="AN233" s="22">
        <f t="shared" si="3"/>
        <v>7</v>
      </c>
      <c r="AO233" s="171" t="s">
        <v>1652</v>
      </c>
    </row>
    <row r="234" spans="1:41" ht="15.75" customHeight="1">
      <c r="A234" s="167" t="s">
        <v>239</v>
      </c>
      <c r="B234" s="22" t="s">
        <v>238</v>
      </c>
      <c r="C234" s="168">
        <v>1</v>
      </c>
      <c r="D234" s="169" t="b">
        <v>1</v>
      </c>
      <c r="E234" s="170" t="s">
        <v>1653</v>
      </c>
      <c r="F234" s="171">
        <v>1</v>
      </c>
      <c r="G234" s="171">
        <v>1</v>
      </c>
      <c r="H234" s="171">
        <v>1</v>
      </c>
      <c r="I234" s="171">
        <v>1</v>
      </c>
      <c r="J234" s="171">
        <v>1</v>
      </c>
      <c r="K234" s="171">
        <v>2</v>
      </c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  <c r="AA234" s="171"/>
      <c r="AB234" s="171"/>
      <c r="AC234" s="171"/>
      <c r="AD234" s="171"/>
      <c r="AE234" s="171"/>
      <c r="AF234" s="171"/>
      <c r="AG234" s="171"/>
      <c r="AH234" s="171"/>
      <c r="AI234" s="171"/>
      <c r="AJ234" s="171"/>
      <c r="AK234" s="171"/>
      <c r="AL234" s="171"/>
      <c r="AM234" s="22"/>
      <c r="AN234" s="22">
        <f t="shared" si="3"/>
        <v>7</v>
      </c>
      <c r="AO234" s="171"/>
    </row>
    <row r="235" spans="1:41" ht="15.75" customHeight="1">
      <c r="A235" s="167" t="s">
        <v>243</v>
      </c>
      <c r="B235" s="22" t="s">
        <v>242</v>
      </c>
      <c r="C235" s="168">
        <v>1</v>
      </c>
      <c r="D235" s="169" t="b">
        <v>1</v>
      </c>
      <c r="E235" s="170" t="s">
        <v>1654</v>
      </c>
      <c r="F235" s="171">
        <v>1</v>
      </c>
      <c r="G235" s="171">
        <v>1</v>
      </c>
      <c r="H235" s="171">
        <v>1</v>
      </c>
      <c r="I235" s="171">
        <v>1</v>
      </c>
      <c r="J235" s="171">
        <v>1</v>
      </c>
      <c r="K235" s="171">
        <v>1</v>
      </c>
      <c r="L235" s="171">
        <v>1</v>
      </c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  <c r="AA235" s="171"/>
      <c r="AB235" s="171"/>
      <c r="AC235" s="171"/>
      <c r="AD235" s="171"/>
      <c r="AE235" s="171"/>
      <c r="AF235" s="171"/>
      <c r="AG235" s="171"/>
      <c r="AH235" s="171"/>
      <c r="AI235" s="171"/>
      <c r="AJ235" s="171"/>
      <c r="AK235" s="171"/>
      <c r="AL235" s="171"/>
      <c r="AM235" s="22"/>
      <c r="AN235" s="22">
        <f t="shared" si="3"/>
        <v>7</v>
      </c>
      <c r="AO235" s="171"/>
    </row>
    <row r="236" spans="1:41" ht="15.75" customHeight="1">
      <c r="A236" s="167" t="s">
        <v>247</v>
      </c>
      <c r="B236" s="22" t="s">
        <v>246</v>
      </c>
      <c r="C236" s="168">
        <v>1</v>
      </c>
      <c r="D236" s="169" t="b">
        <v>1</v>
      </c>
      <c r="E236" s="174" t="s">
        <v>1655</v>
      </c>
      <c r="F236" s="171">
        <v>1</v>
      </c>
      <c r="G236" s="171">
        <v>1</v>
      </c>
      <c r="H236" s="171">
        <v>1</v>
      </c>
      <c r="I236" s="171">
        <v>1</v>
      </c>
      <c r="J236" s="171">
        <v>1</v>
      </c>
      <c r="K236" s="171"/>
      <c r="L236" s="171">
        <v>1</v>
      </c>
      <c r="M236" s="171"/>
      <c r="N236" s="171"/>
      <c r="O236" s="171">
        <v>1</v>
      </c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  <c r="AA236" s="171"/>
      <c r="AB236" s="171"/>
      <c r="AC236" s="171"/>
      <c r="AD236" s="171"/>
      <c r="AE236" s="171"/>
      <c r="AF236" s="171"/>
      <c r="AG236" s="171"/>
      <c r="AH236" s="171"/>
      <c r="AI236" s="171"/>
      <c r="AJ236" s="171"/>
      <c r="AK236" s="171"/>
      <c r="AL236" s="171"/>
      <c r="AM236" s="22"/>
      <c r="AN236" s="22">
        <f t="shared" si="3"/>
        <v>7</v>
      </c>
      <c r="AO236" s="171"/>
    </row>
    <row r="237" spans="1:41" ht="15.75" customHeight="1">
      <c r="A237" s="167" t="s">
        <v>251</v>
      </c>
      <c r="B237" s="22" t="s">
        <v>250</v>
      </c>
      <c r="C237" s="168">
        <v>1</v>
      </c>
      <c r="D237" s="169" t="b">
        <v>1</v>
      </c>
      <c r="E237" s="174" t="s">
        <v>1656</v>
      </c>
      <c r="F237" s="171">
        <v>1</v>
      </c>
      <c r="G237" s="171">
        <v>1</v>
      </c>
      <c r="H237" s="171">
        <v>1</v>
      </c>
      <c r="I237" s="171">
        <v>1</v>
      </c>
      <c r="J237" s="171">
        <v>1</v>
      </c>
      <c r="K237" s="171"/>
      <c r="L237" s="171">
        <v>1</v>
      </c>
      <c r="M237" s="171"/>
      <c r="N237" s="171"/>
      <c r="O237" s="171">
        <v>1</v>
      </c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  <c r="AK237" s="171"/>
      <c r="AL237" s="171"/>
      <c r="AM237" s="22"/>
      <c r="AN237" s="22">
        <f t="shared" si="3"/>
        <v>7</v>
      </c>
      <c r="AO237" s="171"/>
    </row>
    <row r="238" spans="1:41" ht="15.75" customHeight="1">
      <c r="A238" s="167" t="s">
        <v>265</v>
      </c>
      <c r="B238" s="22" t="s">
        <v>264</v>
      </c>
      <c r="C238" s="168">
        <v>1</v>
      </c>
      <c r="D238" s="169" t="b">
        <v>1</v>
      </c>
      <c r="E238" s="170" t="s">
        <v>1657</v>
      </c>
      <c r="F238" s="171">
        <v>1</v>
      </c>
      <c r="G238" s="171">
        <v>1</v>
      </c>
      <c r="H238" s="171">
        <v>1</v>
      </c>
      <c r="I238" s="171">
        <v>1</v>
      </c>
      <c r="J238" s="171">
        <v>1</v>
      </c>
      <c r="K238" s="171">
        <v>1</v>
      </c>
      <c r="L238" s="171"/>
      <c r="M238" s="171"/>
      <c r="N238" s="171"/>
      <c r="O238" s="171"/>
      <c r="P238" s="171"/>
      <c r="Q238" s="171"/>
      <c r="R238" s="171"/>
      <c r="S238" s="171"/>
      <c r="T238" s="171">
        <v>1</v>
      </c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  <c r="AG238" s="171"/>
      <c r="AH238" s="171"/>
      <c r="AI238" s="171"/>
      <c r="AJ238" s="171"/>
      <c r="AK238" s="171"/>
      <c r="AL238" s="171"/>
      <c r="AM238" s="22"/>
      <c r="AN238" s="22">
        <f t="shared" si="3"/>
        <v>7</v>
      </c>
      <c r="AO238" s="171"/>
    </row>
    <row r="239" spans="1:41" ht="15.75" customHeight="1">
      <c r="A239" s="167" t="s">
        <v>278</v>
      </c>
      <c r="B239" s="22" t="s">
        <v>277</v>
      </c>
      <c r="C239" s="168">
        <v>1</v>
      </c>
      <c r="D239" s="169" t="b">
        <v>1</v>
      </c>
      <c r="E239" s="170" t="s">
        <v>1658</v>
      </c>
      <c r="F239" s="171">
        <v>1</v>
      </c>
      <c r="G239" s="171">
        <v>1</v>
      </c>
      <c r="H239" s="171">
        <v>1</v>
      </c>
      <c r="I239" s="171">
        <v>1</v>
      </c>
      <c r="J239" s="171">
        <v>1</v>
      </c>
      <c r="K239" s="171">
        <v>1</v>
      </c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  <c r="AG239" s="171"/>
      <c r="AH239" s="171"/>
      <c r="AI239" s="171"/>
      <c r="AJ239" s="171"/>
      <c r="AK239" s="171"/>
      <c r="AL239" s="171">
        <v>1</v>
      </c>
      <c r="AM239" s="22"/>
      <c r="AN239" s="22">
        <f t="shared" si="3"/>
        <v>7</v>
      </c>
      <c r="AO239" s="171" t="s">
        <v>1659</v>
      </c>
    </row>
    <row r="240" spans="1:41" ht="15.75" customHeight="1">
      <c r="A240" s="167" t="s">
        <v>284</v>
      </c>
      <c r="B240" s="22" t="s">
        <v>283</v>
      </c>
      <c r="C240" s="168">
        <v>1</v>
      </c>
      <c r="D240" s="169" t="b">
        <v>1</v>
      </c>
      <c r="E240" s="174" t="s">
        <v>1660</v>
      </c>
      <c r="F240" s="171">
        <v>1</v>
      </c>
      <c r="G240" s="171">
        <v>1</v>
      </c>
      <c r="H240" s="171">
        <v>1</v>
      </c>
      <c r="I240" s="171">
        <v>1</v>
      </c>
      <c r="J240" s="171">
        <v>1</v>
      </c>
      <c r="K240" s="171">
        <v>1</v>
      </c>
      <c r="L240" s="171"/>
      <c r="M240" s="171"/>
      <c r="N240" s="171"/>
      <c r="O240" s="171"/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  <c r="AG240" s="171"/>
      <c r="AH240" s="171"/>
      <c r="AI240" s="171"/>
      <c r="AJ240" s="171"/>
      <c r="AK240" s="171"/>
      <c r="AL240" s="171">
        <v>1</v>
      </c>
      <c r="AM240" s="22"/>
      <c r="AN240" s="22">
        <f t="shared" si="3"/>
        <v>7</v>
      </c>
      <c r="AO240" s="171" t="s">
        <v>1619</v>
      </c>
    </row>
    <row r="241" spans="1:41" ht="15.75" customHeight="1">
      <c r="A241" s="167" t="s">
        <v>288</v>
      </c>
      <c r="B241" s="22" t="s">
        <v>287</v>
      </c>
      <c r="C241" s="168">
        <v>1</v>
      </c>
      <c r="D241" s="169" t="b">
        <v>1</v>
      </c>
      <c r="E241" s="170" t="s">
        <v>1661</v>
      </c>
      <c r="F241" s="171">
        <v>1</v>
      </c>
      <c r="G241" s="171">
        <v>1</v>
      </c>
      <c r="H241" s="171">
        <v>1</v>
      </c>
      <c r="I241" s="171">
        <v>1</v>
      </c>
      <c r="J241" s="171">
        <v>1</v>
      </c>
      <c r="K241" s="171"/>
      <c r="L241" s="171">
        <v>1</v>
      </c>
      <c r="M241" s="171"/>
      <c r="N241" s="171"/>
      <c r="O241" s="171"/>
      <c r="P241" s="171">
        <v>1</v>
      </c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/>
      <c r="AF241" s="171"/>
      <c r="AG241" s="171"/>
      <c r="AH241" s="171"/>
      <c r="AI241" s="171"/>
      <c r="AJ241" s="171"/>
      <c r="AK241" s="171"/>
      <c r="AL241" s="171"/>
      <c r="AM241" s="22"/>
      <c r="AN241" s="22">
        <f t="shared" si="3"/>
        <v>7</v>
      </c>
      <c r="AO241" s="171"/>
    </row>
    <row r="242" spans="1:41" ht="15.75" customHeight="1">
      <c r="A242" s="167" t="s">
        <v>302</v>
      </c>
      <c r="B242" s="22" t="s">
        <v>301</v>
      </c>
      <c r="C242" s="168">
        <v>1</v>
      </c>
      <c r="D242" s="169" t="b">
        <v>1</v>
      </c>
      <c r="E242" s="170" t="s">
        <v>1527</v>
      </c>
      <c r="F242" s="171">
        <v>1</v>
      </c>
      <c r="G242" s="171">
        <v>1</v>
      </c>
      <c r="H242" s="171">
        <v>1</v>
      </c>
      <c r="I242" s="171">
        <v>1</v>
      </c>
      <c r="J242" s="171">
        <v>1</v>
      </c>
      <c r="K242" s="171">
        <v>1</v>
      </c>
      <c r="L242" s="171">
        <v>1</v>
      </c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/>
      <c r="AH242" s="171"/>
      <c r="AI242" s="171"/>
      <c r="AJ242" s="171"/>
      <c r="AK242" s="171"/>
      <c r="AL242" s="171"/>
      <c r="AM242" s="22"/>
      <c r="AN242" s="22">
        <f t="shared" si="3"/>
        <v>7</v>
      </c>
      <c r="AO242" s="171"/>
    </row>
    <row r="243" spans="1:41" ht="15.75" customHeight="1">
      <c r="A243" s="167" t="s">
        <v>316</v>
      </c>
      <c r="B243" s="22" t="s">
        <v>315</v>
      </c>
      <c r="C243" s="168">
        <v>1</v>
      </c>
      <c r="D243" s="169" t="b">
        <v>1</v>
      </c>
      <c r="E243" s="170" t="s">
        <v>1662</v>
      </c>
      <c r="F243" s="171">
        <v>1</v>
      </c>
      <c r="G243" s="171">
        <v>1</v>
      </c>
      <c r="H243" s="171">
        <v>1</v>
      </c>
      <c r="I243" s="171">
        <v>1</v>
      </c>
      <c r="J243" s="171">
        <v>1</v>
      </c>
      <c r="K243" s="171">
        <v>1</v>
      </c>
      <c r="L243" s="171">
        <v>1</v>
      </c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  <c r="AG243" s="171"/>
      <c r="AH243" s="171"/>
      <c r="AI243" s="171"/>
      <c r="AJ243" s="171"/>
      <c r="AK243" s="171"/>
      <c r="AL243" s="171"/>
      <c r="AM243" s="22"/>
      <c r="AN243" s="22">
        <f t="shared" si="3"/>
        <v>7</v>
      </c>
      <c r="AO243" s="171"/>
    </row>
    <row r="244" spans="1:41" ht="15.75" customHeight="1">
      <c r="A244" s="167" t="s">
        <v>318</v>
      </c>
      <c r="B244" s="22" t="s">
        <v>317</v>
      </c>
      <c r="C244" s="168">
        <v>1</v>
      </c>
      <c r="D244" s="169" t="b">
        <v>1</v>
      </c>
      <c r="E244" s="170" t="s">
        <v>1663</v>
      </c>
      <c r="F244" s="171">
        <v>1</v>
      </c>
      <c r="G244" s="171">
        <v>1</v>
      </c>
      <c r="H244" s="171">
        <v>1</v>
      </c>
      <c r="I244" s="171">
        <v>1</v>
      </c>
      <c r="J244" s="171">
        <v>1</v>
      </c>
      <c r="K244" s="171">
        <v>1</v>
      </c>
      <c r="L244" s="171"/>
      <c r="M244" s="171"/>
      <c r="N244" s="171"/>
      <c r="O244" s="171"/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  <c r="AG244" s="171"/>
      <c r="AH244" s="171"/>
      <c r="AI244" s="171"/>
      <c r="AJ244" s="171"/>
      <c r="AK244" s="171"/>
      <c r="AL244" s="171">
        <v>1</v>
      </c>
      <c r="AM244" s="22"/>
      <c r="AN244" s="22">
        <f t="shared" si="3"/>
        <v>7</v>
      </c>
      <c r="AO244" s="171" t="s">
        <v>1664</v>
      </c>
    </row>
    <row r="245" spans="1:41" ht="15.75" customHeight="1">
      <c r="A245" s="167" t="s">
        <v>324</v>
      </c>
      <c r="B245" s="22" t="s">
        <v>323</v>
      </c>
      <c r="C245" s="168">
        <v>1</v>
      </c>
      <c r="D245" s="169" t="b">
        <v>1</v>
      </c>
      <c r="E245" s="170" t="s">
        <v>1665</v>
      </c>
      <c r="F245" s="171">
        <v>1</v>
      </c>
      <c r="G245" s="171">
        <v>1</v>
      </c>
      <c r="H245" s="171">
        <v>1</v>
      </c>
      <c r="I245" s="171">
        <v>1</v>
      </c>
      <c r="J245" s="171">
        <v>1</v>
      </c>
      <c r="K245" s="171"/>
      <c r="L245" s="171">
        <v>1</v>
      </c>
      <c r="M245" s="171"/>
      <c r="N245" s="171"/>
      <c r="O245" s="171"/>
      <c r="P245" s="171"/>
      <c r="Q245" s="171"/>
      <c r="R245" s="171">
        <v>1</v>
      </c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  <c r="AG245" s="171"/>
      <c r="AH245" s="171"/>
      <c r="AI245" s="171"/>
      <c r="AJ245" s="171"/>
      <c r="AK245" s="171"/>
      <c r="AL245" s="171"/>
      <c r="AM245" s="22"/>
      <c r="AN245" s="22">
        <f t="shared" si="3"/>
        <v>7</v>
      </c>
      <c r="AO245" s="171"/>
    </row>
    <row r="246" spans="1:41" ht="15.75" customHeight="1">
      <c r="A246" s="167" t="s">
        <v>358</v>
      </c>
      <c r="B246" s="22" t="s">
        <v>357</v>
      </c>
      <c r="C246" s="168">
        <v>1</v>
      </c>
      <c r="D246" s="169" t="b">
        <v>1</v>
      </c>
      <c r="E246" s="170" t="s">
        <v>1666</v>
      </c>
      <c r="F246" s="171">
        <v>1</v>
      </c>
      <c r="G246" s="171">
        <v>1</v>
      </c>
      <c r="H246" s="171">
        <v>1</v>
      </c>
      <c r="I246" s="171">
        <v>1</v>
      </c>
      <c r="J246" s="171">
        <v>1</v>
      </c>
      <c r="K246" s="171">
        <v>1</v>
      </c>
      <c r="L246" s="171"/>
      <c r="M246" s="171"/>
      <c r="N246" s="171"/>
      <c r="O246" s="171"/>
      <c r="P246" s="171"/>
      <c r="Q246" s="171"/>
      <c r="R246" s="171"/>
      <c r="S246" s="171"/>
      <c r="T246" s="171"/>
      <c r="U246" s="171"/>
      <c r="V246" s="171"/>
      <c r="W246" s="171">
        <v>1</v>
      </c>
      <c r="X246" s="171"/>
      <c r="Y246" s="171"/>
      <c r="Z246" s="171"/>
      <c r="AA246" s="171"/>
      <c r="AB246" s="171"/>
      <c r="AC246" s="171"/>
      <c r="AD246" s="171"/>
      <c r="AE246" s="171"/>
      <c r="AF246" s="171"/>
      <c r="AG246" s="171"/>
      <c r="AH246" s="171"/>
      <c r="AI246" s="171"/>
      <c r="AJ246" s="171"/>
      <c r="AK246" s="171"/>
      <c r="AL246" s="171"/>
      <c r="AM246" s="22"/>
      <c r="AN246" s="22">
        <f t="shared" si="3"/>
        <v>7</v>
      </c>
      <c r="AO246" s="171"/>
    </row>
    <row r="247" spans="1:41" ht="15.75" customHeight="1">
      <c r="A247" s="167" t="s">
        <v>378</v>
      </c>
      <c r="B247" s="22" t="s">
        <v>377</v>
      </c>
      <c r="C247" s="168">
        <v>1</v>
      </c>
      <c r="D247" s="169" t="b">
        <v>1</v>
      </c>
      <c r="E247" s="170" t="s">
        <v>1667</v>
      </c>
      <c r="F247" s="171">
        <v>1</v>
      </c>
      <c r="G247" s="171">
        <v>1</v>
      </c>
      <c r="H247" s="171">
        <v>1</v>
      </c>
      <c r="I247" s="171">
        <v>1</v>
      </c>
      <c r="J247" s="171">
        <v>1</v>
      </c>
      <c r="K247" s="171">
        <v>1</v>
      </c>
      <c r="L247" s="171">
        <v>1</v>
      </c>
      <c r="M247" s="171"/>
      <c r="N247" s="171"/>
      <c r="O247" s="171"/>
      <c r="P247" s="171"/>
      <c r="Q247" s="171"/>
      <c r="R247" s="171"/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  <c r="AG247" s="171"/>
      <c r="AH247" s="171"/>
      <c r="AI247" s="171"/>
      <c r="AJ247" s="171"/>
      <c r="AK247" s="171"/>
      <c r="AL247" s="171"/>
      <c r="AM247" s="22"/>
      <c r="AN247" s="22">
        <f t="shared" si="3"/>
        <v>7</v>
      </c>
      <c r="AO247" s="171"/>
    </row>
    <row r="248" spans="1:41" ht="15.75" customHeight="1">
      <c r="A248" s="167" t="s">
        <v>382</v>
      </c>
      <c r="B248" s="22" t="s">
        <v>381</v>
      </c>
      <c r="C248" s="168">
        <v>1</v>
      </c>
      <c r="D248" s="169" t="b">
        <v>1</v>
      </c>
      <c r="E248" s="170" t="s">
        <v>1668</v>
      </c>
      <c r="F248" s="171">
        <v>1</v>
      </c>
      <c r="G248" s="171">
        <v>1</v>
      </c>
      <c r="H248" s="171">
        <v>1</v>
      </c>
      <c r="I248" s="171">
        <v>1</v>
      </c>
      <c r="J248" s="171">
        <v>1</v>
      </c>
      <c r="K248" s="171"/>
      <c r="L248" s="171"/>
      <c r="M248" s="171">
        <v>1</v>
      </c>
      <c r="N248" s="171"/>
      <c r="O248" s="171"/>
      <c r="P248" s="171"/>
      <c r="Q248" s="171"/>
      <c r="R248" s="171"/>
      <c r="S248" s="171"/>
      <c r="T248" s="171"/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  <c r="AG248" s="171"/>
      <c r="AH248" s="171"/>
      <c r="AI248" s="171"/>
      <c r="AJ248" s="171"/>
      <c r="AK248" s="171"/>
      <c r="AL248" s="171">
        <v>1</v>
      </c>
      <c r="AM248" s="22"/>
      <c r="AN248" s="22">
        <f t="shared" si="3"/>
        <v>7</v>
      </c>
      <c r="AO248" s="171" t="s">
        <v>1486</v>
      </c>
    </row>
    <row r="249" spans="1:41" ht="15.75" customHeight="1">
      <c r="A249" s="167" t="s">
        <v>386</v>
      </c>
      <c r="B249" s="22" t="s">
        <v>385</v>
      </c>
      <c r="C249" s="168">
        <v>1</v>
      </c>
      <c r="D249" s="169" t="b">
        <v>1</v>
      </c>
      <c r="E249" s="170" t="s">
        <v>1669</v>
      </c>
      <c r="F249" s="171">
        <v>1</v>
      </c>
      <c r="G249" s="171">
        <v>1</v>
      </c>
      <c r="H249" s="171">
        <v>1</v>
      </c>
      <c r="I249" s="171">
        <v>1</v>
      </c>
      <c r="J249" s="171">
        <v>1</v>
      </c>
      <c r="K249" s="171">
        <v>1</v>
      </c>
      <c r="L249" s="171">
        <v>1</v>
      </c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  <c r="AG249" s="171"/>
      <c r="AH249" s="171"/>
      <c r="AI249" s="171"/>
      <c r="AJ249" s="171"/>
      <c r="AK249" s="171"/>
      <c r="AL249" s="171"/>
      <c r="AM249" s="22"/>
      <c r="AN249" s="22">
        <f t="shared" si="3"/>
        <v>7</v>
      </c>
      <c r="AO249" s="171"/>
    </row>
    <row r="250" spans="1:41" ht="15.75" customHeight="1">
      <c r="A250" s="167" t="s">
        <v>390</v>
      </c>
      <c r="B250" s="22" t="s">
        <v>389</v>
      </c>
      <c r="C250" s="168">
        <v>1</v>
      </c>
      <c r="D250" s="169" t="b">
        <v>1</v>
      </c>
      <c r="E250" s="170" t="s">
        <v>1670</v>
      </c>
      <c r="F250" s="171">
        <v>1</v>
      </c>
      <c r="G250" s="171">
        <v>1</v>
      </c>
      <c r="H250" s="171">
        <v>1</v>
      </c>
      <c r="I250" s="171">
        <v>1</v>
      </c>
      <c r="J250" s="171">
        <v>1</v>
      </c>
      <c r="K250" s="171">
        <v>2</v>
      </c>
      <c r="L250" s="171"/>
      <c r="M250" s="171"/>
      <c r="N250" s="171"/>
      <c r="O250" s="171"/>
      <c r="P250" s="171"/>
      <c r="Q250" s="171"/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  <c r="AG250" s="171"/>
      <c r="AH250" s="171"/>
      <c r="AI250" s="171"/>
      <c r="AJ250" s="171"/>
      <c r="AK250" s="171"/>
      <c r="AL250" s="171"/>
      <c r="AM250" s="22"/>
      <c r="AN250" s="22">
        <f t="shared" si="3"/>
        <v>7</v>
      </c>
      <c r="AO250" s="171"/>
    </row>
    <row r="251" spans="1:41" ht="15.75" customHeight="1">
      <c r="A251" s="167" t="s">
        <v>410</v>
      </c>
      <c r="B251" s="22" t="s">
        <v>409</v>
      </c>
      <c r="C251" s="168">
        <v>1</v>
      </c>
      <c r="D251" s="169" t="b">
        <v>1</v>
      </c>
      <c r="E251" s="170" t="s">
        <v>1671</v>
      </c>
      <c r="F251" s="171">
        <v>1</v>
      </c>
      <c r="G251" s="171">
        <v>1</v>
      </c>
      <c r="H251" s="171">
        <v>1</v>
      </c>
      <c r="I251" s="171">
        <v>1</v>
      </c>
      <c r="J251" s="171">
        <v>1</v>
      </c>
      <c r="K251" s="171">
        <v>2</v>
      </c>
      <c r="L251" s="171"/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/>
      <c r="AC251" s="171"/>
      <c r="AD251" s="171"/>
      <c r="AE251" s="171"/>
      <c r="AF251" s="171"/>
      <c r="AG251" s="171"/>
      <c r="AH251" s="171"/>
      <c r="AI251" s="171"/>
      <c r="AJ251" s="171"/>
      <c r="AK251" s="171"/>
      <c r="AL251" s="171"/>
      <c r="AM251" s="22"/>
      <c r="AN251" s="22">
        <f t="shared" si="3"/>
        <v>7</v>
      </c>
      <c r="AO251" s="171"/>
    </row>
    <row r="252" spans="1:41" ht="15.75" customHeight="1">
      <c r="A252" s="167" t="s">
        <v>412</v>
      </c>
      <c r="B252" s="22" t="s">
        <v>411</v>
      </c>
      <c r="C252" s="168">
        <v>1</v>
      </c>
      <c r="D252" s="169" t="b">
        <v>1</v>
      </c>
      <c r="E252" s="170" t="s">
        <v>1672</v>
      </c>
      <c r="F252" s="171">
        <v>1</v>
      </c>
      <c r="G252" s="171">
        <v>1</v>
      </c>
      <c r="H252" s="171">
        <v>1</v>
      </c>
      <c r="I252" s="171">
        <v>1</v>
      </c>
      <c r="J252" s="171">
        <v>1</v>
      </c>
      <c r="K252" s="171">
        <v>1</v>
      </c>
      <c r="L252" s="171"/>
      <c r="M252" s="171"/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/>
      <c r="AE252" s="171"/>
      <c r="AF252" s="171"/>
      <c r="AG252" s="171"/>
      <c r="AH252" s="171"/>
      <c r="AI252" s="171"/>
      <c r="AJ252" s="171"/>
      <c r="AK252" s="171"/>
      <c r="AL252" s="171">
        <v>1</v>
      </c>
      <c r="AM252" s="22"/>
      <c r="AN252" s="22">
        <f t="shared" si="3"/>
        <v>7</v>
      </c>
      <c r="AO252" s="171" t="s">
        <v>1413</v>
      </c>
    </row>
    <row r="253" spans="1:41" ht="15.75" customHeight="1">
      <c r="A253" s="167" t="s">
        <v>416</v>
      </c>
      <c r="B253" s="22" t="s">
        <v>415</v>
      </c>
      <c r="C253" s="168">
        <v>1</v>
      </c>
      <c r="D253" s="169" t="b">
        <v>1</v>
      </c>
      <c r="E253" s="170" t="s">
        <v>1673</v>
      </c>
      <c r="F253" s="171">
        <v>1</v>
      </c>
      <c r="G253" s="171">
        <v>1</v>
      </c>
      <c r="H253" s="171">
        <v>1</v>
      </c>
      <c r="I253" s="171">
        <v>1</v>
      </c>
      <c r="J253" s="171">
        <v>1</v>
      </c>
      <c r="K253" s="171"/>
      <c r="L253" s="171"/>
      <c r="M253" s="171"/>
      <c r="N253" s="171"/>
      <c r="O253" s="171"/>
      <c r="P253" s="171">
        <v>1</v>
      </c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  <c r="AG253" s="171"/>
      <c r="AH253" s="171"/>
      <c r="AI253" s="171"/>
      <c r="AJ253" s="171"/>
      <c r="AK253" s="171"/>
      <c r="AL253" s="171">
        <v>1</v>
      </c>
      <c r="AM253" s="22"/>
      <c r="AN253" s="22">
        <f t="shared" si="3"/>
        <v>7</v>
      </c>
      <c r="AO253" s="171" t="s">
        <v>1674</v>
      </c>
    </row>
    <row r="254" spans="1:41" ht="15.75" customHeight="1">
      <c r="A254" s="167" t="s">
        <v>438</v>
      </c>
      <c r="B254" s="22" t="s">
        <v>437</v>
      </c>
      <c r="C254" s="168">
        <v>1</v>
      </c>
      <c r="D254" s="169" t="b">
        <v>1</v>
      </c>
      <c r="E254" s="174" t="s">
        <v>1675</v>
      </c>
      <c r="F254" s="171">
        <v>1</v>
      </c>
      <c r="G254" s="171">
        <v>1</v>
      </c>
      <c r="H254" s="171">
        <v>1</v>
      </c>
      <c r="I254" s="171">
        <v>1</v>
      </c>
      <c r="J254" s="171">
        <v>1</v>
      </c>
      <c r="K254" s="171"/>
      <c r="L254" s="171"/>
      <c r="M254" s="171">
        <v>1</v>
      </c>
      <c r="N254" s="171"/>
      <c r="O254" s="171"/>
      <c r="P254" s="171">
        <v>1</v>
      </c>
      <c r="Q254" s="171"/>
      <c r="R254" s="171"/>
      <c r="S254" s="171"/>
      <c r="T254" s="171"/>
      <c r="U254" s="171"/>
      <c r="V254" s="171"/>
      <c r="W254" s="171"/>
      <c r="X254" s="171"/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171"/>
      <c r="AI254" s="171"/>
      <c r="AJ254" s="171"/>
      <c r="AK254" s="171"/>
      <c r="AL254" s="171"/>
      <c r="AM254" s="22"/>
      <c r="AN254" s="22">
        <f t="shared" si="3"/>
        <v>7</v>
      </c>
      <c r="AO254" s="171"/>
    </row>
    <row r="255" spans="1:41" ht="15.75" customHeight="1">
      <c r="A255" s="167" t="s">
        <v>448</v>
      </c>
      <c r="B255" s="22" t="s">
        <v>447</v>
      </c>
      <c r="C255" s="168">
        <v>1</v>
      </c>
      <c r="D255" s="169" t="b">
        <v>1</v>
      </c>
      <c r="E255" s="170" t="s">
        <v>1676</v>
      </c>
      <c r="F255" s="171">
        <v>1</v>
      </c>
      <c r="G255" s="171">
        <v>1</v>
      </c>
      <c r="H255" s="171">
        <v>1</v>
      </c>
      <c r="I255" s="171">
        <v>1</v>
      </c>
      <c r="J255" s="171">
        <v>1</v>
      </c>
      <c r="K255" s="171"/>
      <c r="L255" s="171">
        <v>1</v>
      </c>
      <c r="M255" s="171"/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  <c r="AG255" s="171"/>
      <c r="AH255" s="171"/>
      <c r="AI255" s="171"/>
      <c r="AJ255" s="171"/>
      <c r="AK255" s="171"/>
      <c r="AL255" s="171">
        <v>1</v>
      </c>
      <c r="AM255" s="22"/>
      <c r="AN255" s="22">
        <f t="shared" si="3"/>
        <v>7</v>
      </c>
      <c r="AO255" s="171" t="s">
        <v>1546</v>
      </c>
    </row>
    <row r="256" spans="1:41" ht="15.75" customHeight="1">
      <c r="A256" s="167" t="s">
        <v>452</v>
      </c>
      <c r="B256" s="22" t="s">
        <v>451</v>
      </c>
      <c r="C256" s="168">
        <v>1</v>
      </c>
      <c r="D256" s="169" t="b">
        <v>1</v>
      </c>
      <c r="E256" s="170" t="s">
        <v>1677</v>
      </c>
      <c r="F256" s="171">
        <v>1</v>
      </c>
      <c r="G256" s="171">
        <v>1</v>
      </c>
      <c r="H256" s="171">
        <v>1</v>
      </c>
      <c r="I256" s="171">
        <v>1</v>
      </c>
      <c r="J256" s="171">
        <v>1</v>
      </c>
      <c r="K256" s="171">
        <v>1</v>
      </c>
      <c r="L256" s="171">
        <v>1</v>
      </c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171"/>
      <c r="AI256" s="171"/>
      <c r="AJ256" s="171"/>
      <c r="AK256" s="171"/>
      <c r="AL256" s="171"/>
      <c r="AM256" s="22"/>
      <c r="AN256" s="22">
        <f t="shared" si="3"/>
        <v>7</v>
      </c>
      <c r="AO256" s="171"/>
    </row>
    <row r="257" spans="1:41" ht="15.75" customHeight="1">
      <c r="A257" s="167" t="s">
        <v>458</v>
      </c>
      <c r="B257" s="22" t="s">
        <v>457</v>
      </c>
      <c r="C257" s="168">
        <v>1</v>
      </c>
      <c r="D257" s="169" t="b">
        <v>1</v>
      </c>
      <c r="E257" s="170" t="s">
        <v>1678</v>
      </c>
      <c r="F257" s="171">
        <v>1</v>
      </c>
      <c r="G257" s="171">
        <v>1</v>
      </c>
      <c r="H257" s="171">
        <v>1</v>
      </c>
      <c r="I257" s="171">
        <v>1</v>
      </c>
      <c r="J257" s="171">
        <v>1</v>
      </c>
      <c r="K257" s="171">
        <v>1</v>
      </c>
      <c r="L257" s="171"/>
      <c r="M257" s="171"/>
      <c r="N257" s="171"/>
      <c r="O257" s="171"/>
      <c r="P257" s="171"/>
      <c r="Q257" s="171"/>
      <c r="R257" s="171"/>
      <c r="S257" s="171"/>
      <c r="T257" s="171">
        <v>1</v>
      </c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  <c r="AG257" s="171"/>
      <c r="AH257" s="171"/>
      <c r="AI257" s="171"/>
      <c r="AJ257" s="171"/>
      <c r="AK257" s="171"/>
      <c r="AL257" s="171"/>
      <c r="AM257" s="22"/>
      <c r="AN257" s="22">
        <f t="shared" si="3"/>
        <v>7</v>
      </c>
      <c r="AO257" s="171"/>
    </row>
    <row r="258" spans="1:41" ht="15.75" customHeight="1">
      <c r="A258" s="167" t="s">
        <v>466</v>
      </c>
      <c r="B258" s="22" t="s">
        <v>465</v>
      </c>
      <c r="C258" s="168">
        <v>1</v>
      </c>
      <c r="D258" s="169" t="b">
        <v>1</v>
      </c>
      <c r="E258" s="170" t="s">
        <v>1679</v>
      </c>
      <c r="F258" s="171">
        <v>1</v>
      </c>
      <c r="G258" s="171">
        <v>1</v>
      </c>
      <c r="H258" s="171">
        <v>1</v>
      </c>
      <c r="I258" s="171">
        <v>1</v>
      </c>
      <c r="J258" s="171">
        <v>1</v>
      </c>
      <c r="K258" s="171">
        <v>2</v>
      </c>
      <c r="L258" s="171"/>
      <c r="M258" s="171"/>
      <c r="N258" s="171"/>
      <c r="O258" s="171"/>
      <c r="P258" s="171"/>
      <c r="Q258" s="171"/>
      <c r="R258" s="171"/>
      <c r="S258" s="171"/>
      <c r="T258" s="171"/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  <c r="AG258" s="171"/>
      <c r="AH258" s="171"/>
      <c r="AI258" s="171"/>
      <c r="AJ258" s="171"/>
      <c r="AK258" s="171"/>
      <c r="AL258" s="171"/>
      <c r="AM258" s="22"/>
      <c r="AN258" s="22">
        <f t="shared" si="3"/>
        <v>7</v>
      </c>
      <c r="AO258" s="171"/>
    </row>
    <row r="259" spans="1:41" ht="15.75" customHeight="1">
      <c r="A259" s="167" t="s">
        <v>468</v>
      </c>
      <c r="B259" s="22" t="s">
        <v>467</v>
      </c>
      <c r="C259" s="168">
        <v>1</v>
      </c>
      <c r="D259" s="169" t="b">
        <v>1</v>
      </c>
      <c r="E259" s="170" t="s">
        <v>1680</v>
      </c>
      <c r="F259" s="171">
        <v>1</v>
      </c>
      <c r="G259" s="171">
        <v>1</v>
      </c>
      <c r="H259" s="171">
        <v>1</v>
      </c>
      <c r="I259" s="171">
        <v>1</v>
      </c>
      <c r="J259" s="171">
        <v>1</v>
      </c>
      <c r="K259" s="171">
        <v>1</v>
      </c>
      <c r="L259" s="171">
        <v>1</v>
      </c>
      <c r="M259" s="171"/>
      <c r="N259" s="171"/>
      <c r="O259" s="171"/>
      <c r="P259" s="171"/>
      <c r="Q259" s="171"/>
      <c r="R259" s="171"/>
      <c r="S259" s="171"/>
      <c r="T259" s="171"/>
      <c r="U259" s="171"/>
      <c r="V259" s="171"/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  <c r="AG259" s="171"/>
      <c r="AH259" s="171"/>
      <c r="AI259" s="171"/>
      <c r="AJ259" s="171"/>
      <c r="AK259" s="171"/>
      <c r="AL259" s="171"/>
      <c r="AM259" s="22"/>
      <c r="AN259" s="22">
        <f t="shared" si="3"/>
        <v>7</v>
      </c>
      <c r="AO259" s="171"/>
    </row>
    <row r="260" spans="1:41" ht="15.75" customHeight="1">
      <c r="A260" s="167" t="s">
        <v>470</v>
      </c>
      <c r="B260" s="22" t="s">
        <v>469</v>
      </c>
      <c r="C260" s="168">
        <v>1</v>
      </c>
      <c r="D260" s="169" t="b">
        <v>1</v>
      </c>
      <c r="E260" s="170" t="s">
        <v>1681</v>
      </c>
      <c r="F260" s="171">
        <v>1</v>
      </c>
      <c r="G260" s="171">
        <v>1</v>
      </c>
      <c r="H260" s="171">
        <v>1</v>
      </c>
      <c r="I260" s="171">
        <v>1</v>
      </c>
      <c r="J260" s="171">
        <v>1</v>
      </c>
      <c r="K260" s="171">
        <v>2</v>
      </c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  <c r="AG260" s="171"/>
      <c r="AH260" s="171"/>
      <c r="AI260" s="171"/>
      <c r="AJ260" s="171"/>
      <c r="AK260" s="171"/>
      <c r="AL260" s="171"/>
      <c r="AM260" s="22"/>
      <c r="AN260" s="22">
        <f t="shared" si="3"/>
        <v>7</v>
      </c>
      <c r="AO260" s="171"/>
    </row>
    <row r="261" spans="1:41" ht="15.75" customHeight="1">
      <c r="A261" s="167" t="s">
        <v>488</v>
      </c>
      <c r="B261" s="22" t="s">
        <v>487</v>
      </c>
      <c r="C261" s="168">
        <v>1</v>
      </c>
      <c r="D261" s="169" t="b">
        <v>1</v>
      </c>
      <c r="E261" s="170" t="s">
        <v>1682</v>
      </c>
      <c r="F261" s="171">
        <v>1</v>
      </c>
      <c r="G261" s="171">
        <v>1</v>
      </c>
      <c r="H261" s="171">
        <v>1</v>
      </c>
      <c r="I261" s="171">
        <v>1</v>
      </c>
      <c r="J261" s="171">
        <v>1</v>
      </c>
      <c r="K261" s="171">
        <v>1</v>
      </c>
      <c r="L261" s="171"/>
      <c r="M261" s="171">
        <v>1</v>
      </c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  <c r="AG261" s="171"/>
      <c r="AH261" s="171"/>
      <c r="AI261" s="171"/>
      <c r="AJ261" s="171"/>
      <c r="AK261" s="171"/>
      <c r="AL261" s="171"/>
      <c r="AM261" s="22"/>
      <c r="AN261" s="22">
        <f t="shared" si="3"/>
        <v>7</v>
      </c>
      <c r="AO261" s="171"/>
    </row>
    <row r="262" spans="1:41" ht="15.75" customHeight="1">
      <c r="A262" s="167" t="s">
        <v>494</v>
      </c>
      <c r="B262" s="22" t="s">
        <v>493</v>
      </c>
      <c r="C262" s="168">
        <v>1</v>
      </c>
      <c r="D262" s="169" t="b">
        <v>1</v>
      </c>
      <c r="E262" s="170" t="s">
        <v>1683</v>
      </c>
      <c r="F262" s="171">
        <v>1</v>
      </c>
      <c r="G262" s="171">
        <v>1</v>
      </c>
      <c r="H262" s="171">
        <v>1</v>
      </c>
      <c r="I262" s="171">
        <v>1</v>
      </c>
      <c r="J262" s="171">
        <v>1</v>
      </c>
      <c r="K262" s="171"/>
      <c r="L262" s="171"/>
      <c r="M262" s="171"/>
      <c r="N262" s="171"/>
      <c r="O262" s="171">
        <v>1</v>
      </c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1"/>
      <c r="AH262" s="171"/>
      <c r="AI262" s="171"/>
      <c r="AJ262" s="171"/>
      <c r="AK262" s="171"/>
      <c r="AL262" s="171">
        <v>1</v>
      </c>
      <c r="AM262" s="22"/>
      <c r="AN262" s="22">
        <f t="shared" si="3"/>
        <v>7</v>
      </c>
      <c r="AO262" s="171" t="s">
        <v>1413</v>
      </c>
    </row>
    <row r="263" spans="1:41" ht="15.75" customHeight="1">
      <c r="A263" s="167" t="s">
        <v>510</v>
      </c>
      <c r="B263" s="22" t="s">
        <v>509</v>
      </c>
      <c r="C263" s="168">
        <v>1</v>
      </c>
      <c r="D263" s="169" t="b">
        <v>1</v>
      </c>
      <c r="E263" s="170" t="s">
        <v>1684</v>
      </c>
      <c r="F263" s="171">
        <v>1</v>
      </c>
      <c r="G263" s="171">
        <v>1</v>
      </c>
      <c r="H263" s="171">
        <v>1</v>
      </c>
      <c r="I263" s="171">
        <v>1</v>
      </c>
      <c r="J263" s="171">
        <v>1</v>
      </c>
      <c r="K263" s="171">
        <v>1</v>
      </c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  <c r="AA263" s="171"/>
      <c r="AB263" s="171"/>
      <c r="AC263" s="171"/>
      <c r="AD263" s="171">
        <v>1</v>
      </c>
      <c r="AE263" s="171"/>
      <c r="AF263" s="171"/>
      <c r="AG263" s="171"/>
      <c r="AH263" s="171"/>
      <c r="AI263" s="171"/>
      <c r="AJ263" s="171"/>
      <c r="AK263" s="171"/>
      <c r="AL263" s="171"/>
      <c r="AM263" s="22"/>
      <c r="AN263" s="22">
        <f t="shared" si="3"/>
        <v>7</v>
      </c>
      <c r="AO263" s="171"/>
    </row>
    <row r="264" spans="1:41" ht="15.75" customHeight="1">
      <c r="A264" s="167" t="s">
        <v>514</v>
      </c>
      <c r="B264" s="22" t="s">
        <v>513</v>
      </c>
      <c r="C264" s="168">
        <v>1</v>
      </c>
      <c r="D264" s="169" t="b">
        <v>1</v>
      </c>
      <c r="E264" s="170" t="s">
        <v>1685</v>
      </c>
      <c r="F264" s="171">
        <v>1</v>
      </c>
      <c r="G264" s="171">
        <v>1</v>
      </c>
      <c r="H264" s="171">
        <v>1</v>
      </c>
      <c r="I264" s="171">
        <v>1</v>
      </c>
      <c r="J264" s="171">
        <v>1</v>
      </c>
      <c r="K264" s="171"/>
      <c r="L264" s="171">
        <v>1</v>
      </c>
      <c r="M264" s="171"/>
      <c r="N264" s="171"/>
      <c r="O264" s="171"/>
      <c r="P264" s="171"/>
      <c r="Q264" s="171"/>
      <c r="R264" s="171"/>
      <c r="S264" s="171"/>
      <c r="T264" s="171"/>
      <c r="U264" s="171"/>
      <c r="V264" s="171">
        <v>1</v>
      </c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  <c r="AG264" s="171"/>
      <c r="AH264" s="171"/>
      <c r="AI264" s="171"/>
      <c r="AJ264" s="171"/>
      <c r="AK264" s="171"/>
      <c r="AL264" s="171"/>
      <c r="AM264" s="22"/>
      <c r="AN264" s="22">
        <f t="shared" si="3"/>
        <v>7</v>
      </c>
      <c r="AO264" s="171"/>
    </row>
    <row r="265" spans="1:41" ht="15.75" customHeight="1">
      <c r="A265" s="167" t="s">
        <v>516</v>
      </c>
      <c r="B265" s="22" t="s">
        <v>515</v>
      </c>
      <c r="C265" s="168">
        <v>1</v>
      </c>
      <c r="D265" s="169" t="b">
        <v>1</v>
      </c>
      <c r="E265" s="170" t="s">
        <v>1686</v>
      </c>
      <c r="F265" s="171">
        <v>1</v>
      </c>
      <c r="G265" s="171">
        <v>1</v>
      </c>
      <c r="H265" s="171">
        <v>1</v>
      </c>
      <c r="I265" s="171">
        <v>1</v>
      </c>
      <c r="J265" s="171">
        <v>1</v>
      </c>
      <c r="K265" s="171"/>
      <c r="L265" s="171"/>
      <c r="M265" s="171">
        <v>1</v>
      </c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  <c r="AG265" s="171"/>
      <c r="AH265" s="171"/>
      <c r="AI265" s="171"/>
      <c r="AJ265" s="171"/>
      <c r="AK265" s="171"/>
      <c r="AL265" s="171">
        <v>1</v>
      </c>
      <c r="AM265" s="22"/>
      <c r="AN265" s="22">
        <f t="shared" si="3"/>
        <v>7</v>
      </c>
      <c r="AO265" s="171" t="s">
        <v>1687</v>
      </c>
    </row>
    <row r="266" spans="1:41" ht="15.75" customHeight="1">
      <c r="A266" s="167" t="s">
        <v>532</v>
      </c>
      <c r="B266" s="22" t="s">
        <v>531</v>
      </c>
      <c r="C266" s="168">
        <v>1</v>
      </c>
      <c r="D266" s="169" t="b">
        <v>1</v>
      </c>
      <c r="E266" s="170" t="s">
        <v>1688</v>
      </c>
      <c r="F266" s="171">
        <v>1</v>
      </c>
      <c r="G266" s="171">
        <v>1</v>
      </c>
      <c r="H266" s="171">
        <v>1</v>
      </c>
      <c r="I266" s="171">
        <v>1</v>
      </c>
      <c r="J266" s="171">
        <v>1</v>
      </c>
      <c r="K266" s="171"/>
      <c r="L266" s="171"/>
      <c r="M266" s="171"/>
      <c r="N266" s="171"/>
      <c r="O266" s="171">
        <v>1</v>
      </c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  <c r="AG266" s="171"/>
      <c r="AH266" s="171">
        <v>1</v>
      </c>
      <c r="AI266" s="171"/>
      <c r="AJ266" s="171"/>
      <c r="AK266" s="171"/>
      <c r="AL266" s="171"/>
      <c r="AM266" s="22"/>
      <c r="AN266" s="22">
        <f t="shared" si="3"/>
        <v>7</v>
      </c>
      <c r="AO266" s="171"/>
    </row>
    <row r="267" spans="1:41" ht="15.75" customHeight="1">
      <c r="A267" s="167" t="s">
        <v>538</v>
      </c>
      <c r="B267" s="22" t="s">
        <v>537</v>
      </c>
      <c r="C267" s="168">
        <v>1</v>
      </c>
      <c r="D267" s="169" t="b">
        <v>1</v>
      </c>
      <c r="E267" s="170" t="s">
        <v>1689</v>
      </c>
      <c r="F267" s="171">
        <v>1</v>
      </c>
      <c r="G267" s="171">
        <v>1</v>
      </c>
      <c r="H267" s="171">
        <v>1</v>
      </c>
      <c r="I267" s="171">
        <v>1</v>
      </c>
      <c r="J267" s="171">
        <v>1</v>
      </c>
      <c r="K267" s="171">
        <v>2</v>
      </c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  <c r="AG267" s="171"/>
      <c r="AH267" s="171"/>
      <c r="AI267" s="171"/>
      <c r="AJ267" s="171"/>
      <c r="AK267" s="171"/>
      <c r="AL267" s="171"/>
      <c r="AM267" s="22"/>
      <c r="AN267" s="22">
        <f t="shared" si="3"/>
        <v>7</v>
      </c>
      <c r="AO267" s="171"/>
    </row>
    <row r="268" spans="1:41" ht="15.75" customHeight="1">
      <c r="A268" s="167" t="s">
        <v>544</v>
      </c>
      <c r="B268" s="22" t="s">
        <v>543</v>
      </c>
      <c r="C268" s="168">
        <v>1</v>
      </c>
      <c r="D268" s="169" t="b">
        <v>1</v>
      </c>
      <c r="E268" s="170" t="s">
        <v>1414</v>
      </c>
      <c r="F268" s="171">
        <v>1</v>
      </c>
      <c r="G268" s="171">
        <v>1</v>
      </c>
      <c r="H268" s="171">
        <v>1</v>
      </c>
      <c r="I268" s="171">
        <v>1</v>
      </c>
      <c r="J268" s="171">
        <v>1</v>
      </c>
      <c r="K268" s="171">
        <v>1</v>
      </c>
      <c r="L268" s="171"/>
      <c r="M268" s="171"/>
      <c r="N268" s="171"/>
      <c r="O268" s="171"/>
      <c r="P268" s="171"/>
      <c r="Q268" s="171"/>
      <c r="R268" s="171">
        <v>1</v>
      </c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  <c r="AG268" s="171"/>
      <c r="AH268" s="171"/>
      <c r="AI268" s="171"/>
      <c r="AJ268" s="171"/>
      <c r="AK268" s="171"/>
      <c r="AL268" s="171"/>
      <c r="AM268" s="22"/>
      <c r="AN268" s="22">
        <f t="shared" si="3"/>
        <v>7</v>
      </c>
      <c r="AO268" s="171"/>
    </row>
    <row r="269" spans="1:41" ht="15.75" customHeight="1">
      <c r="A269" s="167" t="s">
        <v>546</v>
      </c>
      <c r="B269" s="22" t="s">
        <v>545</v>
      </c>
      <c r="C269" s="168">
        <v>1</v>
      </c>
      <c r="D269" s="169" t="b">
        <v>1</v>
      </c>
      <c r="E269" s="170" t="s">
        <v>1690</v>
      </c>
      <c r="F269" s="171">
        <v>1</v>
      </c>
      <c r="G269" s="171">
        <v>1</v>
      </c>
      <c r="H269" s="171">
        <v>1</v>
      </c>
      <c r="I269" s="171">
        <v>1</v>
      </c>
      <c r="J269" s="171">
        <v>1</v>
      </c>
      <c r="K269" s="171"/>
      <c r="L269" s="171"/>
      <c r="M269" s="171"/>
      <c r="N269" s="171"/>
      <c r="O269" s="171"/>
      <c r="P269" s="171"/>
      <c r="Q269" s="171"/>
      <c r="R269" s="171"/>
      <c r="S269" s="171"/>
      <c r="T269" s="171"/>
      <c r="U269" s="171">
        <v>1</v>
      </c>
      <c r="V269" s="171"/>
      <c r="W269" s="171">
        <v>1</v>
      </c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1"/>
      <c r="AH269" s="171"/>
      <c r="AI269" s="171"/>
      <c r="AJ269" s="171"/>
      <c r="AK269" s="171"/>
      <c r="AL269" s="171"/>
      <c r="AM269" s="22"/>
      <c r="AN269" s="22">
        <f t="shared" si="3"/>
        <v>7</v>
      </c>
      <c r="AO269" s="171"/>
    </row>
    <row r="270" spans="1:41" ht="15.75" customHeight="1">
      <c r="A270" s="167" t="s">
        <v>562</v>
      </c>
      <c r="B270" s="22" t="s">
        <v>561</v>
      </c>
      <c r="C270" s="168">
        <v>1</v>
      </c>
      <c r="D270" s="169" t="b">
        <v>1</v>
      </c>
      <c r="E270" s="170" t="s">
        <v>1691</v>
      </c>
      <c r="F270" s="171">
        <v>1</v>
      </c>
      <c r="G270" s="171">
        <v>1</v>
      </c>
      <c r="H270" s="171">
        <v>1</v>
      </c>
      <c r="I270" s="171">
        <v>1</v>
      </c>
      <c r="J270" s="171">
        <v>1</v>
      </c>
      <c r="K270" s="171"/>
      <c r="L270" s="171">
        <v>1</v>
      </c>
      <c r="M270" s="171">
        <v>1</v>
      </c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/>
      <c r="AD270" s="171"/>
      <c r="AE270" s="171"/>
      <c r="AF270" s="171"/>
      <c r="AG270" s="171"/>
      <c r="AH270" s="171"/>
      <c r="AI270" s="171"/>
      <c r="AJ270" s="171"/>
      <c r="AK270" s="171"/>
      <c r="AL270" s="171"/>
      <c r="AM270" s="22"/>
      <c r="AN270" s="22">
        <f t="shared" si="3"/>
        <v>7</v>
      </c>
      <c r="AO270" s="171"/>
    </row>
    <row r="271" spans="1:41" ht="15.75" customHeight="1">
      <c r="A271" s="167" t="s">
        <v>572</v>
      </c>
      <c r="B271" s="22" t="s">
        <v>571</v>
      </c>
      <c r="C271" s="168">
        <v>1</v>
      </c>
      <c r="D271" s="169" t="b">
        <v>1</v>
      </c>
      <c r="E271" s="170" t="s">
        <v>1692</v>
      </c>
      <c r="F271" s="171">
        <v>1</v>
      </c>
      <c r="G271" s="171">
        <v>1</v>
      </c>
      <c r="H271" s="171">
        <v>1</v>
      </c>
      <c r="I271" s="171">
        <v>1</v>
      </c>
      <c r="J271" s="171">
        <v>1</v>
      </c>
      <c r="K271" s="171"/>
      <c r="L271" s="171"/>
      <c r="M271" s="171">
        <v>1</v>
      </c>
      <c r="N271" s="171"/>
      <c r="O271" s="171"/>
      <c r="P271" s="171"/>
      <c r="Q271" s="171"/>
      <c r="R271" s="171">
        <v>1</v>
      </c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  <c r="AG271" s="171"/>
      <c r="AH271" s="171"/>
      <c r="AI271" s="171"/>
      <c r="AJ271" s="171"/>
      <c r="AK271" s="171"/>
      <c r="AL271" s="171"/>
      <c r="AM271" s="22"/>
      <c r="AN271" s="22">
        <f t="shared" si="3"/>
        <v>7</v>
      </c>
      <c r="AO271" s="171"/>
    </row>
    <row r="272" spans="1:41" ht="15.75" customHeight="1">
      <c r="A272" s="167" t="s">
        <v>576</v>
      </c>
      <c r="B272" s="22" t="s">
        <v>575</v>
      </c>
      <c r="C272" s="168">
        <v>1</v>
      </c>
      <c r="D272" s="169" t="b">
        <v>1</v>
      </c>
      <c r="E272" s="170" t="s">
        <v>1693</v>
      </c>
      <c r="F272" s="171">
        <v>1</v>
      </c>
      <c r="G272" s="171">
        <v>1</v>
      </c>
      <c r="H272" s="171">
        <v>1</v>
      </c>
      <c r="I272" s="171">
        <v>1</v>
      </c>
      <c r="J272" s="171">
        <v>1</v>
      </c>
      <c r="K272" s="171"/>
      <c r="L272" s="171"/>
      <c r="M272" s="171">
        <v>1</v>
      </c>
      <c r="N272" s="171"/>
      <c r="O272" s="171"/>
      <c r="P272" s="171"/>
      <c r="Q272" s="171"/>
      <c r="R272" s="171">
        <v>1</v>
      </c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  <c r="AG272" s="171"/>
      <c r="AH272" s="171"/>
      <c r="AI272" s="171"/>
      <c r="AJ272" s="171"/>
      <c r="AK272" s="171"/>
      <c r="AL272" s="171"/>
      <c r="AM272" s="22"/>
      <c r="AN272" s="22">
        <f t="shared" si="3"/>
        <v>7</v>
      </c>
      <c r="AO272" s="171"/>
    </row>
    <row r="273" spans="1:41" ht="15.75" customHeight="1">
      <c r="A273" s="167" t="s">
        <v>594</v>
      </c>
      <c r="B273" s="22" t="s">
        <v>593</v>
      </c>
      <c r="C273" s="168">
        <v>1</v>
      </c>
      <c r="D273" s="169" t="b">
        <v>1</v>
      </c>
      <c r="E273" s="170" t="s">
        <v>1694</v>
      </c>
      <c r="F273" s="171">
        <v>1</v>
      </c>
      <c r="G273" s="171">
        <v>1</v>
      </c>
      <c r="H273" s="171">
        <v>1</v>
      </c>
      <c r="I273" s="171">
        <v>1</v>
      </c>
      <c r="J273" s="171">
        <v>1</v>
      </c>
      <c r="K273" s="171"/>
      <c r="L273" s="171">
        <v>1</v>
      </c>
      <c r="M273" s="171"/>
      <c r="N273" s="171"/>
      <c r="O273" s="171"/>
      <c r="P273" s="171"/>
      <c r="Q273" s="171"/>
      <c r="R273" s="171"/>
      <c r="S273" s="171"/>
      <c r="T273" s="171"/>
      <c r="U273" s="171"/>
      <c r="V273" s="171">
        <v>1</v>
      </c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  <c r="AG273" s="171"/>
      <c r="AH273" s="171"/>
      <c r="AI273" s="171"/>
      <c r="AJ273" s="171"/>
      <c r="AK273" s="171"/>
      <c r="AL273" s="171"/>
      <c r="AM273" s="22"/>
      <c r="AN273" s="22">
        <f t="shared" si="3"/>
        <v>7</v>
      </c>
      <c r="AO273" s="171"/>
    </row>
    <row r="274" spans="1:41" ht="15.75" customHeight="1">
      <c r="A274" s="167" t="s">
        <v>598</v>
      </c>
      <c r="B274" s="22" t="s">
        <v>597</v>
      </c>
      <c r="C274" s="168">
        <v>1</v>
      </c>
      <c r="D274" s="169" t="b">
        <v>1</v>
      </c>
      <c r="E274" s="170" t="s">
        <v>1695</v>
      </c>
      <c r="F274" s="171">
        <v>1</v>
      </c>
      <c r="G274" s="171">
        <v>1</v>
      </c>
      <c r="H274" s="171">
        <v>1</v>
      </c>
      <c r="I274" s="171">
        <v>1</v>
      </c>
      <c r="J274" s="171">
        <v>1</v>
      </c>
      <c r="K274" s="171">
        <v>2</v>
      </c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  <c r="AG274" s="171"/>
      <c r="AH274" s="171"/>
      <c r="AI274" s="171"/>
      <c r="AJ274" s="171"/>
      <c r="AK274" s="171"/>
      <c r="AL274" s="171"/>
      <c r="AM274" s="22"/>
      <c r="AN274" s="22">
        <f t="shared" si="3"/>
        <v>7</v>
      </c>
      <c r="AO274" s="171"/>
    </row>
    <row r="275" spans="1:41" ht="15.75" customHeight="1">
      <c r="A275" s="167" t="s">
        <v>620</v>
      </c>
      <c r="B275" s="22" t="s">
        <v>619</v>
      </c>
      <c r="C275" s="168">
        <v>1</v>
      </c>
      <c r="D275" s="169" t="b">
        <v>1</v>
      </c>
      <c r="E275" s="170" t="s">
        <v>1696</v>
      </c>
      <c r="F275" s="171">
        <v>1</v>
      </c>
      <c r="G275" s="171">
        <v>1</v>
      </c>
      <c r="H275" s="171">
        <v>1</v>
      </c>
      <c r="I275" s="171">
        <v>1</v>
      </c>
      <c r="J275" s="171">
        <v>1</v>
      </c>
      <c r="K275" s="171">
        <v>1</v>
      </c>
      <c r="L275" s="171">
        <v>1</v>
      </c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171"/>
      <c r="AI275" s="171"/>
      <c r="AJ275" s="171"/>
      <c r="AK275" s="171"/>
      <c r="AL275" s="171"/>
      <c r="AM275" s="22"/>
      <c r="AN275" s="22">
        <f t="shared" si="3"/>
        <v>7</v>
      </c>
      <c r="AO275" s="171"/>
    </row>
    <row r="276" spans="1:41" ht="15.75" customHeight="1">
      <c r="A276" s="167" t="s">
        <v>622</v>
      </c>
      <c r="B276" s="22" t="s">
        <v>621</v>
      </c>
      <c r="C276" s="168">
        <v>1</v>
      </c>
      <c r="D276" s="169" t="b">
        <v>1</v>
      </c>
      <c r="E276" s="170" t="s">
        <v>1697</v>
      </c>
      <c r="F276" s="171">
        <v>1</v>
      </c>
      <c r="G276" s="171">
        <v>1</v>
      </c>
      <c r="H276" s="171">
        <v>1</v>
      </c>
      <c r="I276" s="171">
        <v>1</v>
      </c>
      <c r="J276" s="171">
        <v>1</v>
      </c>
      <c r="K276" s="171">
        <v>1</v>
      </c>
      <c r="L276" s="171"/>
      <c r="M276" s="171">
        <v>1</v>
      </c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  <c r="AG276" s="171"/>
      <c r="AH276" s="171"/>
      <c r="AI276" s="171"/>
      <c r="AJ276" s="171"/>
      <c r="AK276" s="171"/>
      <c r="AL276" s="171"/>
      <c r="AM276" s="22"/>
      <c r="AN276" s="22">
        <f t="shared" si="3"/>
        <v>7</v>
      </c>
      <c r="AO276" s="171"/>
    </row>
    <row r="277" spans="1:41" ht="15.75" customHeight="1">
      <c r="A277" s="167" t="s">
        <v>624</v>
      </c>
      <c r="B277" s="22" t="s">
        <v>623</v>
      </c>
      <c r="C277" s="168">
        <v>1</v>
      </c>
      <c r="D277" s="169" t="b">
        <v>1</v>
      </c>
      <c r="E277" s="170" t="s">
        <v>1698</v>
      </c>
      <c r="F277" s="171">
        <v>1</v>
      </c>
      <c r="G277" s="171">
        <v>1</v>
      </c>
      <c r="H277" s="171">
        <v>1</v>
      </c>
      <c r="I277" s="171">
        <v>1</v>
      </c>
      <c r="J277" s="171"/>
      <c r="K277" s="171">
        <v>2</v>
      </c>
      <c r="L277" s="171"/>
      <c r="M277" s="171">
        <v>1</v>
      </c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1"/>
      <c r="AH277" s="171"/>
      <c r="AI277" s="171"/>
      <c r="AJ277" s="171"/>
      <c r="AK277" s="171"/>
      <c r="AL277" s="171"/>
      <c r="AM277" s="22"/>
      <c r="AN277" s="22">
        <f t="shared" si="3"/>
        <v>7</v>
      </c>
      <c r="AO277" s="171"/>
    </row>
    <row r="278" spans="1:41" ht="15.75" customHeight="1">
      <c r="A278" s="167" t="s">
        <v>626</v>
      </c>
      <c r="B278" s="22" t="s">
        <v>625</v>
      </c>
      <c r="C278" s="168">
        <v>1</v>
      </c>
      <c r="D278" s="169" t="b">
        <v>1</v>
      </c>
      <c r="E278" s="170" t="s">
        <v>1699</v>
      </c>
      <c r="F278" s="171">
        <v>1</v>
      </c>
      <c r="G278" s="171">
        <v>1</v>
      </c>
      <c r="H278" s="171">
        <v>1</v>
      </c>
      <c r="I278" s="171">
        <v>1</v>
      </c>
      <c r="J278" s="171">
        <v>1</v>
      </c>
      <c r="K278" s="171">
        <v>1</v>
      </c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  <c r="AG278" s="171"/>
      <c r="AH278" s="171"/>
      <c r="AI278" s="171"/>
      <c r="AJ278" s="171"/>
      <c r="AK278" s="171"/>
      <c r="AL278" s="171">
        <v>1</v>
      </c>
      <c r="AM278" s="22"/>
      <c r="AN278" s="22">
        <f t="shared" si="3"/>
        <v>7</v>
      </c>
      <c r="AO278" s="171" t="s">
        <v>1635</v>
      </c>
    </row>
    <row r="279" spans="1:41" ht="15.75" customHeight="1">
      <c r="A279" s="167" t="s">
        <v>634</v>
      </c>
      <c r="B279" s="22" t="s">
        <v>633</v>
      </c>
      <c r="C279" s="168">
        <v>1</v>
      </c>
      <c r="D279" s="169" t="b">
        <v>1</v>
      </c>
      <c r="E279" s="170" t="s">
        <v>1700</v>
      </c>
      <c r="F279" s="171">
        <v>1</v>
      </c>
      <c r="G279" s="171">
        <v>1</v>
      </c>
      <c r="H279" s="171"/>
      <c r="I279" s="171">
        <v>1</v>
      </c>
      <c r="J279" s="171">
        <v>1</v>
      </c>
      <c r="K279" s="171">
        <v>1</v>
      </c>
      <c r="L279" s="171">
        <v>1</v>
      </c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  <c r="AG279" s="171"/>
      <c r="AH279" s="171"/>
      <c r="AI279" s="171"/>
      <c r="AJ279" s="171"/>
      <c r="AK279" s="171"/>
      <c r="AL279" s="171">
        <v>1</v>
      </c>
      <c r="AM279" s="22"/>
      <c r="AN279" s="22">
        <f t="shared" si="3"/>
        <v>7</v>
      </c>
      <c r="AO279" s="171" t="s">
        <v>1419</v>
      </c>
    </row>
    <row r="280" spans="1:41" ht="15.75" customHeight="1">
      <c r="A280" s="167" t="s">
        <v>636</v>
      </c>
      <c r="B280" s="22" t="s">
        <v>635</v>
      </c>
      <c r="C280" s="168">
        <v>1</v>
      </c>
      <c r="D280" s="169" t="b">
        <v>1</v>
      </c>
      <c r="E280" s="170" t="s">
        <v>1701</v>
      </c>
      <c r="F280" s="171">
        <v>1</v>
      </c>
      <c r="G280" s="171">
        <v>1</v>
      </c>
      <c r="H280" s="171">
        <v>1</v>
      </c>
      <c r="I280" s="171">
        <v>1</v>
      </c>
      <c r="J280" s="171">
        <v>1</v>
      </c>
      <c r="K280" s="171"/>
      <c r="L280" s="171">
        <v>1</v>
      </c>
      <c r="M280" s="171">
        <v>1</v>
      </c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  <c r="AG280" s="171"/>
      <c r="AH280" s="171"/>
      <c r="AI280" s="171"/>
      <c r="AJ280" s="171"/>
      <c r="AK280" s="171"/>
      <c r="AL280" s="171"/>
      <c r="AM280" s="22"/>
      <c r="AN280" s="22">
        <f t="shared" si="3"/>
        <v>7</v>
      </c>
      <c r="AO280" s="171"/>
    </row>
    <row r="281" spans="1:41" ht="15.75" customHeight="1">
      <c r="A281" s="167" t="s">
        <v>646</v>
      </c>
      <c r="B281" s="22" t="s">
        <v>645</v>
      </c>
      <c r="C281" s="168">
        <v>1</v>
      </c>
      <c r="D281" s="169" t="b">
        <v>1</v>
      </c>
      <c r="E281" s="174" t="s">
        <v>1702</v>
      </c>
      <c r="F281" s="171">
        <v>1</v>
      </c>
      <c r="G281" s="171">
        <v>1</v>
      </c>
      <c r="H281" s="171">
        <v>1</v>
      </c>
      <c r="I281" s="171">
        <v>1</v>
      </c>
      <c r="J281" s="171">
        <v>1</v>
      </c>
      <c r="K281" s="171">
        <v>1</v>
      </c>
      <c r="L281" s="171"/>
      <c r="M281" s="171">
        <v>1</v>
      </c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  <c r="AG281" s="171"/>
      <c r="AH281" s="171"/>
      <c r="AI281" s="171"/>
      <c r="AJ281" s="171"/>
      <c r="AK281" s="171"/>
      <c r="AL281" s="171"/>
      <c r="AM281" s="22"/>
      <c r="AN281" s="22">
        <f t="shared" si="3"/>
        <v>7</v>
      </c>
      <c r="AO281" s="171"/>
    </row>
    <row r="282" spans="1:41" ht="15.75" customHeight="1">
      <c r="A282" s="167" t="s">
        <v>648</v>
      </c>
      <c r="B282" s="22" t="s">
        <v>647</v>
      </c>
      <c r="C282" s="168">
        <v>1</v>
      </c>
      <c r="D282" s="169" t="b">
        <v>1</v>
      </c>
      <c r="E282" s="174" t="s">
        <v>1703</v>
      </c>
      <c r="F282" s="171">
        <v>1</v>
      </c>
      <c r="G282" s="171">
        <v>1</v>
      </c>
      <c r="H282" s="171">
        <v>1</v>
      </c>
      <c r="I282" s="171">
        <v>1</v>
      </c>
      <c r="J282" s="171">
        <v>1</v>
      </c>
      <c r="K282" s="171"/>
      <c r="L282" s="171"/>
      <c r="M282" s="171">
        <v>1</v>
      </c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  <c r="AG282" s="171"/>
      <c r="AH282" s="171"/>
      <c r="AI282" s="171">
        <v>1</v>
      </c>
      <c r="AJ282" s="171"/>
      <c r="AK282" s="171"/>
      <c r="AL282" s="171"/>
      <c r="AM282" s="22"/>
      <c r="AN282" s="22">
        <f t="shared" si="3"/>
        <v>7</v>
      </c>
      <c r="AO282" s="171"/>
    </row>
    <row r="283" spans="1:41" ht="15.75" customHeight="1">
      <c r="A283" s="167" t="s">
        <v>650</v>
      </c>
      <c r="B283" s="22" t="s">
        <v>649</v>
      </c>
      <c r="C283" s="168">
        <v>1</v>
      </c>
      <c r="D283" s="169" t="b">
        <v>1</v>
      </c>
      <c r="E283" s="170" t="s">
        <v>1704</v>
      </c>
      <c r="F283" s="171">
        <v>1</v>
      </c>
      <c r="G283" s="171">
        <v>1</v>
      </c>
      <c r="H283" s="171">
        <v>1</v>
      </c>
      <c r="I283" s="171">
        <v>1</v>
      </c>
      <c r="J283" s="171">
        <v>1</v>
      </c>
      <c r="K283" s="171">
        <v>2</v>
      </c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  <c r="AG283" s="171"/>
      <c r="AH283" s="171"/>
      <c r="AI283" s="171"/>
      <c r="AJ283" s="171"/>
      <c r="AK283" s="171"/>
      <c r="AL283" s="171"/>
      <c r="AM283" s="22"/>
      <c r="AN283" s="22">
        <f t="shared" si="3"/>
        <v>7</v>
      </c>
      <c r="AO283" s="171"/>
    </row>
    <row r="284" spans="1:41" ht="15.75" customHeight="1">
      <c r="A284" s="167" t="s">
        <v>652</v>
      </c>
      <c r="B284" s="22" t="s">
        <v>651</v>
      </c>
      <c r="C284" s="168">
        <v>1</v>
      </c>
      <c r="D284" s="169" t="b">
        <v>1</v>
      </c>
      <c r="E284" s="170" t="s">
        <v>1705</v>
      </c>
      <c r="F284" s="171">
        <v>1</v>
      </c>
      <c r="G284" s="171">
        <v>1</v>
      </c>
      <c r="H284" s="171">
        <v>1</v>
      </c>
      <c r="I284" s="171">
        <v>1</v>
      </c>
      <c r="J284" s="171">
        <v>1</v>
      </c>
      <c r="K284" s="171">
        <v>1</v>
      </c>
      <c r="L284" s="171">
        <v>1</v>
      </c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  <c r="AG284" s="171"/>
      <c r="AH284" s="171"/>
      <c r="AI284" s="171"/>
      <c r="AJ284" s="171"/>
      <c r="AK284" s="171"/>
      <c r="AL284" s="171"/>
      <c r="AM284" s="22"/>
      <c r="AN284" s="22">
        <f t="shared" si="3"/>
        <v>7</v>
      </c>
      <c r="AO284" s="171"/>
    </row>
    <row r="285" spans="1:41" ht="15.75" customHeight="1">
      <c r="A285" s="167" t="s">
        <v>662</v>
      </c>
      <c r="B285" s="22" t="s">
        <v>661</v>
      </c>
      <c r="C285" s="168">
        <v>1</v>
      </c>
      <c r="D285" s="169" t="b">
        <v>1</v>
      </c>
      <c r="E285" s="170" t="s">
        <v>1706</v>
      </c>
      <c r="F285" s="171">
        <v>1</v>
      </c>
      <c r="G285" s="171">
        <v>1</v>
      </c>
      <c r="H285" s="171">
        <v>1</v>
      </c>
      <c r="I285" s="171">
        <v>1</v>
      </c>
      <c r="J285" s="171">
        <v>1</v>
      </c>
      <c r="K285" s="171">
        <v>1</v>
      </c>
      <c r="L285" s="171">
        <v>1</v>
      </c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  <c r="AA285" s="171"/>
      <c r="AB285" s="171"/>
      <c r="AC285" s="171"/>
      <c r="AD285" s="171"/>
      <c r="AE285" s="171"/>
      <c r="AF285" s="171"/>
      <c r="AG285" s="171"/>
      <c r="AH285" s="171"/>
      <c r="AI285" s="171"/>
      <c r="AJ285" s="171"/>
      <c r="AK285" s="171"/>
      <c r="AL285" s="171"/>
      <c r="AM285" s="22"/>
      <c r="AN285" s="22">
        <f t="shared" si="3"/>
        <v>7</v>
      </c>
      <c r="AO285" s="171"/>
    </row>
    <row r="286" spans="1:41" ht="15.75" customHeight="1">
      <c r="A286" s="167" t="s">
        <v>670</v>
      </c>
      <c r="B286" s="22" t="s">
        <v>669</v>
      </c>
      <c r="C286" s="168">
        <v>1</v>
      </c>
      <c r="D286" s="169" t="b">
        <v>1</v>
      </c>
      <c r="E286" s="170" t="s">
        <v>1707</v>
      </c>
      <c r="F286" s="171">
        <v>1</v>
      </c>
      <c r="G286" s="171">
        <v>1</v>
      </c>
      <c r="H286" s="171">
        <v>1</v>
      </c>
      <c r="I286" s="171">
        <v>1</v>
      </c>
      <c r="J286" s="171">
        <v>1</v>
      </c>
      <c r="K286" s="171"/>
      <c r="L286" s="171">
        <v>1</v>
      </c>
      <c r="M286" s="171"/>
      <c r="N286" s="171"/>
      <c r="O286" s="171"/>
      <c r="P286" s="171"/>
      <c r="Q286" s="171"/>
      <c r="R286" s="171"/>
      <c r="S286" s="171"/>
      <c r="T286" s="171"/>
      <c r="U286" s="171"/>
      <c r="V286" s="171">
        <v>1</v>
      </c>
      <c r="W286" s="171"/>
      <c r="X286" s="171"/>
      <c r="Y286" s="171"/>
      <c r="Z286" s="171"/>
      <c r="AA286" s="171"/>
      <c r="AB286" s="171"/>
      <c r="AC286" s="171"/>
      <c r="AD286" s="171"/>
      <c r="AE286" s="171"/>
      <c r="AF286" s="171"/>
      <c r="AG286" s="171"/>
      <c r="AH286" s="171"/>
      <c r="AI286" s="171"/>
      <c r="AJ286" s="171"/>
      <c r="AK286" s="171"/>
      <c r="AL286" s="171"/>
      <c r="AM286" s="22"/>
      <c r="AN286" s="22">
        <f t="shared" si="3"/>
        <v>7</v>
      </c>
      <c r="AO286" s="171"/>
    </row>
    <row r="287" spans="1:41" ht="15.75" customHeight="1">
      <c r="A287" s="167" t="s">
        <v>674</v>
      </c>
      <c r="B287" s="22" t="s">
        <v>673</v>
      </c>
      <c r="C287" s="168">
        <v>1</v>
      </c>
      <c r="D287" s="169" t="b">
        <v>1</v>
      </c>
      <c r="E287" s="170" t="s">
        <v>1708</v>
      </c>
      <c r="F287" s="171">
        <v>1</v>
      </c>
      <c r="G287" s="171">
        <v>1</v>
      </c>
      <c r="H287" s="171">
        <v>1</v>
      </c>
      <c r="I287" s="171">
        <v>1</v>
      </c>
      <c r="J287" s="171">
        <v>1</v>
      </c>
      <c r="K287" s="171"/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>
        <v>1</v>
      </c>
      <c r="X287" s="171"/>
      <c r="Y287" s="171"/>
      <c r="Z287" s="171"/>
      <c r="AA287" s="171"/>
      <c r="AB287" s="171"/>
      <c r="AC287" s="171"/>
      <c r="AD287" s="171"/>
      <c r="AE287" s="171"/>
      <c r="AF287" s="171"/>
      <c r="AG287" s="171"/>
      <c r="AH287" s="171"/>
      <c r="AI287" s="171"/>
      <c r="AJ287" s="171"/>
      <c r="AK287" s="171"/>
      <c r="AL287" s="171">
        <v>1</v>
      </c>
      <c r="AM287" s="22"/>
      <c r="AN287" s="22">
        <f t="shared" si="3"/>
        <v>7</v>
      </c>
      <c r="AO287" s="171" t="s">
        <v>1396</v>
      </c>
    </row>
    <row r="288" spans="1:41" ht="15.75" customHeight="1">
      <c r="A288" s="167" t="s">
        <v>676</v>
      </c>
      <c r="B288" s="181" t="s">
        <v>675</v>
      </c>
      <c r="C288" s="168">
        <v>1</v>
      </c>
      <c r="D288" s="169" t="b">
        <v>1</v>
      </c>
      <c r="E288" s="170" t="s">
        <v>1709</v>
      </c>
      <c r="F288" s="171">
        <v>1</v>
      </c>
      <c r="G288" s="171">
        <v>1</v>
      </c>
      <c r="H288" s="171">
        <v>1</v>
      </c>
      <c r="I288" s="171">
        <v>1</v>
      </c>
      <c r="J288" s="171">
        <v>1</v>
      </c>
      <c r="K288" s="171"/>
      <c r="L288" s="171"/>
      <c r="M288" s="171">
        <v>1</v>
      </c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  <c r="AG288" s="171"/>
      <c r="AH288" s="171"/>
      <c r="AI288" s="171"/>
      <c r="AJ288" s="171"/>
      <c r="AK288" s="171"/>
      <c r="AL288" s="171">
        <v>1</v>
      </c>
      <c r="AM288" s="22"/>
      <c r="AN288" s="22">
        <f t="shared" si="3"/>
        <v>7</v>
      </c>
      <c r="AO288" s="171" t="s">
        <v>1396</v>
      </c>
    </row>
    <row r="289" spans="1:41" ht="15.75" customHeight="1">
      <c r="A289" s="167" t="s">
        <v>680</v>
      </c>
      <c r="B289" s="22" t="s">
        <v>679</v>
      </c>
      <c r="C289" s="168">
        <v>1</v>
      </c>
      <c r="D289" s="169" t="b">
        <v>1</v>
      </c>
      <c r="E289" s="170" t="s">
        <v>1710</v>
      </c>
      <c r="F289" s="171">
        <v>1</v>
      </c>
      <c r="G289" s="171">
        <v>1</v>
      </c>
      <c r="H289" s="171">
        <v>1</v>
      </c>
      <c r="I289" s="171">
        <v>1</v>
      </c>
      <c r="J289" s="171">
        <v>1</v>
      </c>
      <c r="K289" s="171"/>
      <c r="L289" s="171"/>
      <c r="M289" s="171"/>
      <c r="N289" s="171"/>
      <c r="O289" s="171"/>
      <c r="P289" s="171"/>
      <c r="Q289" s="171"/>
      <c r="R289" s="171"/>
      <c r="S289" s="171"/>
      <c r="T289" s="171"/>
      <c r="U289" s="171">
        <v>1</v>
      </c>
      <c r="V289" s="171"/>
      <c r="W289" s="171"/>
      <c r="X289" s="171"/>
      <c r="Y289" s="171"/>
      <c r="Z289" s="171"/>
      <c r="AA289" s="171"/>
      <c r="AB289" s="171"/>
      <c r="AC289" s="171"/>
      <c r="AD289" s="171"/>
      <c r="AE289" s="171"/>
      <c r="AF289" s="171"/>
      <c r="AG289" s="171"/>
      <c r="AH289" s="171"/>
      <c r="AI289" s="171"/>
      <c r="AJ289" s="171"/>
      <c r="AK289" s="171"/>
      <c r="AL289" s="171">
        <v>1</v>
      </c>
      <c r="AM289" s="22"/>
      <c r="AN289" s="22">
        <f t="shared" si="3"/>
        <v>7</v>
      </c>
      <c r="AO289" s="171" t="s">
        <v>1610</v>
      </c>
    </row>
    <row r="290" spans="1:41" ht="15.75" customHeight="1">
      <c r="A290" s="167" t="s">
        <v>682</v>
      </c>
      <c r="B290" s="22" t="s">
        <v>681</v>
      </c>
      <c r="C290" s="168">
        <v>1</v>
      </c>
      <c r="D290" s="169" t="b">
        <v>1</v>
      </c>
      <c r="E290" s="170" t="s">
        <v>1711</v>
      </c>
      <c r="F290" s="171">
        <v>1</v>
      </c>
      <c r="G290" s="171">
        <v>1</v>
      </c>
      <c r="H290" s="171">
        <v>1</v>
      </c>
      <c r="I290" s="171">
        <v>1</v>
      </c>
      <c r="J290" s="171">
        <v>1</v>
      </c>
      <c r="K290" s="171">
        <v>2</v>
      </c>
      <c r="L290" s="171"/>
      <c r="M290" s="171"/>
      <c r="N290" s="171"/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  <c r="AG290" s="171"/>
      <c r="AH290" s="171"/>
      <c r="AI290" s="171"/>
      <c r="AJ290" s="171"/>
      <c r="AK290" s="171"/>
      <c r="AL290" s="171"/>
      <c r="AM290" s="22"/>
      <c r="AN290" s="22">
        <f t="shared" si="3"/>
        <v>7</v>
      </c>
      <c r="AO290" s="171"/>
    </row>
    <row r="291" spans="1:41" ht="15.75" customHeight="1">
      <c r="A291" s="167" t="s">
        <v>686</v>
      </c>
      <c r="B291" s="22" t="s">
        <v>685</v>
      </c>
      <c r="C291" s="168">
        <v>1</v>
      </c>
      <c r="D291" s="169" t="b">
        <v>1</v>
      </c>
      <c r="E291" s="170" t="s">
        <v>1712</v>
      </c>
      <c r="F291" s="171">
        <v>1</v>
      </c>
      <c r="G291" s="171">
        <v>1</v>
      </c>
      <c r="H291" s="171">
        <v>1</v>
      </c>
      <c r="I291" s="171">
        <v>1</v>
      </c>
      <c r="J291" s="171">
        <v>1</v>
      </c>
      <c r="K291" s="171">
        <v>1</v>
      </c>
      <c r="L291" s="171"/>
      <c r="M291" s="171">
        <v>1</v>
      </c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1"/>
      <c r="AK291" s="171"/>
      <c r="AL291" s="171"/>
      <c r="AM291" s="22"/>
      <c r="AN291" s="22">
        <f t="shared" si="3"/>
        <v>7</v>
      </c>
      <c r="AO291" s="171"/>
    </row>
    <row r="292" spans="1:41" ht="15.75" customHeight="1">
      <c r="A292" s="167" t="s">
        <v>692</v>
      </c>
      <c r="B292" s="22" t="s">
        <v>691</v>
      </c>
      <c r="C292" s="168">
        <v>1</v>
      </c>
      <c r="D292" s="169" t="b">
        <v>1</v>
      </c>
      <c r="E292" s="170" t="s">
        <v>1713</v>
      </c>
      <c r="F292" s="171">
        <v>1</v>
      </c>
      <c r="G292" s="171">
        <v>1</v>
      </c>
      <c r="H292" s="171">
        <v>1</v>
      </c>
      <c r="I292" s="171">
        <v>1</v>
      </c>
      <c r="J292" s="171">
        <v>1</v>
      </c>
      <c r="K292" s="171"/>
      <c r="L292" s="171">
        <v>1</v>
      </c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  <c r="AG292" s="171"/>
      <c r="AH292" s="171"/>
      <c r="AI292" s="171"/>
      <c r="AJ292" s="171"/>
      <c r="AK292" s="171"/>
      <c r="AL292" s="171">
        <v>1</v>
      </c>
      <c r="AM292" s="22"/>
      <c r="AN292" s="22">
        <f t="shared" si="3"/>
        <v>7</v>
      </c>
      <c r="AO292" s="171" t="s">
        <v>1714</v>
      </c>
    </row>
    <row r="293" spans="1:41" ht="15.75" customHeight="1">
      <c r="A293" s="167" t="s">
        <v>706</v>
      </c>
      <c r="B293" s="22" t="s">
        <v>705</v>
      </c>
      <c r="C293" s="168">
        <v>1</v>
      </c>
      <c r="D293" s="169" t="b">
        <v>1</v>
      </c>
      <c r="E293" s="170" t="s">
        <v>1715</v>
      </c>
      <c r="F293" s="171">
        <v>1</v>
      </c>
      <c r="G293" s="171">
        <v>1</v>
      </c>
      <c r="H293" s="171">
        <v>1</v>
      </c>
      <c r="I293" s="171">
        <v>1</v>
      </c>
      <c r="J293" s="171">
        <v>1</v>
      </c>
      <c r="K293" s="171"/>
      <c r="L293" s="171">
        <v>1</v>
      </c>
      <c r="M293" s="171">
        <v>1</v>
      </c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  <c r="AG293" s="171"/>
      <c r="AH293" s="171"/>
      <c r="AI293" s="171"/>
      <c r="AJ293" s="171"/>
      <c r="AK293" s="171"/>
      <c r="AL293" s="171"/>
      <c r="AM293" s="22"/>
      <c r="AN293" s="22">
        <f t="shared" si="3"/>
        <v>7</v>
      </c>
      <c r="AO293" s="171"/>
    </row>
    <row r="294" spans="1:41" ht="15.75" customHeight="1">
      <c r="A294" s="167" t="s">
        <v>708</v>
      </c>
      <c r="B294" s="22" t="s">
        <v>707</v>
      </c>
      <c r="C294" s="168">
        <v>1</v>
      </c>
      <c r="D294" s="169" t="b">
        <v>1</v>
      </c>
      <c r="E294" s="174" t="s">
        <v>1716</v>
      </c>
      <c r="F294" s="171">
        <v>1</v>
      </c>
      <c r="G294" s="171">
        <v>1</v>
      </c>
      <c r="H294" s="171">
        <v>1</v>
      </c>
      <c r="I294" s="171">
        <v>1</v>
      </c>
      <c r="J294" s="171">
        <v>1</v>
      </c>
      <c r="K294" s="171">
        <v>1</v>
      </c>
      <c r="L294" s="171">
        <v>1</v>
      </c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  <c r="AG294" s="171"/>
      <c r="AH294" s="171"/>
      <c r="AI294" s="171"/>
      <c r="AJ294" s="171"/>
      <c r="AK294" s="171"/>
      <c r="AL294" s="171"/>
      <c r="AM294" s="22"/>
      <c r="AN294" s="22">
        <f t="shared" si="3"/>
        <v>7</v>
      </c>
      <c r="AO294" s="171"/>
    </row>
    <row r="295" spans="1:41" ht="15.75" customHeight="1">
      <c r="A295" s="167" t="s">
        <v>716</v>
      </c>
      <c r="B295" s="22" t="s">
        <v>715</v>
      </c>
      <c r="C295" s="168">
        <v>1</v>
      </c>
      <c r="D295" s="169" t="b">
        <v>1</v>
      </c>
      <c r="E295" s="170" t="s">
        <v>1717</v>
      </c>
      <c r="F295" s="171">
        <v>1</v>
      </c>
      <c r="G295" s="171">
        <v>1</v>
      </c>
      <c r="H295" s="171">
        <v>1</v>
      </c>
      <c r="I295" s="171">
        <v>1</v>
      </c>
      <c r="J295" s="171">
        <v>1</v>
      </c>
      <c r="K295" s="171">
        <v>1</v>
      </c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>
        <v>1</v>
      </c>
      <c r="X295" s="171"/>
      <c r="Y295" s="171"/>
      <c r="Z295" s="171"/>
      <c r="AA295" s="171"/>
      <c r="AB295" s="171"/>
      <c r="AC295" s="171"/>
      <c r="AD295" s="171"/>
      <c r="AE295" s="171"/>
      <c r="AF295" s="171"/>
      <c r="AG295" s="171"/>
      <c r="AH295" s="171"/>
      <c r="AI295" s="171"/>
      <c r="AJ295" s="171"/>
      <c r="AK295" s="171"/>
      <c r="AL295" s="171"/>
      <c r="AM295" s="22"/>
      <c r="AN295" s="22">
        <f t="shared" si="3"/>
        <v>7</v>
      </c>
      <c r="AO295" s="171"/>
    </row>
    <row r="296" spans="1:41" ht="15.75" customHeight="1">
      <c r="A296" s="167" t="s">
        <v>736</v>
      </c>
      <c r="B296" s="22" t="s">
        <v>735</v>
      </c>
      <c r="C296" s="168">
        <v>1</v>
      </c>
      <c r="D296" s="169" t="b">
        <v>1</v>
      </c>
      <c r="E296" s="174" t="s">
        <v>1718</v>
      </c>
      <c r="F296" s="171">
        <v>1</v>
      </c>
      <c r="G296" s="171">
        <v>1</v>
      </c>
      <c r="H296" s="171">
        <v>1</v>
      </c>
      <c r="I296" s="171">
        <v>1</v>
      </c>
      <c r="J296" s="171">
        <v>1</v>
      </c>
      <c r="K296" s="171">
        <v>2</v>
      </c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  <c r="AG296" s="171"/>
      <c r="AH296" s="171"/>
      <c r="AI296" s="171"/>
      <c r="AJ296" s="171"/>
      <c r="AK296" s="171"/>
      <c r="AL296" s="171"/>
      <c r="AM296" s="22"/>
      <c r="AN296" s="22">
        <f t="shared" si="3"/>
        <v>7</v>
      </c>
      <c r="AO296" s="171"/>
    </row>
    <row r="297" spans="1:41" ht="15.75" customHeight="1">
      <c r="A297" s="167" t="s">
        <v>740</v>
      </c>
      <c r="B297" s="22" t="s">
        <v>739</v>
      </c>
      <c r="C297" s="168">
        <v>1</v>
      </c>
      <c r="D297" s="169" t="b">
        <v>1</v>
      </c>
      <c r="E297" s="174" t="s">
        <v>1719</v>
      </c>
      <c r="F297" s="171">
        <v>1</v>
      </c>
      <c r="G297" s="171">
        <v>1</v>
      </c>
      <c r="H297" s="171">
        <v>1</v>
      </c>
      <c r="I297" s="171">
        <v>1</v>
      </c>
      <c r="J297" s="171">
        <v>1</v>
      </c>
      <c r="K297" s="171">
        <v>1</v>
      </c>
      <c r="L297" s="171">
        <v>1</v>
      </c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  <c r="AG297" s="171"/>
      <c r="AH297" s="171"/>
      <c r="AI297" s="171"/>
      <c r="AJ297" s="171"/>
      <c r="AK297" s="171"/>
      <c r="AL297" s="171"/>
      <c r="AM297" s="22"/>
      <c r="AN297" s="22">
        <f t="shared" si="3"/>
        <v>7</v>
      </c>
      <c r="AO297" s="171"/>
    </row>
    <row r="298" spans="1:41" ht="15.75" customHeight="1">
      <c r="A298" s="167" t="s">
        <v>742</v>
      </c>
      <c r="B298" s="22" t="s">
        <v>741</v>
      </c>
      <c r="C298" s="168">
        <v>1</v>
      </c>
      <c r="D298" s="169" t="b">
        <v>1</v>
      </c>
      <c r="E298" s="170" t="s">
        <v>1720</v>
      </c>
      <c r="F298" s="171">
        <v>1</v>
      </c>
      <c r="G298" s="171">
        <v>1</v>
      </c>
      <c r="H298" s="171">
        <v>1</v>
      </c>
      <c r="I298" s="171">
        <v>1</v>
      </c>
      <c r="J298" s="171">
        <v>1</v>
      </c>
      <c r="K298" s="171"/>
      <c r="L298" s="171"/>
      <c r="M298" s="171"/>
      <c r="N298" s="171"/>
      <c r="O298" s="171"/>
      <c r="P298" s="171">
        <v>1</v>
      </c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  <c r="AA298" s="171"/>
      <c r="AB298" s="171"/>
      <c r="AC298" s="171"/>
      <c r="AD298" s="171"/>
      <c r="AE298" s="171"/>
      <c r="AF298" s="171"/>
      <c r="AG298" s="171"/>
      <c r="AH298" s="171"/>
      <c r="AI298" s="171">
        <v>1</v>
      </c>
      <c r="AJ298" s="171"/>
      <c r="AK298" s="171"/>
      <c r="AL298" s="171"/>
      <c r="AM298" s="22"/>
      <c r="AN298" s="22">
        <f t="shared" si="3"/>
        <v>7</v>
      </c>
      <c r="AO298" s="171"/>
    </row>
    <row r="299" spans="1:41" ht="15.75" customHeight="1">
      <c r="A299" s="167" t="s">
        <v>746</v>
      </c>
      <c r="B299" s="22" t="s">
        <v>745</v>
      </c>
      <c r="C299" s="168">
        <v>1</v>
      </c>
      <c r="D299" s="169" t="b">
        <v>1</v>
      </c>
      <c r="E299" s="170" t="s">
        <v>1721</v>
      </c>
      <c r="F299" s="171">
        <v>1</v>
      </c>
      <c r="G299" s="171">
        <v>1</v>
      </c>
      <c r="H299" s="171">
        <v>1</v>
      </c>
      <c r="I299" s="171">
        <v>1</v>
      </c>
      <c r="J299" s="171">
        <v>1</v>
      </c>
      <c r="K299" s="171">
        <v>1</v>
      </c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  <c r="AG299" s="171"/>
      <c r="AH299" s="171"/>
      <c r="AI299" s="171"/>
      <c r="AJ299" s="171"/>
      <c r="AK299" s="171"/>
      <c r="AL299" s="171">
        <v>1</v>
      </c>
      <c r="AM299" s="22"/>
      <c r="AN299" s="22">
        <f t="shared" si="3"/>
        <v>7</v>
      </c>
      <c r="AO299" s="171"/>
    </row>
    <row r="300" spans="1:41" ht="15.75" customHeight="1">
      <c r="A300" s="167" t="s">
        <v>756</v>
      </c>
      <c r="B300" s="22" t="s">
        <v>755</v>
      </c>
      <c r="C300" s="168">
        <v>1</v>
      </c>
      <c r="D300" s="169" t="b">
        <v>1</v>
      </c>
      <c r="E300" s="170" t="s">
        <v>1722</v>
      </c>
      <c r="F300" s="171">
        <v>1</v>
      </c>
      <c r="G300" s="171">
        <v>1</v>
      </c>
      <c r="H300" s="171">
        <v>1</v>
      </c>
      <c r="I300" s="171">
        <v>1</v>
      </c>
      <c r="J300" s="171">
        <v>1</v>
      </c>
      <c r="K300" s="171">
        <v>1</v>
      </c>
      <c r="L300" s="171"/>
      <c r="M300" s="171"/>
      <c r="N300" s="171"/>
      <c r="O300" s="171"/>
      <c r="P300" s="171"/>
      <c r="Q300" s="171"/>
      <c r="R300" s="171"/>
      <c r="S300" s="171"/>
      <c r="T300" s="171">
        <v>1</v>
      </c>
      <c r="U300" s="171"/>
      <c r="V300" s="171"/>
      <c r="W300" s="171"/>
      <c r="X300" s="171"/>
      <c r="Y300" s="171"/>
      <c r="Z300" s="171"/>
      <c r="AA300" s="171"/>
      <c r="AB300" s="171"/>
      <c r="AC300" s="171"/>
      <c r="AD300" s="171"/>
      <c r="AE300" s="171"/>
      <c r="AF300" s="171"/>
      <c r="AG300" s="171"/>
      <c r="AH300" s="171"/>
      <c r="AI300" s="171"/>
      <c r="AJ300" s="171"/>
      <c r="AK300" s="171"/>
      <c r="AL300" s="171"/>
      <c r="AM300" s="22"/>
      <c r="AN300" s="22">
        <f t="shared" si="3"/>
        <v>7</v>
      </c>
      <c r="AO300" s="171"/>
    </row>
    <row r="301" spans="1:41" ht="15.75" customHeight="1">
      <c r="A301" s="167" t="s">
        <v>786</v>
      </c>
      <c r="B301" s="22" t="s">
        <v>785</v>
      </c>
      <c r="C301" s="168">
        <v>1</v>
      </c>
      <c r="D301" s="169" t="b">
        <v>1</v>
      </c>
      <c r="E301" s="170" t="s">
        <v>1723</v>
      </c>
      <c r="F301" s="171">
        <v>1</v>
      </c>
      <c r="G301" s="171">
        <v>1</v>
      </c>
      <c r="H301" s="171">
        <v>1</v>
      </c>
      <c r="I301" s="171">
        <v>1</v>
      </c>
      <c r="J301" s="171">
        <v>1</v>
      </c>
      <c r="K301" s="171">
        <v>1</v>
      </c>
      <c r="L301" s="171"/>
      <c r="M301" s="171"/>
      <c r="N301" s="171"/>
      <c r="O301" s="171"/>
      <c r="P301" s="171"/>
      <c r="Q301" s="171"/>
      <c r="R301" s="171"/>
      <c r="S301" s="171"/>
      <c r="T301" s="171"/>
      <c r="U301" s="171">
        <v>1</v>
      </c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  <c r="AG301" s="171"/>
      <c r="AH301" s="171"/>
      <c r="AI301" s="171"/>
      <c r="AJ301" s="171"/>
      <c r="AK301" s="171"/>
      <c r="AL301" s="171"/>
      <c r="AM301" s="22"/>
      <c r="AN301" s="22">
        <f t="shared" si="3"/>
        <v>7</v>
      </c>
      <c r="AO301" s="171"/>
    </row>
    <row r="302" spans="1:41" ht="15.75" customHeight="1">
      <c r="A302" s="167" t="s">
        <v>796</v>
      </c>
      <c r="B302" s="22" t="s">
        <v>795</v>
      </c>
      <c r="C302" s="168">
        <v>1</v>
      </c>
      <c r="D302" s="169" t="b">
        <v>1</v>
      </c>
      <c r="E302" s="170" t="s">
        <v>1724</v>
      </c>
      <c r="F302" s="171">
        <v>1</v>
      </c>
      <c r="G302" s="171">
        <v>1</v>
      </c>
      <c r="H302" s="171">
        <v>1</v>
      </c>
      <c r="I302" s="171">
        <v>1</v>
      </c>
      <c r="J302" s="171">
        <v>1</v>
      </c>
      <c r="K302" s="171"/>
      <c r="L302" s="171">
        <v>1</v>
      </c>
      <c r="M302" s="171"/>
      <c r="N302" s="171"/>
      <c r="O302" s="171"/>
      <c r="P302" s="171"/>
      <c r="Q302" s="171"/>
      <c r="R302" s="171"/>
      <c r="S302" s="171"/>
      <c r="T302" s="171">
        <v>1</v>
      </c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  <c r="AF302" s="171"/>
      <c r="AG302" s="171"/>
      <c r="AH302" s="171"/>
      <c r="AI302" s="171"/>
      <c r="AJ302" s="171"/>
      <c r="AK302" s="171"/>
      <c r="AL302" s="171"/>
      <c r="AM302" s="22"/>
      <c r="AN302" s="22">
        <f t="shared" si="3"/>
        <v>7</v>
      </c>
      <c r="AO302" s="171"/>
    </row>
    <row r="303" spans="1:41" ht="15.75" customHeight="1">
      <c r="A303" s="167" t="s">
        <v>798</v>
      </c>
      <c r="B303" s="22" t="s">
        <v>797</v>
      </c>
      <c r="C303" s="168">
        <v>1</v>
      </c>
      <c r="D303" s="169" t="b">
        <v>1</v>
      </c>
      <c r="E303" s="170" t="s">
        <v>1397</v>
      </c>
      <c r="F303" s="171">
        <v>1</v>
      </c>
      <c r="G303" s="171">
        <v>1</v>
      </c>
      <c r="H303" s="171">
        <v>1</v>
      </c>
      <c r="I303" s="171">
        <v>1</v>
      </c>
      <c r="J303" s="171">
        <v>1</v>
      </c>
      <c r="K303" s="171">
        <v>1</v>
      </c>
      <c r="L303" s="171">
        <v>1</v>
      </c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  <c r="AG303" s="171"/>
      <c r="AH303" s="171"/>
      <c r="AI303" s="171"/>
      <c r="AJ303" s="171"/>
      <c r="AK303" s="171"/>
      <c r="AL303" s="171"/>
      <c r="AM303" s="22"/>
      <c r="AN303" s="22">
        <f t="shared" si="3"/>
        <v>7</v>
      </c>
      <c r="AO303" s="171"/>
    </row>
    <row r="304" spans="1:41" ht="15.75" customHeight="1">
      <c r="A304" s="167" t="s">
        <v>804</v>
      </c>
      <c r="B304" s="22" t="s">
        <v>803</v>
      </c>
      <c r="C304" s="168">
        <v>1</v>
      </c>
      <c r="D304" s="169" t="b">
        <v>1</v>
      </c>
      <c r="E304" s="170" t="s">
        <v>1725</v>
      </c>
      <c r="F304" s="171">
        <v>1</v>
      </c>
      <c r="G304" s="171">
        <v>1</v>
      </c>
      <c r="H304" s="171">
        <v>1</v>
      </c>
      <c r="I304" s="171">
        <v>1</v>
      </c>
      <c r="J304" s="171">
        <v>1</v>
      </c>
      <c r="K304" s="171">
        <v>1</v>
      </c>
      <c r="L304" s="171"/>
      <c r="M304" s="171"/>
      <c r="N304" s="171"/>
      <c r="O304" s="171"/>
      <c r="P304" s="171">
        <v>1</v>
      </c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/>
      <c r="AB304" s="171"/>
      <c r="AC304" s="171"/>
      <c r="AD304" s="171"/>
      <c r="AE304" s="171"/>
      <c r="AF304" s="171"/>
      <c r="AG304" s="171"/>
      <c r="AH304" s="171"/>
      <c r="AI304" s="171"/>
      <c r="AJ304" s="171"/>
      <c r="AK304" s="171"/>
      <c r="AL304" s="171"/>
      <c r="AM304" s="22"/>
      <c r="AN304" s="22">
        <f t="shared" si="3"/>
        <v>7</v>
      </c>
      <c r="AO304" s="171"/>
    </row>
    <row r="305" spans="1:41" ht="15.75" customHeight="1">
      <c r="A305" s="167" t="s">
        <v>806</v>
      </c>
      <c r="B305" s="22" t="s">
        <v>805</v>
      </c>
      <c r="C305" s="168">
        <v>1</v>
      </c>
      <c r="D305" s="169" t="b">
        <v>1</v>
      </c>
      <c r="E305" s="170" t="s">
        <v>1726</v>
      </c>
      <c r="F305" s="171">
        <v>1</v>
      </c>
      <c r="G305" s="171">
        <v>1</v>
      </c>
      <c r="H305" s="171">
        <v>1</v>
      </c>
      <c r="I305" s="171">
        <v>1</v>
      </c>
      <c r="J305" s="171">
        <v>1</v>
      </c>
      <c r="K305" s="171">
        <v>2</v>
      </c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  <c r="AF305" s="171"/>
      <c r="AG305" s="171"/>
      <c r="AH305" s="171"/>
      <c r="AI305" s="171"/>
      <c r="AJ305" s="171"/>
      <c r="AK305" s="171"/>
      <c r="AL305" s="171"/>
      <c r="AM305" s="22"/>
      <c r="AN305" s="22">
        <f t="shared" si="3"/>
        <v>7</v>
      </c>
      <c r="AO305" s="171"/>
    </row>
    <row r="306" spans="1:41" ht="15.75" customHeight="1">
      <c r="A306" s="167" t="s">
        <v>818</v>
      </c>
      <c r="B306" s="22" t="s">
        <v>817</v>
      </c>
      <c r="C306" s="168">
        <v>1</v>
      </c>
      <c r="D306" s="169" t="b">
        <v>1</v>
      </c>
      <c r="E306" s="170" t="s">
        <v>1727</v>
      </c>
      <c r="F306" s="171">
        <v>1</v>
      </c>
      <c r="G306" s="171">
        <v>1</v>
      </c>
      <c r="H306" s="171">
        <v>1</v>
      </c>
      <c r="I306" s="171">
        <v>1</v>
      </c>
      <c r="J306" s="171">
        <v>1</v>
      </c>
      <c r="K306" s="171"/>
      <c r="L306" s="171"/>
      <c r="M306" s="171">
        <v>1</v>
      </c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  <c r="AF306" s="171"/>
      <c r="AG306" s="171"/>
      <c r="AH306" s="171"/>
      <c r="AI306" s="171"/>
      <c r="AJ306" s="171"/>
      <c r="AK306" s="171"/>
      <c r="AL306" s="171">
        <v>1</v>
      </c>
      <c r="AM306" s="22"/>
      <c r="AN306" s="22">
        <f t="shared" si="3"/>
        <v>7</v>
      </c>
      <c r="AO306" s="171" t="s">
        <v>1728</v>
      </c>
    </row>
    <row r="307" spans="1:41" ht="15.75" customHeight="1">
      <c r="A307" s="167" t="s">
        <v>822</v>
      </c>
      <c r="B307" s="22" t="s">
        <v>821</v>
      </c>
      <c r="C307" s="168">
        <v>1</v>
      </c>
      <c r="D307" s="169" t="b">
        <v>1</v>
      </c>
      <c r="E307" s="170" t="s">
        <v>1540</v>
      </c>
      <c r="F307" s="171">
        <v>1</v>
      </c>
      <c r="G307" s="171">
        <v>1</v>
      </c>
      <c r="H307" s="171">
        <v>1</v>
      </c>
      <c r="I307" s="171">
        <v>1</v>
      </c>
      <c r="J307" s="171">
        <v>1</v>
      </c>
      <c r="K307" s="171"/>
      <c r="L307" s="171">
        <v>1</v>
      </c>
      <c r="M307" s="171"/>
      <c r="N307" s="171"/>
      <c r="O307" s="171">
        <v>1</v>
      </c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  <c r="AA307" s="171"/>
      <c r="AB307" s="171"/>
      <c r="AC307" s="171"/>
      <c r="AD307" s="171"/>
      <c r="AE307" s="171"/>
      <c r="AF307" s="171"/>
      <c r="AG307" s="171"/>
      <c r="AH307" s="171"/>
      <c r="AI307" s="171"/>
      <c r="AJ307" s="171"/>
      <c r="AK307" s="171"/>
      <c r="AL307" s="171"/>
      <c r="AM307" s="22"/>
      <c r="AN307" s="22">
        <f t="shared" si="3"/>
        <v>7</v>
      </c>
      <c r="AO307" s="171"/>
    </row>
    <row r="308" spans="1:41" ht="15.75" customHeight="1">
      <c r="A308" s="167" t="s">
        <v>824</v>
      </c>
      <c r="B308" s="22" t="s">
        <v>823</v>
      </c>
      <c r="C308" s="168">
        <v>1</v>
      </c>
      <c r="D308" s="169" t="b">
        <v>1</v>
      </c>
      <c r="E308" s="174" t="s">
        <v>1729</v>
      </c>
      <c r="F308" s="171">
        <v>1</v>
      </c>
      <c r="G308" s="171">
        <v>1</v>
      </c>
      <c r="H308" s="171">
        <v>1</v>
      </c>
      <c r="I308" s="171">
        <v>1</v>
      </c>
      <c r="J308" s="171">
        <v>1</v>
      </c>
      <c r="K308" s="171"/>
      <c r="L308" s="171">
        <v>1</v>
      </c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  <c r="AA308" s="171"/>
      <c r="AB308" s="171"/>
      <c r="AC308" s="171"/>
      <c r="AD308" s="171"/>
      <c r="AE308" s="171"/>
      <c r="AF308" s="171"/>
      <c r="AG308" s="171"/>
      <c r="AH308" s="171"/>
      <c r="AI308" s="171"/>
      <c r="AJ308" s="171"/>
      <c r="AK308" s="171"/>
      <c r="AL308" s="171">
        <v>1</v>
      </c>
      <c r="AM308" s="22"/>
      <c r="AN308" s="22">
        <f t="shared" si="3"/>
        <v>7</v>
      </c>
      <c r="AO308" s="171" t="s">
        <v>1648</v>
      </c>
    </row>
    <row r="309" spans="1:41" ht="15.75" customHeight="1">
      <c r="A309" s="167" t="s">
        <v>832</v>
      </c>
      <c r="B309" s="22" t="s">
        <v>831</v>
      </c>
      <c r="C309" s="168">
        <v>1</v>
      </c>
      <c r="D309" s="169" t="b">
        <v>1</v>
      </c>
      <c r="E309" s="170" t="s">
        <v>1730</v>
      </c>
      <c r="F309" s="178"/>
      <c r="G309" s="178">
        <v>1</v>
      </c>
      <c r="H309" s="178">
        <v>1</v>
      </c>
      <c r="I309" s="178">
        <v>1</v>
      </c>
      <c r="J309" s="178">
        <v>1</v>
      </c>
      <c r="K309" s="178">
        <v>1</v>
      </c>
      <c r="L309" s="178">
        <v>1</v>
      </c>
      <c r="M309" s="178"/>
      <c r="N309" s="178"/>
      <c r="O309" s="178"/>
      <c r="P309" s="178"/>
      <c r="Q309" s="178"/>
      <c r="R309" s="178">
        <v>1</v>
      </c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  <c r="AE309" s="178"/>
      <c r="AF309" s="178"/>
      <c r="AG309" s="178"/>
      <c r="AH309" s="178"/>
      <c r="AI309" s="178"/>
      <c r="AJ309" s="178"/>
      <c r="AK309" s="178"/>
      <c r="AL309" s="178"/>
      <c r="AM309" s="22"/>
      <c r="AN309" s="22">
        <f t="shared" si="3"/>
        <v>7</v>
      </c>
      <c r="AO309" s="171"/>
    </row>
    <row r="310" spans="1:41" ht="15.75" customHeight="1">
      <c r="A310" s="167" t="s">
        <v>834</v>
      </c>
      <c r="B310" s="22" t="s">
        <v>833</v>
      </c>
      <c r="C310" s="168">
        <v>1</v>
      </c>
      <c r="D310" s="169" t="b">
        <v>1</v>
      </c>
      <c r="E310" s="170" t="s">
        <v>1731</v>
      </c>
      <c r="F310" s="171">
        <v>1</v>
      </c>
      <c r="G310" s="171">
        <v>1</v>
      </c>
      <c r="H310" s="171">
        <v>1</v>
      </c>
      <c r="I310" s="171">
        <v>1</v>
      </c>
      <c r="J310" s="171">
        <v>1</v>
      </c>
      <c r="K310" s="171">
        <v>2</v>
      </c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  <c r="AF310" s="171"/>
      <c r="AG310" s="171"/>
      <c r="AH310" s="171"/>
      <c r="AI310" s="171"/>
      <c r="AJ310" s="171"/>
      <c r="AK310" s="171"/>
      <c r="AL310" s="171"/>
      <c r="AM310" s="22"/>
      <c r="AN310" s="22">
        <f t="shared" si="3"/>
        <v>7</v>
      </c>
      <c r="AO310" s="171"/>
    </row>
    <row r="311" spans="1:41" ht="15.75" customHeight="1">
      <c r="A311" s="167" t="s">
        <v>838</v>
      </c>
      <c r="B311" s="22" t="s">
        <v>837</v>
      </c>
      <c r="C311" s="168">
        <v>1</v>
      </c>
      <c r="D311" s="169" t="b">
        <v>1</v>
      </c>
      <c r="E311" s="170" t="s">
        <v>1732</v>
      </c>
      <c r="F311" s="171">
        <v>1</v>
      </c>
      <c r="G311" s="171">
        <v>1</v>
      </c>
      <c r="H311" s="171">
        <v>1</v>
      </c>
      <c r="I311" s="171">
        <v>1</v>
      </c>
      <c r="J311" s="171">
        <v>1</v>
      </c>
      <c r="K311" s="171"/>
      <c r="L311" s="171"/>
      <c r="M311" s="171">
        <v>1</v>
      </c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  <c r="AA311" s="171"/>
      <c r="AB311" s="171"/>
      <c r="AC311" s="171"/>
      <c r="AD311" s="171"/>
      <c r="AE311" s="171"/>
      <c r="AF311" s="171"/>
      <c r="AG311" s="171"/>
      <c r="AH311" s="171"/>
      <c r="AI311" s="171"/>
      <c r="AJ311" s="171"/>
      <c r="AK311" s="171">
        <v>1</v>
      </c>
      <c r="AL311" s="171"/>
      <c r="AM311" s="22"/>
      <c r="AN311" s="22">
        <f t="shared" si="3"/>
        <v>7</v>
      </c>
      <c r="AO311" s="171"/>
    </row>
    <row r="312" spans="1:41" ht="15.75" customHeight="1">
      <c r="A312" s="167" t="s">
        <v>840</v>
      </c>
      <c r="B312" s="22" t="s">
        <v>839</v>
      </c>
      <c r="C312" s="168">
        <v>1</v>
      </c>
      <c r="D312" s="169" t="b">
        <v>1</v>
      </c>
      <c r="E312" s="170" t="s">
        <v>1733</v>
      </c>
      <c r="F312" s="171">
        <v>1</v>
      </c>
      <c r="G312" s="171">
        <v>1</v>
      </c>
      <c r="H312" s="171">
        <v>1</v>
      </c>
      <c r="I312" s="171">
        <v>1</v>
      </c>
      <c r="J312" s="171">
        <v>1</v>
      </c>
      <c r="K312" s="171">
        <v>1</v>
      </c>
      <c r="L312" s="171"/>
      <c r="M312" s="171"/>
      <c r="N312" s="171"/>
      <c r="O312" s="171"/>
      <c r="P312" s="171"/>
      <c r="Q312" s="171"/>
      <c r="R312" s="171"/>
      <c r="S312" s="171"/>
      <c r="T312" s="171"/>
      <c r="U312" s="171">
        <v>1</v>
      </c>
      <c r="V312" s="171"/>
      <c r="W312" s="171"/>
      <c r="X312" s="171"/>
      <c r="Y312" s="171"/>
      <c r="Z312" s="171"/>
      <c r="AA312" s="171"/>
      <c r="AB312" s="171"/>
      <c r="AC312" s="171"/>
      <c r="AD312" s="171"/>
      <c r="AE312" s="171"/>
      <c r="AF312" s="171"/>
      <c r="AG312" s="171"/>
      <c r="AH312" s="171"/>
      <c r="AI312" s="171"/>
      <c r="AJ312" s="171"/>
      <c r="AK312" s="171"/>
      <c r="AL312" s="171"/>
      <c r="AM312" s="22"/>
      <c r="AN312" s="22">
        <f t="shared" si="3"/>
        <v>7</v>
      </c>
      <c r="AO312" s="171"/>
    </row>
    <row r="313" spans="1:41" ht="15.75" customHeight="1">
      <c r="A313" s="167" t="s">
        <v>842</v>
      </c>
      <c r="B313" s="22" t="s">
        <v>841</v>
      </c>
      <c r="C313" s="168">
        <v>1</v>
      </c>
      <c r="D313" s="169" t="b">
        <v>1</v>
      </c>
      <c r="E313" s="170" t="s">
        <v>1734</v>
      </c>
      <c r="F313" s="171">
        <v>1</v>
      </c>
      <c r="G313" s="171">
        <v>1</v>
      </c>
      <c r="H313" s="171">
        <v>1</v>
      </c>
      <c r="I313" s="171">
        <v>1</v>
      </c>
      <c r="J313" s="171">
        <v>1</v>
      </c>
      <c r="K313" s="171">
        <v>2</v>
      </c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  <c r="AF313" s="171"/>
      <c r="AG313" s="171"/>
      <c r="AH313" s="171"/>
      <c r="AI313" s="171"/>
      <c r="AJ313" s="171"/>
      <c r="AK313" s="171"/>
      <c r="AL313" s="171"/>
      <c r="AM313" s="22"/>
      <c r="AN313" s="22">
        <f t="shared" si="3"/>
        <v>7</v>
      </c>
      <c r="AO313" s="171"/>
    </row>
    <row r="314" spans="1:41" ht="15.75" customHeight="1">
      <c r="A314" s="167" t="s">
        <v>846</v>
      </c>
      <c r="B314" s="22" t="s">
        <v>845</v>
      </c>
      <c r="C314" s="168">
        <v>1</v>
      </c>
      <c r="D314" s="169" t="b">
        <v>1</v>
      </c>
      <c r="E314" s="170" t="s">
        <v>1735</v>
      </c>
      <c r="F314" s="171">
        <v>1</v>
      </c>
      <c r="G314" s="171">
        <v>1</v>
      </c>
      <c r="H314" s="171">
        <v>1</v>
      </c>
      <c r="I314" s="171">
        <v>1</v>
      </c>
      <c r="J314" s="171">
        <v>1</v>
      </c>
      <c r="K314" s="171"/>
      <c r="L314" s="171">
        <v>1</v>
      </c>
      <c r="M314" s="171">
        <v>1</v>
      </c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  <c r="AG314" s="171"/>
      <c r="AH314" s="171"/>
      <c r="AI314" s="171"/>
      <c r="AJ314" s="171"/>
      <c r="AK314" s="171"/>
      <c r="AL314" s="171"/>
      <c r="AM314" s="22"/>
      <c r="AN314" s="22">
        <f t="shared" si="3"/>
        <v>7</v>
      </c>
      <c r="AO314" s="171"/>
    </row>
    <row r="315" spans="1:41" ht="15.75" customHeight="1">
      <c r="A315" s="167" t="s">
        <v>848</v>
      </c>
      <c r="B315" s="22" t="s">
        <v>847</v>
      </c>
      <c r="C315" s="168">
        <v>1</v>
      </c>
      <c r="D315" s="169" t="b">
        <v>1</v>
      </c>
      <c r="E315" s="170" t="s">
        <v>1736</v>
      </c>
      <c r="F315" s="171">
        <v>1</v>
      </c>
      <c r="G315" s="171">
        <v>1</v>
      </c>
      <c r="H315" s="171">
        <v>1</v>
      </c>
      <c r="I315" s="171">
        <v>1</v>
      </c>
      <c r="J315" s="171">
        <v>1</v>
      </c>
      <c r="K315" s="171">
        <v>1</v>
      </c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  <c r="AG315" s="171"/>
      <c r="AH315" s="171"/>
      <c r="AI315" s="171">
        <v>1</v>
      </c>
      <c r="AJ315" s="171"/>
      <c r="AK315" s="171"/>
      <c r="AL315" s="171"/>
      <c r="AM315" s="22"/>
      <c r="AN315" s="22">
        <f t="shared" si="3"/>
        <v>7</v>
      </c>
      <c r="AO315" s="171"/>
    </row>
    <row r="316" spans="1:41" ht="15.75" customHeight="1">
      <c r="A316" s="167" t="s">
        <v>852</v>
      </c>
      <c r="B316" s="22" t="s">
        <v>851</v>
      </c>
      <c r="C316" s="168">
        <v>1</v>
      </c>
      <c r="D316" s="169" t="b">
        <v>1</v>
      </c>
      <c r="E316" s="170" t="s">
        <v>1737</v>
      </c>
      <c r="F316" s="171">
        <v>1</v>
      </c>
      <c r="G316" s="171">
        <v>1</v>
      </c>
      <c r="H316" s="171">
        <v>1</v>
      </c>
      <c r="I316" s="171">
        <v>1</v>
      </c>
      <c r="J316" s="171">
        <v>1</v>
      </c>
      <c r="K316" s="171">
        <v>1</v>
      </c>
      <c r="L316" s="171"/>
      <c r="M316" s="171"/>
      <c r="N316" s="171"/>
      <c r="O316" s="171">
        <v>1</v>
      </c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1"/>
      <c r="AG316" s="171"/>
      <c r="AH316" s="171"/>
      <c r="AI316" s="171"/>
      <c r="AJ316" s="171"/>
      <c r="AK316" s="171"/>
      <c r="AL316" s="171"/>
      <c r="AM316" s="22"/>
      <c r="AN316" s="22">
        <f t="shared" si="3"/>
        <v>7</v>
      </c>
      <c r="AO316" s="171"/>
    </row>
    <row r="317" spans="1:41" ht="15.75" customHeight="1">
      <c r="A317" s="167" t="s">
        <v>858</v>
      </c>
      <c r="B317" s="22" t="s">
        <v>857</v>
      </c>
      <c r="C317" s="168">
        <v>1</v>
      </c>
      <c r="D317" s="169" t="b">
        <v>1</v>
      </c>
      <c r="E317" s="170" t="s">
        <v>1738</v>
      </c>
      <c r="F317" s="171">
        <v>1</v>
      </c>
      <c r="G317" s="171">
        <v>1</v>
      </c>
      <c r="H317" s="171">
        <v>1</v>
      </c>
      <c r="I317" s="171">
        <v>1</v>
      </c>
      <c r="J317" s="171">
        <v>1</v>
      </c>
      <c r="K317" s="171"/>
      <c r="L317" s="171"/>
      <c r="M317" s="171">
        <v>1</v>
      </c>
      <c r="N317" s="171"/>
      <c r="O317" s="171"/>
      <c r="P317" s="171"/>
      <c r="Q317" s="171"/>
      <c r="R317" s="171"/>
      <c r="S317" s="171"/>
      <c r="T317" s="171">
        <v>1</v>
      </c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  <c r="AG317" s="171"/>
      <c r="AH317" s="171"/>
      <c r="AI317" s="171"/>
      <c r="AJ317" s="171"/>
      <c r="AK317" s="171"/>
      <c r="AL317" s="171"/>
      <c r="AM317" s="22"/>
      <c r="AN317" s="22">
        <f t="shared" si="3"/>
        <v>7</v>
      </c>
      <c r="AO317" s="171"/>
    </row>
    <row r="318" spans="1:41" ht="15.75" customHeight="1">
      <c r="A318" s="167" t="s">
        <v>860</v>
      </c>
      <c r="B318" s="22" t="s">
        <v>859</v>
      </c>
      <c r="C318" s="168">
        <v>1</v>
      </c>
      <c r="D318" s="169" t="b">
        <v>1</v>
      </c>
      <c r="E318" s="170" t="s">
        <v>1578</v>
      </c>
      <c r="F318" s="171">
        <v>1</v>
      </c>
      <c r="G318" s="171">
        <v>1</v>
      </c>
      <c r="H318" s="171">
        <v>1</v>
      </c>
      <c r="I318" s="171">
        <v>1</v>
      </c>
      <c r="J318" s="171"/>
      <c r="K318" s="171">
        <v>1</v>
      </c>
      <c r="L318" s="171">
        <v>1</v>
      </c>
      <c r="M318" s="171">
        <v>1</v>
      </c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  <c r="AF318" s="171"/>
      <c r="AG318" s="171"/>
      <c r="AH318" s="171"/>
      <c r="AI318" s="171"/>
      <c r="AJ318" s="171"/>
      <c r="AK318" s="171"/>
      <c r="AL318" s="171"/>
      <c r="AM318" s="22"/>
      <c r="AN318" s="22">
        <f t="shared" si="3"/>
        <v>7</v>
      </c>
      <c r="AO318" s="171"/>
    </row>
    <row r="319" spans="1:41" ht="15.75" customHeight="1">
      <c r="A319" s="167" t="s">
        <v>864</v>
      </c>
      <c r="B319" s="22" t="s">
        <v>863</v>
      </c>
      <c r="C319" s="168">
        <v>1</v>
      </c>
      <c r="D319" s="169" t="b">
        <v>1</v>
      </c>
      <c r="E319" s="170" t="s">
        <v>1578</v>
      </c>
      <c r="F319" s="171">
        <v>1</v>
      </c>
      <c r="G319" s="171">
        <v>1</v>
      </c>
      <c r="H319" s="171">
        <v>1</v>
      </c>
      <c r="I319" s="171">
        <v>1</v>
      </c>
      <c r="J319" s="171"/>
      <c r="K319" s="171"/>
      <c r="L319" s="171">
        <v>1</v>
      </c>
      <c r="M319" s="171">
        <v>1</v>
      </c>
      <c r="N319" s="171"/>
      <c r="O319" s="171"/>
      <c r="P319" s="171"/>
      <c r="Q319" s="171"/>
      <c r="R319" s="171"/>
      <c r="S319" s="171"/>
      <c r="T319" s="171">
        <v>1</v>
      </c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  <c r="AF319" s="171"/>
      <c r="AG319" s="171"/>
      <c r="AH319" s="171"/>
      <c r="AI319" s="171"/>
      <c r="AJ319" s="171"/>
      <c r="AK319" s="171"/>
      <c r="AL319" s="171"/>
      <c r="AM319" s="22"/>
      <c r="AN319" s="22">
        <f t="shared" si="3"/>
        <v>7</v>
      </c>
      <c r="AO319" s="171"/>
    </row>
    <row r="320" spans="1:41" ht="15.75" customHeight="1">
      <c r="A320" s="167" t="s">
        <v>868</v>
      </c>
      <c r="B320" s="22" t="s">
        <v>867</v>
      </c>
      <c r="C320" s="168">
        <v>1</v>
      </c>
      <c r="D320" s="169" t="b">
        <v>1</v>
      </c>
      <c r="E320" s="170" t="s">
        <v>1578</v>
      </c>
      <c r="F320" s="171">
        <v>1</v>
      </c>
      <c r="G320" s="171">
        <v>1</v>
      </c>
      <c r="H320" s="171">
        <v>1</v>
      </c>
      <c r="I320" s="171">
        <v>1</v>
      </c>
      <c r="J320" s="171"/>
      <c r="K320" s="171">
        <v>1</v>
      </c>
      <c r="L320" s="171">
        <v>1</v>
      </c>
      <c r="M320" s="171">
        <v>1</v>
      </c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  <c r="AA320" s="171"/>
      <c r="AB320" s="171"/>
      <c r="AC320" s="171"/>
      <c r="AD320" s="171"/>
      <c r="AE320" s="171"/>
      <c r="AF320" s="171"/>
      <c r="AG320" s="171"/>
      <c r="AH320" s="171"/>
      <c r="AI320" s="171"/>
      <c r="AJ320" s="171"/>
      <c r="AK320" s="171"/>
      <c r="AL320" s="171"/>
      <c r="AM320" s="22"/>
      <c r="AN320" s="22">
        <f t="shared" si="3"/>
        <v>7</v>
      </c>
      <c r="AO320" s="171"/>
    </row>
    <row r="321" spans="1:41" ht="15.75" customHeight="1">
      <c r="A321" s="167" t="s">
        <v>870</v>
      </c>
      <c r="B321" s="22" t="s">
        <v>869</v>
      </c>
      <c r="C321" s="168">
        <v>1</v>
      </c>
      <c r="D321" s="169" t="b">
        <v>1</v>
      </c>
      <c r="E321" s="170" t="s">
        <v>1451</v>
      </c>
      <c r="F321" s="171">
        <v>1</v>
      </c>
      <c r="G321" s="171">
        <v>1</v>
      </c>
      <c r="H321" s="171">
        <v>1</v>
      </c>
      <c r="I321" s="171">
        <v>1</v>
      </c>
      <c r="J321" s="171">
        <v>1</v>
      </c>
      <c r="K321" s="171">
        <v>2</v>
      </c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  <c r="AF321" s="171"/>
      <c r="AG321" s="171"/>
      <c r="AH321" s="171"/>
      <c r="AI321" s="171"/>
      <c r="AJ321" s="171"/>
      <c r="AK321" s="171"/>
      <c r="AL321" s="171"/>
      <c r="AM321" s="22"/>
      <c r="AN321" s="22">
        <f t="shared" si="3"/>
        <v>7</v>
      </c>
      <c r="AO321" s="171"/>
    </row>
    <row r="322" spans="1:41" ht="15.75" customHeight="1">
      <c r="A322" s="167" t="s">
        <v>874</v>
      </c>
      <c r="B322" s="22" t="s">
        <v>873</v>
      </c>
      <c r="C322" s="168">
        <v>1</v>
      </c>
      <c r="D322" s="169" t="b">
        <v>1</v>
      </c>
      <c r="E322" s="170" t="s">
        <v>1739</v>
      </c>
      <c r="F322" s="171">
        <v>1</v>
      </c>
      <c r="G322" s="171">
        <v>1</v>
      </c>
      <c r="H322" s="171">
        <v>1</v>
      </c>
      <c r="I322" s="171">
        <v>1</v>
      </c>
      <c r="J322" s="171">
        <v>1</v>
      </c>
      <c r="K322" s="171">
        <v>1</v>
      </c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  <c r="AA322" s="171"/>
      <c r="AB322" s="171"/>
      <c r="AC322" s="171"/>
      <c r="AD322" s="171"/>
      <c r="AE322" s="171"/>
      <c r="AF322" s="171"/>
      <c r="AG322" s="171">
        <v>1</v>
      </c>
      <c r="AH322" s="171"/>
      <c r="AI322" s="171"/>
      <c r="AJ322" s="171"/>
      <c r="AK322" s="171"/>
      <c r="AL322" s="171"/>
      <c r="AM322" s="22"/>
      <c r="AN322" s="22">
        <f t="shared" si="3"/>
        <v>7</v>
      </c>
      <c r="AO322" s="171"/>
    </row>
    <row r="323" spans="1:41" ht="15.75" customHeight="1">
      <c r="A323" s="167" t="s">
        <v>894</v>
      </c>
      <c r="B323" s="22" t="s">
        <v>893</v>
      </c>
      <c r="C323" s="168">
        <v>1</v>
      </c>
      <c r="D323" s="169" t="b">
        <v>1</v>
      </c>
      <c r="E323" s="170" t="s">
        <v>1740</v>
      </c>
      <c r="F323" s="171">
        <v>1</v>
      </c>
      <c r="G323" s="171">
        <v>1</v>
      </c>
      <c r="H323" s="171">
        <v>1</v>
      </c>
      <c r="I323" s="171">
        <v>1</v>
      </c>
      <c r="J323" s="171">
        <v>1</v>
      </c>
      <c r="K323" s="171">
        <v>1</v>
      </c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  <c r="AF323" s="171"/>
      <c r="AG323" s="171"/>
      <c r="AH323" s="171"/>
      <c r="AI323" s="171"/>
      <c r="AJ323" s="171">
        <v>1</v>
      </c>
      <c r="AK323" s="171"/>
      <c r="AL323" s="171"/>
      <c r="AM323" s="22"/>
      <c r="AN323" s="22">
        <f t="shared" si="3"/>
        <v>7</v>
      </c>
      <c r="AO323" s="171"/>
    </row>
    <row r="324" spans="1:41" ht="15.75" customHeight="1">
      <c r="A324" s="167" t="s">
        <v>906</v>
      </c>
      <c r="B324" s="22" t="s">
        <v>905</v>
      </c>
      <c r="C324" s="168">
        <v>1</v>
      </c>
      <c r="D324" s="169" t="b">
        <v>1</v>
      </c>
      <c r="E324" s="170" t="s">
        <v>1741</v>
      </c>
      <c r="F324" s="171">
        <v>1</v>
      </c>
      <c r="G324" s="171">
        <v>1</v>
      </c>
      <c r="H324" s="171">
        <v>1</v>
      </c>
      <c r="I324" s="171">
        <v>1</v>
      </c>
      <c r="J324" s="171">
        <v>1</v>
      </c>
      <c r="K324" s="171">
        <v>1</v>
      </c>
      <c r="L324" s="171"/>
      <c r="M324" s="171">
        <v>1</v>
      </c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  <c r="AE324" s="171"/>
      <c r="AF324" s="171"/>
      <c r="AG324" s="171"/>
      <c r="AH324" s="171"/>
      <c r="AI324" s="171"/>
      <c r="AJ324" s="171"/>
      <c r="AK324" s="171"/>
      <c r="AL324" s="171"/>
      <c r="AM324" s="22"/>
      <c r="AN324" s="22">
        <f t="shared" si="3"/>
        <v>7</v>
      </c>
      <c r="AO324" s="171"/>
    </row>
    <row r="325" spans="1:41" ht="15.75" customHeight="1">
      <c r="A325" s="167" t="s">
        <v>924</v>
      </c>
      <c r="B325" s="22" t="s">
        <v>923</v>
      </c>
      <c r="C325" s="168">
        <v>1</v>
      </c>
      <c r="D325" s="169" t="b">
        <v>1</v>
      </c>
      <c r="E325" s="170" t="s">
        <v>1742</v>
      </c>
      <c r="F325" s="171">
        <v>1</v>
      </c>
      <c r="G325" s="171">
        <v>1</v>
      </c>
      <c r="H325" s="171">
        <v>1</v>
      </c>
      <c r="I325" s="171">
        <v>1</v>
      </c>
      <c r="J325" s="171">
        <v>1</v>
      </c>
      <c r="K325" s="171">
        <v>2</v>
      </c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  <c r="AE325" s="171"/>
      <c r="AF325" s="171"/>
      <c r="AG325" s="171"/>
      <c r="AH325" s="171"/>
      <c r="AI325" s="171"/>
      <c r="AJ325" s="171"/>
      <c r="AK325" s="171"/>
      <c r="AL325" s="171"/>
      <c r="AM325" s="22"/>
      <c r="AN325" s="22">
        <f t="shared" si="3"/>
        <v>7</v>
      </c>
      <c r="AO325" s="171"/>
    </row>
    <row r="326" spans="1:41" ht="15.75" customHeight="1">
      <c r="A326" s="167" t="s">
        <v>928</v>
      </c>
      <c r="B326" s="22" t="s">
        <v>927</v>
      </c>
      <c r="C326" s="168">
        <v>1</v>
      </c>
      <c r="D326" s="169" t="b">
        <v>1</v>
      </c>
      <c r="E326" s="174" t="s">
        <v>1743</v>
      </c>
      <c r="F326" s="179">
        <v>1</v>
      </c>
      <c r="G326" s="179">
        <v>1</v>
      </c>
      <c r="H326" s="171">
        <v>1</v>
      </c>
      <c r="I326" s="179">
        <v>1</v>
      </c>
      <c r="J326" s="171">
        <v>1</v>
      </c>
      <c r="K326" s="171"/>
      <c r="L326" s="171">
        <v>1</v>
      </c>
      <c r="M326" s="171"/>
      <c r="N326" s="171"/>
      <c r="O326" s="171"/>
      <c r="P326" s="179">
        <v>1</v>
      </c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  <c r="AA326" s="171"/>
      <c r="AB326" s="171"/>
      <c r="AC326" s="171"/>
      <c r="AD326" s="171"/>
      <c r="AE326" s="171"/>
      <c r="AF326" s="171"/>
      <c r="AG326" s="171"/>
      <c r="AH326" s="171"/>
      <c r="AI326" s="171"/>
      <c r="AJ326" s="171"/>
      <c r="AK326" s="171"/>
      <c r="AL326" s="171"/>
      <c r="AM326" s="22"/>
      <c r="AN326" s="22">
        <f t="shared" si="3"/>
        <v>7</v>
      </c>
      <c r="AO326" s="171"/>
    </row>
    <row r="327" spans="1:41" ht="15.75" customHeight="1">
      <c r="A327" s="167" t="s">
        <v>934</v>
      </c>
      <c r="B327" s="22" t="s">
        <v>933</v>
      </c>
      <c r="C327" s="168">
        <v>1</v>
      </c>
      <c r="D327" s="169" t="b">
        <v>1</v>
      </c>
      <c r="E327" s="170" t="s">
        <v>1744</v>
      </c>
      <c r="F327" s="171">
        <v>1</v>
      </c>
      <c r="G327" s="171">
        <v>1</v>
      </c>
      <c r="H327" s="171">
        <v>1</v>
      </c>
      <c r="I327" s="171">
        <v>1</v>
      </c>
      <c r="J327" s="171">
        <v>1</v>
      </c>
      <c r="K327" s="171"/>
      <c r="L327" s="171">
        <v>1</v>
      </c>
      <c r="M327" s="171"/>
      <c r="N327" s="171"/>
      <c r="O327" s="171"/>
      <c r="P327" s="171">
        <v>1</v>
      </c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  <c r="AE327" s="171"/>
      <c r="AF327" s="171"/>
      <c r="AG327" s="171"/>
      <c r="AH327" s="171"/>
      <c r="AI327" s="171"/>
      <c r="AJ327" s="171"/>
      <c r="AK327" s="171"/>
      <c r="AL327" s="171"/>
      <c r="AM327" s="22"/>
      <c r="AN327" s="22">
        <f t="shared" si="3"/>
        <v>7</v>
      </c>
      <c r="AO327" s="171"/>
    </row>
    <row r="328" spans="1:41" ht="15.75" customHeight="1">
      <c r="A328" s="167" t="s">
        <v>942</v>
      </c>
      <c r="B328" s="22" t="s">
        <v>941</v>
      </c>
      <c r="C328" s="168">
        <v>1</v>
      </c>
      <c r="D328" s="169" t="b">
        <v>1</v>
      </c>
      <c r="E328" s="170" t="s">
        <v>1745</v>
      </c>
      <c r="F328" s="171">
        <v>1</v>
      </c>
      <c r="G328" s="171">
        <v>1</v>
      </c>
      <c r="H328" s="171">
        <v>1</v>
      </c>
      <c r="I328" s="171">
        <v>1</v>
      </c>
      <c r="J328" s="171">
        <v>1</v>
      </c>
      <c r="K328" s="171"/>
      <c r="L328" s="171"/>
      <c r="M328" s="171">
        <v>1</v>
      </c>
      <c r="N328" s="171"/>
      <c r="O328" s="171">
        <v>1</v>
      </c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/>
      <c r="AC328" s="171"/>
      <c r="AD328" s="171"/>
      <c r="AE328" s="171"/>
      <c r="AF328" s="171"/>
      <c r="AG328" s="171"/>
      <c r="AH328" s="171"/>
      <c r="AI328" s="171"/>
      <c r="AJ328" s="171"/>
      <c r="AK328" s="171"/>
      <c r="AL328" s="171"/>
      <c r="AM328" s="22"/>
      <c r="AN328" s="22">
        <f t="shared" si="3"/>
        <v>7</v>
      </c>
      <c r="AO328" s="171"/>
    </row>
    <row r="329" spans="1:41" ht="15.75" customHeight="1">
      <c r="A329" s="167" t="s">
        <v>944</v>
      </c>
      <c r="B329" s="22" t="s">
        <v>943</v>
      </c>
      <c r="C329" s="168">
        <v>1</v>
      </c>
      <c r="D329" s="169" t="b">
        <v>1</v>
      </c>
      <c r="E329" s="170" t="s">
        <v>1460</v>
      </c>
      <c r="F329" s="171">
        <v>1</v>
      </c>
      <c r="G329" s="171">
        <v>1</v>
      </c>
      <c r="H329" s="171">
        <v>1</v>
      </c>
      <c r="I329" s="171">
        <v>1</v>
      </c>
      <c r="J329" s="171">
        <v>1</v>
      </c>
      <c r="K329" s="171">
        <v>1</v>
      </c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1"/>
      <c r="AD329" s="171"/>
      <c r="AE329" s="171"/>
      <c r="AF329" s="171"/>
      <c r="AG329" s="171"/>
      <c r="AH329" s="171"/>
      <c r="AI329" s="171"/>
      <c r="AJ329" s="171"/>
      <c r="AK329" s="171">
        <v>1</v>
      </c>
      <c r="AL329" s="171"/>
      <c r="AM329" s="22"/>
      <c r="AN329" s="22">
        <f t="shared" si="3"/>
        <v>7</v>
      </c>
      <c r="AO329" s="171"/>
    </row>
    <row r="330" spans="1:41" ht="15.75" customHeight="1">
      <c r="A330" s="167" t="s">
        <v>952</v>
      </c>
      <c r="B330" s="22" t="s">
        <v>951</v>
      </c>
      <c r="C330" s="168">
        <v>1</v>
      </c>
      <c r="D330" s="169" t="b">
        <v>1</v>
      </c>
      <c r="E330" s="174" t="s">
        <v>1746</v>
      </c>
      <c r="F330" s="171">
        <v>1</v>
      </c>
      <c r="G330" s="171">
        <v>1</v>
      </c>
      <c r="H330" s="171">
        <v>1</v>
      </c>
      <c r="I330" s="171">
        <v>1</v>
      </c>
      <c r="J330" s="171">
        <v>1</v>
      </c>
      <c r="K330" s="171">
        <v>1</v>
      </c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  <c r="AA330" s="171"/>
      <c r="AB330" s="171"/>
      <c r="AC330" s="171"/>
      <c r="AD330" s="171">
        <v>1</v>
      </c>
      <c r="AE330" s="171"/>
      <c r="AF330" s="171"/>
      <c r="AG330" s="171"/>
      <c r="AH330" s="171"/>
      <c r="AI330" s="171"/>
      <c r="AJ330" s="171"/>
      <c r="AK330" s="171"/>
      <c r="AL330" s="171"/>
      <c r="AM330" s="22"/>
      <c r="AN330" s="22">
        <f t="shared" si="3"/>
        <v>7</v>
      </c>
      <c r="AO330" s="171"/>
    </row>
    <row r="331" spans="1:41" ht="15.75" customHeight="1">
      <c r="A331" s="167" t="s">
        <v>954</v>
      </c>
      <c r="B331" s="22" t="s">
        <v>953</v>
      </c>
      <c r="C331" s="168">
        <v>1</v>
      </c>
      <c r="D331" s="169" t="b">
        <v>1</v>
      </c>
      <c r="E331" s="170" t="s">
        <v>1747</v>
      </c>
      <c r="F331" s="171">
        <v>1</v>
      </c>
      <c r="G331" s="171">
        <v>1</v>
      </c>
      <c r="H331" s="171">
        <v>1</v>
      </c>
      <c r="I331" s="171">
        <v>1</v>
      </c>
      <c r="J331" s="171">
        <v>1</v>
      </c>
      <c r="K331" s="171"/>
      <c r="L331" s="171"/>
      <c r="M331" s="171"/>
      <c r="N331" s="171"/>
      <c r="O331" s="171">
        <v>1</v>
      </c>
      <c r="P331" s="171"/>
      <c r="Q331" s="171"/>
      <c r="R331" s="171"/>
      <c r="S331" s="171"/>
      <c r="T331" s="171"/>
      <c r="U331" s="171"/>
      <c r="V331" s="171"/>
      <c r="W331" s="171">
        <v>1</v>
      </c>
      <c r="X331" s="171"/>
      <c r="Y331" s="171"/>
      <c r="Z331" s="171"/>
      <c r="AA331" s="171"/>
      <c r="AB331" s="171"/>
      <c r="AC331" s="171"/>
      <c r="AD331" s="171"/>
      <c r="AE331" s="171"/>
      <c r="AF331" s="171"/>
      <c r="AG331" s="171"/>
      <c r="AH331" s="171"/>
      <c r="AI331" s="171"/>
      <c r="AJ331" s="171"/>
      <c r="AK331" s="171"/>
      <c r="AL331" s="171"/>
      <c r="AM331" s="22"/>
      <c r="AN331" s="22">
        <f t="shared" si="3"/>
        <v>7</v>
      </c>
      <c r="AO331" s="171"/>
    </row>
    <row r="332" spans="1:41" ht="15.75" customHeight="1">
      <c r="A332" s="167" t="s">
        <v>958</v>
      </c>
      <c r="B332" s="22" t="s">
        <v>957</v>
      </c>
      <c r="C332" s="168">
        <v>1</v>
      </c>
      <c r="D332" s="169" t="b">
        <v>1</v>
      </c>
      <c r="E332" s="170" t="s">
        <v>1748</v>
      </c>
      <c r="F332" s="171">
        <v>1</v>
      </c>
      <c r="G332" s="171">
        <v>1</v>
      </c>
      <c r="H332" s="171">
        <v>1</v>
      </c>
      <c r="I332" s="171">
        <v>1</v>
      </c>
      <c r="J332" s="171">
        <v>1</v>
      </c>
      <c r="K332" s="171">
        <v>1</v>
      </c>
      <c r="L332" s="171">
        <v>1</v>
      </c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  <c r="AA332" s="171"/>
      <c r="AB332" s="171"/>
      <c r="AC332" s="171"/>
      <c r="AD332" s="171"/>
      <c r="AE332" s="171"/>
      <c r="AF332" s="171"/>
      <c r="AG332" s="171"/>
      <c r="AH332" s="171"/>
      <c r="AI332" s="171"/>
      <c r="AJ332" s="171"/>
      <c r="AK332" s="171"/>
      <c r="AL332" s="171"/>
      <c r="AM332" s="22"/>
      <c r="AN332" s="22">
        <f t="shared" si="3"/>
        <v>7</v>
      </c>
      <c r="AO332" s="171"/>
    </row>
    <row r="333" spans="1:41" ht="15.75" customHeight="1">
      <c r="A333" s="167" t="s">
        <v>962</v>
      </c>
      <c r="B333" s="22" t="s">
        <v>961</v>
      </c>
      <c r="C333" s="168">
        <v>1</v>
      </c>
      <c r="D333" s="169" t="b">
        <v>1</v>
      </c>
      <c r="E333" s="170" t="s">
        <v>1749</v>
      </c>
      <c r="F333" s="171">
        <v>1</v>
      </c>
      <c r="G333" s="171">
        <v>1</v>
      </c>
      <c r="H333" s="171">
        <v>1</v>
      </c>
      <c r="I333" s="171">
        <v>1</v>
      </c>
      <c r="J333" s="171">
        <v>1</v>
      </c>
      <c r="K333" s="171"/>
      <c r="L333" s="171">
        <v>1</v>
      </c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  <c r="AA333" s="171"/>
      <c r="AB333" s="171"/>
      <c r="AC333" s="171"/>
      <c r="AD333" s="171"/>
      <c r="AE333" s="171"/>
      <c r="AF333" s="171"/>
      <c r="AG333" s="171"/>
      <c r="AH333" s="171"/>
      <c r="AI333" s="171"/>
      <c r="AJ333" s="171"/>
      <c r="AK333" s="171"/>
      <c r="AL333" s="171">
        <v>1</v>
      </c>
      <c r="AM333" s="22"/>
      <c r="AN333" s="22">
        <f t="shared" si="3"/>
        <v>7</v>
      </c>
      <c r="AO333" s="171" t="s">
        <v>1750</v>
      </c>
    </row>
    <row r="334" spans="1:41" ht="15.75" customHeight="1">
      <c r="A334" s="167" t="s">
        <v>972</v>
      </c>
      <c r="B334" s="22" t="s">
        <v>971</v>
      </c>
      <c r="C334" s="168">
        <v>1</v>
      </c>
      <c r="D334" s="169" t="b">
        <v>1</v>
      </c>
      <c r="E334" s="170" t="s">
        <v>1751</v>
      </c>
      <c r="F334" s="171">
        <v>1</v>
      </c>
      <c r="G334" s="171">
        <v>1</v>
      </c>
      <c r="H334" s="171">
        <v>1</v>
      </c>
      <c r="I334" s="171">
        <v>1</v>
      </c>
      <c r="J334" s="171">
        <v>1</v>
      </c>
      <c r="K334" s="171">
        <v>2</v>
      </c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1"/>
      <c r="AD334" s="171"/>
      <c r="AE334" s="171"/>
      <c r="AF334" s="171"/>
      <c r="AG334" s="171"/>
      <c r="AH334" s="171"/>
      <c r="AI334" s="171"/>
      <c r="AJ334" s="171"/>
      <c r="AK334" s="171"/>
      <c r="AL334" s="171"/>
      <c r="AM334" s="22"/>
      <c r="AN334" s="22">
        <f t="shared" si="3"/>
        <v>7</v>
      </c>
      <c r="AO334" s="171"/>
    </row>
    <row r="335" spans="1:41" ht="15.75" customHeight="1">
      <c r="A335" s="167" t="s">
        <v>980</v>
      </c>
      <c r="B335" s="22" t="s">
        <v>979</v>
      </c>
      <c r="C335" s="168">
        <v>1</v>
      </c>
      <c r="D335" s="169" t="b">
        <v>1</v>
      </c>
      <c r="E335" s="170" t="s">
        <v>1752</v>
      </c>
      <c r="F335" s="171">
        <v>1</v>
      </c>
      <c r="G335" s="171">
        <v>1</v>
      </c>
      <c r="H335" s="171">
        <v>1</v>
      </c>
      <c r="I335" s="171">
        <v>1</v>
      </c>
      <c r="J335" s="171">
        <v>1</v>
      </c>
      <c r="K335" s="171">
        <v>1</v>
      </c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/>
      <c r="AD335" s="171"/>
      <c r="AE335" s="171"/>
      <c r="AF335" s="171"/>
      <c r="AG335" s="171"/>
      <c r="AH335" s="171"/>
      <c r="AI335" s="171"/>
      <c r="AJ335" s="171"/>
      <c r="AK335" s="171"/>
      <c r="AL335" s="171">
        <v>1</v>
      </c>
      <c r="AM335" s="22"/>
      <c r="AN335" s="22">
        <f t="shared" si="3"/>
        <v>7</v>
      </c>
      <c r="AO335" s="171" t="s">
        <v>1753</v>
      </c>
    </row>
    <row r="336" spans="1:41" ht="15.75" customHeight="1">
      <c r="A336" s="167" t="s">
        <v>984</v>
      </c>
      <c r="B336" s="22" t="s">
        <v>983</v>
      </c>
      <c r="C336" s="168">
        <v>1</v>
      </c>
      <c r="D336" s="169" t="b">
        <v>1</v>
      </c>
      <c r="E336" s="170" t="s">
        <v>1754</v>
      </c>
      <c r="F336" s="171">
        <v>1</v>
      </c>
      <c r="G336" s="171">
        <v>1</v>
      </c>
      <c r="H336" s="171">
        <v>1</v>
      </c>
      <c r="I336" s="171">
        <v>1</v>
      </c>
      <c r="J336" s="171">
        <v>1</v>
      </c>
      <c r="K336" s="171"/>
      <c r="L336" s="171">
        <v>1</v>
      </c>
      <c r="M336" s="171"/>
      <c r="N336" s="171"/>
      <c r="O336" s="171"/>
      <c r="P336" s="171"/>
      <c r="Q336" s="171"/>
      <c r="R336" s="171"/>
      <c r="S336" s="171"/>
      <c r="T336" s="171">
        <v>1</v>
      </c>
      <c r="U336" s="171"/>
      <c r="V336" s="171"/>
      <c r="W336" s="171"/>
      <c r="X336" s="171"/>
      <c r="Y336" s="171"/>
      <c r="Z336" s="171"/>
      <c r="AA336" s="171"/>
      <c r="AB336" s="171"/>
      <c r="AC336" s="171"/>
      <c r="AD336" s="171"/>
      <c r="AE336" s="171"/>
      <c r="AF336" s="171"/>
      <c r="AG336" s="171"/>
      <c r="AH336" s="171"/>
      <c r="AI336" s="171"/>
      <c r="AJ336" s="171"/>
      <c r="AK336" s="171"/>
      <c r="AL336" s="171"/>
      <c r="AM336" s="22"/>
      <c r="AN336" s="22">
        <f t="shared" si="3"/>
        <v>7</v>
      </c>
      <c r="AO336" s="171"/>
    </row>
    <row r="337" spans="1:41" ht="15.75" customHeight="1">
      <c r="A337" s="167" t="s">
        <v>986</v>
      </c>
      <c r="B337" s="22" t="s">
        <v>985</v>
      </c>
      <c r="C337" s="168">
        <v>1</v>
      </c>
      <c r="D337" s="169" t="b">
        <v>1</v>
      </c>
      <c r="E337" s="170" t="s">
        <v>1755</v>
      </c>
      <c r="F337" s="179">
        <v>1</v>
      </c>
      <c r="G337" s="179">
        <v>1</v>
      </c>
      <c r="H337" s="171">
        <v>1</v>
      </c>
      <c r="I337" s="179">
        <v>1</v>
      </c>
      <c r="J337" s="171">
        <v>1</v>
      </c>
      <c r="K337" s="171">
        <v>1</v>
      </c>
      <c r="L337" s="171"/>
      <c r="M337" s="171"/>
      <c r="N337" s="171"/>
      <c r="O337" s="171"/>
      <c r="P337" s="179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1"/>
      <c r="AD337" s="171"/>
      <c r="AE337" s="171"/>
      <c r="AF337" s="171"/>
      <c r="AG337" s="171"/>
      <c r="AH337" s="171"/>
      <c r="AI337" s="171"/>
      <c r="AJ337" s="171"/>
      <c r="AK337" s="171"/>
      <c r="AL337" s="171">
        <v>1</v>
      </c>
      <c r="AM337" s="22"/>
      <c r="AN337" s="22">
        <f t="shared" si="3"/>
        <v>7</v>
      </c>
      <c r="AO337" s="171" t="s">
        <v>1756</v>
      </c>
    </row>
    <row r="338" spans="1:41" ht="15.75" customHeight="1">
      <c r="A338" s="167" t="s">
        <v>1000</v>
      </c>
      <c r="B338" s="22" t="s">
        <v>999</v>
      </c>
      <c r="C338" s="168">
        <v>1</v>
      </c>
      <c r="D338" s="169" t="b">
        <v>1</v>
      </c>
      <c r="E338" s="170" t="s">
        <v>1757</v>
      </c>
      <c r="F338" s="171">
        <v>1</v>
      </c>
      <c r="G338" s="171">
        <v>1</v>
      </c>
      <c r="H338" s="171">
        <v>1</v>
      </c>
      <c r="I338" s="171">
        <v>1</v>
      </c>
      <c r="J338" s="171">
        <v>1</v>
      </c>
      <c r="K338" s="171">
        <v>1</v>
      </c>
      <c r="L338" s="171"/>
      <c r="M338" s="171"/>
      <c r="N338" s="171"/>
      <c r="O338" s="171"/>
      <c r="P338" s="171">
        <v>1</v>
      </c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  <c r="AC338" s="171"/>
      <c r="AD338" s="171"/>
      <c r="AE338" s="171"/>
      <c r="AF338" s="171"/>
      <c r="AG338" s="171"/>
      <c r="AH338" s="171"/>
      <c r="AI338" s="171"/>
      <c r="AJ338" s="171"/>
      <c r="AK338" s="171"/>
      <c r="AL338" s="171"/>
      <c r="AM338" s="22"/>
      <c r="AN338" s="22">
        <f t="shared" si="3"/>
        <v>7</v>
      </c>
      <c r="AO338" s="171"/>
    </row>
    <row r="339" spans="1:41" ht="15.75" customHeight="1">
      <c r="A339" s="167" t="s">
        <v>1004</v>
      </c>
      <c r="B339" s="22" t="s">
        <v>1003</v>
      </c>
      <c r="C339" s="168">
        <v>1</v>
      </c>
      <c r="D339" s="169" t="b">
        <v>1</v>
      </c>
      <c r="E339" s="170" t="s">
        <v>1758</v>
      </c>
      <c r="F339" s="171">
        <v>1</v>
      </c>
      <c r="G339" s="171">
        <v>1</v>
      </c>
      <c r="H339" s="171">
        <v>1</v>
      </c>
      <c r="I339" s="171">
        <v>1</v>
      </c>
      <c r="J339" s="171">
        <v>1</v>
      </c>
      <c r="K339" s="171"/>
      <c r="L339" s="171">
        <v>1</v>
      </c>
      <c r="M339" s="171"/>
      <c r="N339" s="171"/>
      <c r="O339" s="171"/>
      <c r="P339" s="171"/>
      <c r="Q339" s="171"/>
      <c r="R339" s="171"/>
      <c r="S339" s="171"/>
      <c r="T339" s="171"/>
      <c r="U339" s="171">
        <v>1</v>
      </c>
      <c r="V339" s="171"/>
      <c r="W339" s="171"/>
      <c r="X339" s="171"/>
      <c r="Y339" s="171"/>
      <c r="Z339" s="171"/>
      <c r="AA339" s="171"/>
      <c r="AB339" s="171"/>
      <c r="AC339" s="171"/>
      <c r="AD339" s="171"/>
      <c r="AE339" s="171"/>
      <c r="AF339" s="171"/>
      <c r="AG339" s="171"/>
      <c r="AH339" s="171"/>
      <c r="AI339" s="171"/>
      <c r="AJ339" s="171"/>
      <c r="AK339" s="171"/>
      <c r="AL339" s="171"/>
      <c r="AM339" s="22"/>
      <c r="AN339" s="22">
        <f t="shared" si="3"/>
        <v>7</v>
      </c>
      <c r="AO339" s="171"/>
    </row>
    <row r="340" spans="1:41" ht="15.75" customHeight="1">
      <c r="A340" s="167" t="s">
        <v>1020</v>
      </c>
      <c r="B340" s="22" t="s">
        <v>1019</v>
      </c>
      <c r="C340" s="168">
        <v>1</v>
      </c>
      <c r="D340" s="169" t="b">
        <v>1</v>
      </c>
      <c r="E340" s="170" t="s">
        <v>1580</v>
      </c>
      <c r="F340" s="171">
        <v>1</v>
      </c>
      <c r="G340" s="171">
        <v>1</v>
      </c>
      <c r="H340" s="171">
        <v>1</v>
      </c>
      <c r="I340" s="171">
        <v>1</v>
      </c>
      <c r="J340" s="171">
        <v>1</v>
      </c>
      <c r="K340" s="171">
        <v>1</v>
      </c>
      <c r="L340" s="171">
        <v>1</v>
      </c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1"/>
      <c r="AD340" s="171"/>
      <c r="AE340" s="171"/>
      <c r="AF340" s="171"/>
      <c r="AG340" s="171"/>
      <c r="AH340" s="171"/>
      <c r="AI340" s="171"/>
      <c r="AJ340" s="171"/>
      <c r="AK340" s="171"/>
      <c r="AL340" s="171"/>
      <c r="AM340" s="22"/>
      <c r="AN340" s="22">
        <f t="shared" si="3"/>
        <v>7</v>
      </c>
      <c r="AO340" s="171"/>
    </row>
    <row r="341" spans="1:41" ht="15.75" customHeight="1">
      <c r="A341" s="167" t="s">
        <v>1022</v>
      </c>
      <c r="B341" s="22" t="s">
        <v>1021</v>
      </c>
      <c r="C341" s="168">
        <v>1</v>
      </c>
      <c r="D341" s="169" t="b">
        <v>1</v>
      </c>
      <c r="E341" s="170" t="s">
        <v>1455</v>
      </c>
      <c r="F341" s="171">
        <v>1</v>
      </c>
      <c r="G341" s="171">
        <v>1</v>
      </c>
      <c r="H341" s="171">
        <v>1</v>
      </c>
      <c r="I341" s="171">
        <v>1</v>
      </c>
      <c r="J341" s="171">
        <v>1</v>
      </c>
      <c r="K341" s="171">
        <v>2</v>
      </c>
      <c r="L341" s="171"/>
      <c r="M341" s="171"/>
      <c r="N341" s="171"/>
      <c r="O341" s="171"/>
      <c r="P341" s="171"/>
      <c r="Q341" s="171"/>
      <c r="R341" s="171"/>
      <c r="S341" s="171"/>
      <c r="T341" s="171"/>
      <c r="U341" s="171"/>
      <c r="V341" s="171"/>
      <c r="W341" s="171"/>
      <c r="X341" s="171"/>
      <c r="Y341" s="171"/>
      <c r="Z341" s="171"/>
      <c r="AA341" s="171"/>
      <c r="AB341" s="171"/>
      <c r="AC341" s="171"/>
      <c r="AD341" s="171"/>
      <c r="AE341" s="171"/>
      <c r="AF341" s="171"/>
      <c r="AG341" s="171"/>
      <c r="AH341" s="171"/>
      <c r="AI341" s="171"/>
      <c r="AJ341" s="171"/>
      <c r="AK341" s="171"/>
      <c r="AL341" s="171"/>
      <c r="AM341" s="22"/>
      <c r="AN341" s="22">
        <f t="shared" si="3"/>
        <v>7</v>
      </c>
      <c r="AO341" s="171"/>
    </row>
    <row r="342" spans="1:41" ht="15.75" customHeight="1">
      <c r="A342" s="167" t="s">
        <v>1036</v>
      </c>
      <c r="B342" s="22" t="s">
        <v>1035</v>
      </c>
      <c r="C342" s="168">
        <v>1</v>
      </c>
      <c r="D342" s="169" t="b">
        <v>1</v>
      </c>
      <c r="E342" s="170" t="s">
        <v>1460</v>
      </c>
      <c r="F342" s="171">
        <v>1</v>
      </c>
      <c r="G342" s="171">
        <v>1</v>
      </c>
      <c r="H342" s="171">
        <v>1</v>
      </c>
      <c r="I342" s="171">
        <v>1</v>
      </c>
      <c r="J342" s="171">
        <v>1</v>
      </c>
      <c r="K342" s="171">
        <v>1</v>
      </c>
      <c r="L342" s="171"/>
      <c r="M342" s="171"/>
      <c r="N342" s="171"/>
      <c r="O342" s="171"/>
      <c r="P342" s="171"/>
      <c r="Q342" s="171"/>
      <c r="R342" s="171"/>
      <c r="S342" s="171"/>
      <c r="T342" s="171"/>
      <c r="U342" s="171"/>
      <c r="V342" s="171"/>
      <c r="W342" s="171"/>
      <c r="X342" s="171"/>
      <c r="Y342" s="171"/>
      <c r="Z342" s="171"/>
      <c r="AA342" s="171"/>
      <c r="AB342" s="171"/>
      <c r="AC342" s="171"/>
      <c r="AD342" s="171"/>
      <c r="AE342" s="171"/>
      <c r="AF342" s="171"/>
      <c r="AG342" s="171"/>
      <c r="AH342" s="171"/>
      <c r="AI342" s="171"/>
      <c r="AJ342" s="171"/>
      <c r="AK342" s="171">
        <v>1</v>
      </c>
      <c r="AL342" s="171"/>
      <c r="AM342" s="22"/>
      <c r="AN342" s="22">
        <f t="shared" si="3"/>
        <v>7</v>
      </c>
      <c r="AO342" s="171"/>
    </row>
    <row r="343" spans="1:41" ht="15.75" customHeight="1">
      <c r="A343" s="167" t="s">
        <v>1050</v>
      </c>
      <c r="B343" s="22" t="s">
        <v>1049</v>
      </c>
      <c r="C343" s="168">
        <v>1</v>
      </c>
      <c r="D343" s="169" t="b">
        <v>1</v>
      </c>
      <c r="E343" s="174" t="s">
        <v>1759</v>
      </c>
      <c r="F343" s="171">
        <v>1</v>
      </c>
      <c r="G343" s="171">
        <v>1</v>
      </c>
      <c r="H343" s="171">
        <v>1</v>
      </c>
      <c r="I343" s="171">
        <v>1</v>
      </c>
      <c r="J343" s="171">
        <v>1</v>
      </c>
      <c r="K343" s="171"/>
      <c r="L343" s="171">
        <v>1</v>
      </c>
      <c r="M343" s="171"/>
      <c r="N343" s="171"/>
      <c r="O343" s="171"/>
      <c r="P343" s="171"/>
      <c r="Q343" s="171"/>
      <c r="R343" s="171"/>
      <c r="S343" s="171"/>
      <c r="T343" s="171"/>
      <c r="U343" s="171"/>
      <c r="V343" s="171"/>
      <c r="W343" s="171"/>
      <c r="X343" s="171"/>
      <c r="Y343" s="171"/>
      <c r="Z343" s="171"/>
      <c r="AA343" s="171"/>
      <c r="AB343" s="171"/>
      <c r="AC343" s="171"/>
      <c r="AD343" s="171"/>
      <c r="AE343" s="171"/>
      <c r="AF343" s="171"/>
      <c r="AG343" s="171"/>
      <c r="AH343" s="171"/>
      <c r="AI343" s="171"/>
      <c r="AJ343" s="171"/>
      <c r="AK343" s="171"/>
      <c r="AL343" s="171">
        <v>1</v>
      </c>
      <c r="AM343" s="22"/>
      <c r="AN343" s="22">
        <f t="shared" si="3"/>
        <v>7</v>
      </c>
      <c r="AO343" s="171" t="s">
        <v>1610</v>
      </c>
    </row>
    <row r="344" spans="1:41" ht="15.75" customHeight="1">
      <c r="A344" s="167" t="s">
        <v>1058</v>
      </c>
      <c r="B344" s="22" t="s">
        <v>1057</v>
      </c>
      <c r="C344" s="168">
        <v>1</v>
      </c>
      <c r="D344" s="169" t="b">
        <v>1</v>
      </c>
      <c r="E344" s="170" t="s">
        <v>1760</v>
      </c>
      <c r="F344" s="171">
        <v>1</v>
      </c>
      <c r="G344" s="171">
        <v>1</v>
      </c>
      <c r="H344" s="171">
        <v>1</v>
      </c>
      <c r="I344" s="171">
        <v>1</v>
      </c>
      <c r="J344" s="171">
        <v>1</v>
      </c>
      <c r="K344" s="171">
        <v>1</v>
      </c>
      <c r="L344" s="171"/>
      <c r="M344" s="171">
        <v>1</v>
      </c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  <c r="AC344" s="171"/>
      <c r="AD344" s="171"/>
      <c r="AE344" s="171"/>
      <c r="AF344" s="171"/>
      <c r="AG344" s="171"/>
      <c r="AH344" s="171"/>
      <c r="AI344" s="171"/>
      <c r="AJ344" s="171"/>
      <c r="AK344" s="171"/>
      <c r="AL344" s="171"/>
      <c r="AM344" s="22"/>
      <c r="AN344" s="22">
        <f t="shared" si="3"/>
        <v>7</v>
      </c>
      <c r="AO344" s="171"/>
    </row>
    <row r="345" spans="1:41" ht="15.75" customHeight="1">
      <c r="A345" s="167" t="s">
        <v>1064</v>
      </c>
      <c r="B345" s="22" t="s">
        <v>1063</v>
      </c>
      <c r="C345" s="168">
        <v>1</v>
      </c>
      <c r="D345" s="169" t="b">
        <v>1</v>
      </c>
      <c r="E345" s="170" t="s">
        <v>1761</v>
      </c>
      <c r="F345" s="171">
        <v>1</v>
      </c>
      <c r="G345" s="171">
        <v>1</v>
      </c>
      <c r="H345" s="171">
        <v>1</v>
      </c>
      <c r="I345" s="171">
        <v>1</v>
      </c>
      <c r="J345" s="171">
        <v>1</v>
      </c>
      <c r="K345" s="171"/>
      <c r="L345" s="171">
        <v>1</v>
      </c>
      <c r="M345" s="171"/>
      <c r="N345" s="171"/>
      <c r="O345" s="171">
        <v>1</v>
      </c>
      <c r="P345" s="171"/>
      <c r="Q345" s="171"/>
      <c r="R345" s="171"/>
      <c r="S345" s="171"/>
      <c r="T345" s="171"/>
      <c r="U345" s="171"/>
      <c r="V345" s="171"/>
      <c r="W345" s="171"/>
      <c r="X345" s="171"/>
      <c r="Y345" s="171"/>
      <c r="Z345" s="171"/>
      <c r="AA345" s="171"/>
      <c r="AB345" s="171"/>
      <c r="AC345" s="171"/>
      <c r="AD345" s="171"/>
      <c r="AE345" s="171"/>
      <c r="AF345" s="171"/>
      <c r="AG345" s="171"/>
      <c r="AH345" s="171"/>
      <c r="AI345" s="171"/>
      <c r="AJ345" s="171"/>
      <c r="AK345" s="171"/>
      <c r="AL345" s="171"/>
      <c r="AM345" s="22"/>
      <c r="AN345" s="22">
        <f t="shared" si="3"/>
        <v>7</v>
      </c>
      <c r="AO345" s="171"/>
    </row>
    <row r="346" spans="1:41" ht="15.75" customHeight="1">
      <c r="A346" s="167" t="s">
        <v>1072</v>
      </c>
      <c r="B346" s="22" t="s">
        <v>1071</v>
      </c>
      <c r="C346" s="168">
        <v>1</v>
      </c>
      <c r="D346" s="169" t="b">
        <v>1</v>
      </c>
      <c r="E346" s="170" t="s">
        <v>1762</v>
      </c>
      <c r="F346" s="171">
        <v>1</v>
      </c>
      <c r="G346" s="171">
        <v>1</v>
      </c>
      <c r="H346" s="171">
        <v>1</v>
      </c>
      <c r="I346" s="171">
        <v>1</v>
      </c>
      <c r="J346" s="171">
        <v>1</v>
      </c>
      <c r="K346" s="171">
        <v>2</v>
      </c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  <c r="AE346" s="171"/>
      <c r="AF346" s="171"/>
      <c r="AG346" s="171"/>
      <c r="AH346" s="171"/>
      <c r="AI346" s="171"/>
      <c r="AJ346" s="171"/>
      <c r="AK346" s="171"/>
      <c r="AL346" s="171"/>
      <c r="AM346" s="22"/>
      <c r="AN346" s="22">
        <f t="shared" si="3"/>
        <v>7</v>
      </c>
      <c r="AO346" s="171"/>
    </row>
    <row r="347" spans="1:41" ht="15.75" customHeight="1">
      <c r="A347" s="167" t="s">
        <v>1076</v>
      </c>
      <c r="B347" s="22" t="s">
        <v>1075</v>
      </c>
      <c r="C347" s="168">
        <v>1</v>
      </c>
      <c r="D347" s="169" t="b">
        <v>1</v>
      </c>
      <c r="E347" s="170" t="s">
        <v>1455</v>
      </c>
      <c r="F347" s="171">
        <v>1</v>
      </c>
      <c r="G347" s="171">
        <v>1</v>
      </c>
      <c r="H347" s="171">
        <v>1</v>
      </c>
      <c r="I347" s="171">
        <v>1</v>
      </c>
      <c r="J347" s="171">
        <v>1</v>
      </c>
      <c r="K347" s="171">
        <v>1</v>
      </c>
      <c r="L347" s="171"/>
      <c r="M347" s="171"/>
      <c r="N347" s="171"/>
      <c r="O347" s="171"/>
      <c r="P347" s="171"/>
      <c r="Q347" s="171"/>
      <c r="R347" s="171"/>
      <c r="S347" s="171"/>
      <c r="T347" s="171"/>
      <c r="U347" s="171">
        <v>1</v>
      </c>
      <c r="V347" s="171"/>
      <c r="W347" s="171"/>
      <c r="X347" s="171"/>
      <c r="Y347" s="171"/>
      <c r="Z347" s="171"/>
      <c r="AA347" s="171"/>
      <c r="AB347" s="171"/>
      <c r="AC347" s="171"/>
      <c r="AD347" s="171"/>
      <c r="AE347" s="171"/>
      <c r="AF347" s="171"/>
      <c r="AG347" s="171"/>
      <c r="AH347" s="171"/>
      <c r="AI347" s="171"/>
      <c r="AJ347" s="171"/>
      <c r="AK347" s="171"/>
      <c r="AL347" s="171"/>
      <c r="AM347" s="22"/>
      <c r="AN347" s="22">
        <f t="shared" si="3"/>
        <v>7</v>
      </c>
      <c r="AO347" s="171"/>
    </row>
    <row r="348" spans="1:41" ht="15.75" customHeight="1">
      <c r="A348" s="167" t="s">
        <v>1104</v>
      </c>
      <c r="B348" s="22" t="s">
        <v>1103</v>
      </c>
      <c r="C348" s="168">
        <v>1</v>
      </c>
      <c r="D348" s="169" t="b">
        <v>1</v>
      </c>
      <c r="E348" s="170" t="s">
        <v>1763</v>
      </c>
      <c r="F348" s="171">
        <v>1</v>
      </c>
      <c r="G348" s="171">
        <v>1</v>
      </c>
      <c r="H348" s="171">
        <v>1</v>
      </c>
      <c r="I348" s="171">
        <v>1</v>
      </c>
      <c r="J348" s="171">
        <v>1</v>
      </c>
      <c r="K348" s="171">
        <v>1</v>
      </c>
      <c r="L348" s="171">
        <v>1</v>
      </c>
      <c r="M348" s="171"/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  <c r="AC348" s="171"/>
      <c r="AD348" s="171"/>
      <c r="AE348" s="171"/>
      <c r="AF348" s="171"/>
      <c r="AG348" s="171"/>
      <c r="AH348" s="171"/>
      <c r="AI348" s="171"/>
      <c r="AJ348" s="171"/>
      <c r="AK348" s="171"/>
      <c r="AL348" s="171"/>
      <c r="AM348" s="22"/>
      <c r="AN348" s="22">
        <f t="shared" si="3"/>
        <v>7</v>
      </c>
      <c r="AO348" s="171"/>
    </row>
    <row r="349" spans="1:41" ht="15.75" customHeight="1">
      <c r="A349" s="167" t="s">
        <v>1110</v>
      </c>
      <c r="B349" s="22" t="s">
        <v>1109</v>
      </c>
      <c r="C349" s="168">
        <v>1</v>
      </c>
      <c r="D349" s="169" t="b">
        <v>1</v>
      </c>
      <c r="E349" s="170" t="s">
        <v>1764</v>
      </c>
      <c r="F349" s="171">
        <v>1</v>
      </c>
      <c r="G349" s="171">
        <v>1</v>
      </c>
      <c r="H349" s="171">
        <v>1</v>
      </c>
      <c r="I349" s="171">
        <v>1</v>
      </c>
      <c r="J349" s="171">
        <v>1</v>
      </c>
      <c r="K349" s="171">
        <v>1</v>
      </c>
      <c r="L349" s="171"/>
      <c r="M349" s="171"/>
      <c r="N349" s="171"/>
      <c r="O349" s="171">
        <v>1</v>
      </c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/>
      <c r="AD349" s="171"/>
      <c r="AE349" s="171"/>
      <c r="AF349" s="171"/>
      <c r="AG349" s="171"/>
      <c r="AH349" s="171"/>
      <c r="AI349" s="171"/>
      <c r="AJ349" s="171"/>
      <c r="AK349" s="171"/>
      <c r="AL349" s="171"/>
      <c r="AM349" s="22"/>
      <c r="AN349" s="22">
        <f t="shared" si="3"/>
        <v>7</v>
      </c>
      <c r="AO349" s="171"/>
    </row>
    <row r="350" spans="1:41" ht="15.75" customHeight="1">
      <c r="A350" s="167" t="s">
        <v>1122</v>
      </c>
      <c r="B350" s="22" t="s">
        <v>1121</v>
      </c>
      <c r="C350" s="168">
        <v>1</v>
      </c>
      <c r="D350" s="169" t="b">
        <v>1</v>
      </c>
      <c r="E350" s="170" t="s">
        <v>1765</v>
      </c>
      <c r="F350" s="171">
        <v>1</v>
      </c>
      <c r="G350" s="171">
        <v>1</v>
      </c>
      <c r="H350" s="171">
        <v>1</v>
      </c>
      <c r="I350" s="171">
        <v>1</v>
      </c>
      <c r="J350" s="171">
        <v>1</v>
      </c>
      <c r="K350" s="171"/>
      <c r="L350" s="171"/>
      <c r="M350" s="171">
        <v>1</v>
      </c>
      <c r="N350" s="171"/>
      <c r="O350" s="171"/>
      <c r="P350" s="171">
        <v>1</v>
      </c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  <c r="AC350" s="171"/>
      <c r="AD350" s="171"/>
      <c r="AE350" s="171"/>
      <c r="AF350" s="171"/>
      <c r="AG350" s="171"/>
      <c r="AH350" s="171"/>
      <c r="AI350" s="171"/>
      <c r="AJ350" s="171"/>
      <c r="AK350" s="171"/>
      <c r="AL350" s="171"/>
      <c r="AM350" s="22"/>
      <c r="AN350" s="22">
        <f t="shared" si="3"/>
        <v>7</v>
      </c>
      <c r="AO350" s="171"/>
    </row>
    <row r="351" spans="1:41" ht="15.75" customHeight="1">
      <c r="A351" s="167" t="s">
        <v>1130</v>
      </c>
      <c r="B351" s="22" t="s">
        <v>1129</v>
      </c>
      <c r="C351" s="168">
        <v>1</v>
      </c>
      <c r="D351" s="169" t="b">
        <v>1</v>
      </c>
      <c r="E351" s="170" t="s">
        <v>1766</v>
      </c>
      <c r="F351" s="171">
        <v>1</v>
      </c>
      <c r="G351" s="171">
        <v>1</v>
      </c>
      <c r="H351" s="171">
        <v>1</v>
      </c>
      <c r="I351" s="171">
        <v>1</v>
      </c>
      <c r="J351" s="171">
        <v>1</v>
      </c>
      <c r="K351" s="171">
        <v>2</v>
      </c>
      <c r="L351" s="171"/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1"/>
      <c r="AD351" s="171"/>
      <c r="AE351" s="171"/>
      <c r="AF351" s="171"/>
      <c r="AG351" s="171"/>
      <c r="AH351" s="171"/>
      <c r="AI351" s="171"/>
      <c r="AJ351" s="171"/>
      <c r="AK351" s="171"/>
      <c r="AL351" s="171"/>
      <c r="AM351" s="22"/>
      <c r="AN351" s="22">
        <f t="shared" si="3"/>
        <v>7</v>
      </c>
      <c r="AO351" s="171"/>
    </row>
    <row r="352" spans="1:41" ht="15.75" customHeight="1">
      <c r="A352" s="167" t="s">
        <v>1132</v>
      </c>
      <c r="B352" s="22" t="s">
        <v>1131</v>
      </c>
      <c r="C352" s="168">
        <v>1</v>
      </c>
      <c r="D352" s="169" t="b">
        <v>1</v>
      </c>
      <c r="E352" s="170" t="s">
        <v>1767</v>
      </c>
      <c r="F352" s="171">
        <v>1</v>
      </c>
      <c r="G352" s="171">
        <v>1</v>
      </c>
      <c r="H352" s="171">
        <v>1</v>
      </c>
      <c r="I352" s="171">
        <v>1</v>
      </c>
      <c r="J352" s="171">
        <v>1</v>
      </c>
      <c r="K352" s="171"/>
      <c r="L352" s="171">
        <v>1</v>
      </c>
      <c r="M352" s="171">
        <v>1</v>
      </c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/>
      <c r="AC352" s="171"/>
      <c r="AD352" s="171"/>
      <c r="AE352" s="171"/>
      <c r="AF352" s="171"/>
      <c r="AG352" s="171"/>
      <c r="AH352" s="171"/>
      <c r="AI352" s="171"/>
      <c r="AJ352" s="171"/>
      <c r="AK352" s="171"/>
      <c r="AL352" s="171"/>
      <c r="AM352" s="22"/>
      <c r="AN352" s="22">
        <f t="shared" si="3"/>
        <v>7</v>
      </c>
      <c r="AO352" s="171"/>
    </row>
    <row r="353" spans="1:41" ht="15.75" customHeight="1">
      <c r="A353" s="167" t="s">
        <v>1140</v>
      </c>
      <c r="B353" s="22" t="s">
        <v>1139</v>
      </c>
      <c r="C353" s="168">
        <v>1</v>
      </c>
      <c r="D353" s="169" t="b">
        <v>1</v>
      </c>
      <c r="E353" s="170" t="s">
        <v>1421</v>
      </c>
      <c r="F353" s="171"/>
      <c r="G353" s="171"/>
      <c r="H353" s="171"/>
      <c r="I353" s="171">
        <v>1</v>
      </c>
      <c r="J353" s="171"/>
      <c r="K353" s="171">
        <v>1</v>
      </c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>
        <v>1</v>
      </c>
      <c r="Z353" s="171">
        <v>1</v>
      </c>
      <c r="AA353" s="171">
        <v>1</v>
      </c>
      <c r="AB353" s="171">
        <v>1</v>
      </c>
      <c r="AC353" s="171"/>
      <c r="AD353" s="171"/>
      <c r="AE353" s="171"/>
      <c r="AF353" s="171">
        <v>1</v>
      </c>
      <c r="AG353" s="171"/>
      <c r="AH353" s="171"/>
      <c r="AI353" s="171"/>
      <c r="AJ353" s="171"/>
      <c r="AK353" s="171"/>
      <c r="AL353" s="171"/>
      <c r="AM353" s="22"/>
      <c r="AN353" s="22">
        <f t="shared" si="3"/>
        <v>7</v>
      </c>
      <c r="AO353" s="171"/>
    </row>
    <row r="354" spans="1:41" ht="15.75" customHeight="1">
      <c r="A354" s="167" t="s">
        <v>1143</v>
      </c>
      <c r="B354" s="22" t="s">
        <v>1142</v>
      </c>
      <c r="C354" s="168">
        <v>1</v>
      </c>
      <c r="D354" s="169" t="b">
        <v>1</v>
      </c>
      <c r="E354" s="170" t="s">
        <v>1421</v>
      </c>
      <c r="F354" s="171"/>
      <c r="G354" s="171"/>
      <c r="H354" s="171"/>
      <c r="I354" s="171">
        <v>1</v>
      </c>
      <c r="J354" s="171"/>
      <c r="K354" s="171"/>
      <c r="L354" s="171"/>
      <c r="M354" s="171"/>
      <c r="N354" s="171"/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>
        <v>1</v>
      </c>
      <c r="Z354" s="171">
        <v>1</v>
      </c>
      <c r="AA354" s="171"/>
      <c r="AB354" s="171">
        <v>1</v>
      </c>
      <c r="AC354" s="171"/>
      <c r="AD354" s="171"/>
      <c r="AE354" s="171">
        <v>1</v>
      </c>
      <c r="AF354" s="171">
        <v>1</v>
      </c>
      <c r="AG354" s="171"/>
      <c r="AH354" s="171"/>
      <c r="AI354" s="171"/>
      <c r="AJ354" s="171"/>
      <c r="AK354" s="171"/>
      <c r="AL354" s="171">
        <v>1</v>
      </c>
      <c r="AM354" s="22"/>
      <c r="AN354" s="22">
        <f t="shared" si="3"/>
        <v>7</v>
      </c>
      <c r="AO354" s="171" t="s">
        <v>1768</v>
      </c>
    </row>
    <row r="355" spans="1:41" ht="15.75" customHeight="1">
      <c r="A355" s="167" t="s">
        <v>1149</v>
      </c>
      <c r="B355" s="22" t="s">
        <v>1148</v>
      </c>
      <c r="C355" s="168">
        <v>1</v>
      </c>
      <c r="D355" s="169" t="b">
        <v>1</v>
      </c>
      <c r="E355" s="170" t="s">
        <v>1421</v>
      </c>
      <c r="F355" s="171"/>
      <c r="G355" s="171"/>
      <c r="H355" s="171"/>
      <c r="I355" s="171">
        <v>1</v>
      </c>
      <c r="J355" s="171"/>
      <c r="K355" s="171"/>
      <c r="L355" s="171"/>
      <c r="M355" s="171"/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>
        <v>1</v>
      </c>
      <c r="Z355" s="171">
        <v>1</v>
      </c>
      <c r="AA355" s="171">
        <v>1</v>
      </c>
      <c r="AB355" s="171">
        <v>1</v>
      </c>
      <c r="AC355" s="171"/>
      <c r="AD355" s="171"/>
      <c r="AE355" s="171">
        <v>1</v>
      </c>
      <c r="AF355" s="171">
        <v>1</v>
      </c>
      <c r="AG355" s="171"/>
      <c r="AH355" s="171"/>
      <c r="AI355" s="171"/>
      <c r="AJ355" s="171"/>
      <c r="AK355" s="171"/>
      <c r="AL355" s="171"/>
      <c r="AM355" s="22"/>
      <c r="AN355" s="22">
        <f t="shared" si="3"/>
        <v>7</v>
      </c>
      <c r="AO355" s="171"/>
    </row>
    <row r="356" spans="1:41" ht="15.75" customHeight="1">
      <c r="A356" s="167" t="s">
        <v>1177</v>
      </c>
      <c r="B356" s="22" t="s">
        <v>1176</v>
      </c>
      <c r="C356" s="168">
        <v>1</v>
      </c>
      <c r="D356" s="169" t="b">
        <v>1</v>
      </c>
      <c r="E356" s="170" t="s">
        <v>1769</v>
      </c>
      <c r="F356" s="171">
        <v>1</v>
      </c>
      <c r="G356" s="171">
        <v>1</v>
      </c>
      <c r="H356" s="171">
        <v>1</v>
      </c>
      <c r="I356" s="171">
        <v>1</v>
      </c>
      <c r="J356" s="171">
        <v>1</v>
      </c>
      <c r="K356" s="171"/>
      <c r="L356" s="171"/>
      <c r="M356" s="171"/>
      <c r="N356" s="171">
        <v>1</v>
      </c>
      <c r="O356" s="171"/>
      <c r="P356" s="171"/>
      <c r="Q356" s="171"/>
      <c r="R356" s="171"/>
      <c r="S356" s="171"/>
      <c r="T356" s="171"/>
      <c r="U356" s="171"/>
      <c r="V356" s="171"/>
      <c r="W356" s="171"/>
      <c r="X356" s="171">
        <v>1</v>
      </c>
      <c r="Y356" s="171"/>
      <c r="Z356" s="171"/>
      <c r="AA356" s="171"/>
      <c r="AB356" s="171"/>
      <c r="AC356" s="171"/>
      <c r="AD356" s="171"/>
      <c r="AE356" s="171"/>
      <c r="AF356" s="171"/>
      <c r="AG356" s="171"/>
      <c r="AH356" s="171"/>
      <c r="AI356" s="171"/>
      <c r="AJ356" s="171"/>
      <c r="AK356" s="171"/>
      <c r="AL356" s="171"/>
      <c r="AM356" s="22"/>
      <c r="AN356" s="22">
        <f t="shared" si="3"/>
        <v>7</v>
      </c>
      <c r="AO356" s="171"/>
    </row>
    <row r="357" spans="1:41" ht="15.75" customHeight="1">
      <c r="A357" s="167" t="s">
        <v>1188</v>
      </c>
      <c r="B357" s="22" t="s">
        <v>1187</v>
      </c>
      <c r="C357" s="168">
        <v>1</v>
      </c>
      <c r="D357" s="169" t="b">
        <v>1</v>
      </c>
      <c r="E357" s="170" t="s">
        <v>1770</v>
      </c>
      <c r="F357" s="171">
        <v>1</v>
      </c>
      <c r="G357" s="171">
        <v>1</v>
      </c>
      <c r="H357" s="171">
        <v>1</v>
      </c>
      <c r="I357" s="171">
        <v>1</v>
      </c>
      <c r="J357" s="171">
        <v>1</v>
      </c>
      <c r="K357" s="171">
        <v>1</v>
      </c>
      <c r="L357" s="171"/>
      <c r="M357" s="171"/>
      <c r="N357" s="171">
        <v>1</v>
      </c>
      <c r="O357" s="171"/>
      <c r="P357" s="171"/>
      <c r="Q357" s="171"/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1"/>
      <c r="AD357" s="171"/>
      <c r="AE357" s="171"/>
      <c r="AF357" s="171"/>
      <c r="AG357" s="171"/>
      <c r="AH357" s="171"/>
      <c r="AI357" s="171"/>
      <c r="AJ357" s="171"/>
      <c r="AK357" s="171"/>
      <c r="AL357" s="171"/>
      <c r="AM357" s="22"/>
      <c r="AN357" s="22">
        <f t="shared" si="3"/>
        <v>7</v>
      </c>
      <c r="AO357" s="171"/>
    </row>
    <row r="358" spans="1:41" ht="15.75" customHeight="1">
      <c r="A358" s="167" t="s">
        <v>1204</v>
      </c>
      <c r="B358" s="22" t="s">
        <v>1203</v>
      </c>
      <c r="C358" s="168">
        <v>1</v>
      </c>
      <c r="D358" s="169" t="b">
        <v>1</v>
      </c>
      <c r="E358" s="170" t="s">
        <v>1771</v>
      </c>
      <c r="F358" s="171">
        <v>1</v>
      </c>
      <c r="G358" s="171">
        <v>1</v>
      </c>
      <c r="H358" s="171">
        <v>1</v>
      </c>
      <c r="I358" s="171"/>
      <c r="J358" s="171">
        <v>1</v>
      </c>
      <c r="K358" s="171"/>
      <c r="L358" s="171"/>
      <c r="M358" s="171"/>
      <c r="N358" s="171">
        <v>1</v>
      </c>
      <c r="O358" s="171"/>
      <c r="P358" s="171"/>
      <c r="Q358" s="171"/>
      <c r="R358" s="171"/>
      <c r="S358" s="171"/>
      <c r="T358" s="171"/>
      <c r="U358" s="171"/>
      <c r="V358" s="171"/>
      <c r="W358" s="171"/>
      <c r="X358" s="171">
        <v>1</v>
      </c>
      <c r="Y358" s="171"/>
      <c r="Z358" s="171"/>
      <c r="AA358" s="171"/>
      <c r="AB358" s="171"/>
      <c r="AC358" s="171"/>
      <c r="AD358" s="171"/>
      <c r="AE358" s="171"/>
      <c r="AF358" s="171"/>
      <c r="AG358" s="171"/>
      <c r="AH358" s="171"/>
      <c r="AI358" s="171"/>
      <c r="AJ358" s="171"/>
      <c r="AK358" s="171"/>
      <c r="AL358" s="171">
        <v>1</v>
      </c>
      <c r="AM358" s="22"/>
      <c r="AN358" s="22">
        <f t="shared" si="3"/>
        <v>7</v>
      </c>
      <c r="AO358" s="171" t="s">
        <v>1772</v>
      </c>
    </row>
    <row r="359" spans="1:41" ht="15.75" customHeight="1">
      <c r="A359" s="167" t="s">
        <v>1210</v>
      </c>
      <c r="B359" s="22" t="s">
        <v>1209</v>
      </c>
      <c r="C359" s="168">
        <v>1</v>
      </c>
      <c r="D359" s="169" t="b">
        <v>1</v>
      </c>
      <c r="E359" s="170" t="s">
        <v>1773</v>
      </c>
      <c r="F359" s="171">
        <v>1</v>
      </c>
      <c r="G359" s="171">
        <v>1</v>
      </c>
      <c r="H359" s="171">
        <v>1</v>
      </c>
      <c r="I359" s="171"/>
      <c r="J359" s="171">
        <v>1</v>
      </c>
      <c r="K359" s="171"/>
      <c r="L359" s="171"/>
      <c r="M359" s="171"/>
      <c r="N359" s="171">
        <v>1</v>
      </c>
      <c r="O359" s="171"/>
      <c r="P359" s="171"/>
      <c r="Q359" s="171"/>
      <c r="R359" s="171"/>
      <c r="S359" s="171"/>
      <c r="T359" s="171"/>
      <c r="U359" s="171"/>
      <c r="V359" s="171"/>
      <c r="W359" s="171"/>
      <c r="X359" s="171">
        <v>1</v>
      </c>
      <c r="Y359" s="171"/>
      <c r="Z359" s="171"/>
      <c r="AA359" s="171"/>
      <c r="AB359" s="171"/>
      <c r="AC359" s="171"/>
      <c r="AD359" s="171"/>
      <c r="AE359" s="171"/>
      <c r="AF359" s="171"/>
      <c r="AG359" s="171"/>
      <c r="AH359" s="171"/>
      <c r="AI359" s="171"/>
      <c r="AJ359" s="171"/>
      <c r="AK359" s="171"/>
      <c r="AL359" s="171">
        <v>1</v>
      </c>
      <c r="AM359" s="22"/>
      <c r="AN359" s="22">
        <f t="shared" si="3"/>
        <v>7</v>
      </c>
      <c r="AO359" s="171" t="s">
        <v>1612</v>
      </c>
    </row>
    <row r="360" spans="1:41" ht="15.75" customHeight="1">
      <c r="A360" s="167" t="s">
        <v>1216</v>
      </c>
      <c r="B360" s="22" t="s">
        <v>1215</v>
      </c>
      <c r="C360" s="168">
        <v>1</v>
      </c>
      <c r="D360" s="169" t="b">
        <v>1</v>
      </c>
      <c r="E360" s="170" t="s">
        <v>1774</v>
      </c>
      <c r="F360" s="171">
        <v>1</v>
      </c>
      <c r="G360" s="171">
        <v>1</v>
      </c>
      <c r="H360" s="171">
        <v>1</v>
      </c>
      <c r="I360" s="171">
        <v>1</v>
      </c>
      <c r="J360" s="171">
        <v>1</v>
      </c>
      <c r="K360" s="171"/>
      <c r="L360" s="171"/>
      <c r="M360" s="171"/>
      <c r="N360" s="171">
        <v>1</v>
      </c>
      <c r="O360" s="171"/>
      <c r="P360" s="171"/>
      <c r="Q360" s="171"/>
      <c r="R360" s="171"/>
      <c r="S360" s="171"/>
      <c r="T360" s="171"/>
      <c r="U360" s="171"/>
      <c r="V360" s="171"/>
      <c r="W360" s="171"/>
      <c r="X360" s="171">
        <v>1</v>
      </c>
      <c r="Y360" s="171"/>
      <c r="Z360" s="171"/>
      <c r="AA360" s="171"/>
      <c r="AB360" s="171"/>
      <c r="AC360" s="171"/>
      <c r="AD360" s="171"/>
      <c r="AE360" s="171"/>
      <c r="AF360" s="171"/>
      <c r="AG360" s="171"/>
      <c r="AH360" s="171"/>
      <c r="AI360" s="171"/>
      <c r="AJ360" s="171"/>
      <c r="AK360" s="171"/>
      <c r="AL360" s="171"/>
      <c r="AM360" s="22"/>
      <c r="AN360" s="22">
        <f t="shared" si="3"/>
        <v>7</v>
      </c>
      <c r="AO360" s="171"/>
    </row>
    <row r="361" spans="1:41" ht="15.75" customHeight="1">
      <c r="A361" s="167" t="s">
        <v>1224</v>
      </c>
      <c r="B361" s="22" t="s">
        <v>1223</v>
      </c>
      <c r="C361" s="168">
        <v>1</v>
      </c>
      <c r="D361" s="169" t="b">
        <v>1</v>
      </c>
      <c r="E361" s="170" t="s">
        <v>1775</v>
      </c>
      <c r="F361" s="171">
        <v>1</v>
      </c>
      <c r="G361" s="171">
        <v>1</v>
      </c>
      <c r="H361" s="171">
        <v>1</v>
      </c>
      <c r="I361" s="171">
        <v>1</v>
      </c>
      <c r="J361" s="171">
        <v>1</v>
      </c>
      <c r="K361" s="171"/>
      <c r="L361" s="171"/>
      <c r="M361" s="171"/>
      <c r="N361" s="171">
        <v>1</v>
      </c>
      <c r="O361" s="171">
        <v>1</v>
      </c>
      <c r="P361" s="171"/>
      <c r="Q361" s="171"/>
      <c r="R361" s="171"/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  <c r="AC361" s="171"/>
      <c r="AD361" s="171"/>
      <c r="AE361" s="171"/>
      <c r="AF361" s="171"/>
      <c r="AG361" s="171"/>
      <c r="AH361" s="171"/>
      <c r="AI361" s="171"/>
      <c r="AJ361" s="171"/>
      <c r="AK361" s="171"/>
      <c r="AL361" s="171"/>
      <c r="AM361" s="22"/>
      <c r="AN361" s="22">
        <f t="shared" si="3"/>
        <v>7</v>
      </c>
      <c r="AO361" s="171"/>
    </row>
    <row r="362" spans="1:41" ht="15.75" customHeight="1">
      <c r="A362" s="167" t="s">
        <v>1226</v>
      </c>
      <c r="B362" s="22" t="s">
        <v>1225</v>
      </c>
      <c r="C362" s="168">
        <v>1</v>
      </c>
      <c r="D362" s="169" t="b">
        <v>1</v>
      </c>
      <c r="E362" s="170" t="s">
        <v>1776</v>
      </c>
      <c r="F362" s="171">
        <v>1</v>
      </c>
      <c r="G362" s="171">
        <v>1</v>
      </c>
      <c r="H362" s="171">
        <v>1</v>
      </c>
      <c r="I362" s="171">
        <v>1</v>
      </c>
      <c r="J362" s="171">
        <v>1</v>
      </c>
      <c r="K362" s="171"/>
      <c r="L362" s="171"/>
      <c r="M362" s="171"/>
      <c r="N362" s="171">
        <v>1</v>
      </c>
      <c r="O362" s="171"/>
      <c r="P362" s="171"/>
      <c r="Q362" s="171"/>
      <c r="R362" s="171"/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  <c r="AC362" s="171">
        <v>1</v>
      </c>
      <c r="AD362" s="171"/>
      <c r="AE362" s="171"/>
      <c r="AF362" s="171"/>
      <c r="AG362" s="171"/>
      <c r="AH362" s="171"/>
      <c r="AI362" s="171"/>
      <c r="AJ362" s="171"/>
      <c r="AK362" s="171"/>
      <c r="AL362" s="171"/>
      <c r="AM362" s="22"/>
      <c r="AN362" s="22">
        <f t="shared" si="3"/>
        <v>7</v>
      </c>
      <c r="AO362" s="171"/>
    </row>
    <row r="363" spans="1:41" ht="15.75" customHeight="1">
      <c r="A363" s="167" t="s">
        <v>1234</v>
      </c>
      <c r="B363" s="22" t="s">
        <v>1233</v>
      </c>
      <c r="C363" s="168">
        <v>1</v>
      </c>
      <c r="D363" s="169" t="b">
        <v>1</v>
      </c>
      <c r="E363" s="170" t="s">
        <v>1425</v>
      </c>
      <c r="F363" s="171">
        <v>1</v>
      </c>
      <c r="G363" s="171">
        <v>1</v>
      </c>
      <c r="H363" s="171">
        <v>1</v>
      </c>
      <c r="I363" s="171">
        <v>1</v>
      </c>
      <c r="J363" s="171">
        <v>1</v>
      </c>
      <c r="K363" s="171">
        <v>1</v>
      </c>
      <c r="L363" s="171"/>
      <c r="M363" s="171"/>
      <c r="N363" s="171">
        <v>1</v>
      </c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  <c r="AC363" s="171"/>
      <c r="AD363" s="171"/>
      <c r="AE363" s="171"/>
      <c r="AF363" s="171"/>
      <c r="AG363" s="171"/>
      <c r="AH363" s="171"/>
      <c r="AI363" s="171"/>
      <c r="AJ363" s="171"/>
      <c r="AK363" s="171"/>
      <c r="AL363" s="171"/>
      <c r="AM363" s="22"/>
      <c r="AN363" s="22">
        <f t="shared" si="3"/>
        <v>7</v>
      </c>
      <c r="AO363" s="171"/>
    </row>
    <row r="364" spans="1:41" ht="15.75" customHeight="1">
      <c r="A364" s="167" t="s">
        <v>1246</v>
      </c>
      <c r="B364" s="22" t="s">
        <v>1245</v>
      </c>
      <c r="C364" s="168">
        <v>1</v>
      </c>
      <c r="D364" s="169" t="b">
        <v>1</v>
      </c>
      <c r="E364" s="170" t="s">
        <v>1777</v>
      </c>
      <c r="F364" s="171">
        <v>1</v>
      </c>
      <c r="G364" s="171">
        <v>1</v>
      </c>
      <c r="H364" s="171">
        <v>1</v>
      </c>
      <c r="I364" s="171">
        <v>1</v>
      </c>
      <c r="J364" s="171">
        <v>1</v>
      </c>
      <c r="K364" s="171"/>
      <c r="L364" s="171"/>
      <c r="M364" s="171"/>
      <c r="N364" s="171">
        <v>1</v>
      </c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/>
      <c r="AE364" s="171"/>
      <c r="AF364" s="171"/>
      <c r="AG364" s="171"/>
      <c r="AH364" s="171"/>
      <c r="AI364" s="171"/>
      <c r="AJ364" s="171"/>
      <c r="AK364" s="171"/>
      <c r="AL364" s="171">
        <v>1</v>
      </c>
      <c r="AM364" s="22"/>
      <c r="AN364" s="22">
        <f t="shared" si="3"/>
        <v>7</v>
      </c>
      <c r="AO364" s="171" t="s">
        <v>1481</v>
      </c>
    </row>
    <row r="365" spans="1:41" ht="15.75" customHeight="1">
      <c r="A365" s="167" t="s">
        <v>1248</v>
      </c>
      <c r="B365" s="22" t="s">
        <v>1247</v>
      </c>
      <c r="C365" s="168">
        <v>1</v>
      </c>
      <c r="D365" s="169" t="b">
        <v>1</v>
      </c>
      <c r="E365" s="170" t="s">
        <v>1778</v>
      </c>
      <c r="F365" s="171">
        <v>1</v>
      </c>
      <c r="G365" s="171">
        <v>1</v>
      </c>
      <c r="H365" s="171">
        <v>1</v>
      </c>
      <c r="I365" s="171">
        <v>1</v>
      </c>
      <c r="J365" s="171">
        <v>1</v>
      </c>
      <c r="K365" s="171"/>
      <c r="L365" s="171"/>
      <c r="M365" s="171"/>
      <c r="N365" s="171">
        <v>1</v>
      </c>
      <c r="O365" s="171"/>
      <c r="P365" s="171"/>
      <c r="Q365" s="171"/>
      <c r="R365" s="171"/>
      <c r="S365" s="171"/>
      <c r="T365" s="171"/>
      <c r="U365" s="171"/>
      <c r="V365" s="171"/>
      <c r="W365" s="171"/>
      <c r="X365" s="171">
        <v>1</v>
      </c>
      <c r="Y365" s="171"/>
      <c r="Z365" s="171"/>
      <c r="AA365" s="171"/>
      <c r="AB365" s="171"/>
      <c r="AC365" s="171"/>
      <c r="AD365" s="171"/>
      <c r="AE365" s="171"/>
      <c r="AF365" s="171"/>
      <c r="AG365" s="171"/>
      <c r="AH365" s="171"/>
      <c r="AI365" s="171"/>
      <c r="AJ365" s="171"/>
      <c r="AK365" s="171"/>
      <c r="AL365" s="171"/>
      <c r="AM365" s="22"/>
      <c r="AN365" s="22">
        <f t="shared" si="3"/>
        <v>7</v>
      </c>
      <c r="AO365" s="171"/>
    </row>
    <row r="366" spans="1:41" ht="15.75" customHeight="1">
      <c r="A366" s="167" t="s">
        <v>1254</v>
      </c>
      <c r="B366" s="22" t="s">
        <v>1253</v>
      </c>
      <c r="C366" s="168">
        <v>1</v>
      </c>
      <c r="D366" s="169" t="b">
        <v>1</v>
      </c>
      <c r="E366" s="182" t="s">
        <v>1779</v>
      </c>
      <c r="F366" s="171">
        <v>1</v>
      </c>
      <c r="G366" s="171">
        <v>1</v>
      </c>
      <c r="H366" s="171">
        <v>1</v>
      </c>
      <c r="I366" s="171">
        <v>1</v>
      </c>
      <c r="J366" s="171">
        <v>1</v>
      </c>
      <c r="K366" s="171"/>
      <c r="L366" s="171"/>
      <c r="M366" s="171"/>
      <c r="N366" s="171">
        <v>1</v>
      </c>
      <c r="O366" s="171"/>
      <c r="P366" s="171"/>
      <c r="Q366" s="171"/>
      <c r="R366" s="171"/>
      <c r="S366" s="171"/>
      <c r="T366" s="171"/>
      <c r="U366" s="171"/>
      <c r="V366" s="171"/>
      <c r="W366" s="171"/>
      <c r="X366" s="171">
        <v>1</v>
      </c>
      <c r="Y366" s="171"/>
      <c r="Z366" s="171"/>
      <c r="AA366" s="171"/>
      <c r="AB366" s="171"/>
      <c r="AC366" s="171"/>
      <c r="AD366" s="171"/>
      <c r="AE366" s="171"/>
      <c r="AF366" s="171"/>
      <c r="AG366" s="171"/>
      <c r="AH366" s="171"/>
      <c r="AI366" s="171"/>
      <c r="AJ366" s="171"/>
      <c r="AK366" s="171"/>
      <c r="AL366" s="171"/>
      <c r="AM366" s="22"/>
      <c r="AN366" s="22">
        <f t="shared" si="3"/>
        <v>7</v>
      </c>
      <c r="AO366" s="171"/>
    </row>
    <row r="367" spans="1:41" ht="15.75" customHeight="1">
      <c r="A367" s="167" t="s">
        <v>1256</v>
      </c>
      <c r="B367" s="22" t="s">
        <v>1255</v>
      </c>
      <c r="C367" s="168">
        <v>1</v>
      </c>
      <c r="D367" s="169" t="b">
        <v>1</v>
      </c>
      <c r="E367" s="170" t="s">
        <v>1780</v>
      </c>
      <c r="F367" s="171">
        <v>1</v>
      </c>
      <c r="G367" s="171">
        <v>1</v>
      </c>
      <c r="H367" s="171">
        <v>1</v>
      </c>
      <c r="I367" s="171">
        <v>1</v>
      </c>
      <c r="J367" s="171">
        <v>1</v>
      </c>
      <c r="K367" s="171"/>
      <c r="L367" s="171"/>
      <c r="M367" s="171"/>
      <c r="N367" s="171">
        <v>1</v>
      </c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1"/>
      <c r="AD367" s="171"/>
      <c r="AE367" s="171"/>
      <c r="AF367" s="171"/>
      <c r="AG367" s="171"/>
      <c r="AH367" s="171"/>
      <c r="AI367" s="171"/>
      <c r="AJ367" s="171"/>
      <c r="AK367" s="171"/>
      <c r="AL367" s="171">
        <v>1</v>
      </c>
      <c r="AM367" s="22"/>
      <c r="AN367" s="22">
        <f t="shared" si="3"/>
        <v>7</v>
      </c>
      <c r="AO367" s="171" t="s">
        <v>1596</v>
      </c>
    </row>
    <row r="368" spans="1:41" ht="15.75" customHeight="1">
      <c r="A368" s="167" t="s">
        <v>1266</v>
      </c>
      <c r="B368" s="22" t="s">
        <v>1265</v>
      </c>
      <c r="C368" s="168">
        <v>1</v>
      </c>
      <c r="D368" s="169" t="b">
        <v>1</v>
      </c>
      <c r="E368" s="170" t="s">
        <v>1781</v>
      </c>
      <c r="F368" s="171">
        <v>1</v>
      </c>
      <c r="G368" s="171">
        <v>1</v>
      </c>
      <c r="H368" s="171">
        <v>1</v>
      </c>
      <c r="I368" s="171">
        <v>1</v>
      </c>
      <c r="J368" s="171">
        <v>1</v>
      </c>
      <c r="K368" s="171"/>
      <c r="L368" s="171"/>
      <c r="M368" s="171"/>
      <c r="N368" s="171">
        <v>1</v>
      </c>
      <c r="O368" s="171"/>
      <c r="P368" s="171"/>
      <c r="Q368" s="171"/>
      <c r="R368" s="171"/>
      <c r="S368" s="171"/>
      <c r="T368" s="171"/>
      <c r="U368" s="171"/>
      <c r="V368" s="171"/>
      <c r="W368" s="171"/>
      <c r="X368" s="171"/>
      <c r="Y368" s="171"/>
      <c r="Z368" s="171"/>
      <c r="AA368" s="171"/>
      <c r="AB368" s="171"/>
      <c r="AC368" s="171"/>
      <c r="AD368" s="171"/>
      <c r="AE368" s="171"/>
      <c r="AF368" s="171"/>
      <c r="AG368" s="171"/>
      <c r="AH368" s="171"/>
      <c r="AI368" s="171"/>
      <c r="AJ368" s="171"/>
      <c r="AK368" s="171"/>
      <c r="AL368" s="171">
        <v>1</v>
      </c>
      <c r="AM368" s="22"/>
      <c r="AN368" s="22">
        <f t="shared" si="3"/>
        <v>7</v>
      </c>
      <c r="AO368" s="171" t="s">
        <v>1394</v>
      </c>
    </row>
    <row r="369" spans="1:41" ht="15.75" customHeight="1">
      <c r="A369" s="167" t="s">
        <v>1268</v>
      </c>
      <c r="B369" s="22" t="s">
        <v>1267</v>
      </c>
      <c r="C369" s="168">
        <v>1</v>
      </c>
      <c r="D369" s="169" t="b">
        <v>1</v>
      </c>
      <c r="E369" s="170" t="s">
        <v>1782</v>
      </c>
      <c r="F369" s="171">
        <v>1</v>
      </c>
      <c r="G369" s="171">
        <v>1</v>
      </c>
      <c r="H369" s="171">
        <v>1</v>
      </c>
      <c r="I369" s="171">
        <v>1</v>
      </c>
      <c r="J369" s="171">
        <v>1</v>
      </c>
      <c r="K369" s="171"/>
      <c r="L369" s="171"/>
      <c r="M369" s="171"/>
      <c r="N369" s="171">
        <v>1</v>
      </c>
      <c r="O369" s="171"/>
      <c r="P369" s="171"/>
      <c r="Q369" s="171"/>
      <c r="R369" s="171"/>
      <c r="S369" s="171"/>
      <c r="T369" s="171"/>
      <c r="U369" s="171"/>
      <c r="V369" s="171"/>
      <c r="W369" s="171"/>
      <c r="X369" s="171">
        <v>1</v>
      </c>
      <c r="Y369" s="171"/>
      <c r="Z369" s="171"/>
      <c r="AA369" s="171"/>
      <c r="AB369" s="171"/>
      <c r="AC369" s="171"/>
      <c r="AD369" s="171"/>
      <c r="AE369" s="171"/>
      <c r="AF369" s="171"/>
      <c r="AG369" s="171"/>
      <c r="AH369" s="171"/>
      <c r="AI369" s="171"/>
      <c r="AJ369" s="171"/>
      <c r="AK369" s="171"/>
      <c r="AL369" s="171"/>
      <c r="AM369" s="22"/>
      <c r="AN369" s="22">
        <f t="shared" si="3"/>
        <v>7</v>
      </c>
      <c r="AO369" s="171"/>
    </row>
    <row r="370" spans="1:41" ht="15.75" customHeight="1">
      <c r="A370" s="167" t="s">
        <v>1270</v>
      </c>
      <c r="B370" s="22" t="s">
        <v>1269</v>
      </c>
      <c r="C370" s="168">
        <v>1</v>
      </c>
      <c r="D370" s="169" t="b">
        <v>1</v>
      </c>
      <c r="E370" s="170" t="s">
        <v>1783</v>
      </c>
      <c r="F370" s="171">
        <v>1</v>
      </c>
      <c r="G370" s="171">
        <v>1</v>
      </c>
      <c r="H370" s="171">
        <v>1</v>
      </c>
      <c r="I370" s="171">
        <v>1</v>
      </c>
      <c r="J370" s="171">
        <v>1</v>
      </c>
      <c r="K370" s="171"/>
      <c r="L370" s="171"/>
      <c r="M370" s="171"/>
      <c r="N370" s="171">
        <v>1</v>
      </c>
      <c r="O370" s="171"/>
      <c r="P370" s="171"/>
      <c r="Q370" s="171"/>
      <c r="R370" s="171"/>
      <c r="S370" s="171"/>
      <c r="T370" s="171"/>
      <c r="U370" s="171"/>
      <c r="V370" s="171"/>
      <c r="W370" s="171"/>
      <c r="X370" s="171">
        <v>1</v>
      </c>
      <c r="Y370" s="171"/>
      <c r="Z370" s="171"/>
      <c r="AA370" s="171"/>
      <c r="AB370" s="171"/>
      <c r="AC370" s="171"/>
      <c r="AD370" s="171"/>
      <c r="AE370" s="171"/>
      <c r="AF370" s="171"/>
      <c r="AG370" s="171"/>
      <c r="AH370" s="171"/>
      <c r="AI370" s="171"/>
      <c r="AJ370" s="171"/>
      <c r="AK370" s="171"/>
      <c r="AL370" s="171"/>
      <c r="AM370" s="22"/>
      <c r="AN370" s="22">
        <f t="shared" si="3"/>
        <v>7</v>
      </c>
      <c r="AO370" s="171"/>
    </row>
    <row r="371" spans="1:41" ht="15.75" customHeight="1">
      <c r="A371" s="167" t="s">
        <v>1272</v>
      </c>
      <c r="B371" s="22" t="s">
        <v>1271</v>
      </c>
      <c r="C371" s="168">
        <v>1</v>
      </c>
      <c r="D371" s="169" t="b">
        <v>1</v>
      </c>
      <c r="E371" s="170" t="s">
        <v>1784</v>
      </c>
      <c r="F371" s="171">
        <v>1</v>
      </c>
      <c r="G371" s="171">
        <v>1</v>
      </c>
      <c r="H371" s="171">
        <v>1</v>
      </c>
      <c r="I371" s="171">
        <v>1</v>
      </c>
      <c r="J371" s="171">
        <v>1</v>
      </c>
      <c r="K371" s="171"/>
      <c r="L371" s="171"/>
      <c r="M371" s="171"/>
      <c r="N371" s="171">
        <v>1</v>
      </c>
      <c r="O371" s="171"/>
      <c r="P371" s="171"/>
      <c r="Q371" s="171"/>
      <c r="R371" s="171"/>
      <c r="S371" s="171"/>
      <c r="T371" s="171"/>
      <c r="U371" s="171"/>
      <c r="V371" s="171"/>
      <c r="W371" s="171"/>
      <c r="X371" s="171">
        <v>1</v>
      </c>
      <c r="Y371" s="171"/>
      <c r="Z371" s="171"/>
      <c r="AA371" s="171"/>
      <c r="AB371" s="171"/>
      <c r="AC371" s="171"/>
      <c r="AD371" s="171"/>
      <c r="AE371" s="171"/>
      <c r="AF371" s="171"/>
      <c r="AG371" s="171"/>
      <c r="AH371" s="171"/>
      <c r="AI371" s="171"/>
      <c r="AJ371" s="171"/>
      <c r="AK371" s="171"/>
      <c r="AL371" s="171"/>
      <c r="AM371" s="22"/>
      <c r="AN371" s="22">
        <f t="shared" si="3"/>
        <v>7</v>
      </c>
      <c r="AO371" s="171"/>
    </row>
    <row r="372" spans="1:41" ht="15.75" customHeight="1">
      <c r="A372" s="167" t="s">
        <v>1274</v>
      </c>
      <c r="B372" s="22" t="s">
        <v>1273</v>
      </c>
      <c r="C372" s="168">
        <v>1</v>
      </c>
      <c r="D372" s="169" t="b">
        <v>1</v>
      </c>
      <c r="E372" s="170" t="s">
        <v>1785</v>
      </c>
      <c r="F372" s="171">
        <v>1</v>
      </c>
      <c r="G372" s="171">
        <v>1</v>
      </c>
      <c r="H372" s="171">
        <v>1</v>
      </c>
      <c r="I372" s="171">
        <v>1</v>
      </c>
      <c r="J372" s="171">
        <v>1</v>
      </c>
      <c r="K372" s="171"/>
      <c r="L372" s="171"/>
      <c r="M372" s="171"/>
      <c r="N372" s="171">
        <v>1</v>
      </c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1">
        <v>1</v>
      </c>
      <c r="AD372" s="171"/>
      <c r="AE372" s="171"/>
      <c r="AF372" s="171"/>
      <c r="AG372" s="171"/>
      <c r="AH372" s="171"/>
      <c r="AI372" s="171"/>
      <c r="AJ372" s="171"/>
      <c r="AK372" s="171"/>
      <c r="AL372" s="171"/>
      <c r="AM372" s="22"/>
      <c r="AN372" s="22">
        <f t="shared" si="3"/>
        <v>7</v>
      </c>
      <c r="AO372" s="171"/>
    </row>
    <row r="373" spans="1:41" ht="15.75" customHeight="1">
      <c r="A373" s="167" t="s">
        <v>1295</v>
      </c>
      <c r="B373" s="22" t="s">
        <v>1294</v>
      </c>
      <c r="C373" s="168">
        <v>1</v>
      </c>
      <c r="D373" s="169" t="b">
        <v>1</v>
      </c>
      <c r="E373" s="174" t="s">
        <v>1786</v>
      </c>
      <c r="F373" s="171">
        <v>1</v>
      </c>
      <c r="G373" s="171">
        <v>1</v>
      </c>
      <c r="H373" s="171">
        <v>1</v>
      </c>
      <c r="I373" s="171">
        <v>1</v>
      </c>
      <c r="J373" s="171">
        <v>1</v>
      </c>
      <c r="K373" s="171">
        <v>1</v>
      </c>
      <c r="L373" s="171"/>
      <c r="M373" s="171"/>
      <c r="N373" s="171"/>
      <c r="O373" s="171"/>
      <c r="P373" s="171"/>
      <c r="Q373" s="171">
        <v>1</v>
      </c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1"/>
      <c r="AD373" s="171"/>
      <c r="AE373" s="171"/>
      <c r="AF373" s="171"/>
      <c r="AG373" s="171"/>
      <c r="AH373" s="171"/>
      <c r="AI373" s="171"/>
      <c r="AJ373" s="171"/>
      <c r="AK373" s="171"/>
      <c r="AL373" s="171"/>
      <c r="AM373" s="22"/>
      <c r="AN373" s="22">
        <f t="shared" si="3"/>
        <v>7</v>
      </c>
      <c r="AO373" s="171"/>
    </row>
    <row r="374" spans="1:41" ht="15.75" customHeight="1">
      <c r="A374" s="167" t="s">
        <v>1303</v>
      </c>
      <c r="B374" s="22" t="s">
        <v>1302</v>
      </c>
      <c r="C374" s="168">
        <v>1</v>
      </c>
      <c r="D374" s="169" t="b">
        <v>1</v>
      </c>
      <c r="E374" s="170" t="s">
        <v>1787</v>
      </c>
      <c r="F374" s="171">
        <v>1</v>
      </c>
      <c r="G374" s="171">
        <v>1</v>
      </c>
      <c r="H374" s="171">
        <v>1</v>
      </c>
      <c r="I374" s="171">
        <v>1</v>
      </c>
      <c r="J374" s="171">
        <v>1</v>
      </c>
      <c r="K374" s="171">
        <v>1</v>
      </c>
      <c r="L374" s="171"/>
      <c r="M374" s="171"/>
      <c r="N374" s="171"/>
      <c r="O374" s="171"/>
      <c r="P374" s="171"/>
      <c r="Q374" s="171">
        <v>1</v>
      </c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1"/>
      <c r="AD374" s="171"/>
      <c r="AE374" s="171"/>
      <c r="AF374" s="171"/>
      <c r="AG374" s="171"/>
      <c r="AH374" s="171"/>
      <c r="AI374" s="171"/>
      <c r="AJ374" s="171"/>
      <c r="AK374" s="171"/>
      <c r="AL374" s="171"/>
      <c r="AM374" s="22"/>
      <c r="AN374" s="22">
        <f t="shared" si="3"/>
        <v>7</v>
      </c>
      <c r="AO374" s="171"/>
    </row>
    <row r="375" spans="1:41" ht="15.75" customHeight="1">
      <c r="A375" s="167" t="s">
        <v>1309</v>
      </c>
      <c r="B375" s="22" t="s">
        <v>1308</v>
      </c>
      <c r="C375" s="168">
        <v>1</v>
      </c>
      <c r="D375" s="169" t="b">
        <v>1</v>
      </c>
      <c r="E375" s="178" t="s">
        <v>1788</v>
      </c>
      <c r="F375" s="171">
        <v>1</v>
      </c>
      <c r="G375" s="171">
        <v>1</v>
      </c>
      <c r="H375" s="171">
        <v>1</v>
      </c>
      <c r="I375" s="171">
        <v>1</v>
      </c>
      <c r="J375" s="171">
        <v>1</v>
      </c>
      <c r="K375" s="171"/>
      <c r="L375" s="171"/>
      <c r="M375" s="171"/>
      <c r="N375" s="171"/>
      <c r="O375" s="171"/>
      <c r="P375" s="171">
        <v>1</v>
      </c>
      <c r="Q375" s="171">
        <v>1</v>
      </c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1"/>
      <c r="AD375" s="171"/>
      <c r="AE375" s="171"/>
      <c r="AF375" s="171"/>
      <c r="AG375" s="171"/>
      <c r="AH375" s="171"/>
      <c r="AI375" s="171"/>
      <c r="AJ375" s="171"/>
      <c r="AK375" s="171"/>
      <c r="AL375" s="171"/>
      <c r="AM375" s="22"/>
      <c r="AN375" s="22">
        <f t="shared" si="3"/>
        <v>7</v>
      </c>
      <c r="AO375" s="171"/>
    </row>
    <row r="376" spans="1:41" ht="15.75" customHeight="1">
      <c r="A376" s="167" t="s">
        <v>1317</v>
      </c>
      <c r="B376" s="22" t="s">
        <v>1316</v>
      </c>
      <c r="C376" s="168">
        <v>1</v>
      </c>
      <c r="D376" s="169" t="b">
        <v>1</v>
      </c>
      <c r="E376" s="170" t="s">
        <v>1789</v>
      </c>
      <c r="F376" s="171">
        <v>1</v>
      </c>
      <c r="G376" s="171">
        <v>1</v>
      </c>
      <c r="H376" s="171">
        <v>1</v>
      </c>
      <c r="I376" s="171">
        <v>1</v>
      </c>
      <c r="J376" s="171">
        <v>1</v>
      </c>
      <c r="K376" s="171"/>
      <c r="L376" s="171">
        <v>1</v>
      </c>
      <c r="M376" s="171"/>
      <c r="N376" s="171"/>
      <c r="O376" s="171"/>
      <c r="P376" s="171"/>
      <c r="Q376" s="171">
        <v>1</v>
      </c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  <c r="AC376" s="171"/>
      <c r="AD376" s="171"/>
      <c r="AE376" s="171"/>
      <c r="AF376" s="171"/>
      <c r="AG376" s="171"/>
      <c r="AH376" s="171"/>
      <c r="AI376" s="171"/>
      <c r="AJ376" s="171"/>
      <c r="AK376" s="171"/>
      <c r="AL376" s="171"/>
      <c r="AM376" s="22"/>
      <c r="AN376" s="22">
        <f t="shared" si="3"/>
        <v>7</v>
      </c>
      <c r="AO376" s="171"/>
    </row>
    <row r="377" spans="1:41" ht="15.75" customHeight="1">
      <c r="A377" s="167" t="s">
        <v>1319</v>
      </c>
      <c r="B377" s="22" t="s">
        <v>1318</v>
      </c>
      <c r="C377" s="168">
        <v>1</v>
      </c>
      <c r="D377" s="169" t="b">
        <v>1</v>
      </c>
      <c r="E377" s="174" t="s">
        <v>1790</v>
      </c>
      <c r="F377" s="171">
        <v>1</v>
      </c>
      <c r="G377" s="171">
        <v>1</v>
      </c>
      <c r="H377" s="171">
        <v>1</v>
      </c>
      <c r="I377" s="171">
        <v>1</v>
      </c>
      <c r="J377" s="171">
        <v>1</v>
      </c>
      <c r="K377" s="171">
        <v>1</v>
      </c>
      <c r="L377" s="171"/>
      <c r="M377" s="171"/>
      <c r="N377" s="171"/>
      <c r="O377" s="171"/>
      <c r="P377" s="171"/>
      <c r="Q377" s="171">
        <v>1</v>
      </c>
      <c r="R377" s="171"/>
      <c r="S377" s="171"/>
      <c r="T377" s="171"/>
      <c r="U377" s="171"/>
      <c r="V377" s="171"/>
      <c r="W377" s="171"/>
      <c r="X377" s="171"/>
      <c r="Y377" s="171"/>
      <c r="Z377" s="171"/>
      <c r="AA377" s="171"/>
      <c r="AB377" s="171"/>
      <c r="AC377" s="171"/>
      <c r="AD377" s="171"/>
      <c r="AE377" s="171"/>
      <c r="AF377" s="171"/>
      <c r="AG377" s="171"/>
      <c r="AH377" s="171"/>
      <c r="AI377" s="171"/>
      <c r="AJ377" s="171"/>
      <c r="AK377" s="171"/>
      <c r="AL377" s="171"/>
      <c r="AM377" s="22"/>
      <c r="AN377" s="22">
        <f t="shared" si="3"/>
        <v>7</v>
      </c>
      <c r="AO377" s="171"/>
    </row>
    <row r="378" spans="1:41" ht="15.75" customHeight="1">
      <c r="A378" s="167" t="s">
        <v>1323</v>
      </c>
      <c r="B378" s="22" t="s">
        <v>1322</v>
      </c>
      <c r="C378" s="168">
        <v>1</v>
      </c>
      <c r="D378" s="169" t="b">
        <v>1</v>
      </c>
      <c r="E378" s="170" t="s">
        <v>1791</v>
      </c>
      <c r="F378" s="171">
        <v>1</v>
      </c>
      <c r="G378" s="171">
        <v>1</v>
      </c>
      <c r="H378" s="171">
        <v>1</v>
      </c>
      <c r="I378" s="171">
        <v>1</v>
      </c>
      <c r="J378" s="171">
        <v>1</v>
      </c>
      <c r="K378" s="171"/>
      <c r="L378" s="171"/>
      <c r="M378" s="171"/>
      <c r="N378" s="171"/>
      <c r="O378" s="171">
        <v>1</v>
      </c>
      <c r="P378" s="171"/>
      <c r="Q378" s="171">
        <v>1</v>
      </c>
      <c r="R378" s="171"/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  <c r="AC378" s="171"/>
      <c r="AD378" s="171"/>
      <c r="AE378" s="171"/>
      <c r="AF378" s="171"/>
      <c r="AG378" s="171"/>
      <c r="AH378" s="171"/>
      <c r="AI378" s="171"/>
      <c r="AJ378" s="171"/>
      <c r="AK378" s="171"/>
      <c r="AL378" s="171"/>
      <c r="AM378" s="22"/>
      <c r="AN378" s="22">
        <f t="shared" si="3"/>
        <v>7</v>
      </c>
      <c r="AO378" s="171"/>
    </row>
    <row r="379" spans="1:41" ht="15.75" customHeight="1">
      <c r="A379" s="167" t="s">
        <v>1325</v>
      </c>
      <c r="B379" s="22" t="s">
        <v>1324</v>
      </c>
      <c r="C379" s="168">
        <v>1</v>
      </c>
      <c r="D379" s="169" t="b">
        <v>1</v>
      </c>
      <c r="E379" s="170" t="s">
        <v>1792</v>
      </c>
      <c r="F379" s="171">
        <v>1</v>
      </c>
      <c r="G379" s="171">
        <v>1</v>
      </c>
      <c r="H379" s="171">
        <v>1</v>
      </c>
      <c r="I379" s="171">
        <v>1</v>
      </c>
      <c r="J379" s="171">
        <v>1</v>
      </c>
      <c r="K379" s="171">
        <v>1</v>
      </c>
      <c r="L379" s="171"/>
      <c r="M379" s="171"/>
      <c r="N379" s="171"/>
      <c r="O379" s="171"/>
      <c r="P379" s="171"/>
      <c r="Q379" s="171">
        <v>1</v>
      </c>
      <c r="R379" s="171"/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  <c r="AC379" s="171"/>
      <c r="AD379" s="171"/>
      <c r="AE379" s="171"/>
      <c r="AF379" s="171"/>
      <c r="AG379" s="171"/>
      <c r="AH379" s="171"/>
      <c r="AI379" s="171"/>
      <c r="AJ379" s="171"/>
      <c r="AK379" s="171"/>
      <c r="AL379" s="171"/>
      <c r="AM379" s="22"/>
      <c r="AN379" s="22">
        <f t="shared" si="3"/>
        <v>7</v>
      </c>
      <c r="AO379" s="171"/>
    </row>
    <row r="380" spans="1:41" ht="15.75" customHeight="1">
      <c r="A380" s="167" t="s">
        <v>1327</v>
      </c>
      <c r="B380" s="22" t="s">
        <v>1326</v>
      </c>
      <c r="C380" s="168">
        <v>1</v>
      </c>
      <c r="D380" s="169" t="b">
        <v>1</v>
      </c>
      <c r="E380" s="170" t="s">
        <v>1618</v>
      </c>
      <c r="F380" s="171">
        <v>1</v>
      </c>
      <c r="G380" s="171">
        <v>1</v>
      </c>
      <c r="H380" s="171">
        <v>1</v>
      </c>
      <c r="I380" s="171">
        <v>1</v>
      </c>
      <c r="J380" s="171">
        <v>1</v>
      </c>
      <c r="K380" s="171"/>
      <c r="L380" s="171"/>
      <c r="M380" s="171"/>
      <c r="N380" s="171"/>
      <c r="O380" s="171"/>
      <c r="P380" s="171"/>
      <c r="Q380" s="171">
        <v>1</v>
      </c>
      <c r="R380" s="171"/>
      <c r="S380" s="171"/>
      <c r="T380" s="171"/>
      <c r="U380" s="171">
        <v>1</v>
      </c>
      <c r="V380" s="171"/>
      <c r="W380" s="171"/>
      <c r="X380" s="171"/>
      <c r="Y380" s="171"/>
      <c r="Z380" s="171"/>
      <c r="AA380" s="171"/>
      <c r="AB380" s="171"/>
      <c r="AC380" s="171"/>
      <c r="AD380" s="171"/>
      <c r="AE380" s="171"/>
      <c r="AF380" s="171"/>
      <c r="AG380" s="171"/>
      <c r="AH380" s="171"/>
      <c r="AI380" s="171"/>
      <c r="AJ380" s="171"/>
      <c r="AK380" s="171"/>
      <c r="AL380" s="171"/>
      <c r="AM380" s="22"/>
      <c r="AN380" s="22">
        <f t="shared" si="3"/>
        <v>7</v>
      </c>
      <c r="AO380" s="171"/>
    </row>
    <row r="381" spans="1:41" ht="15.75" customHeight="1">
      <c r="A381" s="167" t="s">
        <v>1341</v>
      </c>
      <c r="B381" s="22" t="s">
        <v>1340</v>
      </c>
      <c r="C381" s="168">
        <v>1</v>
      </c>
      <c r="D381" s="169" t="b">
        <v>1</v>
      </c>
      <c r="E381" s="170" t="s">
        <v>1793</v>
      </c>
      <c r="F381" s="171">
        <v>1</v>
      </c>
      <c r="G381" s="171">
        <v>1</v>
      </c>
      <c r="H381" s="171">
        <v>1</v>
      </c>
      <c r="I381" s="171">
        <v>1</v>
      </c>
      <c r="J381" s="171">
        <v>1</v>
      </c>
      <c r="K381" s="171">
        <v>1</v>
      </c>
      <c r="L381" s="171"/>
      <c r="M381" s="171"/>
      <c r="N381" s="171"/>
      <c r="O381" s="171"/>
      <c r="P381" s="171"/>
      <c r="Q381" s="171">
        <v>1</v>
      </c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  <c r="AC381" s="171"/>
      <c r="AD381" s="171"/>
      <c r="AE381" s="171"/>
      <c r="AF381" s="171"/>
      <c r="AG381" s="171"/>
      <c r="AH381" s="171"/>
      <c r="AI381" s="171"/>
      <c r="AJ381" s="171"/>
      <c r="AK381" s="171"/>
      <c r="AL381" s="171"/>
      <c r="AM381" s="22"/>
      <c r="AN381" s="22">
        <f t="shared" si="3"/>
        <v>7</v>
      </c>
      <c r="AO381" s="171"/>
    </row>
    <row r="382" spans="1:41" ht="15.75" customHeight="1">
      <c r="A382" s="167" t="s">
        <v>1347</v>
      </c>
      <c r="B382" s="22" t="s">
        <v>1346</v>
      </c>
      <c r="C382" s="168">
        <v>1</v>
      </c>
      <c r="D382" s="169" t="b">
        <v>1</v>
      </c>
      <c r="E382" s="174" t="s">
        <v>1792</v>
      </c>
      <c r="F382" s="171">
        <v>1</v>
      </c>
      <c r="G382" s="171">
        <v>1</v>
      </c>
      <c r="H382" s="171">
        <v>1</v>
      </c>
      <c r="I382" s="171">
        <v>1</v>
      </c>
      <c r="J382" s="171">
        <v>1</v>
      </c>
      <c r="K382" s="171"/>
      <c r="L382" s="171"/>
      <c r="M382" s="171"/>
      <c r="N382" s="171"/>
      <c r="O382" s="171"/>
      <c r="P382" s="171">
        <v>1</v>
      </c>
      <c r="Q382" s="171">
        <v>1</v>
      </c>
      <c r="R382" s="171"/>
      <c r="S382" s="171"/>
      <c r="T382" s="171"/>
      <c r="U382" s="171"/>
      <c r="V382" s="171"/>
      <c r="W382" s="171"/>
      <c r="X382" s="171"/>
      <c r="Y382" s="171"/>
      <c r="Z382" s="171"/>
      <c r="AA382" s="171"/>
      <c r="AB382" s="171"/>
      <c r="AC382" s="171"/>
      <c r="AD382" s="171"/>
      <c r="AE382" s="171"/>
      <c r="AF382" s="171"/>
      <c r="AG382" s="171"/>
      <c r="AH382" s="171"/>
      <c r="AI382" s="171"/>
      <c r="AJ382" s="171"/>
      <c r="AK382" s="171"/>
      <c r="AL382" s="171"/>
      <c r="AM382" s="22"/>
      <c r="AN382" s="22">
        <f t="shared" si="3"/>
        <v>7</v>
      </c>
      <c r="AO382" s="171"/>
    </row>
    <row r="383" spans="1:41" ht="15.75" customHeight="1">
      <c r="A383" s="167" t="s">
        <v>1353</v>
      </c>
      <c r="B383" s="22" t="s">
        <v>1352</v>
      </c>
      <c r="C383" s="168">
        <v>1</v>
      </c>
      <c r="D383" s="169" t="b">
        <v>1</v>
      </c>
      <c r="E383" s="170" t="s">
        <v>1794</v>
      </c>
      <c r="F383" s="171">
        <v>1</v>
      </c>
      <c r="G383" s="171">
        <v>1</v>
      </c>
      <c r="H383" s="171">
        <v>1</v>
      </c>
      <c r="I383" s="171">
        <v>1</v>
      </c>
      <c r="J383" s="171">
        <v>1</v>
      </c>
      <c r="K383" s="171"/>
      <c r="L383" s="171"/>
      <c r="M383" s="171"/>
      <c r="N383" s="171"/>
      <c r="O383" s="171"/>
      <c r="P383" s="171"/>
      <c r="Q383" s="171">
        <v>1</v>
      </c>
      <c r="R383" s="171"/>
      <c r="S383" s="171"/>
      <c r="T383" s="171"/>
      <c r="U383" s="171"/>
      <c r="V383" s="171"/>
      <c r="W383" s="171"/>
      <c r="X383" s="171"/>
      <c r="Y383" s="171"/>
      <c r="Z383" s="171"/>
      <c r="AA383" s="171"/>
      <c r="AB383" s="171"/>
      <c r="AC383" s="171"/>
      <c r="AD383" s="171"/>
      <c r="AE383" s="171"/>
      <c r="AF383" s="171"/>
      <c r="AG383" s="171"/>
      <c r="AH383" s="171"/>
      <c r="AI383" s="171"/>
      <c r="AJ383" s="171"/>
      <c r="AK383" s="171"/>
      <c r="AL383" s="171">
        <v>1</v>
      </c>
      <c r="AM383" s="22"/>
      <c r="AN383" s="22">
        <f t="shared" si="3"/>
        <v>7</v>
      </c>
      <c r="AO383" s="171" t="s">
        <v>1617</v>
      </c>
    </row>
    <row r="384" spans="1:41" ht="15.75" customHeight="1">
      <c r="A384" s="167" t="s">
        <v>43</v>
      </c>
      <c r="B384" s="22" t="s">
        <v>42</v>
      </c>
      <c r="C384" s="168">
        <v>1</v>
      </c>
      <c r="D384" s="169" t="b">
        <v>1</v>
      </c>
      <c r="E384" s="174" t="s">
        <v>1795</v>
      </c>
      <c r="F384" s="171">
        <v>1</v>
      </c>
      <c r="G384" s="171">
        <v>1</v>
      </c>
      <c r="H384" s="171">
        <v>1</v>
      </c>
      <c r="I384" s="171">
        <v>1</v>
      </c>
      <c r="J384" s="171">
        <v>1</v>
      </c>
      <c r="K384" s="171"/>
      <c r="L384" s="171"/>
      <c r="M384" s="171"/>
      <c r="N384" s="171"/>
      <c r="O384" s="171"/>
      <c r="P384" s="171"/>
      <c r="Q384" s="171"/>
      <c r="R384" s="171"/>
      <c r="S384" s="171">
        <v>1</v>
      </c>
      <c r="T384" s="171"/>
      <c r="U384" s="171"/>
      <c r="V384" s="171"/>
      <c r="W384" s="171"/>
      <c r="X384" s="171"/>
      <c r="Y384" s="171"/>
      <c r="Z384" s="171"/>
      <c r="AA384" s="171"/>
      <c r="AB384" s="171"/>
      <c r="AC384" s="171"/>
      <c r="AD384" s="171"/>
      <c r="AE384" s="171"/>
      <c r="AF384" s="171"/>
      <c r="AG384" s="171"/>
      <c r="AH384" s="171"/>
      <c r="AI384" s="171"/>
      <c r="AJ384" s="171"/>
      <c r="AK384" s="171"/>
      <c r="AL384" s="171"/>
      <c r="AM384" s="22"/>
      <c r="AN384" s="22">
        <f t="shared" si="3"/>
        <v>6</v>
      </c>
      <c r="AO384" s="171" t="s">
        <v>1796</v>
      </c>
    </row>
    <row r="385" spans="1:41" ht="15.75" customHeight="1">
      <c r="A385" s="167" t="s">
        <v>57</v>
      </c>
      <c r="B385" s="22" t="s">
        <v>56</v>
      </c>
      <c r="C385" s="168">
        <v>1</v>
      </c>
      <c r="D385" s="169" t="b">
        <v>1</v>
      </c>
      <c r="E385" s="170" t="s">
        <v>1797</v>
      </c>
      <c r="F385" s="171">
        <v>1</v>
      </c>
      <c r="G385" s="171">
        <v>1</v>
      </c>
      <c r="H385" s="171">
        <v>1</v>
      </c>
      <c r="I385" s="171">
        <v>1</v>
      </c>
      <c r="J385" s="171">
        <v>1</v>
      </c>
      <c r="K385" s="171"/>
      <c r="L385" s="171"/>
      <c r="M385" s="171"/>
      <c r="N385" s="171"/>
      <c r="O385" s="171"/>
      <c r="P385" s="171"/>
      <c r="Q385" s="171"/>
      <c r="R385" s="171"/>
      <c r="S385" s="171">
        <v>1</v>
      </c>
      <c r="T385" s="171"/>
      <c r="U385" s="171"/>
      <c r="V385" s="171"/>
      <c r="W385" s="171"/>
      <c r="X385" s="171"/>
      <c r="Y385" s="171"/>
      <c r="Z385" s="171"/>
      <c r="AA385" s="171"/>
      <c r="AB385" s="171"/>
      <c r="AC385" s="171"/>
      <c r="AD385" s="171"/>
      <c r="AE385" s="171"/>
      <c r="AF385" s="171"/>
      <c r="AG385" s="171"/>
      <c r="AH385" s="171"/>
      <c r="AI385" s="171"/>
      <c r="AJ385" s="171"/>
      <c r="AK385" s="171"/>
      <c r="AL385" s="171"/>
      <c r="AM385" s="22"/>
      <c r="AN385" s="22">
        <f t="shared" si="3"/>
        <v>6</v>
      </c>
      <c r="AO385" s="171" t="s">
        <v>1798</v>
      </c>
    </row>
    <row r="386" spans="1:41" ht="15.75" customHeight="1">
      <c r="A386" s="167" t="s">
        <v>80</v>
      </c>
      <c r="B386" s="22" t="s">
        <v>79</v>
      </c>
      <c r="C386" s="168">
        <v>1</v>
      </c>
      <c r="D386" s="169" t="b">
        <v>1</v>
      </c>
      <c r="E386" s="174" t="s">
        <v>1799</v>
      </c>
      <c r="F386" s="171">
        <v>1</v>
      </c>
      <c r="G386" s="171">
        <v>1</v>
      </c>
      <c r="H386" s="171">
        <v>1</v>
      </c>
      <c r="I386" s="171">
        <v>1</v>
      </c>
      <c r="J386" s="171">
        <v>1</v>
      </c>
      <c r="K386" s="171"/>
      <c r="L386" s="171"/>
      <c r="M386" s="171"/>
      <c r="N386" s="171"/>
      <c r="O386" s="171"/>
      <c r="P386" s="171"/>
      <c r="Q386" s="171"/>
      <c r="R386" s="171"/>
      <c r="S386" s="171">
        <v>1</v>
      </c>
      <c r="T386" s="171"/>
      <c r="U386" s="171"/>
      <c r="V386" s="171"/>
      <c r="W386" s="171"/>
      <c r="X386" s="171"/>
      <c r="Y386" s="171"/>
      <c r="Z386" s="171"/>
      <c r="AA386" s="171"/>
      <c r="AB386" s="171"/>
      <c r="AC386" s="171"/>
      <c r="AD386" s="171"/>
      <c r="AE386" s="171"/>
      <c r="AF386" s="171"/>
      <c r="AG386" s="171"/>
      <c r="AH386" s="171"/>
      <c r="AI386" s="171"/>
      <c r="AJ386" s="171"/>
      <c r="AK386" s="171"/>
      <c r="AL386" s="171"/>
      <c r="AM386" s="22"/>
      <c r="AN386" s="22">
        <f t="shared" si="3"/>
        <v>6</v>
      </c>
      <c r="AO386" s="171" t="s">
        <v>1796</v>
      </c>
    </row>
    <row r="387" spans="1:41" ht="15.75" customHeight="1">
      <c r="A387" s="167" t="s">
        <v>396</v>
      </c>
      <c r="B387" s="22" t="s">
        <v>395</v>
      </c>
      <c r="C387" s="168">
        <v>1</v>
      </c>
      <c r="D387" s="169" t="b">
        <v>1</v>
      </c>
      <c r="E387" s="170" t="s">
        <v>1800</v>
      </c>
      <c r="F387" s="171">
        <v>1</v>
      </c>
      <c r="G387" s="171">
        <v>1</v>
      </c>
      <c r="H387" s="171">
        <v>1</v>
      </c>
      <c r="I387" s="171">
        <v>1</v>
      </c>
      <c r="J387" s="171">
        <v>1</v>
      </c>
      <c r="K387" s="171"/>
      <c r="L387" s="171"/>
      <c r="M387" s="171"/>
      <c r="N387" s="171"/>
      <c r="O387" s="171"/>
      <c r="P387" s="171"/>
      <c r="Q387" s="171"/>
      <c r="R387" s="171"/>
      <c r="S387" s="171">
        <v>1</v>
      </c>
      <c r="T387" s="171"/>
      <c r="U387" s="171"/>
      <c r="V387" s="171"/>
      <c r="W387" s="171"/>
      <c r="X387" s="171"/>
      <c r="Y387" s="171"/>
      <c r="Z387" s="171"/>
      <c r="AA387" s="171"/>
      <c r="AB387" s="171"/>
      <c r="AC387" s="171"/>
      <c r="AD387" s="171"/>
      <c r="AE387" s="171"/>
      <c r="AF387" s="171"/>
      <c r="AG387" s="171"/>
      <c r="AH387" s="171"/>
      <c r="AI387" s="171"/>
      <c r="AJ387" s="171"/>
      <c r="AK387" s="171"/>
      <c r="AL387" s="171"/>
      <c r="AM387" s="22"/>
      <c r="AN387" s="22">
        <f t="shared" si="3"/>
        <v>6</v>
      </c>
      <c r="AO387" s="171" t="s">
        <v>1429</v>
      </c>
    </row>
    <row r="388" spans="1:41" ht="15.75" customHeight="1">
      <c r="A388" s="167" t="s">
        <v>454</v>
      </c>
      <c r="B388" s="22" t="s">
        <v>453</v>
      </c>
      <c r="C388" s="168">
        <v>1</v>
      </c>
      <c r="D388" s="169" t="b">
        <v>1</v>
      </c>
      <c r="E388" s="170" t="s">
        <v>1801</v>
      </c>
      <c r="F388" s="171">
        <v>1</v>
      </c>
      <c r="G388" s="171">
        <v>1</v>
      </c>
      <c r="H388" s="171">
        <v>1</v>
      </c>
      <c r="I388" s="171">
        <v>1</v>
      </c>
      <c r="J388" s="171">
        <v>1</v>
      </c>
      <c r="K388" s="171"/>
      <c r="L388" s="171"/>
      <c r="M388" s="171"/>
      <c r="N388" s="171"/>
      <c r="O388" s="171"/>
      <c r="P388" s="171"/>
      <c r="Q388" s="171"/>
      <c r="R388" s="171"/>
      <c r="S388" s="171">
        <v>1</v>
      </c>
      <c r="T388" s="171"/>
      <c r="U388" s="171"/>
      <c r="V388" s="171"/>
      <c r="W388" s="171"/>
      <c r="X388" s="171"/>
      <c r="Y388" s="171"/>
      <c r="Z388" s="171"/>
      <c r="AA388" s="171"/>
      <c r="AB388" s="171"/>
      <c r="AC388" s="171"/>
      <c r="AD388" s="171"/>
      <c r="AE388" s="171"/>
      <c r="AF388" s="171"/>
      <c r="AG388" s="171"/>
      <c r="AH388" s="171"/>
      <c r="AI388" s="171"/>
      <c r="AJ388" s="171"/>
      <c r="AK388" s="171"/>
      <c r="AL388" s="171"/>
      <c r="AM388" s="22"/>
      <c r="AN388" s="22">
        <f t="shared" si="3"/>
        <v>6</v>
      </c>
      <c r="AO388" s="171" t="s">
        <v>1429</v>
      </c>
    </row>
    <row r="389" spans="1:41" ht="15.75" customHeight="1">
      <c r="A389" s="167" t="s">
        <v>734</v>
      </c>
      <c r="B389" s="22" t="s">
        <v>733</v>
      </c>
      <c r="C389" s="168">
        <v>1</v>
      </c>
      <c r="D389" s="169" t="b">
        <v>1</v>
      </c>
      <c r="E389" s="170" t="s">
        <v>1802</v>
      </c>
      <c r="F389" s="171">
        <v>1</v>
      </c>
      <c r="G389" s="171">
        <v>1</v>
      </c>
      <c r="H389" s="171">
        <v>1</v>
      </c>
      <c r="I389" s="171">
        <v>1</v>
      </c>
      <c r="J389" s="171">
        <v>1</v>
      </c>
      <c r="K389" s="171"/>
      <c r="L389" s="171"/>
      <c r="M389" s="171"/>
      <c r="N389" s="171"/>
      <c r="O389" s="171"/>
      <c r="P389" s="171"/>
      <c r="Q389" s="171"/>
      <c r="R389" s="171"/>
      <c r="S389" s="171">
        <v>1</v>
      </c>
      <c r="T389" s="171"/>
      <c r="U389" s="171"/>
      <c r="V389" s="171"/>
      <c r="W389" s="171"/>
      <c r="X389" s="171"/>
      <c r="Y389" s="171"/>
      <c r="Z389" s="171"/>
      <c r="AA389" s="171"/>
      <c r="AB389" s="171"/>
      <c r="AC389" s="171"/>
      <c r="AD389" s="171"/>
      <c r="AE389" s="171"/>
      <c r="AF389" s="171"/>
      <c r="AG389" s="171"/>
      <c r="AH389" s="171"/>
      <c r="AI389" s="171"/>
      <c r="AJ389" s="171"/>
      <c r="AK389" s="171"/>
      <c r="AL389" s="171"/>
      <c r="AM389" s="22"/>
      <c r="AN389" s="22">
        <f t="shared" si="3"/>
        <v>6</v>
      </c>
      <c r="AO389" s="171" t="s">
        <v>1803</v>
      </c>
    </row>
    <row r="390" spans="1:41" ht="15.75" customHeight="1">
      <c r="A390" s="167" t="s">
        <v>792</v>
      </c>
      <c r="B390" s="22" t="s">
        <v>791</v>
      </c>
      <c r="C390" s="168">
        <v>1</v>
      </c>
      <c r="D390" s="169" t="b">
        <v>1</v>
      </c>
      <c r="E390" s="170" t="s">
        <v>1804</v>
      </c>
      <c r="F390" s="171">
        <v>1</v>
      </c>
      <c r="G390" s="171">
        <v>1</v>
      </c>
      <c r="H390" s="171">
        <v>1</v>
      </c>
      <c r="I390" s="171">
        <v>1</v>
      </c>
      <c r="J390" s="171">
        <v>1</v>
      </c>
      <c r="K390" s="171"/>
      <c r="L390" s="171"/>
      <c r="M390" s="171"/>
      <c r="N390" s="171"/>
      <c r="O390" s="171"/>
      <c r="P390" s="171"/>
      <c r="Q390" s="171"/>
      <c r="R390" s="171"/>
      <c r="S390" s="171">
        <v>1</v>
      </c>
      <c r="T390" s="171"/>
      <c r="U390" s="171"/>
      <c r="V390" s="171"/>
      <c r="W390" s="171"/>
      <c r="X390" s="171"/>
      <c r="Y390" s="171"/>
      <c r="Z390" s="171"/>
      <c r="AA390" s="171"/>
      <c r="AB390" s="171"/>
      <c r="AC390" s="171"/>
      <c r="AD390" s="171"/>
      <c r="AE390" s="171"/>
      <c r="AF390" s="171"/>
      <c r="AG390" s="171"/>
      <c r="AH390" s="171"/>
      <c r="AI390" s="171"/>
      <c r="AJ390" s="171"/>
      <c r="AK390" s="171"/>
      <c r="AL390" s="171"/>
      <c r="AM390" s="22"/>
      <c r="AN390" s="22">
        <f t="shared" si="3"/>
        <v>6</v>
      </c>
      <c r="AO390" s="171" t="s">
        <v>1805</v>
      </c>
    </row>
    <row r="391" spans="1:41" ht="15.75" customHeight="1">
      <c r="A391" s="167" t="s">
        <v>880</v>
      </c>
      <c r="B391" s="22" t="s">
        <v>879</v>
      </c>
      <c r="C391" s="168">
        <v>1</v>
      </c>
      <c r="D391" s="169" t="b">
        <v>1</v>
      </c>
      <c r="E391" s="170" t="s">
        <v>1806</v>
      </c>
      <c r="F391" s="171">
        <v>1</v>
      </c>
      <c r="G391" s="171">
        <v>1</v>
      </c>
      <c r="H391" s="171">
        <v>1</v>
      </c>
      <c r="I391" s="171">
        <v>1</v>
      </c>
      <c r="J391" s="171">
        <v>1</v>
      </c>
      <c r="K391" s="171"/>
      <c r="L391" s="171"/>
      <c r="M391" s="171"/>
      <c r="N391" s="171"/>
      <c r="O391" s="171"/>
      <c r="P391" s="171"/>
      <c r="Q391" s="171"/>
      <c r="R391" s="171"/>
      <c r="S391" s="171">
        <v>1</v>
      </c>
      <c r="T391" s="171"/>
      <c r="U391" s="171"/>
      <c r="V391" s="171"/>
      <c r="W391" s="171"/>
      <c r="X391" s="171"/>
      <c r="Y391" s="171"/>
      <c r="Z391" s="171"/>
      <c r="AA391" s="171"/>
      <c r="AB391" s="171"/>
      <c r="AC391" s="171"/>
      <c r="AD391" s="171"/>
      <c r="AE391" s="171"/>
      <c r="AF391" s="171"/>
      <c r="AG391" s="171"/>
      <c r="AH391" s="171"/>
      <c r="AI391" s="171"/>
      <c r="AJ391" s="171"/>
      <c r="AK391" s="171"/>
      <c r="AL391" s="171"/>
      <c r="AM391" s="22"/>
      <c r="AN391" s="22">
        <f t="shared" si="3"/>
        <v>6</v>
      </c>
      <c r="AO391" s="171" t="s">
        <v>1492</v>
      </c>
    </row>
    <row r="392" spans="1:41" ht="15.75" customHeight="1">
      <c r="A392" s="167" t="s">
        <v>49</v>
      </c>
      <c r="B392" s="22" t="s">
        <v>48</v>
      </c>
      <c r="C392" s="168">
        <v>1</v>
      </c>
      <c r="D392" s="169" t="b">
        <v>1</v>
      </c>
      <c r="E392" s="170" t="s">
        <v>1807</v>
      </c>
      <c r="F392" s="171">
        <v>1</v>
      </c>
      <c r="G392" s="171">
        <v>1</v>
      </c>
      <c r="H392" s="171">
        <v>1</v>
      </c>
      <c r="I392" s="171">
        <v>1</v>
      </c>
      <c r="J392" s="171">
        <v>1</v>
      </c>
      <c r="K392" s="171"/>
      <c r="L392" s="171">
        <v>1</v>
      </c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  <c r="AC392" s="171"/>
      <c r="AD392" s="171"/>
      <c r="AE392" s="171"/>
      <c r="AF392" s="171"/>
      <c r="AG392" s="171"/>
      <c r="AH392" s="171"/>
      <c r="AI392" s="171"/>
      <c r="AJ392" s="171"/>
      <c r="AK392" s="171"/>
      <c r="AL392" s="171"/>
      <c r="AM392" s="22"/>
      <c r="AN392" s="22">
        <f t="shared" si="3"/>
        <v>6</v>
      </c>
      <c r="AO392" s="171"/>
    </row>
    <row r="393" spans="1:41" ht="15.75" customHeight="1">
      <c r="A393" s="167" t="s">
        <v>55</v>
      </c>
      <c r="B393" s="22" t="s">
        <v>54</v>
      </c>
      <c r="C393" s="168">
        <v>1</v>
      </c>
      <c r="D393" s="169" t="b">
        <v>1</v>
      </c>
      <c r="E393" s="170" t="s">
        <v>1808</v>
      </c>
      <c r="F393" s="171">
        <v>1</v>
      </c>
      <c r="G393" s="171">
        <v>1</v>
      </c>
      <c r="H393" s="171">
        <v>1</v>
      </c>
      <c r="I393" s="171">
        <v>1</v>
      </c>
      <c r="J393" s="171">
        <v>1</v>
      </c>
      <c r="K393" s="171"/>
      <c r="L393" s="171"/>
      <c r="M393" s="171">
        <v>1</v>
      </c>
      <c r="N393" s="171"/>
      <c r="O393" s="171"/>
      <c r="P393" s="171"/>
      <c r="Q393" s="171"/>
      <c r="R393" s="171"/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  <c r="AC393" s="171"/>
      <c r="AD393" s="171"/>
      <c r="AE393" s="171"/>
      <c r="AF393" s="171"/>
      <c r="AG393" s="171"/>
      <c r="AH393" s="171"/>
      <c r="AI393" s="171"/>
      <c r="AJ393" s="171"/>
      <c r="AK393" s="171"/>
      <c r="AL393" s="171"/>
      <c r="AM393" s="22"/>
      <c r="AN393" s="22">
        <f t="shared" si="3"/>
        <v>6</v>
      </c>
      <c r="AO393" s="171"/>
    </row>
    <row r="394" spans="1:41" ht="15.75" customHeight="1">
      <c r="A394" s="167" t="s">
        <v>59</v>
      </c>
      <c r="B394" s="22" t="s">
        <v>58</v>
      </c>
      <c r="C394" s="168">
        <v>1</v>
      </c>
      <c r="D394" s="169" t="b">
        <v>1</v>
      </c>
      <c r="E394" s="170" t="s">
        <v>1809</v>
      </c>
      <c r="F394" s="171">
        <v>1</v>
      </c>
      <c r="G394" s="171">
        <v>1</v>
      </c>
      <c r="H394" s="171">
        <v>1</v>
      </c>
      <c r="I394" s="171">
        <v>1</v>
      </c>
      <c r="J394" s="171">
        <v>1</v>
      </c>
      <c r="K394" s="171"/>
      <c r="L394" s="171"/>
      <c r="M394" s="171"/>
      <c r="N394" s="171"/>
      <c r="O394" s="171"/>
      <c r="P394" s="171"/>
      <c r="Q394" s="171"/>
      <c r="R394" s="171"/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  <c r="AC394" s="171"/>
      <c r="AD394" s="171"/>
      <c r="AE394" s="171"/>
      <c r="AF394" s="171"/>
      <c r="AG394" s="171"/>
      <c r="AH394" s="171"/>
      <c r="AI394" s="171"/>
      <c r="AJ394" s="171"/>
      <c r="AK394" s="171"/>
      <c r="AL394" s="171">
        <v>1</v>
      </c>
      <c r="AM394" s="22"/>
      <c r="AN394" s="22">
        <f t="shared" si="3"/>
        <v>6</v>
      </c>
      <c r="AO394" s="171" t="s">
        <v>1810</v>
      </c>
    </row>
    <row r="395" spans="1:41" ht="15.75" customHeight="1">
      <c r="A395" s="167" t="s">
        <v>61</v>
      </c>
      <c r="B395" s="22" t="s">
        <v>60</v>
      </c>
      <c r="C395" s="168">
        <v>1</v>
      </c>
      <c r="D395" s="169" t="b">
        <v>1</v>
      </c>
      <c r="E395" s="170" t="s">
        <v>1811</v>
      </c>
      <c r="F395" s="171">
        <v>1</v>
      </c>
      <c r="G395" s="171">
        <v>1</v>
      </c>
      <c r="H395" s="171">
        <v>1</v>
      </c>
      <c r="I395" s="171">
        <v>1</v>
      </c>
      <c r="J395" s="171">
        <v>1</v>
      </c>
      <c r="K395" s="171"/>
      <c r="L395" s="171">
        <v>1</v>
      </c>
      <c r="M395" s="171"/>
      <c r="N395" s="171"/>
      <c r="O395" s="171"/>
      <c r="P395" s="171"/>
      <c r="Q395" s="171"/>
      <c r="R395" s="171"/>
      <c r="S395" s="171"/>
      <c r="T395" s="171"/>
      <c r="U395" s="171"/>
      <c r="V395" s="171"/>
      <c r="W395" s="171"/>
      <c r="X395" s="171"/>
      <c r="Y395" s="171"/>
      <c r="Z395" s="171"/>
      <c r="AA395" s="171"/>
      <c r="AB395" s="171"/>
      <c r="AC395" s="171"/>
      <c r="AD395" s="171"/>
      <c r="AE395" s="171"/>
      <c r="AF395" s="171"/>
      <c r="AG395" s="171"/>
      <c r="AH395" s="171"/>
      <c r="AI395" s="171"/>
      <c r="AJ395" s="171"/>
      <c r="AK395" s="171"/>
      <c r="AL395" s="171"/>
      <c r="AM395" s="22"/>
      <c r="AN395" s="22">
        <f t="shared" si="3"/>
        <v>6</v>
      </c>
      <c r="AO395" s="171"/>
    </row>
    <row r="396" spans="1:41" ht="15.75" customHeight="1">
      <c r="A396" s="167" t="s">
        <v>75</v>
      </c>
      <c r="B396" s="22" t="s">
        <v>74</v>
      </c>
      <c r="C396" s="168">
        <v>1</v>
      </c>
      <c r="D396" s="169" t="b">
        <v>1</v>
      </c>
      <c r="E396" s="170" t="s">
        <v>1812</v>
      </c>
      <c r="F396" s="171">
        <v>1</v>
      </c>
      <c r="G396" s="171">
        <v>1</v>
      </c>
      <c r="H396" s="171">
        <v>1</v>
      </c>
      <c r="I396" s="171">
        <v>1</v>
      </c>
      <c r="J396" s="171">
        <v>1</v>
      </c>
      <c r="K396" s="171"/>
      <c r="L396" s="171"/>
      <c r="M396" s="171"/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  <c r="AC396" s="171"/>
      <c r="AD396" s="171">
        <v>1</v>
      </c>
      <c r="AE396" s="171"/>
      <c r="AF396" s="171"/>
      <c r="AG396" s="171"/>
      <c r="AH396" s="171"/>
      <c r="AI396" s="171"/>
      <c r="AJ396" s="171"/>
      <c r="AK396" s="171"/>
      <c r="AL396" s="171"/>
      <c r="AM396" s="22"/>
      <c r="AN396" s="22">
        <f t="shared" si="3"/>
        <v>6</v>
      </c>
      <c r="AO396" s="171"/>
    </row>
    <row r="397" spans="1:41" ht="15.75" customHeight="1">
      <c r="A397" s="167" t="s">
        <v>106</v>
      </c>
      <c r="B397" s="22" t="s">
        <v>105</v>
      </c>
      <c r="C397" s="168">
        <v>1</v>
      </c>
      <c r="D397" s="169" t="b">
        <v>1</v>
      </c>
      <c r="E397" s="170" t="s">
        <v>1813</v>
      </c>
      <c r="F397" s="171">
        <v>1</v>
      </c>
      <c r="G397" s="171">
        <v>1</v>
      </c>
      <c r="H397" s="171">
        <v>1</v>
      </c>
      <c r="I397" s="171">
        <v>1</v>
      </c>
      <c r="J397" s="171">
        <v>1</v>
      </c>
      <c r="K397" s="171"/>
      <c r="L397" s="171"/>
      <c r="M397" s="171">
        <v>1</v>
      </c>
      <c r="N397" s="171"/>
      <c r="O397" s="171"/>
      <c r="P397" s="171"/>
      <c r="Q397" s="171"/>
      <c r="R397" s="171"/>
      <c r="S397" s="171"/>
      <c r="T397" s="171"/>
      <c r="U397" s="171"/>
      <c r="V397" s="171"/>
      <c r="W397" s="171"/>
      <c r="X397" s="171"/>
      <c r="Y397" s="171"/>
      <c r="Z397" s="171"/>
      <c r="AA397" s="171"/>
      <c r="AB397" s="171"/>
      <c r="AC397" s="171"/>
      <c r="AD397" s="171"/>
      <c r="AE397" s="171"/>
      <c r="AF397" s="171"/>
      <c r="AG397" s="171"/>
      <c r="AH397" s="171"/>
      <c r="AI397" s="171"/>
      <c r="AJ397" s="171"/>
      <c r="AK397" s="171"/>
      <c r="AL397" s="171"/>
      <c r="AM397" s="22"/>
      <c r="AN397" s="22">
        <f t="shared" si="3"/>
        <v>6</v>
      </c>
      <c r="AO397" s="171"/>
    </row>
    <row r="398" spans="1:41" ht="15.75" customHeight="1">
      <c r="A398" s="167" t="s">
        <v>108</v>
      </c>
      <c r="B398" s="22" t="s">
        <v>107</v>
      </c>
      <c r="C398" s="168">
        <v>1</v>
      </c>
      <c r="D398" s="169" t="b">
        <v>1</v>
      </c>
      <c r="E398" s="170" t="s">
        <v>1814</v>
      </c>
      <c r="F398" s="171">
        <v>1</v>
      </c>
      <c r="G398" s="171">
        <v>1</v>
      </c>
      <c r="H398" s="171">
        <v>1</v>
      </c>
      <c r="I398" s="171">
        <v>1</v>
      </c>
      <c r="J398" s="171">
        <v>1</v>
      </c>
      <c r="K398" s="171"/>
      <c r="L398" s="171"/>
      <c r="M398" s="171"/>
      <c r="N398" s="171"/>
      <c r="O398" s="171"/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  <c r="AC398" s="171"/>
      <c r="AD398" s="171"/>
      <c r="AE398" s="171"/>
      <c r="AF398" s="171"/>
      <c r="AG398" s="171"/>
      <c r="AH398" s="171"/>
      <c r="AI398" s="171"/>
      <c r="AJ398" s="171"/>
      <c r="AK398" s="171"/>
      <c r="AL398" s="171">
        <v>1</v>
      </c>
      <c r="AM398" s="22"/>
      <c r="AN398" s="22">
        <f t="shared" si="3"/>
        <v>6</v>
      </c>
      <c r="AO398" s="171" t="s">
        <v>1610</v>
      </c>
    </row>
    <row r="399" spans="1:41" ht="15.75" customHeight="1">
      <c r="A399" s="167" t="s">
        <v>110</v>
      </c>
      <c r="B399" s="22" t="s">
        <v>109</v>
      </c>
      <c r="C399" s="168">
        <v>1</v>
      </c>
      <c r="D399" s="169" t="b">
        <v>1</v>
      </c>
      <c r="E399" s="170" t="s">
        <v>1815</v>
      </c>
      <c r="F399" s="171">
        <v>1</v>
      </c>
      <c r="G399" s="171">
        <v>1</v>
      </c>
      <c r="H399" s="171">
        <v>1</v>
      </c>
      <c r="I399" s="171">
        <v>1</v>
      </c>
      <c r="J399" s="171">
        <v>1</v>
      </c>
      <c r="K399" s="171">
        <v>1</v>
      </c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  <c r="AC399" s="171"/>
      <c r="AD399" s="171"/>
      <c r="AE399" s="171"/>
      <c r="AF399" s="171"/>
      <c r="AG399" s="171"/>
      <c r="AH399" s="171"/>
      <c r="AI399" s="171"/>
      <c r="AJ399" s="171"/>
      <c r="AK399" s="171"/>
      <c r="AL399" s="171"/>
      <c r="AM399" s="22"/>
      <c r="AN399" s="22">
        <f t="shared" si="3"/>
        <v>6</v>
      </c>
      <c r="AO399" s="171"/>
    </row>
    <row r="400" spans="1:41" ht="15.75" customHeight="1">
      <c r="A400" s="167" t="s">
        <v>116</v>
      </c>
      <c r="B400" s="22" t="s">
        <v>115</v>
      </c>
      <c r="C400" s="168">
        <v>1</v>
      </c>
      <c r="D400" s="169" t="b">
        <v>1</v>
      </c>
      <c r="E400" s="170" t="s">
        <v>1816</v>
      </c>
      <c r="F400" s="171">
        <v>1</v>
      </c>
      <c r="G400" s="171">
        <v>1</v>
      </c>
      <c r="H400" s="171">
        <v>1</v>
      </c>
      <c r="I400" s="171">
        <v>1</v>
      </c>
      <c r="J400" s="171">
        <v>1</v>
      </c>
      <c r="K400" s="171"/>
      <c r="L400" s="171">
        <v>1</v>
      </c>
      <c r="M400" s="171"/>
      <c r="N400" s="171"/>
      <c r="O400" s="171"/>
      <c r="P400" s="171"/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  <c r="AC400" s="171"/>
      <c r="AD400" s="171"/>
      <c r="AE400" s="171"/>
      <c r="AF400" s="171"/>
      <c r="AG400" s="171"/>
      <c r="AH400" s="171"/>
      <c r="AI400" s="171"/>
      <c r="AJ400" s="171"/>
      <c r="AK400" s="171"/>
      <c r="AL400" s="171"/>
      <c r="AM400" s="22"/>
      <c r="AN400" s="22">
        <f t="shared" si="3"/>
        <v>6</v>
      </c>
      <c r="AO400" s="171"/>
    </row>
    <row r="401" spans="1:41" ht="15.75" customHeight="1">
      <c r="A401" s="167" t="s">
        <v>118</v>
      </c>
      <c r="B401" s="22" t="s">
        <v>117</v>
      </c>
      <c r="C401" s="168">
        <v>1</v>
      </c>
      <c r="D401" s="169" t="b">
        <v>1</v>
      </c>
      <c r="E401" s="170" t="s">
        <v>1817</v>
      </c>
      <c r="F401" s="171">
        <v>1</v>
      </c>
      <c r="G401" s="171">
        <v>1</v>
      </c>
      <c r="H401" s="171">
        <v>1</v>
      </c>
      <c r="I401" s="171">
        <v>1</v>
      </c>
      <c r="J401" s="171">
        <v>1</v>
      </c>
      <c r="K401" s="171">
        <v>1</v>
      </c>
      <c r="L401" s="171"/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  <c r="AC401" s="171"/>
      <c r="AD401" s="171"/>
      <c r="AE401" s="171"/>
      <c r="AF401" s="171"/>
      <c r="AG401" s="171"/>
      <c r="AH401" s="171"/>
      <c r="AI401" s="171"/>
      <c r="AJ401" s="171"/>
      <c r="AK401" s="171"/>
      <c r="AL401" s="171"/>
      <c r="AM401" s="22"/>
      <c r="AN401" s="22">
        <f t="shared" si="3"/>
        <v>6</v>
      </c>
      <c r="AO401" s="171"/>
    </row>
    <row r="402" spans="1:41" ht="15.75" customHeight="1">
      <c r="A402" s="167" t="s">
        <v>124</v>
      </c>
      <c r="B402" s="22" t="s">
        <v>123</v>
      </c>
      <c r="C402" s="168">
        <v>1</v>
      </c>
      <c r="D402" s="169" t="b">
        <v>1</v>
      </c>
      <c r="E402" s="170" t="s">
        <v>1818</v>
      </c>
      <c r="F402" s="178">
        <v>1</v>
      </c>
      <c r="G402" s="171">
        <v>1</v>
      </c>
      <c r="H402" s="171">
        <v>1</v>
      </c>
      <c r="I402" s="171">
        <v>1</v>
      </c>
      <c r="J402" s="171">
        <v>1</v>
      </c>
      <c r="K402" s="171">
        <v>1</v>
      </c>
      <c r="L402" s="171"/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  <c r="AC402" s="171"/>
      <c r="AD402" s="171"/>
      <c r="AE402" s="171"/>
      <c r="AF402" s="171"/>
      <c r="AG402" s="171"/>
      <c r="AH402" s="171"/>
      <c r="AI402" s="171"/>
      <c r="AJ402" s="171"/>
      <c r="AK402" s="171"/>
      <c r="AL402" s="171"/>
      <c r="AM402" s="22"/>
      <c r="AN402" s="22">
        <f t="shared" si="3"/>
        <v>6</v>
      </c>
      <c r="AO402" s="171"/>
    </row>
    <row r="403" spans="1:41" ht="15.75" customHeight="1">
      <c r="A403" s="167" t="s">
        <v>126</v>
      </c>
      <c r="B403" s="22" t="s">
        <v>125</v>
      </c>
      <c r="C403" s="168">
        <v>1</v>
      </c>
      <c r="D403" s="169" t="b">
        <v>1</v>
      </c>
      <c r="E403" s="170" t="s">
        <v>1819</v>
      </c>
      <c r="F403" s="171">
        <v>1</v>
      </c>
      <c r="G403" s="171">
        <v>1</v>
      </c>
      <c r="H403" s="171">
        <v>1</v>
      </c>
      <c r="I403" s="171">
        <v>1</v>
      </c>
      <c r="J403" s="171">
        <v>1</v>
      </c>
      <c r="K403" s="171"/>
      <c r="L403" s="171">
        <v>1</v>
      </c>
      <c r="M403" s="171"/>
      <c r="N403" s="171"/>
      <c r="O403" s="171"/>
      <c r="P403" s="171"/>
      <c r="Q403" s="171"/>
      <c r="R403" s="171"/>
      <c r="S403" s="171"/>
      <c r="T403" s="171"/>
      <c r="U403" s="171"/>
      <c r="V403" s="171"/>
      <c r="W403" s="171"/>
      <c r="X403" s="171"/>
      <c r="Y403" s="171"/>
      <c r="Z403" s="171"/>
      <c r="AA403" s="171"/>
      <c r="AB403" s="171"/>
      <c r="AC403" s="171"/>
      <c r="AD403" s="171"/>
      <c r="AE403" s="171"/>
      <c r="AF403" s="171"/>
      <c r="AG403" s="171"/>
      <c r="AH403" s="171"/>
      <c r="AI403" s="171"/>
      <c r="AJ403" s="171"/>
      <c r="AK403" s="171"/>
      <c r="AL403" s="171"/>
      <c r="AM403" s="22"/>
      <c r="AN403" s="22">
        <f t="shared" si="3"/>
        <v>6</v>
      </c>
      <c r="AO403" s="171"/>
    </row>
    <row r="404" spans="1:41" ht="15.75" customHeight="1">
      <c r="A404" s="167" t="s">
        <v>128</v>
      </c>
      <c r="B404" s="22" t="s">
        <v>127</v>
      </c>
      <c r="C404" s="168">
        <v>1</v>
      </c>
      <c r="D404" s="169" t="b">
        <v>1</v>
      </c>
      <c r="E404" s="174" t="s">
        <v>1820</v>
      </c>
      <c r="F404" s="171">
        <v>1</v>
      </c>
      <c r="G404" s="171">
        <v>1</v>
      </c>
      <c r="H404" s="171">
        <v>1</v>
      </c>
      <c r="I404" s="171">
        <v>1</v>
      </c>
      <c r="J404" s="171">
        <v>1</v>
      </c>
      <c r="K404" s="171"/>
      <c r="L404" s="171"/>
      <c r="M404" s="171"/>
      <c r="N404" s="171"/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  <c r="AC404" s="171"/>
      <c r="AD404" s="171"/>
      <c r="AE404" s="171"/>
      <c r="AF404" s="171"/>
      <c r="AG404" s="171"/>
      <c r="AH404" s="171"/>
      <c r="AI404" s="171"/>
      <c r="AJ404" s="171"/>
      <c r="AK404" s="171"/>
      <c r="AL404" s="171">
        <v>1</v>
      </c>
      <c r="AM404" s="22"/>
      <c r="AN404" s="22">
        <f t="shared" si="3"/>
        <v>6</v>
      </c>
      <c r="AO404" s="171" t="s">
        <v>1714</v>
      </c>
    </row>
    <row r="405" spans="1:41" ht="15.75" customHeight="1">
      <c r="A405" s="167" t="s">
        <v>139</v>
      </c>
      <c r="B405" s="22" t="s">
        <v>138</v>
      </c>
      <c r="C405" s="168">
        <v>1</v>
      </c>
      <c r="D405" s="169" t="b">
        <v>1</v>
      </c>
      <c r="E405" s="170" t="s">
        <v>1821</v>
      </c>
      <c r="F405" s="171">
        <v>1</v>
      </c>
      <c r="G405" s="171">
        <v>1</v>
      </c>
      <c r="H405" s="171">
        <v>1</v>
      </c>
      <c r="I405" s="171">
        <v>1</v>
      </c>
      <c r="J405" s="171">
        <v>1</v>
      </c>
      <c r="K405" s="171"/>
      <c r="L405" s="171"/>
      <c r="M405" s="171">
        <v>1</v>
      </c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  <c r="AC405" s="171"/>
      <c r="AD405" s="171"/>
      <c r="AE405" s="171"/>
      <c r="AF405" s="171"/>
      <c r="AG405" s="171"/>
      <c r="AH405" s="171"/>
      <c r="AI405" s="171"/>
      <c r="AJ405" s="171"/>
      <c r="AK405" s="171"/>
      <c r="AL405" s="171"/>
      <c r="AM405" s="22"/>
      <c r="AN405" s="22">
        <f t="shared" si="3"/>
        <v>6</v>
      </c>
      <c r="AO405" s="171"/>
    </row>
    <row r="406" spans="1:41" ht="15.75" customHeight="1">
      <c r="A406" s="167" t="s">
        <v>143</v>
      </c>
      <c r="B406" s="22" t="s">
        <v>142</v>
      </c>
      <c r="C406" s="168">
        <v>1</v>
      </c>
      <c r="D406" s="169" t="b">
        <v>1</v>
      </c>
      <c r="E406" s="170" t="s">
        <v>1822</v>
      </c>
      <c r="F406" s="171">
        <v>1</v>
      </c>
      <c r="G406" s="172">
        <v>1</v>
      </c>
      <c r="H406" s="172">
        <v>1</v>
      </c>
      <c r="I406" s="172">
        <v>1</v>
      </c>
      <c r="J406" s="172">
        <v>1</v>
      </c>
      <c r="K406" s="172"/>
      <c r="L406" s="171"/>
      <c r="M406" s="171"/>
      <c r="N406" s="171"/>
      <c r="O406" s="171">
        <v>1</v>
      </c>
      <c r="P406" s="172"/>
      <c r="Q406" s="171"/>
      <c r="R406" s="171"/>
      <c r="S406" s="172"/>
      <c r="T406" s="171"/>
      <c r="U406" s="171"/>
      <c r="V406" s="171"/>
      <c r="W406" s="171"/>
      <c r="X406" s="172"/>
      <c r="Y406" s="172"/>
      <c r="Z406" s="172"/>
      <c r="AA406" s="172"/>
      <c r="AB406" s="172"/>
      <c r="AC406" s="171"/>
      <c r="AD406" s="171"/>
      <c r="AE406" s="172"/>
      <c r="AF406" s="172"/>
      <c r="AG406" s="171"/>
      <c r="AH406" s="171"/>
      <c r="AI406" s="171"/>
      <c r="AJ406" s="171"/>
      <c r="AK406" s="171"/>
      <c r="AL406" s="171"/>
      <c r="AM406" s="22"/>
      <c r="AN406" s="22">
        <f t="shared" si="3"/>
        <v>6</v>
      </c>
      <c r="AO406" s="171"/>
    </row>
    <row r="407" spans="1:41" ht="15.75" customHeight="1">
      <c r="A407" s="167" t="s">
        <v>151</v>
      </c>
      <c r="B407" s="22" t="s">
        <v>150</v>
      </c>
      <c r="C407" s="168">
        <v>1</v>
      </c>
      <c r="D407" s="169" t="b">
        <v>1</v>
      </c>
      <c r="E407" s="170" t="s">
        <v>1823</v>
      </c>
      <c r="F407" s="171">
        <v>1</v>
      </c>
      <c r="G407" s="172">
        <v>1</v>
      </c>
      <c r="H407" s="172">
        <v>1</v>
      </c>
      <c r="I407" s="172">
        <v>1</v>
      </c>
      <c r="J407" s="172">
        <v>1</v>
      </c>
      <c r="K407" s="172"/>
      <c r="L407" s="171"/>
      <c r="M407" s="171"/>
      <c r="N407" s="171"/>
      <c r="O407" s="171"/>
      <c r="P407" s="172"/>
      <c r="Q407" s="171"/>
      <c r="R407" s="171"/>
      <c r="S407" s="172"/>
      <c r="T407" s="171"/>
      <c r="U407" s="171"/>
      <c r="V407" s="171"/>
      <c r="W407" s="171"/>
      <c r="X407" s="172"/>
      <c r="Y407" s="172"/>
      <c r="Z407" s="172"/>
      <c r="AA407" s="172"/>
      <c r="AB407" s="172"/>
      <c r="AC407" s="171"/>
      <c r="AD407" s="171"/>
      <c r="AE407" s="172"/>
      <c r="AF407" s="172"/>
      <c r="AG407" s="171">
        <v>1</v>
      </c>
      <c r="AH407" s="171"/>
      <c r="AI407" s="171"/>
      <c r="AJ407" s="171"/>
      <c r="AK407" s="171"/>
      <c r="AL407" s="171"/>
      <c r="AM407" s="22"/>
      <c r="AN407" s="22">
        <f t="shared" si="3"/>
        <v>6</v>
      </c>
      <c r="AO407" s="171"/>
    </row>
    <row r="408" spans="1:41" ht="15.75" customHeight="1">
      <c r="A408" s="167" t="s">
        <v>153</v>
      </c>
      <c r="B408" s="22" t="s">
        <v>152</v>
      </c>
      <c r="C408" s="168">
        <v>1</v>
      </c>
      <c r="D408" s="169" t="b">
        <v>1</v>
      </c>
      <c r="E408" s="170" t="s">
        <v>1824</v>
      </c>
      <c r="F408" s="171">
        <v>1</v>
      </c>
      <c r="G408" s="172">
        <v>1</v>
      </c>
      <c r="H408" s="172">
        <v>1</v>
      </c>
      <c r="I408" s="172">
        <v>1</v>
      </c>
      <c r="J408" s="172">
        <v>1</v>
      </c>
      <c r="K408" s="172"/>
      <c r="L408" s="171">
        <v>1</v>
      </c>
      <c r="M408" s="171"/>
      <c r="N408" s="171"/>
      <c r="O408" s="171"/>
      <c r="P408" s="172"/>
      <c r="Q408" s="171"/>
      <c r="R408" s="171"/>
      <c r="S408" s="172"/>
      <c r="T408" s="171"/>
      <c r="U408" s="171"/>
      <c r="V408" s="171"/>
      <c r="W408" s="171"/>
      <c r="X408" s="172"/>
      <c r="Y408" s="172"/>
      <c r="Z408" s="172"/>
      <c r="AA408" s="172"/>
      <c r="AB408" s="172"/>
      <c r="AC408" s="171"/>
      <c r="AD408" s="171"/>
      <c r="AE408" s="172"/>
      <c r="AF408" s="172"/>
      <c r="AG408" s="171"/>
      <c r="AH408" s="171"/>
      <c r="AI408" s="171"/>
      <c r="AJ408" s="171"/>
      <c r="AK408" s="171"/>
      <c r="AL408" s="171"/>
      <c r="AM408" s="22"/>
      <c r="AN408" s="22">
        <f t="shared" si="3"/>
        <v>6</v>
      </c>
      <c r="AO408" s="171"/>
    </row>
    <row r="409" spans="1:41" ht="15.75" customHeight="1">
      <c r="A409" s="167" t="s">
        <v>169</v>
      </c>
      <c r="B409" s="22" t="s">
        <v>168</v>
      </c>
      <c r="C409" s="168">
        <v>1</v>
      </c>
      <c r="D409" s="169" t="b">
        <v>1</v>
      </c>
      <c r="E409" s="170" t="s">
        <v>1825</v>
      </c>
      <c r="F409" s="171">
        <v>1</v>
      </c>
      <c r="G409" s="172">
        <v>1</v>
      </c>
      <c r="H409" s="172">
        <v>1</v>
      </c>
      <c r="I409" s="172">
        <v>1</v>
      </c>
      <c r="J409" s="172">
        <v>1</v>
      </c>
      <c r="K409" s="171">
        <v>1</v>
      </c>
      <c r="L409" s="171"/>
      <c r="M409" s="171"/>
      <c r="N409" s="171"/>
      <c r="O409" s="171"/>
      <c r="P409" s="172"/>
      <c r="Q409" s="171"/>
      <c r="R409" s="171"/>
      <c r="S409" s="172"/>
      <c r="T409" s="171"/>
      <c r="U409" s="171"/>
      <c r="V409" s="171"/>
      <c r="W409" s="171"/>
      <c r="X409" s="172"/>
      <c r="Y409" s="172"/>
      <c r="Z409" s="172"/>
      <c r="AA409" s="172"/>
      <c r="AB409" s="172"/>
      <c r="AC409" s="171"/>
      <c r="AD409" s="171"/>
      <c r="AE409" s="172"/>
      <c r="AF409" s="172"/>
      <c r="AG409" s="171"/>
      <c r="AH409" s="171"/>
      <c r="AI409" s="171"/>
      <c r="AJ409" s="171"/>
      <c r="AK409" s="171"/>
      <c r="AL409" s="171"/>
      <c r="AM409" s="22"/>
      <c r="AN409" s="22">
        <f t="shared" si="3"/>
        <v>6</v>
      </c>
      <c r="AO409" s="171"/>
    </row>
    <row r="410" spans="1:41" ht="15.75" customHeight="1">
      <c r="A410" s="167" t="s">
        <v>173</v>
      </c>
      <c r="B410" s="22" t="s">
        <v>172</v>
      </c>
      <c r="C410" s="168">
        <v>1</v>
      </c>
      <c r="D410" s="169" t="b">
        <v>1</v>
      </c>
      <c r="E410" s="170" t="s">
        <v>1826</v>
      </c>
      <c r="F410" s="171">
        <v>1</v>
      </c>
      <c r="G410" s="172">
        <v>1</v>
      </c>
      <c r="H410" s="172">
        <v>1</v>
      </c>
      <c r="I410" s="172">
        <v>1</v>
      </c>
      <c r="J410" s="172">
        <v>1</v>
      </c>
      <c r="K410" s="172"/>
      <c r="L410" s="171">
        <v>1</v>
      </c>
      <c r="M410" s="171"/>
      <c r="N410" s="171"/>
      <c r="O410" s="171"/>
      <c r="P410" s="172"/>
      <c r="Q410" s="171"/>
      <c r="R410" s="171"/>
      <c r="S410" s="172"/>
      <c r="T410" s="171"/>
      <c r="U410" s="171"/>
      <c r="V410" s="171"/>
      <c r="W410" s="171"/>
      <c r="X410" s="172"/>
      <c r="Y410" s="172"/>
      <c r="Z410" s="172"/>
      <c r="AA410" s="172"/>
      <c r="AB410" s="172"/>
      <c r="AC410" s="171"/>
      <c r="AD410" s="171"/>
      <c r="AE410" s="172"/>
      <c r="AF410" s="172"/>
      <c r="AG410" s="171"/>
      <c r="AH410" s="171"/>
      <c r="AI410" s="171"/>
      <c r="AJ410" s="171"/>
      <c r="AK410" s="171"/>
      <c r="AL410" s="171"/>
      <c r="AM410" s="22"/>
      <c r="AN410" s="22">
        <f t="shared" si="3"/>
        <v>6</v>
      </c>
      <c r="AO410" s="171"/>
    </row>
    <row r="411" spans="1:41" ht="15.75" customHeight="1">
      <c r="A411" s="167" t="s">
        <v>177</v>
      </c>
      <c r="B411" s="22" t="s">
        <v>176</v>
      </c>
      <c r="C411" s="168">
        <v>1</v>
      </c>
      <c r="D411" s="169" t="b">
        <v>1</v>
      </c>
      <c r="E411" s="170" t="s">
        <v>1827</v>
      </c>
      <c r="F411" s="171">
        <v>1</v>
      </c>
      <c r="G411" s="171">
        <v>1</v>
      </c>
      <c r="H411" s="171">
        <v>1</v>
      </c>
      <c r="I411" s="171">
        <v>1</v>
      </c>
      <c r="J411" s="171">
        <v>1</v>
      </c>
      <c r="K411" s="171"/>
      <c r="L411" s="171"/>
      <c r="M411" s="171"/>
      <c r="N411" s="171"/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  <c r="AC411" s="171"/>
      <c r="AD411" s="171"/>
      <c r="AE411" s="171"/>
      <c r="AF411" s="171"/>
      <c r="AG411" s="171">
        <v>1</v>
      </c>
      <c r="AH411" s="171"/>
      <c r="AI411" s="171"/>
      <c r="AJ411" s="171"/>
      <c r="AK411" s="171"/>
      <c r="AL411" s="171"/>
      <c r="AM411" s="22"/>
      <c r="AN411" s="22">
        <f t="shared" si="3"/>
        <v>6</v>
      </c>
      <c r="AO411" s="171"/>
    </row>
    <row r="412" spans="1:41" ht="15.75" customHeight="1">
      <c r="A412" s="167" t="s">
        <v>185</v>
      </c>
      <c r="B412" s="22" t="s">
        <v>184</v>
      </c>
      <c r="C412" s="168">
        <v>1</v>
      </c>
      <c r="D412" s="169" t="b">
        <v>1</v>
      </c>
      <c r="E412" s="174" t="s">
        <v>1828</v>
      </c>
      <c r="F412" s="171">
        <v>1</v>
      </c>
      <c r="G412" s="171">
        <v>1</v>
      </c>
      <c r="H412" s="171">
        <v>1</v>
      </c>
      <c r="I412" s="171">
        <v>1</v>
      </c>
      <c r="J412" s="171"/>
      <c r="K412" s="171">
        <v>1</v>
      </c>
      <c r="L412" s="171"/>
      <c r="M412" s="171">
        <v>1</v>
      </c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  <c r="AC412" s="171"/>
      <c r="AD412" s="171"/>
      <c r="AE412" s="171"/>
      <c r="AF412" s="171"/>
      <c r="AG412" s="171"/>
      <c r="AH412" s="171"/>
      <c r="AI412" s="171"/>
      <c r="AJ412" s="171"/>
      <c r="AK412" s="171"/>
      <c r="AL412" s="171"/>
      <c r="AM412" s="22"/>
      <c r="AN412" s="22">
        <f t="shared" si="3"/>
        <v>6</v>
      </c>
      <c r="AO412" s="171"/>
    </row>
    <row r="413" spans="1:41" ht="15.75" customHeight="1">
      <c r="A413" s="167" t="s">
        <v>189</v>
      </c>
      <c r="B413" s="22" t="s">
        <v>188</v>
      </c>
      <c r="C413" s="168">
        <v>1</v>
      </c>
      <c r="D413" s="169" t="b">
        <v>1</v>
      </c>
      <c r="E413" s="170" t="s">
        <v>1829</v>
      </c>
      <c r="F413" s="171">
        <v>1</v>
      </c>
      <c r="G413" s="171">
        <v>1</v>
      </c>
      <c r="H413" s="171">
        <v>1</v>
      </c>
      <c r="I413" s="171">
        <v>1</v>
      </c>
      <c r="J413" s="171">
        <v>1</v>
      </c>
      <c r="K413" s="171"/>
      <c r="L413" s="171"/>
      <c r="M413" s="171"/>
      <c r="N413" s="171"/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  <c r="AC413" s="171"/>
      <c r="AD413" s="171">
        <v>1</v>
      </c>
      <c r="AE413" s="171"/>
      <c r="AF413" s="171"/>
      <c r="AG413" s="171"/>
      <c r="AH413" s="171"/>
      <c r="AI413" s="171"/>
      <c r="AJ413" s="171"/>
      <c r="AK413" s="171"/>
      <c r="AL413" s="171"/>
      <c r="AM413" s="22"/>
      <c r="AN413" s="22">
        <f t="shared" si="3"/>
        <v>6</v>
      </c>
      <c r="AO413" s="171"/>
    </row>
    <row r="414" spans="1:41" ht="15.75" customHeight="1">
      <c r="A414" s="167" t="s">
        <v>195</v>
      </c>
      <c r="B414" s="22" t="s">
        <v>194</v>
      </c>
      <c r="C414" s="168">
        <v>1</v>
      </c>
      <c r="D414" s="169" t="b">
        <v>1</v>
      </c>
      <c r="E414" s="170" t="s">
        <v>1830</v>
      </c>
      <c r="F414" s="171">
        <v>1</v>
      </c>
      <c r="G414" s="171">
        <v>1</v>
      </c>
      <c r="H414" s="171">
        <v>1</v>
      </c>
      <c r="I414" s="171">
        <v>1</v>
      </c>
      <c r="J414" s="171">
        <v>1</v>
      </c>
      <c r="K414" s="171"/>
      <c r="L414" s="171"/>
      <c r="M414" s="171">
        <v>1</v>
      </c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  <c r="AC414" s="171"/>
      <c r="AD414" s="171"/>
      <c r="AE414" s="171"/>
      <c r="AF414" s="171"/>
      <c r="AG414" s="171"/>
      <c r="AH414" s="171"/>
      <c r="AI414" s="171"/>
      <c r="AJ414" s="171"/>
      <c r="AK414" s="171"/>
      <c r="AL414" s="171"/>
      <c r="AM414" s="22"/>
      <c r="AN414" s="22">
        <f t="shared" si="3"/>
        <v>6</v>
      </c>
      <c r="AO414" s="171"/>
    </row>
    <row r="415" spans="1:41" ht="15.75" customHeight="1">
      <c r="A415" s="167" t="s">
        <v>197</v>
      </c>
      <c r="B415" s="22" t="s">
        <v>196</v>
      </c>
      <c r="C415" s="168">
        <v>1</v>
      </c>
      <c r="D415" s="169" t="b">
        <v>1</v>
      </c>
      <c r="E415" s="170" t="s">
        <v>1831</v>
      </c>
      <c r="F415" s="179">
        <v>1</v>
      </c>
      <c r="G415" s="179">
        <v>1</v>
      </c>
      <c r="H415" s="171">
        <v>1</v>
      </c>
      <c r="I415" s="179">
        <v>1</v>
      </c>
      <c r="J415" s="171">
        <v>1</v>
      </c>
      <c r="K415" s="171"/>
      <c r="L415" s="171"/>
      <c r="M415" s="171">
        <v>1</v>
      </c>
      <c r="N415" s="171"/>
      <c r="O415" s="171"/>
      <c r="P415" s="179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  <c r="AC415" s="171"/>
      <c r="AD415" s="171"/>
      <c r="AE415" s="171"/>
      <c r="AF415" s="171"/>
      <c r="AG415" s="171"/>
      <c r="AH415" s="171"/>
      <c r="AI415" s="171"/>
      <c r="AJ415" s="171"/>
      <c r="AK415" s="171"/>
      <c r="AL415" s="171"/>
      <c r="AM415" s="22"/>
      <c r="AN415" s="22">
        <f t="shared" si="3"/>
        <v>6</v>
      </c>
      <c r="AO415" s="171"/>
    </row>
    <row r="416" spans="1:41" ht="15.75" customHeight="1">
      <c r="A416" s="167" t="s">
        <v>201</v>
      </c>
      <c r="B416" s="22" t="s">
        <v>200</v>
      </c>
      <c r="C416" s="168">
        <v>1</v>
      </c>
      <c r="D416" s="169" t="b">
        <v>1</v>
      </c>
      <c r="E416" s="170" t="s">
        <v>1832</v>
      </c>
      <c r="F416" s="171">
        <v>1</v>
      </c>
      <c r="G416" s="171">
        <v>1</v>
      </c>
      <c r="H416" s="171">
        <v>1</v>
      </c>
      <c r="I416" s="171">
        <v>1</v>
      </c>
      <c r="J416" s="171">
        <v>1</v>
      </c>
      <c r="K416" s="171"/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  <c r="AC416" s="171"/>
      <c r="AD416" s="171"/>
      <c r="AE416" s="171"/>
      <c r="AF416" s="171"/>
      <c r="AG416" s="171"/>
      <c r="AH416" s="171"/>
      <c r="AI416" s="171">
        <v>1</v>
      </c>
      <c r="AJ416" s="171"/>
      <c r="AK416" s="171"/>
      <c r="AL416" s="171"/>
      <c r="AM416" s="22"/>
      <c r="AN416" s="22">
        <f t="shared" si="3"/>
        <v>6</v>
      </c>
      <c r="AO416" s="171"/>
    </row>
    <row r="417" spans="1:41" ht="15.75" customHeight="1">
      <c r="A417" s="167" t="s">
        <v>209</v>
      </c>
      <c r="B417" s="22" t="s">
        <v>208</v>
      </c>
      <c r="C417" s="168">
        <v>1</v>
      </c>
      <c r="D417" s="169" t="b">
        <v>1</v>
      </c>
      <c r="E417" s="170" t="s">
        <v>1833</v>
      </c>
      <c r="F417" s="171">
        <v>1</v>
      </c>
      <c r="G417" s="171">
        <v>1</v>
      </c>
      <c r="H417" s="171">
        <v>1</v>
      </c>
      <c r="I417" s="171">
        <v>1</v>
      </c>
      <c r="J417" s="171">
        <v>1</v>
      </c>
      <c r="K417" s="171">
        <v>1</v>
      </c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  <c r="AC417" s="171"/>
      <c r="AD417" s="171"/>
      <c r="AE417" s="171"/>
      <c r="AF417" s="171"/>
      <c r="AG417" s="171"/>
      <c r="AH417" s="171"/>
      <c r="AI417" s="171"/>
      <c r="AJ417" s="171"/>
      <c r="AK417" s="171"/>
      <c r="AL417" s="171"/>
      <c r="AM417" s="22"/>
      <c r="AN417" s="22">
        <f t="shared" si="3"/>
        <v>6</v>
      </c>
      <c r="AO417" s="171"/>
    </row>
    <row r="418" spans="1:41" ht="15.75" customHeight="1">
      <c r="A418" s="167" t="s">
        <v>213</v>
      </c>
      <c r="B418" s="22" t="s">
        <v>212</v>
      </c>
      <c r="C418" s="168">
        <v>1</v>
      </c>
      <c r="D418" s="169" t="b">
        <v>1</v>
      </c>
      <c r="E418" s="170" t="s">
        <v>1834</v>
      </c>
      <c r="F418" s="171">
        <v>1</v>
      </c>
      <c r="G418" s="171">
        <v>1</v>
      </c>
      <c r="H418" s="171">
        <v>1</v>
      </c>
      <c r="I418" s="171">
        <v>1</v>
      </c>
      <c r="J418" s="171">
        <v>1</v>
      </c>
      <c r="K418" s="171"/>
      <c r="L418" s="171">
        <v>1</v>
      </c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  <c r="AC418" s="171"/>
      <c r="AD418" s="171"/>
      <c r="AE418" s="171"/>
      <c r="AF418" s="171"/>
      <c r="AG418" s="171"/>
      <c r="AH418" s="171"/>
      <c r="AI418" s="171"/>
      <c r="AJ418" s="171"/>
      <c r="AK418" s="171"/>
      <c r="AL418" s="171"/>
      <c r="AM418" s="22"/>
      <c r="AN418" s="22">
        <f t="shared" si="3"/>
        <v>6</v>
      </c>
      <c r="AO418" s="171"/>
    </row>
    <row r="419" spans="1:41" ht="15.75" customHeight="1">
      <c r="A419" s="167" t="s">
        <v>229</v>
      </c>
      <c r="B419" s="22" t="s">
        <v>228</v>
      </c>
      <c r="C419" s="168">
        <v>1</v>
      </c>
      <c r="D419" s="169" t="b">
        <v>1</v>
      </c>
      <c r="E419" s="170" t="s">
        <v>1835</v>
      </c>
      <c r="F419" s="171">
        <v>1</v>
      </c>
      <c r="G419" s="171">
        <v>1</v>
      </c>
      <c r="H419" s="171">
        <v>1</v>
      </c>
      <c r="I419" s="171">
        <v>1</v>
      </c>
      <c r="J419" s="171">
        <v>1</v>
      </c>
      <c r="K419" s="171"/>
      <c r="L419" s="171"/>
      <c r="M419" s="171">
        <v>1</v>
      </c>
      <c r="N419" s="171"/>
      <c r="O419" s="171"/>
      <c r="P419" s="171"/>
      <c r="Q419" s="171"/>
      <c r="R419" s="171"/>
      <c r="S419" s="171"/>
      <c r="T419" s="171"/>
      <c r="U419" s="171"/>
      <c r="V419" s="171"/>
      <c r="W419" s="171"/>
      <c r="X419" s="171"/>
      <c r="Y419" s="171"/>
      <c r="Z419" s="171"/>
      <c r="AA419" s="171"/>
      <c r="AB419" s="171"/>
      <c r="AC419" s="171"/>
      <c r="AD419" s="171"/>
      <c r="AE419" s="171"/>
      <c r="AF419" s="171"/>
      <c r="AG419" s="171"/>
      <c r="AH419" s="171"/>
      <c r="AI419" s="171"/>
      <c r="AJ419" s="171"/>
      <c r="AK419" s="171"/>
      <c r="AL419" s="171"/>
      <c r="AM419" s="22"/>
      <c r="AN419" s="22">
        <f t="shared" si="3"/>
        <v>6</v>
      </c>
      <c r="AO419" s="171"/>
    </row>
    <row r="420" spans="1:41" ht="15.75" customHeight="1">
      <c r="A420" s="167" t="s">
        <v>237</v>
      </c>
      <c r="B420" s="22" t="s">
        <v>236</v>
      </c>
      <c r="C420" s="168">
        <v>1</v>
      </c>
      <c r="D420" s="169" t="b">
        <v>1</v>
      </c>
      <c r="E420" s="170" t="s">
        <v>1836</v>
      </c>
      <c r="F420" s="171">
        <v>1</v>
      </c>
      <c r="G420" s="171">
        <v>1</v>
      </c>
      <c r="H420" s="171">
        <v>1</v>
      </c>
      <c r="I420" s="171">
        <v>1</v>
      </c>
      <c r="J420" s="171">
        <v>1</v>
      </c>
      <c r="K420" s="171">
        <v>1</v>
      </c>
      <c r="L420" s="171"/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1"/>
      <c r="AG420" s="171"/>
      <c r="AH420" s="171"/>
      <c r="AI420" s="171"/>
      <c r="AJ420" s="171"/>
      <c r="AK420" s="171"/>
      <c r="AL420" s="171"/>
      <c r="AM420" s="22"/>
      <c r="AN420" s="22">
        <f t="shared" si="3"/>
        <v>6</v>
      </c>
      <c r="AO420" s="171"/>
    </row>
    <row r="421" spans="1:41" ht="15.75" customHeight="1">
      <c r="A421" s="167" t="s">
        <v>255</v>
      </c>
      <c r="B421" s="22" t="s">
        <v>254</v>
      </c>
      <c r="C421" s="168">
        <v>1</v>
      </c>
      <c r="D421" s="169" t="b">
        <v>1</v>
      </c>
      <c r="E421" s="170" t="s">
        <v>1837</v>
      </c>
      <c r="F421" s="171">
        <v>1</v>
      </c>
      <c r="G421" s="171">
        <v>1</v>
      </c>
      <c r="H421" s="171">
        <v>1</v>
      </c>
      <c r="I421" s="171">
        <v>1</v>
      </c>
      <c r="J421" s="171">
        <v>1</v>
      </c>
      <c r="K421" s="171">
        <v>1</v>
      </c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  <c r="AC421" s="171"/>
      <c r="AD421" s="171"/>
      <c r="AE421" s="171"/>
      <c r="AF421" s="171"/>
      <c r="AG421" s="171"/>
      <c r="AH421" s="171"/>
      <c r="AI421" s="171"/>
      <c r="AJ421" s="171"/>
      <c r="AK421" s="171"/>
      <c r="AL421" s="171"/>
      <c r="AM421" s="22"/>
      <c r="AN421" s="22">
        <f t="shared" si="3"/>
        <v>6</v>
      </c>
      <c r="AO421" s="171"/>
    </row>
    <row r="422" spans="1:41" ht="15.75" customHeight="1">
      <c r="A422" s="167" t="s">
        <v>259</v>
      </c>
      <c r="B422" s="22" t="s">
        <v>258</v>
      </c>
      <c r="C422" s="168">
        <v>1</v>
      </c>
      <c r="D422" s="169" t="b">
        <v>1</v>
      </c>
      <c r="E422" s="170" t="s">
        <v>1838</v>
      </c>
      <c r="F422" s="171">
        <v>1</v>
      </c>
      <c r="G422" s="171">
        <v>1</v>
      </c>
      <c r="H422" s="171">
        <v>1</v>
      </c>
      <c r="I422" s="171">
        <v>1</v>
      </c>
      <c r="J422" s="171">
        <v>1</v>
      </c>
      <c r="K422" s="171">
        <v>1</v>
      </c>
      <c r="L422" s="171"/>
      <c r="M422" s="171"/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  <c r="AC422" s="171"/>
      <c r="AD422" s="171"/>
      <c r="AE422" s="171"/>
      <c r="AF422" s="171"/>
      <c r="AG422" s="171"/>
      <c r="AH422" s="171"/>
      <c r="AI422" s="171"/>
      <c r="AJ422" s="171"/>
      <c r="AK422" s="171"/>
      <c r="AL422" s="171"/>
      <c r="AM422" s="22"/>
      <c r="AN422" s="22">
        <f t="shared" si="3"/>
        <v>6</v>
      </c>
      <c r="AO422" s="171"/>
    </row>
    <row r="423" spans="1:41" ht="15.75" customHeight="1">
      <c r="A423" s="167" t="s">
        <v>261</v>
      </c>
      <c r="B423" s="22" t="s">
        <v>260</v>
      </c>
      <c r="C423" s="168">
        <v>1</v>
      </c>
      <c r="D423" s="169" t="b">
        <v>1</v>
      </c>
      <c r="E423" s="170" t="s">
        <v>1839</v>
      </c>
      <c r="F423" s="171">
        <v>1</v>
      </c>
      <c r="G423" s="171">
        <v>1</v>
      </c>
      <c r="H423" s="171">
        <v>1</v>
      </c>
      <c r="I423" s="171">
        <v>1</v>
      </c>
      <c r="J423" s="171">
        <v>1</v>
      </c>
      <c r="K423" s="171">
        <v>1</v>
      </c>
      <c r="L423" s="171"/>
      <c r="M423" s="171"/>
      <c r="N423" s="171"/>
      <c r="O423" s="171"/>
      <c r="P423" s="171"/>
      <c r="Q423" s="171"/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  <c r="AC423" s="171"/>
      <c r="AD423" s="171"/>
      <c r="AE423" s="171"/>
      <c r="AF423" s="171"/>
      <c r="AG423" s="171"/>
      <c r="AH423" s="171"/>
      <c r="AI423" s="171"/>
      <c r="AJ423" s="171"/>
      <c r="AK423" s="171"/>
      <c r="AL423" s="171"/>
      <c r="AM423" s="22"/>
      <c r="AN423" s="22">
        <f t="shared" si="3"/>
        <v>6</v>
      </c>
      <c r="AO423" s="171"/>
    </row>
    <row r="424" spans="1:41" ht="15.75" customHeight="1">
      <c r="A424" s="167" t="s">
        <v>263</v>
      </c>
      <c r="B424" s="22" t="s">
        <v>262</v>
      </c>
      <c r="C424" s="168">
        <v>1</v>
      </c>
      <c r="D424" s="169" t="b">
        <v>1</v>
      </c>
      <c r="E424" s="170" t="s">
        <v>1840</v>
      </c>
      <c r="F424" s="171">
        <v>1</v>
      </c>
      <c r="G424" s="171">
        <v>1</v>
      </c>
      <c r="H424" s="171">
        <v>1</v>
      </c>
      <c r="I424" s="171">
        <v>1</v>
      </c>
      <c r="J424" s="171">
        <v>1</v>
      </c>
      <c r="K424" s="171">
        <v>1</v>
      </c>
      <c r="L424" s="171"/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  <c r="AC424" s="171"/>
      <c r="AD424" s="171"/>
      <c r="AE424" s="171"/>
      <c r="AF424" s="171"/>
      <c r="AG424" s="171"/>
      <c r="AH424" s="171"/>
      <c r="AI424" s="171"/>
      <c r="AJ424" s="171"/>
      <c r="AK424" s="171"/>
      <c r="AL424" s="171"/>
      <c r="AM424" s="22"/>
      <c r="AN424" s="22">
        <f t="shared" si="3"/>
        <v>6</v>
      </c>
      <c r="AO424" s="171"/>
    </row>
    <row r="425" spans="1:41" ht="15.75" customHeight="1">
      <c r="A425" s="167" t="s">
        <v>274</v>
      </c>
      <c r="B425" s="22" t="s">
        <v>273</v>
      </c>
      <c r="C425" s="168">
        <v>1</v>
      </c>
      <c r="D425" s="169" t="b">
        <v>1</v>
      </c>
      <c r="E425" s="170" t="s">
        <v>1841</v>
      </c>
      <c r="F425" s="171">
        <v>1</v>
      </c>
      <c r="G425" s="171">
        <v>1</v>
      </c>
      <c r="H425" s="171">
        <v>1</v>
      </c>
      <c r="I425" s="171">
        <v>1</v>
      </c>
      <c r="J425" s="171">
        <v>1</v>
      </c>
      <c r="K425" s="171"/>
      <c r="L425" s="171"/>
      <c r="M425" s="171">
        <v>1</v>
      </c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  <c r="AC425" s="171"/>
      <c r="AD425" s="171"/>
      <c r="AE425" s="171"/>
      <c r="AF425" s="171"/>
      <c r="AG425" s="171"/>
      <c r="AH425" s="171"/>
      <c r="AI425" s="171"/>
      <c r="AJ425" s="171"/>
      <c r="AK425" s="171"/>
      <c r="AL425" s="171"/>
      <c r="AM425" s="22"/>
      <c r="AN425" s="22">
        <f t="shared" si="3"/>
        <v>6</v>
      </c>
      <c r="AO425" s="171"/>
    </row>
    <row r="426" spans="1:41" ht="15.75" customHeight="1">
      <c r="A426" s="167" t="s">
        <v>280</v>
      </c>
      <c r="B426" s="22" t="s">
        <v>279</v>
      </c>
      <c r="C426" s="168">
        <v>1</v>
      </c>
      <c r="D426" s="169" t="b">
        <v>1</v>
      </c>
      <c r="E426" s="170" t="s">
        <v>1842</v>
      </c>
      <c r="F426" s="171">
        <v>1</v>
      </c>
      <c r="G426" s="171">
        <v>1</v>
      </c>
      <c r="H426" s="171">
        <v>1</v>
      </c>
      <c r="I426" s="171">
        <v>1</v>
      </c>
      <c r="J426" s="171">
        <v>1</v>
      </c>
      <c r="K426" s="171"/>
      <c r="L426" s="171"/>
      <c r="M426" s="171"/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  <c r="AC426" s="171"/>
      <c r="AD426" s="171"/>
      <c r="AE426" s="171"/>
      <c r="AF426" s="171"/>
      <c r="AG426" s="171"/>
      <c r="AH426" s="171"/>
      <c r="AI426" s="171">
        <v>1</v>
      </c>
      <c r="AJ426" s="171"/>
      <c r="AK426" s="171"/>
      <c r="AL426" s="171"/>
      <c r="AM426" s="22"/>
      <c r="AN426" s="22">
        <f t="shared" si="3"/>
        <v>6</v>
      </c>
      <c r="AO426" s="171"/>
    </row>
    <row r="427" spans="1:41" ht="15.75" customHeight="1">
      <c r="A427" s="167" t="s">
        <v>282</v>
      </c>
      <c r="B427" s="22" t="s">
        <v>281</v>
      </c>
      <c r="C427" s="168">
        <v>1</v>
      </c>
      <c r="D427" s="169" t="b">
        <v>1</v>
      </c>
      <c r="E427" s="170" t="s">
        <v>1843</v>
      </c>
      <c r="F427" s="171">
        <v>1</v>
      </c>
      <c r="G427" s="171">
        <v>1</v>
      </c>
      <c r="H427" s="171">
        <v>1</v>
      </c>
      <c r="I427" s="171">
        <v>1</v>
      </c>
      <c r="J427" s="171">
        <v>1</v>
      </c>
      <c r="K427" s="171"/>
      <c r="L427" s="171"/>
      <c r="M427" s="171"/>
      <c r="N427" s="171"/>
      <c r="O427" s="171"/>
      <c r="P427" s="171"/>
      <c r="Q427" s="171"/>
      <c r="R427" s="171">
        <v>1</v>
      </c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  <c r="AC427" s="171"/>
      <c r="AD427" s="171"/>
      <c r="AE427" s="171"/>
      <c r="AF427" s="171"/>
      <c r="AG427" s="171"/>
      <c r="AH427" s="171"/>
      <c r="AI427" s="171"/>
      <c r="AJ427" s="171"/>
      <c r="AK427" s="171"/>
      <c r="AL427" s="171"/>
      <c r="AM427" s="22"/>
      <c r="AN427" s="22">
        <f t="shared" si="3"/>
        <v>6</v>
      </c>
      <c r="AO427" s="171"/>
    </row>
    <row r="428" spans="1:41" ht="15.75" customHeight="1">
      <c r="A428" s="167" t="s">
        <v>286</v>
      </c>
      <c r="B428" s="22" t="s">
        <v>285</v>
      </c>
      <c r="C428" s="168">
        <v>1</v>
      </c>
      <c r="D428" s="169" t="b">
        <v>1</v>
      </c>
      <c r="E428" s="170" t="s">
        <v>1844</v>
      </c>
      <c r="F428" s="171">
        <v>1</v>
      </c>
      <c r="G428" s="171">
        <v>1</v>
      </c>
      <c r="H428" s="171">
        <v>1</v>
      </c>
      <c r="I428" s="171">
        <v>1</v>
      </c>
      <c r="J428" s="171">
        <v>1</v>
      </c>
      <c r="K428" s="171">
        <v>1</v>
      </c>
      <c r="L428" s="171"/>
      <c r="M428" s="171"/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  <c r="AC428" s="171"/>
      <c r="AD428" s="171"/>
      <c r="AE428" s="171"/>
      <c r="AF428" s="171"/>
      <c r="AG428" s="171"/>
      <c r="AH428" s="171"/>
      <c r="AI428" s="171"/>
      <c r="AJ428" s="171"/>
      <c r="AK428" s="171"/>
      <c r="AL428" s="171"/>
      <c r="AM428" s="22"/>
      <c r="AN428" s="22">
        <f t="shared" si="3"/>
        <v>6</v>
      </c>
      <c r="AO428" s="171"/>
    </row>
    <row r="429" spans="1:41" ht="15.75" customHeight="1">
      <c r="A429" s="167" t="s">
        <v>290</v>
      </c>
      <c r="B429" s="22" t="s">
        <v>289</v>
      </c>
      <c r="C429" s="168">
        <v>1</v>
      </c>
      <c r="D429" s="169" t="b">
        <v>1</v>
      </c>
      <c r="E429" s="170" t="s">
        <v>1845</v>
      </c>
      <c r="F429" s="171">
        <v>1</v>
      </c>
      <c r="G429" s="171">
        <v>1</v>
      </c>
      <c r="H429" s="171">
        <v>1</v>
      </c>
      <c r="I429" s="171">
        <v>1</v>
      </c>
      <c r="J429" s="171">
        <v>1</v>
      </c>
      <c r="K429" s="171">
        <v>1</v>
      </c>
      <c r="L429" s="171"/>
      <c r="M429" s="171"/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  <c r="AC429" s="171"/>
      <c r="AD429" s="171"/>
      <c r="AE429" s="171"/>
      <c r="AF429" s="171"/>
      <c r="AG429" s="171"/>
      <c r="AH429" s="171"/>
      <c r="AI429" s="171"/>
      <c r="AJ429" s="171"/>
      <c r="AK429" s="171"/>
      <c r="AL429" s="171"/>
      <c r="AM429" s="22"/>
      <c r="AN429" s="22">
        <f t="shared" si="3"/>
        <v>6</v>
      </c>
      <c r="AO429" s="171"/>
    </row>
    <row r="430" spans="1:41" ht="15.75" customHeight="1">
      <c r="A430" s="167" t="s">
        <v>306</v>
      </c>
      <c r="B430" s="22" t="s">
        <v>305</v>
      </c>
      <c r="C430" s="168">
        <v>1</v>
      </c>
      <c r="D430" s="169" t="b">
        <v>1</v>
      </c>
      <c r="E430" s="170" t="s">
        <v>1846</v>
      </c>
      <c r="F430" s="171">
        <v>1</v>
      </c>
      <c r="G430" s="171">
        <v>1</v>
      </c>
      <c r="H430" s="171">
        <v>1</v>
      </c>
      <c r="I430" s="171">
        <v>1</v>
      </c>
      <c r="J430" s="171">
        <v>1</v>
      </c>
      <c r="K430" s="171">
        <v>1</v>
      </c>
      <c r="L430" s="171"/>
      <c r="M430" s="171"/>
      <c r="N430" s="171"/>
      <c r="O430" s="171"/>
      <c r="P430" s="171"/>
      <c r="Q430" s="171"/>
      <c r="R430" s="171"/>
      <c r="S430" s="171"/>
      <c r="T430" s="171"/>
      <c r="U430" s="171"/>
      <c r="V430" s="171"/>
      <c r="W430" s="171"/>
      <c r="X430" s="171"/>
      <c r="Y430" s="171"/>
      <c r="Z430" s="171"/>
      <c r="AA430" s="171"/>
      <c r="AB430" s="171"/>
      <c r="AC430" s="171"/>
      <c r="AD430" s="171"/>
      <c r="AE430" s="171"/>
      <c r="AF430" s="171"/>
      <c r="AG430" s="171"/>
      <c r="AH430" s="171"/>
      <c r="AI430" s="171"/>
      <c r="AJ430" s="171"/>
      <c r="AK430" s="171"/>
      <c r="AL430" s="171"/>
      <c r="AM430" s="22"/>
      <c r="AN430" s="22">
        <f t="shared" si="3"/>
        <v>6</v>
      </c>
      <c r="AO430" s="171"/>
    </row>
    <row r="431" spans="1:41" ht="15.75" customHeight="1">
      <c r="A431" s="167" t="s">
        <v>320</v>
      </c>
      <c r="B431" s="22" t="s">
        <v>319</v>
      </c>
      <c r="C431" s="168">
        <v>1</v>
      </c>
      <c r="D431" s="169" t="b">
        <v>1</v>
      </c>
      <c r="E431" s="170" t="s">
        <v>1843</v>
      </c>
      <c r="F431" s="171">
        <v>1</v>
      </c>
      <c r="G431" s="171">
        <v>1</v>
      </c>
      <c r="H431" s="171">
        <v>1</v>
      </c>
      <c r="I431" s="171">
        <v>1</v>
      </c>
      <c r="J431" s="171">
        <v>1</v>
      </c>
      <c r="K431" s="171">
        <v>1</v>
      </c>
      <c r="L431" s="171"/>
      <c r="M431" s="171"/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  <c r="AC431" s="171"/>
      <c r="AD431" s="171"/>
      <c r="AE431" s="171"/>
      <c r="AF431" s="171"/>
      <c r="AG431" s="171"/>
      <c r="AH431" s="171"/>
      <c r="AI431" s="171"/>
      <c r="AJ431" s="171"/>
      <c r="AK431" s="171"/>
      <c r="AL431" s="171"/>
      <c r="AM431" s="22"/>
      <c r="AN431" s="22">
        <f t="shared" si="3"/>
        <v>6</v>
      </c>
      <c r="AO431" s="171"/>
    </row>
    <row r="432" spans="1:41" ht="15.75" customHeight="1">
      <c r="A432" s="167" t="s">
        <v>322</v>
      </c>
      <c r="B432" s="22" t="s">
        <v>321</v>
      </c>
      <c r="C432" s="168">
        <v>1</v>
      </c>
      <c r="D432" s="169" t="b">
        <v>1</v>
      </c>
      <c r="E432" s="170" t="s">
        <v>1847</v>
      </c>
      <c r="F432" s="171">
        <v>1</v>
      </c>
      <c r="G432" s="171">
        <v>1</v>
      </c>
      <c r="H432" s="171">
        <v>1</v>
      </c>
      <c r="I432" s="171">
        <v>1</v>
      </c>
      <c r="J432" s="171">
        <v>1</v>
      </c>
      <c r="K432" s="171"/>
      <c r="L432" s="171"/>
      <c r="M432" s="171">
        <v>1</v>
      </c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  <c r="AC432" s="171"/>
      <c r="AD432" s="171"/>
      <c r="AE432" s="171"/>
      <c r="AF432" s="171"/>
      <c r="AG432" s="171"/>
      <c r="AH432" s="171"/>
      <c r="AI432" s="171"/>
      <c r="AJ432" s="171"/>
      <c r="AK432" s="171"/>
      <c r="AL432" s="171"/>
      <c r="AM432" s="22"/>
      <c r="AN432" s="22">
        <f t="shared" si="3"/>
        <v>6</v>
      </c>
      <c r="AO432" s="171"/>
    </row>
    <row r="433" spans="1:41" ht="15.75" customHeight="1">
      <c r="A433" s="167" t="s">
        <v>326</v>
      </c>
      <c r="B433" s="22" t="s">
        <v>325</v>
      </c>
      <c r="C433" s="168">
        <v>1</v>
      </c>
      <c r="D433" s="169" t="b">
        <v>1</v>
      </c>
      <c r="E433" s="170" t="s">
        <v>1848</v>
      </c>
      <c r="F433" s="171">
        <v>1</v>
      </c>
      <c r="G433" s="171">
        <v>1</v>
      </c>
      <c r="H433" s="171">
        <v>1</v>
      </c>
      <c r="I433" s="171">
        <v>1</v>
      </c>
      <c r="J433" s="171">
        <v>1</v>
      </c>
      <c r="K433" s="171"/>
      <c r="L433" s="171"/>
      <c r="M433" s="171"/>
      <c r="N433" s="171"/>
      <c r="O433" s="171"/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  <c r="AC433" s="171"/>
      <c r="AD433" s="171"/>
      <c r="AE433" s="171"/>
      <c r="AF433" s="171"/>
      <c r="AG433" s="171"/>
      <c r="AH433" s="171"/>
      <c r="AI433" s="171">
        <v>1</v>
      </c>
      <c r="AJ433" s="171"/>
      <c r="AK433" s="171"/>
      <c r="AL433" s="171"/>
      <c r="AM433" s="22"/>
      <c r="AN433" s="22">
        <f t="shared" si="3"/>
        <v>6</v>
      </c>
      <c r="AO433" s="171"/>
    </row>
    <row r="434" spans="1:41" ht="15.75" customHeight="1">
      <c r="A434" s="167" t="s">
        <v>334</v>
      </c>
      <c r="B434" s="22" t="s">
        <v>333</v>
      </c>
      <c r="C434" s="168">
        <v>1</v>
      </c>
      <c r="D434" s="169" t="b">
        <v>1</v>
      </c>
      <c r="E434" s="170" t="s">
        <v>1849</v>
      </c>
      <c r="F434" s="171">
        <v>1</v>
      </c>
      <c r="G434" s="171">
        <v>1</v>
      </c>
      <c r="H434" s="171">
        <v>1</v>
      </c>
      <c r="I434" s="171">
        <v>1</v>
      </c>
      <c r="J434" s="171">
        <v>1</v>
      </c>
      <c r="K434" s="171"/>
      <c r="L434" s="171"/>
      <c r="M434" s="171">
        <v>1</v>
      </c>
      <c r="N434" s="171"/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  <c r="AC434" s="171"/>
      <c r="AD434" s="171"/>
      <c r="AE434" s="171"/>
      <c r="AF434" s="171"/>
      <c r="AG434" s="171"/>
      <c r="AH434" s="171"/>
      <c r="AI434" s="171"/>
      <c r="AJ434" s="171"/>
      <c r="AK434" s="171"/>
      <c r="AL434" s="171"/>
      <c r="AM434" s="22"/>
      <c r="AN434" s="22">
        <f t="shared" si="3"/>
        <v>6</v>
      </c>
      <c r="AO434" s="171"/>
    </row>
    <row r="435" spans="1:41" ht="15.75" customHeight="1">
      <c r="A435" s="167" t="s">
        <v>338</v>
      </c>
      <c r="B435" s="22" t="s">
        <v>337</v>
      </c>
      <c r="C435" s="168">
        <v>1</v>
      </c>
      <c r="D435" s="169" t="b">
        <v>1</v>
      </c>
      <c r="E435" s="170" t="s">
        <v>1850</v>
      </c>
      <c r="F435" s="171">
        <v>1</v>
      </c>
      <c r="G435" s="171">
        <v>1</v>
      </c>
      <c r="H435" s="171">
        <v>1</v>
      </c>
      <c r="I435" s="171">
        <v>1</v>
      </c>
      <c r="J435" s="171">
        <v>1</v>
      </c>
      <c r="K435" s="171">
        <v>1</v>
      </c>
      <c r="L435" s="171"/>
      <c r="M435" s="171"/>
      <c r="N435" s="171"/>
      <c r="O435" s="171"/>
      <c r="P435" s="171"/>
      <c r="Q435" s="171"/>
      <c r="R435" s="171"/>
      <c r="S435" s="171"/>
      <c r="T435" s="171"/>
      <c r="U435" s="171"/>
      <c r="V435" s="171"/>
      <c r="W435" s="171"/>
      <c r="X435" s="171"/>
      <c r="Y435" s="171"/>
      <c r="Z435" s="171"/>
      <c r="AA435" s="171"/>
      <c r="AB435" s="171"/>
      <c r="AC435" s="171"/>
      <c r="AD435" s="171"/>
      <c r="AE435" s="171"/>
      <c r="AF435" s="171"/>
      <c r="AG435" s="171"/>
      <c r="AH435" s="171"/>
      <c r="AI435" s="171"/>
      <c r="AJ435" s="171"/>
      <c r="AK435" s="171"/>
      <c r="AL435" s="171"/>
      <c r="AM435" s="22"/>
      <c r="AN435" s="22">
        <f t="shared" si="3"/>
        <v>6</v>
      </c>
      <c r="AO435" s="171"/>
    </row>
    <row r="436" spans="1:41" ht="15.75" customHeight="1">
      <c r="A436" s="167" t="s">
        <v>340</v>
      </c>
      <c r="B436" s="22" t="s">
        <v>339</v>
      </c>
      <c r="C436" s="168">
        <v>1</v>
      </c>
      <c r="D436" s="169" t="b">
        <v>1</v>
      </c>
      <c r="E436" s="174" t="s">
        <v>1851</v>
      </c>
      <c r="F436" s="171">
        <v>1</v>
      </c>
      <c r="G436" s="171">
        <v>1</v>
      </c>
      <c r="H436" s="171">
        <v>1</v>
      </c>
      <c r="I436" s="171">
        <v>1</v>
      </c>
      <c r="J436" s="171">
        <v>1</v>
      </c>
      <c r="K436" s="171"/>
      <c r="L436" s="171"/>
      <c r="M436" s="171"/>
      <c r="N436" s="171"/>
      <c r="O436" s="171"/>
      <c r="P436" s="171"/>
      <c r="Q436" s="171"/>
      <c r="R436" s="171"/>
      <c r="S436" s="171"/>
      <c r="T436" s="171"/>
      <c r="U436" s="171"/>
      <c r="V436" s="171"/>
      <c r="W436" s="171"/>
      <c r="X436" s="171"/>
      <c r="Y436" s="171"/>
      <c r="Z436" s="171"/>
      <c r="AA436" s="171"/>
      <c r="AB436" s="171"/>
      <c r="AC436" s="171"/>
      <c r="AD436" s="171"/>
      <c r="AE436" s="171"/>
      <c r="AF436" s="171"/>
      <c r="AG436" s="171">
        <v>1</v>
      </c>
      <c r="AH436" s="171"/>
      <c r="AI436" s="171"/>
      <c r="AJ436" s="171"/>
      <c r="AK436" s="171"/>
      <c r="AL436" s="171"/>
      <c r="AM436" s="22"/>
      <c r="AN436" s="22">
        <f t="shared" si="3"/>
        <v>6</v>
      </c>
      <c r="AO436" s="171" t="s">
        <v>1506</v>
      </c>
    </row>
    <row r="437" spans="1:41" ht="15.75" customHeight="1">
      <c r="A437" s="167" t="s">
        <v>350</v>
      </c>
      <c r="B437" s="22" t="s">
        <v>349</v>
      </c>
      <c r="C437" s="168">
        <v>1</v>
      </c>
      <c r="D437" s="169" t="b">
        <v>1</v>
      </c>
      <c r="E437" s="170" t="s">
        <v>1852</v>
      </c>
      <c r="F437" s="171">
        <v>1</v>
      </c>
      <c r="G437" s="171">
        <v>1</v>
      </c>
      <c r="H437" s="171">
        <v>1</v>
      </c>
      <c r="I437" s="171">
        <v>1</v>
      </c>
      <c r="J437" s="171">
        <v>1</v>
      </c>
      <c r="K437" s="171"/>
      <c r="L437" s="171"/>
      <c r="M437" s="171"/>
      <c r="N437" s="171"/>
      <c r="O437" s="171"/>
      <c r="P437" s="171"/>
      <c r="Q437" s="171"/>
      <c r="R437" s="171"/>
      <c r="S437" s="171"/>
      <c r="T437" s="171"/>
      <c r="U437" s="171"/>
      <c r="V437" s="171"/>
      <c r="W437" s="171"/>
      <c r="X437" s="171"/>
      <c r="Y437" s="171"/>
      <c r="Z437" s="171"/>
      <c r="AA437" s="171"/>
      <c r="AB437" s="171"/>
      <c r="AC437" s="171"/>
      <c r="AD437" s="171"/>
      <c r="AE437" s="171"/>
      <c r="AF437" s="171"/>
      <c r="AG437" s="171"/>
      <c r="AH437" s="171"/>
      <c r="AI437" s="171"/>
      <c r="AJ437" s="171"/>
      <c r="AK437" s="171"/>
      <c r="AL437" s="171">
        <v>1</v>
      </c>
      <c r="AM437" s="22"/>
      <c r="AN437" s="22">
        <f t="shared" si="3"/>
        <v>6</v>
      </c>
      <c r="AO437" s="171" t="s">
        <v>1853</v>
      </c>
    </row>
    <row r="438" spans="1:41" ht="15.75" customHeight="1">
      <c r="A438" s="167" t="s">
        <v>352</v>
      </c>
      <c r="B438" s="22" t="s">
        <v>351</v>
      </c>
      <c r="C438" s="168">
        <v>1</v>
      </c>
      <c r="D438" s="169" t="b">
        <v>1</v>
      </c>
      <c r="E438" s="170" t="s">
        <v>1854</v>
      </c>
      <c r="F438" s="171">
        <v>1</v>
      </c>
      <c r="G438" s="171">
        <v>1</v>
      </c>
      <c r="H438" s="171">
        <v>1</v>
      </c>
      <c r="I438" s="171">
        <v>1</v>
      </c>
      <c r="J438" s="171"/>
      <c r="K438" s="171">
        <v>1</v>
      </c>
      <c r="L438" s="171"/>
      <c r="M438" s="171"/>
      <c r="N438" s="171"/>
      <c r="O438" s="171"/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  <c r="AC438" s="171"/>
      <c r="AD438" s="171"/>
      <c r="AE438" s="171"/>
      <c r="AF438" s="171"/>
      <c r="AG438" s="171">
        <v>1</v>
      </c>
      <c r="AH438" s="171"/>
      <c r="AI438" s="171"/>
      <c r="AJ438" s="171"/>
      <c r="AK438" s="171"/>
      <c r="AL438" s="171"/>
      <c r="AM438" s="22"/>
      <c r="AN438" s="22">
        <f t="shared" si="3"/>
        <v>6</v>
      </c>
      <c r="AO438" s="171"/>
    </row>
    <row r="439" spans="1:41" ht="15.75" customHeight="1">
      <c r="A439" s="167" t="s">
        <v>362</v>
      </c>
      <c r="B439" s="22" t="s">
        <v>361</v>
      </c>
      <c r="C439" s="168">
        <v>1</v>
      </c>
      <c r="D439" s="169" t="b">
        <v>1</v>
      </c>
      <c r="E439" s="170" t="s">
        <v>1855</v>
      </c>
      <c r="F439" s="171">
        <v>1</v>
      </c>
      <c r="G439" s="171">
        <v>1</v>
      </c>
      <c r="H439" s="171">
        <v>1</v>
      </c>
      <c r="I439" s="171">
        <v>1</v>
      </c>
      <c r="J439" s="171">
        <v>1</v>
      </c>
      <c r="K439" s="171"/>
      <c r="L439" s="171"/>
      <c r="M439" s="171"/>
      <c r="N439" s="171"/>
      <c r="O439" s="171"/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  <c r="AC439" s="171"/>
      <c r="AD439" s="171"/>
      <c r="AE439" s="171"/>
      <c r="AF439" s="171"/>
      <c r="AG439" s="171"/>
      <c r="AH439" s="171"/>
      <c r="AI439" s="171"/>
      <c r="AJ439" s="171"/>
      <c r="AK439" s="171"/>
      <c r="AL439" s="171">
        <v>1</v>
      </c>
      <c r="AM439" s="22"/>
      <c r="AN439" s="22">
        <f t="shared" si="3"/>
        <v>6</v>
      </c>
      <c r="AO439" s="171" t="s">
        <v>1664</v>
      </c>
    </row>
    <row r="440" spans="1:41" ht="15.75" customHeight="1">
      <c r="A440" s="167" t="s">
        <v>366</v>
      </c>
      <c r="B440" s="22" t="s">
        <v>365</v>
      </c>
      <c r="C440" s="168">
        <v>1</v>
      </c>
      <c r="D440" s="169" t="b">
        <v>1</v>
      </c>
      <c r="E440" s="170" t="s">
        <v>1856</v>
      </c>
      <c r="F440" s="171">
        <v>1</v>
      </c>
      <c r="G440" s="171">
        <v>1</v>
      </c>
      <c r="H440" s="171">
        <v>1</v>
      </c>
      <c r="I440" s="171">
        <v>1</v>
      </c>
      <c r="J440" s="171">
        <v>1</v>
      </c>
      <c r="K440" s="171"/>
      <c r="L440" s="171"/>
      <c r="M440" s="171"/>
      <c r="N440" s="171"/>
      <c r="O440" s="171"/>
      <c r="P440" s="171"/>
      <c r="Q440" s="171"/>
      <c r="R440" s="171"/>
      <c r="S440" s="171"/>
      <c r="T440" s="171"/>
      <c r="U440" s="171">
        <v>1</v>
      </c>
      <c r="V440" s="171"/>
      <c r="W440" s="171"/>
      <c r="X440" s="171"/>
      <c r="Y440" s="171"/>
      <c r="Z440" s="171"/>
      <c r="AA440" s="171"/>
      <c r="AB440" s="171"/>
      <c r="AC440" s="171"/>
      <c r="AD440" s="171"/>
      <c r="AE440" s="171"/>
      <c r="AF440" s="171"/>
      <c r="AG440" s="171"/>
      <c r="AH440" s="171"/>
      <c r="AI440" s="171"/>
      <c r="AJ440" s="171"/>
      <c r="AK440" s="171"/>
      <c r="AL440" s="171"/>
      <c r="AM440" s="22"/>
      <c r="AN440" s="22">
        <f t="shared" si="3"/>
        <v>6</v>
      </c>
      <c r="AO440" s="171"/>
    </row>
    <row r="441" spans="1:41" ht="15.75" customHeight="1">
      <c r="A441" s="167" t="s">
        <v>368</v>
      </c>
      <c r="B441" s="22" t="s">
        <v>367</v>
      </c>
      <c r="C441" s="168">
        <v>1</v>
      </c>
      <c r="D441" s="169" t="b">
        <v>1</v>
      </c>
      <c r="E441" s="170" t="s">
        <v>1857</v>
      </c>
      <c r="F441" s="171">
        <v>1</v>
      </c>
      <c r="G441" s="171">
        <v>1</v>
      </c>
      <c r="H441" s="171">
        <v>1</v>
      </c>
      <c r="I441" s="171">
        <v>1</v>
      </c>
      <c r="J441" s="171">
        <v>1</v>
      </c>
      <c r="K441" s="171">
        <v>1</v>
      </c>
      <c r="L441" s="171"/>
      <c r="M441" s="171"/>
      <c r="N441" s="171"/>
      <c r="O441" s="171"/>
      <c r="P441" s="171"/>
      <c r="Q441" s="171"/>
      <c r="R441" s="171"/>
      <c r="S441" s="171"/>
      <c r="T441" s="171"/>
      <c r="U441" s="171"/>
      <c r="V441" s="171"/>
      <c r="W441" s="171"/>
      <c r="X441" s="171"/>
      <c r="Y441" s="171"/>
      <c r="Z441" s="171"/>
      <c r="AA441" s="171"/>
      <c r="AB441" s="171"/>
      <c r="AC441" s="171"/>
      <c r="AD441" s="171"/>
      <c r="AE441" s="171"/>
      <c r="AF441" s="171"/>
      <c r="AG441" s="171"/>
      <c r="AH441" s="171"/>
      <c r="AI441" s="171"/>
      <c r="AJ441" s="171"/>
      <c r="AK441" s="171"/>
      <c r="AL441" s="171"/>
      <c r="AM441" s="22"/>
      <c r="AN441" s="22">
        <f t="shared" si="3"/>
        <v>6</v>
      </c>
      <c r="AO441" s="171"/>
    </row>
    <row r="442" spans="1:41" ht="15.75" customHeight="1">
      <c r="A442" s="167" t="s">
        <v>372</v>
      </c>
      <c r="B442" s="22" t="s">
        <v>371</v>
      </c>
      <c r="C442" s="168">
        <v>1</v>
      </c>
      <c r="D442" s="169" t="b">
        <v>1</v>
      </c>
      <c r="E442" s="170" t="s">
        <v>1858</v>
      </c>
      <c r="F442" s="171">
        <v>1</v>
      </c>
      <c r="G442" s="171">
        <v>1</v>
      </c>
      <c r="H442" s="171">
        <v>1</v>
      </c>
      <c r="I442" s="171">
        <v>1</v>
      </c>
      <c r="J442" s="171">
        <v>1</v>
      </c>
      <c r="K442" s="171">
        <v>1</v>
      </c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  <c r="AC442" s="171"/>
      <c r="AD442" s="171"/>
      <c r="AE442" s="171"/>
      <c r="AF442" s="171"/>
      <c r="AG442" s="171"/>
      <c r="AH442" s="171"/>
      <c r="AI442" s="171"/>
      <c r="AJ442" s="171"/>
      <c r="AK442" s="171"/>
      <c r="AL442" s="171"/>
      <c r="AM442" s="22"/>
      <c r="AN442" s="22">
        <f t="shared" si="3"/>
        <v>6</v>
      </c>
      <c r="AO442" s="171"/>
    </row>
    <row r="443" spans="1:41" ht="15.75" customHeight="1">
      <c r="A443" s="167" t="s">
        <v>380</v>
      </c>
      <c r="B443" s="22" t="s">
        <v>379</v>
      </c>
      <c r="C443" s="168">
        <v>1</v>
      </c>
      <c r="D443" s="169" t="b">
        <v>1</v>
      </c>
      <c r="E443" s="170" t="s">
        <v>1859</v>
      </c>
      <c r="F443" s="171">
        <v>1</v>
      </c>
      <c r="G443" s="171">
        <v>1</v>
      </c>
      <c r="H443" s="171">
        <v>1</v>
      </c>
      <c r="I443" s="171">
        <v>1</v>
      </c>
      <c r="J443" s="171"/>
      <c r="K443" s="171">
        <v>1</v>
      </c>
      <c r="L443" s="171"/>
      <c r="M443" s="171"/>
      <c r="N443" s="171"/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  <c r="AC443" s="171"/>
      <c r="AD443" s="171"/>
      <c r="AE443" s="171"/>
      <c r="AF443" s="171"/>
      <c r="AG443" s="171"/>
      <c r="AH443" s="171"/>
      <c r="AI443" s="171"/>
      <c r="AJ443" s="171"/>
      <c r="AK443" s="171"/>
      <c r="AL443" s="171">
        <v>1</v>
      </c>
      <c r="AM443" s="22"/>
      <c r="AN443" s="22">
        <f t="shared" si="3"/>
        <v>6</v>
      </c>
      <c r="AO443" s="171" t="s">
        <v>1556</v>
      </c>
    </row>
    <row r="444" spans="1:41" ht="15.75" customHeight="1">
      <c r="A444" s="167" t="s">
        <v>384</v>
      </c>
      <c r="B444" s="22" t="s">
        <v>383</v>
      </c>
      <c r="C444" s="168">
        <v>1</v>
      </c>
      <c r="D444" s="169" t="b">
        <v>1</v>
      </c>
      <c r="E444" s="170" t="s">
        <v>1860</v>
      </c>
      <c r="F444" s="171">
        <v>1</v>
      </c>
      <c r="G444" s="171">
        <v>1</v>
      </c>
      <c r="H444" s="171">
        <v>1</v>
      </c>
      <c r="I444" s="171">
        <v>1</v>
      </c>
      <c r="J444" s="171">
        <v>1</v>
      </c>
      <c r="K444" s="171">
        <v>1</v>
      </c>
      <c r="L444" s="171"/>
      <c r="M444" s="171"/>
      <c r="N444" s="171"/>
      <c r="O444" s="171"/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  <c r="AC444" s="171"/>
      <c r="AD444" s="171"/>
      <c r="AE444" s="171"/>
      <c r="AF444" s="171"/>
      <c r="AG444" s="171"/>
      <c r="AH444" s="171"/>
      <c r="AI444" s="171"/>
      <c r="AJ444" s="171"/>
      <c r="AK444" s="171"/>
      <c r="AL444" s="171"/>
      <c r="AM444" s="22"/>
      <c r="AN444" s="22">
        <f t="shared" si="3"/>
        <v>6</v>
      </c>
      <c r="AO444" s="171"/>
    </row>
    <row r="445" spans="1:41" ht="15.75" customHeight="1">
      <c r="A445" s="167" t="s">
        <v>388</v>
      </c>
      <c r="B445" s="22" t="s">
        <v>387</v>
      </c>
      <c r="C445" s="168">
        <v>1</v>
      </c>
      <c r="D445" s="169" t="b">
        <v>1</v>
      </c>
      <c r="E445" s="170" t="s">
        <v>1861</v>
      </c>
      <c r="F445" s="171">
        <v>1</v>
      </c>
      <c r="G445" s="171">
        <v>1</v>
      </c>
      <c r="H445" s="171">
        <v>1</v>
      </c>
      <c r="I445" s="171">
        <v>1</v>
      </c>
      <c r="J445" s="171">
        <v>1</v>
      </c>
      <c r="K445" s="171"/>
      <c r="L445" s="171"/>
      <c r="M445" s="171">
        <v>1</v>
      </c>
      <c r="N445" s="171"/>
      <c r="O445" s="171"/>
      <c r="P445" s="171"/>
      <c r="Q445" s="171"/>
      <c r="R445" s="171"/>
      <c r="S445" s="171"/>
      <c r="T445" s="171"/>
      <c r="U445" s="171"/>
      <c r="V445" s="171"/>
      <c r="W445" s="171"/>
      <c r="X445" s="171"/>
      <c r="Y445" s="171"/>
      <c r="Z445" s="171"/>
      <c r="AA445" s="171"/>
      <c r="AB445" s="171"/>
      <c r="AC445" s="171"/>
      <c r="AD445" s="171"/>
      <c r="AE445" s="171"/>
      <c r="AF445" s="171"/>
      <c r="AG445" s="171"/>
      <c r="AH445" s="171"/>
      <c r="AI445" s="171"/>
      <c r="AJ445" s="171"/>
      <c r="AK445" s="171"/>
      <c r="AL445" s="171"/>
      <c r="AM445" s="22"/>
      <c r="AN445" s="22">
        <f t="shared" si="3"/>
        <v>6</v>
      </c>
      <c r="AO445" s="171"/>
    </row>
    <row r="446" spans="1:41" ht="15.75" customHeight="1">
      <c r="A446" s="167" t="s">
        <v>398</v>
      </c>
      <c r="B446" s="22" t="s">
        <v>397</v>
      </c>
      <c r="C446" s="168">
        <v>1</v>
      </c>
      <c r="D446" s="169" t="b">
        <v>1</v>
      </c>
      <c r="E446" s="170" t="s">
        <v>1862</v>
      </c>
      <c r="F446" s="171">
        <v>1</v>
      </c>
      <c r="G446" s="171">
        <v>1</v>
      </c>
      <c r="H446" s="171">
        <v>1</v>
      </c>
      <c r="I446" s="171">
        <v>1</v>
      </c>
      <c r="J446" s="171">
        <v>1</v>
      </c>
      <c r="K446" s="171"/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  <c r="AC446" s="171"/>
      <c r="AD446" s="171"/>
      <c r="AE446" s="171"/>
      <c r="AF446" s="171"/>
      <c r="AG446" s="171"/>
      <c r="AH446" s="171"/>
      <c r="AI446" s="171"/>
      <c r="AJ446" s="171"/>
      <c r="AK446" s="171"/>
      <c r="AL446" s="171">
        <v>1</v>
      </c>
      <c r="AM446" s="22"/>
      <c r="AN446" s="22">
        <f t="shared" si="3"/>
        <v>6</v>
      </c>
      <c r="AO446" s="171" t="s">
        <v>1635</v>
      </c>
    </row>
    <row r="447" spans="1:41" ht="15.75" customHeight="1">
      <c r="A447" s="167" t="s">
        <v>408</v>
      </c>
      <c r="B447" s="22" t="s">
        <v>407</v>
      </c>
      <c r="C447" s="168">
        <v>1</v>
      </c>
      <c r="D447" s="169" t="b">
        <v>1</v>
      </c>
      <c r="E447" s="170" t="s">
        <v>1863</v>
      </c>
      <c r="F447" s="171">
        <v>1</v>
      </c>
      <c r="G447" s="171">
        <v>1</v>
      </c>
      <c r="H447" s="171">
        <v>1</v>
      </c>
      <c r="I447" s="171">
        <v>1</v>
      </c>
      <c r="J447" s="171">
        <v>1</v>
      </c>
      <c r="K447" s="171"/>
      <c r="L447" s="171"/>
      <c r="M447" s="171"/>
      <c r="N447" s="171"/>
      <c r="O447" s="171"/>
      <c r="P447" s="171"/>
      <c r="Q447" s="171"/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  <c r="AC447" s="171"/>
      <c r="AD447" s="171"/>
      <c r="AE447" s="171"/>
      <c r="AF447" s="171"/>
      <c r="AG447" s="171"/>
      <c r="AH447" s="171"/>
      <c r="AI447" s="171"/>
      <c r="AJ447" s="171">
        <v>1</v>
      </c>
      <c r="AK447" s="171"/>
      <c r="AL447" s="171"/>
      <c r="AM447" s="22"/>
      <c r="AN447" s="22">
        <f t="shared" si="3"/>
        <v>6</v>
      </c>
      <c r="AO447" s="171"/>
    </row>
    <row r="448" spans="1:41" ht="15.75" customHeight="1">
      <c r="A448" s="167" t="s">
        <v>414</v>
      </c>
      <c r="B448" s="22" t="s">
        <v>413</v>
      </c>
      <c r="C448" s="168">
        <v>1</v>
      </c>
      <c r="D448" s="169" t="b">
        <v>1</v>
      </c>
      <c r="E448" s="170" t="s">
        <v>1864</v>
      </c>
      <c r="F448" s="171">
        <v>1</v>
      </c>
      <c r="G448" s="171">
        <v>1</v>
      </c>
      <c r="H448" s="171">
        <v>1</v>
      </c>
      <c r="I448" s="171">
        <v>1</v>
      </c>
      <c r="J448" s="171">
        <v>1</v>
      </c>
      <c r="K448" s="171"/>
      <c r="L448" s="171"/>
      <c r="M448" s="171">
        <v>1</v>
      </c>
      <c r="N448" s="171"/>
      <c r="O448" s="171"/>
      <c r="P448" s="171"/>
      <c r="Q448" s="171"/>
      <c r="R448" s="171"/>
      <c r="S448" s="171"/>
      <c r="T448" s="171"/>
      <c r="U448" s="171"/>
      <c r="V448" s="171"/>
      <c r="W448" s="171"/>
      <c r="X448" s="171"/>
      <c r="Y448" s="171"/>
      <c r="Z448" s="171"/>
      <c r="AA448" s="171"/>
      <c r="AB448" s="171"/>
      <c r="AC448" s="171"/>
      <c r="AD448" s="171"/>
      <c r="AE448" s="171"/>
      <c r="AF448" s="171"/>
      <c r="AG448" s="171"/>
      <c r="AH448" s="171"/>
      <c r="AI448" s="171"/>
      <c r="AJ448" s="171"/>
      <c r="AK448" s="171"/>
      <c r="AL448" s="171"/>
      <c r="AM448" s="22"/>
      <c r="AN448" s="22">
        <f t="shared" si="3"/>
        <v>6</v>
      </c>
      <c r="AO448" s="171"/>
    </row>
    <row r="449" spans="1:41" ht="15.75" customHeight="1">
      <c r="A449" s="167" t="s">
        <v>418</v>
      </c>
      <c r="B449" s="22" t="s">
        <v>417</v>
      </c>
      <c r="C449" s="168">
        <v>1</v>
      </c>
      <c r="D449" s="169" t="b">
        <v>1</v>
      </c>
      <c r="E449" s="183" t="s">
        <v>1865</v>
      </c>
      <c r="F449" s="171">
        <v>1</v>
      </c>
      <c r="G449" s="171">
        <v>1</v>
      </c>
      <c r="H449" s="171">
        <v>1</v>
      </c>
      <c r="I449" s="171">
        <v>1</v>
      </c>
      <c r="J449" s="171">
        <v>1</v>
      </c>
      <c r="K449" s="171">
        <v>1</v>
      </c>
      <c r="L449" s="171"/>
      <c r="M449" s="171"/>
      <c r="N449" s="171"/>
      <c r="O449" s="171"/>
      <c r="P449" s="171"/>
      <c r="Q449" s="171"/>
      <c r="R449" s="171"/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  <c r="AC449" s="171"/>
      <c r="AD449" s="171"/>
      <c r="AE449" s="171"/>
      <c r="AF449" s="171"/>
      <c r="AG449" s="171"/>
      <c r="AH449" s="171"/>
      <c r="AI449" s="171"/>
      <c r="AJ449" s="171"/>
      <c r="AK449" s="171"/>
      <c r="AL449" s="171"/>
      <c r="AM449" s="22"/>
      <c r="AN449" s="22">
        <f t="shared" si="3"/>
        <v>6</v>
      </c>
      <c r="AO449" s="171"/>
    </row>
    <row r="450" spans="1:41" ht="15.75" customHeight="1">
      <c r="A450" s="167" t="s">
        <v>426</v>
      </c>
      <c r="B450" s="22" t="s">
        <v>425</v>
      </c>
      <c r="C450" s="168">
        <v>1</v>
      </c>
      <c r="D450" s="169" t="b">
        <v>1</v>
      </c>
      <c r="E450" s="170" t="s">
        <v>1866</v>
      </c>
      <c r="F450" s="171">
        <v>1</v>
      </c>
      <c r="G450" s="171">
        <v>1</v>
      </c>
      <c r="H450" s="171">
        <v>1</v>
      </c>
      <c r="I450" s="171">
        <v>1</v>
      </c>
      <c r="J450" s="171">
        <v>1</v>
      </c>
      <c r="K450" s="171"/>
      <c r="L450" s="171"/>
      <c r="M450" s="171"/>
      <c r="N450" s="171"/>
      <c r="O450" s="171"/>
      <c r="P450" s="171"/>
      <c r="Q450" s="171"/>
      <c r="R450" s="171"/>
      <c r="S450" s="171"/>
      <c r="T450" s="171"/>
      <c r="U450" s="171"/>
      <c r="V450" s="171"/>
      <c r="W450" s="171"/>
      <c r="X450" s="171"/>
      <c r="Y450" s="171"/>
      <c r="Z450" s="171"/>
      <c r="AA450" s="171"/>
      <c r="AB450" s="171"/>
      <c r="AC450" s="171"/>
      <c r="AD450" s="171"/>
      <c r="AE450" s="171"/>
      <c r="AF450" s="171"/>
      <c r="AG450" s="171"/>
      <c r="AH450" s="171"/>
      <c r="AI450" s="171"/>
      <c r="AJ450" s="171"/>
      <c r="AK450" s="171"/>
      <c r="AL450" s="171">
        <v>1</v>
      </c>
      <c r="AM450" s="22"/>
      <c r="AN450" s="22">
        <f t="shared" si="3"/>
        <v>6</v>
      </c>
      <c r="AO450" s="171" t="s">
        <v>1619</v>
      </c>
    </row>
    <row r="451" spans="1:41" ht="15.75" customHeight="1">
      <c r="A451" s="167" t="s">
        <v>428</v>
      </c>
      <c r="B451" s="22" t="s">
        <v>427</v>
      </c>
      <c r="C451" s="168">
        <v>1</v>
      </c>
      <c r="D451" s="169" t="b">
        <v>1</v>
      </c>
      <c r="E451" s="170" t="s">
        <v>1867</v>
      </c>
      <c r="F451" s="171">
        <v>1</v>
      </c>
      <c r="G451" s="171">
        <v>1</v>
      </c>
      <c r="H451" s="171">
        <v>1</v>
      </c>
      <c r="I451" s="171">
        <v>1</v>
      </c>
      <c r="J451" s="171">
        <v>1</v>
      </c>
      <c r="K451" s="171">
        <v>1</v>
      </c>
      <c r="L451" s="171"/>
      <c r="M451" s="171"/>
      <c r="N451" s="171"/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  <c r="AC451" s="171"/>
      <c r="AD451" s="171"/>
      <c r="AE451" s="171"/>
      <c r="AF451" s="171"/>
      <c r="AG451" s="171"/>
      <c r="AH451" s="171"/>
      <c r="AI451" s="171"/>
      <c r="AJ451" s="171"/>
      <c r="AK451" s="171"/>
      <c r="AL451" s="171"/>
      <c r="AM451" s="22"/>
      <c r="AN451" s="22">
        <f t="shared" si="3"/>
        <v>6</v>
      </c>
      <c r="AO451" s="171"/>
    </row>
    <row r="452" spans="1:41" ht="15.75" customHeight="1">
      <c r="A452" s="167" t="s">
        <v>430</v>
      </c>
      <c r="B452" s="22" t="s">
        <v>429</v>
      </c>
      <c r="C452" s="168">
        <v>1</v>
      </c>
      <c r="D452" s="169" t="b">
        <v>1</v>
      </c>
      <c r="E452" s="170" t="s">
        <v>1868</v>
      </c>
      <c r="F452" s="171">
        <v>1</v>
      </c>
      <c r="G452" s="171">
        <v>1</v>
      </c>
      <c r="H452" s="171">
        <v>1</v>
      </c>
      <c r="I452" s="171">
        <v>1</v>
      </c>
      <c r="J452" s="171">
        <v>1</v>
      </c>
      <c r="K452" s="171"/>
      <c r="L452" s="171">
        <v>1</v>
      </c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  <c r="AC452" s="171"/>
      <c r="AD452" s="171"/>
      <c r="AE452" s="171"/>
      <c r="AF452" s="171"/>
      <c r="AG452" s="171"/>
      <c r="AH452" s="171"/>
      <c r="AI452" s="171"/>
      <c r="AJ452" s="171"/>
      <c r="AK452" s="171"/>
      <c r="AL452" s="171"/>
      <c r="AM452" s="22"/>
      <c r="AN452" s="22">
        <f t="shared" si="3"/>
        <v>6</v>
      </c>
      <c r="AO452" s="171"/>
    </row>
    <row r="453" spans="1:41" ht="15.75" customHeight="1">
      <c r="A453" s="167" t="s">
        <v>444</v>
      </c>
      <c r="B453" s="22" t="s">
        <v>443</v>
      </c>
      <c r="C453" s="168">
        <v>1</v>
      </c>
      <c r="D453" s="169" t="b">
        <v>1</v>
      </c>
      <c r="E453" s="170" t="s">
        <v>1869</v>
      </c>
      <c r="F453" s="171">
        <v>1</v>
      </c>
      <c r="G453" s="171">
        <v>1</v>
      </c>
      <c r="H453" s="171">
        <v>1</v>
      </c>
      <c r="I453" s="171">
        <v>1</v>
      </c>
      <c r="J453" s="171">
        <v>1</v>
      </c>
      <c r="K453" s="171"/>
      <c r="L453" s="171"/>
      <c r="M453" s="171"/>
      <c r="N453" s="171"/>
      <c r="O453" s="171"/>
      <c r="P453" s="171"/>
      <c r="Q453" s="171"/>
      <c r="R453" s="171"/>
      <c r="S453" s="171"/>
      <c r="T453" s="171"/>
      <c r="U453" s="171"/>
      <c r="V453" s="171"/>
      <c r="W453" s="171"/>
      <c r="X453" s="171"/>
      <c r="Y453" s="171"/>
      <c r="Z453" s="171"/>
      <c r="AA453" s="171"/>
      <c r="AB453" s="171"/>
      <c r="AC453" s="171"/>
      <c r="AD453" s="171"/>
      <c r="AE453" s="171"/>
      <c r="AF453" s="171"/>
      <c r="AG453" s="171"/>
      <c r="AH453" s="171"/>
      <c r="AI453" s="171"/>
      <c r="AJ453" s="171"/>
      <c r="AK453" s="171"/>
      <c r="AL453" s="171">
        <v>1</v>
      </c>
      <c r="AM453" s="22"/>
      <c r="AN453" s="22">
        <f t="shared" si="3"/>
        <v>6</v>
      </c>
      <c r="AO453" s="171" t="s">
        <v>1687</v>
      </c>
    </row>
    <row r="454" spans="1:41" ht="15.75" customHeight="1">
      <c r="A454" s="167" t="s">
        <v>460</v>
      </c>
      <c r="B454" s="22" t="s">
        <v>459</v>
      </c>
      <c r="C454" s="168">
        <v>1</v>
      </c>
      <c r="D454" s="169" t="b">
        <v>1</v>
      </c>
      <c r="E454" s="170" t="s">
        <v>1870</v>
      </c>
      <c r="F454" s="171">
        <v>1</v>
      </c>
      <c r="G454" s="171">
        <v>1</v>
      </c>
      <c r="H454" s="171">
        <v>1</v>
      </c>
      <c r="I454" s="171">
        <v>1</v>
      </c>
      <c r="J454" s="171">
        <v>1</v>
      </c>
      <c r="K454" s="171"/>
      <c r="L454" s="171"/>
      <c r="M454" s="171">
        <v>1</v>
      </c>
      <c r="N454" s="171"/>
      <c r="O454" s="171"/>
      <c r="P454" s="171"/>
      <c r="Q454" s="171"/>
      <c r="R454" s="171"/>
      <c r="S454" s="171"/>
      <c r="T454" s="171"/>
      <c r="U454" s="171"/>
      <c r="V454" s="171"/>
      <c r="W454" s="171"/>
      <c r="X454" s="171"/>
      <c r="Y454" s="171"/>
      <c r="Z454" s="171"/>
      <c r="AA454" s="171"/>
      <c r="AB454" s="171"/>
      <c r="AC454" s="171"/>
      <c r="AD454" s="171"/>
      <c r="AE454" s="171"/>
      <c r="AF454" s="171"/>
      <c r="AG454" s="171"/>
      <c r="AH454" s="171"/>
      <c r="AI454" s="171"/>
      <c r="AJ454" s="171"/>
      <c r="AK454" s="171"/>
      <c r="AL454" s="171"/>
      <c r="AM454" s="22"/>
      <c r="AN454" s="22">
        <f t="shared" si="3"/>
        <v>6</v>
      </c>
      <c r="AO454" s="171"/>
    </row>
    <row r="455" spans="1:41" ht="15.75" customHeight="1">
      <c r="A455" s="167" t="s">
        <v>462</v>
      </c>
      <c r="B455" s="22" t="s">
        <v>461</v>
      </c>
      <c r="C455" s="168">
        <v>1</v>
      </c>
      <c r="D455" s="169" t="b">
        <v>1</v>
      </c>
      <c r="E455" s="170" t="s">
        <v>1871</v>
      </c>
      <c r="F455" s="171">
        <v>1</v>
      </c>
      <c r="G455" s="171">
        <v>1</v>
      </c>
      <c r="H455" s="171">
        <v>1</v>
      </c>
      <c r="I455" s="171">
        <v>1</v>
      </c>
      <c r="J455" s="171">
        <v>1</v>
      </c>
      <c r="K455" s="171"/>
      <c r="L455" s="171"/>
      <c r="M455" s="171"/>
      <c r="N455" s="171"/>
      <c r="O455" s="171"/>
      <c r="P455" s="171"/>
      <c r="Q455" s="171"/>
      <c r="R455" s="171"/>
      <c r="S455" s="171"/>
      <c r="T455" s="171"/>
      <c r="U455" s="171">
        <v>1</v>
      </c>
      <c r="V455" s="171"/>
      <c r="W455" s="171"/>
      <c r="X455" s="171"/>
      <c r="Y455" s="171"/>
      <c r="Z455" s="171"/>
      <c r="AA455" s="171"/>
      <c r="AB455" s="171"/>
      <c r="AC455" s="171"/>
      <c r="AD455" s="171"/>
      <c r="AE455" s="171"/>
      <c r="AF455" s="171"/>
      <c r="AG455" s="171"/>
      <c r="AH455" s="171"/>
      <c r="AI455" s="171"/>
      <c r="AJ455" s="171"/>
      <c r="AK455" s="171"/>
      <c r="AL455" s="171"/>
      <c r="AM455" s="22"/>
      <c r="AN455" s="22">
        <f t="shared" si="3"/>
        <v>6</v>
      </c>
      <c r="AO455" s="171"/>
    </row>
    <row r="456" spans="1:41" ht="15.75" customHeight="1">
      <c r="A456" s="167" t="s">
        <v>464</v>
      </c>
      <c r="B456" s="22" t="s">
        <v>463</v>
      </c>
      <c r="C456" s="168">
        <v>1</v>
      </c>
      <c r="D456" s="169" t="b">
        <v>1</v>
      </c>
      <c r="E456" s="170" t="s">
        <v>1745</v>
      </c>
      <c r="F456" s="171">
        <v>1</v>
      </c>
      <c r="G456" s="171">
        <v>1</v>
      </c>
      <c r="H456" s="171">
        <v>1</v>
      </c>
      <c r="I456" s="171">
        <v>1</v>
      </c>
      <c r="J456" s="171">
        <v>1</v>
      </c>
      <c r="K456" s="171"/>
      <c r="L456" s="171"/>
      <c r="M456" s="171">
        <v>1</v>
      </c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  <c r="AC456" s="171"/>
      <c r="AD456" s="171"/>
      <c r="AE456" s="171"/>
      <c r="AF456" s="171"/>
      <c r="AG456" s="171"/>
      <c r="AH456" s="171"/>
      <c r="AI456" s="171"/>
      <c r="AJ456" s="171"/>
      <c r="AK456" s="171"/>
      <c r="AL456" s="171"/>
      <c r="AM456" s="22"/>
      <c r="AN456" s="22">
        <f t="shared" si="3"/>
        <v>6</v>
      </c>
      <c r="AO456" s="171"/>
    </row>
    <row r="457" spans="1:41" ht="15.75" customHeight="1">
      <c r="A457" s="167" t="s">
        <v>478</v>
      </c>
      <c r="B457" s="22" t="s">
        <v>477</v>
      </c>
      <c r="C457" s="168">
        <v>1</v>
      </c>
      <c r="D457" s="169" t="b">
        <v>1</v>
      </c>
      <c r="E457" s="170" t="s">
        <v>1872</v>
      </c>
      <c r="F457" s="171">
        <v>1</v>
      </c>
      <c r="G457" s="171">
        <v>1</v>
      </c>
      <c r="H457" s="171">
        <v>1</v>
      </c>
      <c r="I457" s="171">
        <v>1</v>
      </c>
      <c r="J457" s="171">
        <v>1</v>
      </c>
      <c r="K457" s="171"/>
      <c r="L457" s="171">
        <v>1</v>
      </c>
      <c r="M457" s="171"/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  <c r="AC457" s="171"/>
      <c r="AD457" s="171"/>
      <c r="AE457" s="171"/>
      <c r="AF457" s="171"/>
      <c r="AG457" s="171"/>
      <c r="AH457" s="171"/>
      <c r="AI457" s="171"/>
      <c r="AJ457" s="171"/>
      <c r="AK457" s="171"/>
      <c r="AL457" s="171"/>
      <c r="AM457" s="22"/>
      <c r="AN457" s="22">
        <f t="shared" si="3"/>
        <v>6</v>
      </c>
      <c r="AO457" s="171"/>
    </row>
    <row r="458" spans="1:41" ht="15.75" customHeight="1">
      <c r="A458" s="167" t="s">
        <v>480</v>
      </c>
      <c r="B458" s="22" t="s">
        <v>479</v>
      </c>
      <c r="C458" s="168">
        <v>1</v>
      </c>
      <c r="D458" s="169" t="b">
        <v>1</v>
      </c>
      <c r="E458" s="170" t="s">
        <v>1873</v>
      </c>
      <c r="F458" s="171">
        <v>1</v>
      </c>
      <c r="G458" s="171">
        <v>1</v>
      </c>
      <c r="H458" s="171">
        <v>1</v>
      </c>
      <c r="I458" s="171">
        <v>1</v>
      </c>
      <c r="J458" s="171">
        <v>1</v>
      </c>
      <c r="K458" s="171"/>
      <c r="L458" s="171">
        <v>1</v>
      </c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  <c r="AC458" s="171"/>
      <c r="AD458" s="171"/>
      <c r="AE458" s="171"/>
      <c r="AF458" s="171"/>
      <c r="AG458" s="171"/>
      <c r="AH458" s="171"/>
      <c r="AI458" s="171"/>
      <c r="AJ458" s="171"/>
      <c r="AK458" s="171"/>
      <c r="AL458" s="171"/>
      <c r="AM458" s="22"/>
      <c r="AN458" s="22">
        <f t="shared" si="3"/>
        <v>6</v>
      </c>
      <c r="AO458" s="171"/>
    </row>
    <row r="459" spans="1:41" ht="15.75" customHeight="1">
      <c r="A459" s="167" t="s">
        <v>482</v>
      </c>
      <c r="B459" s="22" t="s">
        <v>481</v>
      </c>
      <c r="C459" s="168">
        <v>1</v>
      </c>
      <c r="D459" s="169" t="b">
        <v>1</v>
      </c>
      <c r="E459" s="170" t="s">
        <v>1874</v>
      </c>
      <c r="F459" s="171">
        <v>1</v>
      </c>
      <c r="G459" s="171">
        <v>1</v>
      </c>
      <c r="H459" s="171">
        <v>1</v>
      </c>
      <c r="I459" s="171">
        <v>1</v>
      </c>
      <c r="J459" s="171">
        <v>1</v>
      </c>
      <c r="K459" s="171"/>
      <c r="L459" s="171"/>
      <c r="M459" s="171">
        <v>1</v>
      </c>
      <c r="N459" s="171"/>
      <c r="O459" s="171"/>
      <c r="P459" s="171"/>
      <c r="Q459" s="171"/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  <c r="AC459" s="171"/>
      <c r="AD459" s="171"/>
      <c r="AE459" s="171"/>
      <c r="AF459" s="171"/>
      <c r="AG459" s="171"/>
      <c r="AH459" s="171"/>
      <c r="AI459" s="171"/>
      <c r="AJ459" s="171"/>
      <c r="AK459" s="171"/>
      <c r="AL459" s="171"/>
      <c r="AM459" s="22"/>
      <c r="AN459" s="22">
        <f t="shared" si="3"/>
        <v>6</v>
      </c>
      <c r="AO459" s="171"/>
    </row>
    <row r="460" spans="1:41" ht="15.75" customHeight="1">
      <c r="A460" s="167" t="s">
        <v>490</v>
      </c>
      <c r="B460" s="22" t="s">
        <v>489</v>
      </c>
      <c r="C460" s="168">
        <v>1</v>
      </c>
      <c r="D460" s="169" t="b">
        <v>1</v>
      </c>
      <c r="E460" s="170" t="s">
        <v>1875</v>
      </c>
      <c r="F460" s="171">
        <v>1</v>
      </c>
      <c r="G460" s="171">
        <v>1</v>
      </c>
      <c r="H460" s="171">
        <v>1</v>
      </c>
      <c r="I460" s="171">
        <v>1</v>
      </c>
      <c r="J460" s="171">
        <v>1</v>
      </c>
      <c r="K460" s="171">
        <v>1</v>
      </c>
      <c r="L460" s="171"/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  <c r="AC460" s="171"/>
      <c r="AD460" s="171"/>
      <c r="AE460" s="171"/>
      <c r="AF460" s="171"/>
      <c r="AG460" s="171"/>
      <c r="AH460" s="171"/>
      <c r="AI460" s="171"/>
      <c r="AJ460" s="171"/>
      <c r="AK460" s="171"/>
      <c r="AL460" s="171"/>
      <c r="AM460" s="22"/>
      <c r="AN460" s="22">
        <f t="shared" si="3"/>
        <v>6</v>
      </c>
      <c r="AO460" s="171"/>
    </row>
    <row r="461" spans="1:41" ht="15.75" customHeight="1">
      <c r="A461" s="167" t="s">
        <v>496</v>
      </c>
      <c r="B461" s="22" t="s">
        <v>495</v>
      </c>
      <c r="C461" s="168">
        <v>1</v>
      </c>
      <c r="D461" s="169" t="b">
        <v>1</v>
      </c>
      <c r="E461" s="170" t="s">
        <v>1876</v>
      </c>
      <c r="F461" s="171">
        <v>1</v>
      </c>
      <c r="G461" s="171">
        <v>1</v>
      </c>
      <c r="H461" s="171">
        <v>1</v>
      </c>
      <c r="I461" s="171">
        <v>1</v>
      </c>
      <c r="J461" s="171">
        <v>1</v>
      </c>
      <c r="K461" s="171">
        <v>1</v>
      </c>
      <c r="L461" s="171"/>
      <c r="M461" s="171"/>
      <c r="N461" s="171"/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  <c r="AC461" s="171"/>
      <c r="AD461" s="171"/>
      <c r="AE461" s="171"/>
      <c r="AF461" s="171"/>
      <c r="AG461" s="171"/>
      <c r="AH461" s="171"/>
      <c r="AI461" s="171"/>
      <c r="AJ461" s="171"/>
      <c r="AK461" s="171"/>
      <c r="AL461" s="171"/>
      <c r="AM461" s="22"/>
      <c r="AN461" s="22">
        <f t="shared" si="3"/>
        <v>6</v>
      </c>
      <c r="AO461" s="171"/>
    </row>
    <row r="462" spans="1:41" ht="15.75" customHeight="1">
      <c r="A462" s="167" t="s">
        <v>498</v>
      </c>
      <c r="B462" s="22" t="s">
        <v>497</v>
      </c>
      <c r="C462" s="168">
        <v>1</v>
      </c>
      <c r="D462" s="169" t="b">
        <v>1</v>
      </c>
      <c r="E462" s="170" t="s">
        <v>1877</v>
      </c>
      <c r="F462" s="171">
        <v>1</v>
      </c>
      <c r="G462" s="171">
        <v>1</v>
      </c>
      <c r="H462" s="171">
        <v>1</v>
      </c>
      <c r="I462" s="171">
        <v>1</v>
      </c>
      <c r="J462" s="171"/>
      <c r="K462" s="171">
        <v>1</v>
      </c>
      <c r="L462" s="171"/>
      <c r="M462" s="171">
        <v>1</v>
      </c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  <c r="AC462" s="171"/>
      <c r="AD462" s="171"/>
      <c r="AE462" s="171"/>
      <c r="AF462" s="171"/>
      <c r="AG462" s="171"/>
      <c r="AH462" s="171"/>
      <c r="AI462" s="171"/>
      <c r="AJ462" s="171"/>
      <c r="AK462" s="171"/>
      <c r="AL462" s="171"/>
      <c r="AM462" s="22"/>
      <c r="AN462" s="22">
        <f t="shared" si="3"/>
        <v>6</v>
      </c>
      <c r="AO462" s="171"/>
    </row>
    <row r="463" spans="1:41" ht="15.75" customHeight="1">
      <c r="A463" s="167" t="s">
        <v>504</v>
      </c>
      <c r="B463" s="22" t="s">
        <v>503</v>
      </c>
      <c r="C463" s="168">
        <v>1</v>
      </c>
      <c r="D463" s="169" t="b">
        <v>1</v>
      </c>
      <c r="E463" s="170" t="s">
        <v>1878</v>
      </c>
      <c r="F463" s="171">
        <v>1</v>
      </c>
      <c r="G463" s="171">
        <v>1</v>
      </c>
      <c r="H463" s="171">
        <v>1</v>
      </c>
      <c r="I463" s="171">
        <v>1</v>
      </c>
      <c r="J463" s="171">
        <v>1</v>
      </c>
      <c r="K463" s="171">
        <v>1</v>
      </c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  <c r="AC463" s="171"/>
      <c r="AD463" s="171"/>
      <c r="AE463" s="171"/>
      <c r="AF463" s="171"/>
      <c r="AG463" s="171"/>
      <c r="AH463" s="171"/>
      <c r="AI463" s="171"/>
      <c r="AJ463" s="171"/>
      <c r="AK463" s="171"/>
      <c r="AL463" s="171"/>
      <c r="AM463" s="22"/>
      <c r="AN463" s="22">
        <f t="shared" si="3"/>
        <v>6</v>
      </c>
      <c r="AO463" s="171"/>
    </row>
    <row r="464" spans="1:41" ht="15.75" customHeight="1">
      <c r="A464" s="167" t="s">
        <v>506</v>
      </c>
      <c r="B464" s="22" t="s">
        <v>505</v>
      </c>
      <c r="C464" s="168">
        <v>1</v>
      </c>
      <c r="D464" s="169" t="b">
        <v>1</v>
      </c>
      <c r="E464" s="170" t="s">
        <v>1879</v>
      </c>
      <c r="F464" s="171">
        <v>1</v>
      </c>
      <c r="G464" s="171">
        <v>1</v>
      </c>
      <c r="H464" s="171">
        <v>1</v>
      </c>
      <c r="I464" s="171">
        <v>1</v>
      </c>
      <c r="J464" s="171">
        <v>1</v>
      </c>
      <c r="K464" s="171"/>
      <c r="L464" s="171"/>
      <c r="M464" s="171"/>
      <c r="N464" s="171"/>
      <c r="O464" s="171"/>
      <c r="P464" s="171"/>
      <c r="Q464" s="171"/>
      <c r="R464" s="171"/>
      <c r="S464" s="171"/>
      <c r="T464" s="171"/>
      <c r="U464" s="171"/>
      <c r="V464" s="171">
        <v>1</v>
      </c>
      <c r="W464" s="171"/>
      <c r="X464" s="171"/>
      <c r="Y464" s="171"/>
      <c r="Z464" s="171"/>
      <c r="AA464" s="171"/>
      <c r="AB464" s="171"/>
      <c r="AC464" s="171"/>
      <c r="AD464" s="171"/>
      <c r="AE464" s="171"/>
      <c r="AF464" s="171"/>
      <c r="AG464" s="171"/>
      <c r="AH464" s="171"/>
      <c r="AI464" s="171"/>
      <c r="AJ464" s="171"/>
      <c r="AK464" s="171"/>
      <c r="AL464" s="171"/>
      <c r="AM464" s="22"/>
      <c r="AN464" s="22">
        <f t="shared" si="3"/>
        <v>6</v>
      </c>
      <c r="AO464" s="171"/>
    </row>
    <row r="465" spans="1:41" ht="15.75" customHeight="1">
      <c r="A465" s="167" t="s">
        <v>512</v>
      </c>
      <c r="B465" s="22" t="s">
        <v>511</v>
      </c>
      <c r="C465" s="168">
        <v>1</v>
      </c>
      <c r="D465" s="169" t="b">
        <v>1</v>
      </c>
      <c r="E465" s="170" t="s">
        <v>1880</v>
      </c>
      <c r="F465" s="171">
        <v>1</v>
      </c>
      <c r="G465" s="171">
        <v>1</v>
      </c>
      <c r="H465" s="171">
        <v>1</v>
      </c>
      <c r="I465" s="171">
        <v>1</v>
      </c>
      <c r="J465" s="171">
        <v>1</v>
      </c>
      <c r="K465" s="171">
        <v>1</v>
      </c>
      <c r="L465" s="171"/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  <c r="AC465" s="171"/>
      <c r="AD465" s="171"/>
      <c r="AE465" s="171"/>
      <c r="AF465" s="171"/>
      <c r="AG465" s="171"/>
      <c r="AH465" s="171"/>
      <c r="AI465" s="171"/>
      <c r="AJ465" s="171"/>
      <c r="AK465" s="171"/>
      <c r="AL465" s="171"/>
      <c r="AM465" s="22"/>
      <c r="AN465" s="22">
        <f t="shared" si="3"/>
        <v>6</v>
      </c>
      <c r="AO465" s="171"/>
    </row>
    <row r="466" spans="1:41" ht="15.75" customHeight="1">
      <c r="A466" s="167" t="s">
        <v>520</v>
      </c>
      <c r="B466" s="22" t="s">
        <v>519</v>
      </c>
      <c r="C466" s="168">
        <v>1</v>
      </c>
      <c r="D466" s="169" t="b">
        <v>1</v>
      </c>
      <c r="E466" s="170" t="s">
        <v>1881</v>
      </c>
      <c r="F466" s="171">
        <v>1</v>
      </c>
      <c r="G466" s="171">
        <v>1</v>
      </c>
      <c r="H466" s="171">
        <v>1</v>
      </c>
      <c r="I466" s="171">
        <v>1</v>
      </c>
      <c r="J466" s="171">
        <v>1</v>
      </c>
      <c r="K466" s="171">
        <v>1</v>
      </c>
      <c r="L466" s="171"/>
      <c r="M466" s="171"/>
      <c r="N466" s="171"/>
      <c r="O466" s="171"/>
      <c r="P466" s="171"/>
      <c r="Q466" s="171"/>
      <c r="R466" s="171"/>
      <c r="S466" s="171"/>
      <c r="T466" s="171"/>
      <c r="U466" s="171"/>
      <c r="V466" s="171"/>
      <c r="W466" s="171"/>
      <c r="X466" s="171"/>
      <c r="Y466" s="171"/>
      <c r="Z466" s="171"/>
      <c r="AA466" s="171"/>
      <c r="AB466" s="171"/>
      <c r="AC466" s="171"/>
      <c r="AD466" s="171"/>
      <c r="AE466" s="171"/>
      <c r="AF466" s="171"/>
      <c r="AG466" s="171"/>
      <c r="AH466" s="171"/>
      <c r="AI466" s="171"/>
      <c r="AJ466" s="171"/>
      <c r="AK466" s="171"/>
      <c r="AL466" s="171"/>
      <c r="AM466" s="22"/>
      <c r="AN466" s="22">
        <f t="shared" ref="AN466:AN654" si="4">SUM(D466:AL466)</f>
        <v>6</v>
      </c>
      <c r="AO466" s="171"/>
    </row>
    <row r="467" spans="1:41" ht="15.75" customHeight="1">
      <c r="A467" s="167" t="s">
        <v>524</v>
      </c>
      <c r="B467" s="22" t="s">
        <v>523</v>
      </c>
      <c r="C467" s="168">
        <v>1</v>
      </c>
      <c r="D467" s="169" t="b">
        <v>1</v>
      </c>
      <c r="E467" s="174" t="s">
        <v>1882</v>
      </c>
      <c r="F467" s="171">
        <v>1</v>
      </c>
      <c r="G467" s="171">
        <v>1</v>
      </c>
      <c r="H467" s="171">
        <v>1</v>
      </c>
      <c r="I467" s="171">
        <v>1</v>
      </c>
      <c r="J467" s="171">
        <v>1</v>
      </c>
      <c r="K467" s="171">
        <v>1</v>
      </c>
      <c r="L467" s="171"/>
      <c r="M467" s="171"/>
      <c r="N467" s="171"/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  <c r="AC467" s="171"/>
      <c r="AD467" s="171"/>
      <c r="AE467" s="171"/>
      <c r="AF467" s="171"/>
      <c r="AG467" s="171"/>
      <c r="AH467" s="171"/>
      <c r="AI467" s="171"/>
      <c r="AJ467" s="171"/>
      <c r="AK467" s="171"/>
      <c r="AL467" s="171"/>
      <c r="AM467" s="22"/>
      <c r="AN467" s="22">
        <f t="shared" si="4"/>
        <v>6</v>
      </c>
      <c r="AO467" s="171"/>
    </row>
    <row r="468" spans="1:41" ht="15.75" customHeight="1">
      <c r="A468" s="167" t="s">
        <v>528</v>
      </c>
      <c r="B468" s="22" t="s">
        <v>527</v>
      </c>
      <c r="C468" s="168">
        <v>1</v>
      </c>
      <c r="D468" s="169" t="b">
        <v>1</v>
      </c>
      <c r="E468" s="170" t="s">
        <v>1883</v>
      </c>
      <c r="F468" s="171">
        <v>1</v>
      </c>
      <c r="G468" s="171">
        <v>1</v>
      </c>
      <c r="H468" s="171">
        <v>1</v>
      </c>
      <c r="I468" s="171">
        <v>1</v>
      </c>
      <c r="J468" s="171">
        <v>1</v>
      </c>
      <c r="K468" s="171">
        <v>1</v>
      </c>
      <c r="L468" s="171"/>
      <c r="M468" s="171"/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  <c r="AC468" s="171"/>
      <c r="AD468" s="171"/>
      <c r="AE468" s="171"/>
      <c r="AF468" s="171"/>
      <c r="AG468" s="171"/>
      <c r="AH468" s="171"/>
      <c r="AI468" s="171"/>
      <c r="AJ468" s="171"/>
      <c r="AK468" s="171"/>
      <c r="AL468" s="171"/>
      <c r="AM468" s="22"/>
      <c r="AN468" s="22">
        <f t="shared" si="4"/>
        <v>6</v>
      </c>
      <c r="AO468" s="171"/>
    </row>
    <row r="469" spans="1:41" ht="15.75" customHeight="1">
      <c r="A469" s="167" t="s">
        <v>534</v>
      </c>
      <c r="B469" s="22" t="s">
        <v>533</v>
      </c>
      <c r="C469" s="168">
        <v>1</v>
      </c>
      <c r="D469" s="169" t="b">
        <v>1</v>
      </c>
      <c r="E469" s="170" t="s">
        <v>1884</v>
      </c>
      <c r="F469" s="171">
        <v>1</v>
      </c>
      <c r="G469" s="171">
        <v>1</v>
      </c>
      <c r="H469" s="171">
        <v>1</v>
      </c>
      <c r="I469" s="171">
        <v>1</v>
      </c>
      <c r="J469" s="171">
        <v>1</v>
      </c>
      <c r="K469" s="171">
        <v>1</v>
      </c>
      <c r="L469" s="171"/>
      <c r="M469" s="171"/>
      <c r="N469" s="171"/>
      <c r="O469" s="171"/>
      <c r="P469" s="171"/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  <c r="AC469" s="171"/>
      <c r="AD469" s="171"/>
      <c r="AE469" s="171"/>
      <c r="AF469" s="171"/>
      <c r="AG469" s="171"/>
      <c r="AH469" s="171"/>
      <c r="AI469" s="171"/>
      <c r="AJ469" s="171"/>
      <c r="AK469" s="171"/>
      <c r="AL469" s="171"/>
      <c r="AM469" s="22"/>
      <c r="AN469" s="22">
        <f t="shared" si="4"/>
        <v>6</v>
      </c>
      <c r="AO469" s="171"/>
    </row>
    <row r="470" spans="1:41" ht="15.75" customHeight="1">
      <c r="A470" s="167" t="s">
        <v>536</v>
      </c>
      <c r="B470" s="22" t="s">
        <v>535</v>
      </c>
      <c r="C470" s="168">
        <v>1</v>
      </c>
      <c r="D470" s="169" t="b">
        <v>1</v>
      </c>
      <c r="E470" s="170" t="s">
        <v>1885</v>
      </c>
      <c r="F470" s="171">
        <v>1</v>
      </c>
      <c r="G470" s="171">
        <v>1</v>
      </c>
      <c r="H470" s="171">
        <v>1</v>
      </c>
      <c r="I470" s="171">
        <v>1</v>
      </c>
      <c r="J470" s="171">
        <v>1</v>
      </c>
      <c r="K470" s="171"/>
      <c r="L470" s="171"/>
      <c r="M470" s="171"/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  <c r="AC470" s="171"/>
      <c r="AD470" s="171"/>
      <c r="AE470" s="171"/>
      <c r="AF470" s="171"/>
      <c r="AG470" s="171"/>
      <c r="AH470" s="171"/>
      <c r="AI470" s="171"/>
      <c r="AJ470" s="171"/>
      <c r="AK470" s="171"/>
      <c r="AL470" s="171">
        <v>1</v>
      </c>
      <c r="AM470" s="22"/>
      <c r="AN470" s="22">
        <f t="shared" si="4"/>
        <v>6</v>
      </c>
      <c r="AO470" s="171" t="s">
        <v>1413</v>
      </c>
    </row>
    <row r="471" spans="1:41" ht="15.75" customHeight="1">
      <c r="A471" s="167" t="s">
        <v>542</v>
      </c>
      <c r="B471" s="22" t="s">
        <v>541</v>
      </c>
      <c r="C471" s="168">
        <v>1</v>
      </c>
      <c r="D471" s="169" t="b">
        <v>1</v>
      </c>
      <c r="E471" s="170" t="s">
        <v>1886</v>
      </c>
      <c r="F471" s="171">
        <v>1</v>
      </c>
      <c r="G471" s="171">
        <v>1</v>
      </c>
      <c r="H471" s="171">
        <v>1</v>
      </c>
      <c r="I471" s="171">
        <v>1</v>
      </c>
      <c r="J471" s="171">
        <v>1</v>
      </c>
      <c r="K471" s="171"/>
      <c r="L471" s="171"/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  <c r="AC471" s="171"/>
      <c r="AD471" s="171"/>
      <c r="AE471" s="171"/>
      <c r="AF471" s="171"/>
      <c r="AG471" s="171"/>
      <c r="AH471" s="171"/>
      <c r="AI471" s="171"/>
      <c r="AJ471" s="171"/>
      <c r="AK471" s="171"/>
      <c r="AL471" s="171">
        <v>1</v>
      </c>
      <c r="AM471" s="22"/>
      <c r="AN471" s="22">
        <f t="shared" si="4"/>
        <v>6</v>
      </c>
      <c r="AO471" s="171" t="s">
        <v>1413</v>
      </c>
    </row>
    <row r="472" spans="1:41" ht="15.75" customHeight="1">
      <c r="A472" s="167" t="s">
        <v>558</v>
      </c>
      <c r="B472" s="22" t="s">
        <v>557</v>
      </c>
      <c r="C472" s="168">
        <v>1</v>
      </c>
      <c r="D472" s="169" t="b">
        <v>1</v>
      </c>
      <c r="E472" s="170" t="s">
        <v>1887</v>
      </c>
      <c r="F472" s="171">
        <v>1</v>
      </c>
      <c r="G472" s="171">
        <v>1</v>
      </c>
      <c r="H472" s="171">
        <v>1</v>
      </c>
      <c r="I472" s="171">
        <v>1</v>
      </c>
      <c r="J472" s="171">
        <v>1</v>
      </c>
      <c r="K472" s="171"/>
      <c r="L472" s="171"/>
      <c r="M472" s="171">
        <v>1</v>
      </c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1"/>
      <c r="AG472" s="171"/>
      <c r="AH472" s="171"/>
      <c r="AI472" s="171"/>
      <c r="AJ472" s="171"/>
      <c r="AK472" s="171"/>
      <c r="AL472" s="171"/>
      <c r="AM472" s="22"/>
      <c r="AN472" s="22">
        <f t="shared" si="4"/>
        <v>6</v>
      </c>
      <c r="AO472" s="171"/>
    </row>
    <row r="473" spans="1:41" ht="15.75" customHeight="1">
      <c r="A473" s="167" t="s">
        <v>560</v>
      </c>
      <c r="B473" s="22" t="s">
        <v>559</v>
      </c>
      <c r="C473" s="168">
        <v>1</v>
      </c>
      <c r="D473" s="169" t="b">
        <v>1</v>
      </c>
      <c r="E473" s="170" t="s">
        <v>1888</v>
      </c>
      <c r="F473" s="171">
        <v>1</v>
      </c>
      <c r="G473" s="171">
        <v>1</v>
      </c>
      <c r="H473" s="171">
        <v>1</v>
      </c>
      <c r="I473" s="171">
        <v>1</v>
      </c>
      <c r="J473" s="171">
        <v>1</v>
      </c>
      <c r="K473" s="171">
        <v>1</v>
      </c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  <c r="AC473" s="171"/>
      <c r="AD473" s="171"/>
      <c r="AE473" s="171"/>
      <c r="AF473" s="171"/>
      <c r="AG473" s="171"/>
      <c r="AH473" s="171"/>
      <c r="AI473" s="171"/>
      <c r="AJ473" s="171"/>
      <c r="AK473" s="171"/>
      <c r="AL473" s="171"/>
      <c r="AM473" s="22"/>
      <c r="AN473" s="22">
        <f t="shared" si="4"/>
        <v>6</v>
      </c>
      <c r="AO473" s="171"/>
    </row>
    <row r="474" spans="1:41" ht="15.75" customHeight="1">
      <c r="A474" s="167" t="s">
        <v>586</v>
      </c>
      <c r="B474" s="22" t="s">
        <v>585</v>
      </c>
      <c r="C474" s="168">
        <v>1</v>
      </c>
      <c r="D474" s="169" t="b">
        <v>1</v>
      </c>
      <c r="E474" s="170" t="s">
        <v>1889</v>
      </c>
      <c r="F474" s="171">
        <v>1</v>
      </c>
      <c r="G474" s="171">
        <v>1</v>
      </c>
      <c r="H474" s="171">
        <v>1</v>
      </c>
      <c r="I474" s="171">
        <v>1</v>
      </c>
      <c r="J474" s="171">
        <v>1</v>
      </c>
      <c r="K474" s="171"/>
      <c r="L474" s="171"/>
      <c r="M474" s="171"/>
      <c r="N474" s="171"/>
      <c r="O474" s="171"/>
      <c r="P474" s="171"/>
      <c r="Q474" s="171"/>
      <c r="R474" s="171"/>
      <c r="S474" s="171"/>
      <c r="T474" s="171"/>
      <c r="U474" s="171"/>
      <c r="V474" s="171"/>
      <c r="W474" s="171"/>
      <c r="X474" s="171"/>
      <c r="Y474" s="171"/>
      <c r="Z474" s="171"/>
      <c r="AA474" s="171"/>
      <c r="AB474" s="171"/>
      <c r="AC474" s="171"/>
      <c r="AD474" s="171"/>
      <c r="AE474" s="171"/>
      <c r="AF474" s="171"/>
      <c r="AG474" s="171">
        <v>1</v>
      </c>
      <c r="AH474" s="171"/>
      <c r="AI474" s="171"/>
      <c r="AJ474" s="171"/>
      <c r="AK474" s="171"/>
      <c r="AL474" s="171"/>
      <c r="AM474" s="22"/>
      <c r="AN474" s="22">
        <f t="shared" si="4"/>
        <v>6</v>
      </c>
      <c r="AO474" s="171"/>
    </row>
    <row r="475" spans="1:41" ht="15.75" customHeight="1">
      <c r="A475" s="167" t="s">
        <v>588</v>
      </c>
      <c r="B475" s="184" t="s">
        <v>587</v>
      </c>
      <c r="C475" s="168">
        <v>1</v>
      </c>
      <c r="D475" s="169" t="b">
        <v>1</v>
      </c>
      <c r="E475" s="170" t="s">
        <v>1890</v>
      </c>
      <c r="F475" s="171">
        <v>1</v>
      </c>
      <c r="G475" s="171">
        <v>1</v>
      </c>
      <c r="H475" s="171">
        <v>1</v>
      </c>
      <c r="I475" s="171">
        <v>1</v>
      </c>
      <c r="J475" s="171">
        <v>1</v>
      </c>
      <c r="K475" s="171"/>
      <c r="L475" s="171"/>
      <c r="M475" s="171">
        <v>1</v>
      </c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  <c r="AC475" s="171"/>
      <c r="AD475" s="171"/>
      <c r="AE475" s="171"/>
      <c r="AF475" s="171"/>
      <c r="AG475" s="171"/>
      <c r="AH475" s="171"/>
      <c r="AI475" s="171"/>
      <c r="AJ475" s="171"/>
      <c r="AK475" s="171"/>
      <c r="AL475" s="171"/>
      <c r="AM475" s="22"/>
      <c r="AN475" s="22">
        <f t="shared" si="4"/>
        <v>6</v>
      </c>
      <c r="AO475" s="171"/>
    </row>
    <row r="476" spans="1:41" ht="15.75" customHeight="1">
      <c r="A476" s="167" t="s">
        <v>606</v>
      </c>
      <c r="B476" s="22" t="s">
        <v>605</v>
      </c>
      <c r="C476" s="168">
        <v>1</v>
      </c>
      <c r="D476" s="169" t="b">
        <v>1</v>
      </c>
      <c r="E476" s="170" t="s">
        <v>1891</v>
      </c>
      <c r="F476" s="171">
        <v>1</v>
      </c>
      <c r="G476" s="171">
        <v>1</v>
      </c>
      <c r="H476" s="171">
        <v>1</v>
      </c>
      <c r="I476" s="171">
        <v>1</v>
      </c>
      <c r="J476" s="171">
        <v>1</v>
      </c>
      <c r="K476" s="171"/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  <c r="AC476" s="171"/>
      <c r="AD476" s="171"/>
      <c r="AE476" s="171"/>
      <c r="AF476" s="171"/>
      <c r="AG476" s="171"/>
      <c r="AH476" s="171"/>
      <c r="AI476" s="171"/>
      <c r="AJ476" s="171"/>
      <c r="AK476" s="171">
        <v>1</v>
      </c>
      <c r="AL476" s="171"/>
      <c r="AM476" s="22"/>
      <c r="AN476" s="22">
        <f t="shared" si="4"/>
        <v>6</v>
      </c>
      <c r="AO476" s="171"/>
    </row>
    <row r="477" spans="1:41" ht="15.75" customHeight="1">
      <c r="A477" s="167" t="s">
        <v>610</v>
      </c>
      <c r="B477" s="22" t="s">
        <v>609</v>
      </c>
      <c r="C477" s="168">
        <v>1</v>
      </c>
      <c r="D477" s="169" t="b">
        <v>1</v>
      </c>
      <c r="E477" s="170" t="s">
        <v>1892</v>
      </c>
      <c r="F477" s="171">
        <v>1</v>
      </c>
      <c r="G477" s="171">
        <v>1</v>
      </c>
      <c r="H477" s="171">
        <v>1</v>
      </c>
      <c r="I477" s="171">
        <v>1</v>
      </c>
      <c r="J477" s="171">
        <v>1</v>
      </c>
      <c r="K477" s="171"/>
      <c r="L477" s="171"/>
      <c r="M477" s="171"/>
      <c r="N477" s="171"/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  <c r="AC477" s="171"/>
      <c r="AD477" s="171"/>
      <c r="AE477" s="171"/>
      <c r="AF477" s="171"/>
      <c r="AG477" s="171"/>
      <c r="AH477" s="171"/>
      <c r="AI477" s="171"/>
      <c r="AJ477" s="171"/>
      <c r="AK477" s="171">
        <v>1</v>
      </c>
      <c r="AL477" s="171"/>
      <c r="AM477" s="22"/>
      <c r="AN477" s="22">
        <f t="shared" si="4"/>
        <v>6</v>
      </c>
      <c r="AO477" s="171"/>
    </row>
    <row r="478" spans="1:41" ht="15.75" customHeight="1">
      <c r="A478" s="167" t="s">
        <v>628</v>
      </c>
      <c r="B478" s="22" t="s">
        <v>627</v>
      </c>
      <c r="C478" s="168">
        <v>1</v>
      </c>
      <c r="D478" s="169" t="b">
        <v>1</v>
      </c>
      <c r="E478" s="170" t="s">
        <v>1893</v>
      </c>
      <c r="F478" s="171">
        <v>1</v>
      </c>
      <c r="G478" s="171">
        <v>1</v>
      </c>
      <c r="H478" s="171">
        <v>1</v>
      </c>
      <c r="I478" s="171">
        <v>1</v>
      </c>
      <c r="J478" s="171">
        <v>1</v>
      </c>
      <c r="K478" s="171"/>
      <c r="L478" s="171"/>
      <c r="M478" s="171"/>
      <c r="N478" s="171"/>
      <c r="O478" s="171"/>
      <c r="P478" s="171"/>
      <c r="Q478" s="171"/>
      <c r="R478" s="171"/>
      <c r="S478" s="171"/>
      <c r="T478" s="171"/>
      <c r="U478" s="171"/>
      <c r="V478" s="171"/>
      <c r="W478" s="171"/>
      <c r="X478" s="171"/>
      <c r="Y478" s="171"/>
      <c r="Z478" s="171"/>
      <c r="AA478" s="171"/>
      <c r="AB478" s="171"/>
      <c r="AC478" s="171"/>
      <c r="AD478" s="171"/>
      <c r="AE478" s="171"/>
      <c r="AF478" s="171"/>
      <c r="AG478" s="171">
        <v>1</v>
      </c>
      <c r="AH478" s="171"/>
      <c r="AI478" s="171"/>
      <c r="AJ478" s="171"/>
      <c r="AK478" s="171"/>
      <c r="AL478" s="171"/>
      <c r="AM478" s="22"/>
      <c r="AN478" s="22">
        <f t="shared" si="4"/>
        <v>6</v>
      </c>
      <c r="AO478" s="171"/>
    </row>
    <row r="479" spans="1:41" ht="15.75" customHeight="1">
      <c r="A479" s="167" t="s">
        <v>660</v>
      </c>
      <c r="B479" s="22" t="s">
        <v>659</v>
      </c>
      <c r="C479" s="168">
        <v>1</v>
      </c>
      <c r="D479" s="169" t="b">
        <v>1</v>
      </c>
      <c r="E479" s="170" t="s">
        <v>1894</v>
      </c>
      <c r="F479" s="171">
        <v>1</v>
      </c>
      <c r="G479" s="171">
        <v>1</v>
      </c>
      <c r="H479" s="171">
        <v>1</v>
      </c>
      <c r="I479" s="171">
        <v>1</v>
      </c>
      <c r="J479" s="171">
        <v>1</v>
      </c>
      <c r="K479" s="171"/>
      <c r="L479" s="171"/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>
        <v>1</v>
      </c>
      <c r="X479" s="171"/>
      <c r="Y479" s="171"/>
      <c r="Z479" s="171"/>
      <c r="AA479" s="171"/>
      <c r="AB479" s="171"/>
      <c r="AC479" s="171"/>
      <c r="AD479" s="171"/>
      <c r="AE479" s="171"/>
      <c r="AF479" s="171"/>
      <c r="AG479" s="171"/>
      <c r="AH479" s="171"/>
      <c r="AI479" s="171"/>
      <c r="AJ479" s="171"/>
      <c r="AK479" s="171"/>
      <c r="AL479" s="171"/>
      <c r="AM479" s="22"/>
      <c r="AN479" s="22">
        <f t="shared" si="4"/>
        <v>6</v>
      </c>
      <c r="AO479" s="171"/>
    </row>
    <row r="480" spans="1:41" ht="15.75" customHeight="1">
      <c r="A480" s="167" t="s">
        <v>666</v>
      </c>
      <c r="B480" s="22" t="s">
        <v>665</v>
      </c>
      <c r="C480" s="168">
        <v>1</v>
      </c>
      <c r="D480" s="169" t="b">
        <v>1</v>
      </c>
      <c r="E480" s="170" t="s">
        <v>1833</v>
      </c>
      <c r="F480" s="171">
        <v>1</v>
      </c>
      <c r="G480" s="171">
        <v>1</v>
      </c>
      <c r="H480" s="171">
        <v>1</v>
      </c>
      <c r="I480" s="171">
        <v>1</v>
      </c>
      <c r="J480" s="171">
        <v>1</v>
      </c>
      <c r="K480" s="171"/>
      <c r="L480" s="171"/>
      <c r="M480" s="171"/>
      <c r="N480" s="171"/>
      <c r="O480" s="171">
        <v>1</v>
      </c>
      <c r="P480" s="171"/>
      <c r="Q480" s="171"/>
      <c r="R480" s="171"/>
      <c r="S480" s="171"/>
      <c r="T480" s="171"/>
      <c r="U480" s="171"/>
      <c r="V480" s="171"/>
      <c r="W480" s="171"/>
      <c r="X480" s="171"/>
      <c r="Y480" s="171"/>
      <c r="Z480" s="171"/>
      <c r="AA480" s="171"/>
      <c r="AB480" s="171"/>
      <c r="AC480" s="171"/>
      <c r="AD480" s="171"/>
      <c r="AE480" s="171"/>
      <c r="AF480" s="171"/>
      <c r="AG480" s="171"/>
      <c r="AH480" s="171"/>
      <c r="AI480" s="171"/>
      <c r="AJ480" s="171"/>
      <c r="AK480" s="171"/>
      <c r="AL480" s="171"/>
      <c r="AM480" s="22"/>
      <c r="AN480" s="22">
        <f t="shared" si="4"/>
        <v>6</v>
      </c>
      <c r="AO480" s="171"/>
    </row>
    <row r="481" spans="1:41" ht="15.75" customHeight="1">
      <c r="A481" s="167" t="s">
        <v>698</v>
      </c>
      <c r="B481" s="22" t="s">
        <v>697</v>
      </c>
      <c r="C481" s="168">
        <v>1</v>
      </c>
      <c r="D481" s="169" t="b">
        <v>1</v>
      </c>
      <c r="E481" s="170" t="s">
        <v>1460</v>
      </c>
      <c r="F481" s="171">
        <v>1</v>
      </c>
      <c r="G481" s="171">
        <v>1</v>
      </c>
      <c r="H481" s="171">
        <v>1</v>
      </c>
      <c r="I481" s="171">
        <v>1</v>
      </c>
      <c r="J481" s="171">
        <v>1</v>
      </c>
      <c r="K481" s="171"/>
      <c r="L481" s="171"/>
      <c r="M481" s="171"/>
      <c r="N481" s="171"/>
      <c r="O481" s="171">
        <v>1</v>
      </c>
      <c r="P481" s="171"/>
      <c r="Q481" s="171"/>
      <c r="R481" s="171"/>
      <c r="S481" s="171"/>
      <c r="T481" s="171"/>
      <c r="U481" s="171"/>
      <c r="V481" s="171"/>
      <c r="W481" s="171"/>
      <c r="X481" s="171"/>
      <c r="Y481" s="171"/>
      <c r="Z481" s="171"/>
      <c r="AA481" s="171"/>
      <c r="AB481" s="171"/>
      <c r="AC481" s="171"/>
      <c r="AD481" s="171"/>
      <c r="AE481" s="171"/>
      <c r="AF481" s="171"/>
      <c r="AG481" s="171"/>
      <c r="AH481" s="171"/>
      <c r="AI481" s="171"/>
      <c r="AJ481" s="171"/>
      <c r="AK481" s="171"/>
      <c r="AL481" s="171"/>
      <c r="AM481" s="22"/>
      <c r="AN481" s="22">
        <f t="shared" si="4"/>
        <v>6</v>
      </c>
      <c r="AO481" s="171"/>
    </row>
    <row r="482" spans="1:41" ht="15.75" customHeight="1">
      <c r="A482" s="167" t="s">
        <v>700</v>
      </c>
      <c r="B482" s="22" t="s">
        <v>699</v>
      </c>
      <c r="C482" s="168">
        <v>1</v>
      </c>
      <c r="D482" s="169" t="b">
        <v>1</v>
      </c>
      <c r="E482" s="170" t="s">
        <v>1895</v>
      </c>
      <c r="F482" s="171">
        <v>1</v>
      </c>
      <c r="G482" s="171">
        <v>1</v>
      </c>
      <c r="H482" s="171">
        <v>1</v>
      </c>
      <c r="I482" s="171">
        <v>1</v>
      </c>
      <c r="J482" s="171">
        <v>1</v>
      </c>
      <c r="K482" s="171">
        <v>1</v>
      </c>
      <c r="L482" s="171"/>
      <c r="M482" s="171"/>
      <c r="N482" s="171"/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  <c r="AC482" s="171"/>
      <c r="AD482" s="171"/>
      <c r="AE482" s="171"/>
      <c r="AF482" s="171"/>
      <c r="AG482" s="171"/>
      <c r="AH482" s="171"/>
      <c r="AI482" s="171"/>
      <c r="AJ482" s="171"/>
      <c r="AK482" s="171"/>
      <c r="AL482" s="171"/>
      <c r="AM482" s="22"/>
      <c r="AN482" s="22">
        <f t="shared" si="4"/>
        <v>6</v>
      </c>
      <c r="AO482" s="171"/>
    </row>
    <row r="483" spans="1:41" ht="15.75" customHeight="1">
      <c r="A483" s="167" t="s">
        <v>702</v>
      </c>
      <c r="B483" s="22" t="s">
        <v>701</v>
      </c>
      <c r="C483" s="168">
        <v>1</v>
      </c>
      <c r="D483" s="169" t="b">
        <v>1</v>
      </c>
      <c r="E483" s="170" t="s">
        <v>1896</v>
      </c>
      <c r="F483" s="171">
        <v>1</v>
      </c>
      <c r="G483" s="171">
        <v>1</v>
      </c>
      <c r="H483" s="171">
        <v>1</v>
      </c>
      <c r="I483" s="171">
        <v>1</v>
      </c>
      <c r="J483" s="171">
        <v>1</v>
      </c>
      <c r="K483" s="171">
        <v>1</v>
      </c>
      <c r="L483" s="171"/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  <c r="AC483" s="171"/>
      <c r="AD483" s="171"/>
      <c r="AE483" s="171"/>
      <c r="AF483" s="171"/>
      <c r="AG483" s="171"/>
      <c r="AH483" s="171"/>
      <c r="AI483" s="171"/>
      <c r="AJ483" s="171"/>
      <c r="AK483" s="171"/>
      <c r="AL483" s="171"/>
      <c r="AM483" s="22"/>
      <c r="AN483" s="22">
        <f t="shared" si="4"/>
        <v>6</v>
      </c>
      <c r="AO483" s="171"/>
    </row>
    <row r="484" spans="1:41" ht="15.75" customHeight="1">
      <c r="A484" s="167" t="s">
        <v>710</v>
      </c>
      <c r="B484" s="22" t="s">
        <v>709</v>
      </c>
      <c r="C484" s="168">
        <v>1</v>
      </c>
      <c r="D484" s="169" t="b">
        <v>1</v>
      </c>
      <c r="E484" s="170" t="s">
        <v>1897</v>
      </c>
      <c r="F484" s="171">
        <v>1</v>
      </c>
      <c r="G484" s="171">
        <v>1</v>
      </c>
      <c r="H484" s="171">
        <v>1</v>
      </c>
      <c r="I484" s="171">
        <v>1</v>
      </c>
      <c r="J484" s="171">
        <v>1</v>
      </c>
      <c r="K484" s="171"/>
      <c r="L484" s="171"/>
      <c r="M484" s="171"/>
      <c r="N484" s="171"/>
      <c r="O484" s="171"/>
      <c r="P484" s="171"/>
      <c r="Q484" s="171"/>
      <c r="R484" s="171"/>
      <c r="S484" s="171"/>
      <c r="T484" s="171"/>
      <c r="U484" s="171"/>
      <c r="V484" s="171"/>
      <c r="W484" s="171"/>
      <c r="X484" s="171"/>
      <c r="Y484" s="171"/>
      <c r="Z484" s="171"/>
      <c r="AA484" s="171"/>
      <c r="AB484" s="171"/>
      <c r="AC484" s="171"/>
      <c r="AD484" s="171"/>
      <c r="AE484" s="171"/>
      <c r="AF484" s="171"/>
      <c r="AG484" s="171"/>
      <c r="AH484" s="171"/>
      <c r="AI484" s="171"/>
      <c r="AJ484" s="171"/>
      <c r="AK484" s="171"/>
      <c r="AL484" s="171">
        <v>1</v>
      </c>
      <c r="AM484" s="22"/>
      <c r="AN484" s="22">
        <f t="shared" si="4"/>
        <v>6</v>
      </c>
      <c r="AO484" s="171" t="s">
        <v>1610</v>
      </c>
    </row>
    <row r="485" spans="1:41" ht="15.75" customHeight="1">
      <c r="A485" s="167" t="s">
        <v>718</v>
      </c>
      <c r="B485" s="22" t="s">
        <v>717</v>
      </c>
      <c r="C485" s="168">
        <v>1</v>
      </c>
      <c r="D485" s="169" t="b">
        <v>1</v>
      </c>
      <c r="E485" s="170" t="s">
        <v>1898</v>
      </c>
      <c r="F485" s="171">
        <v>1</v>
      </c>
      <c r="G485" s="171">
        <v>1</v>
      </c>
      <c r="H485" s="171">
        <v>1</v>
      </c>
      <c r="I485" s="171">
        <v>1</v>
      </c>
      <c r="J485" s="171">
        <v>1</v>
      </c>
      <c r="K485" s="171"/>
      <c r="L485" s="171"/>
      <c r="M485" s="171">
        <v>1</v>
      </c>
      <c r="N485" s="171"/>
      <c r="O485" s="171"/>
      <c r="P485" s="171"/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  <c r="AC485" s="171"/>
      <c r="AD485" s="171"/>
      <c r="AE485" s="171"/>
      <c r="AF485" s="171"/>
      <c r="AG485" s="171"/>
      <c r="AH485" s="171"/>
      <c r="AI485" s="171"/>
      <c r="AJ485" s="171"/>
      <c r="AK485" s="171"/>
      <c r="AL485" s="171"/>
      <c r="AM485" s="22"/>
      <c r="AN485" s="22">
        <f t="shared" si="4"/>
        <v>6</v>
      </c>
      <c r="AO485" s="171"/>
    </row>
    <row r="486" spans="1:41" ht="15.75" customHeight="1">
      <c r="A486" s="167" t="s">
        <v>724</v>
      </c>
      <c r="B486" s="22" t="s">
        <v>723</v>
      </c>
      <c r="C486" s="168">
        <v>1</v>
      </c>
      <c r="D486" s="169" t="b">
        <v>1</v>
      </c>
      <c r="E486" s="170" t="s">
        <v>1899</v>
      </c>
      <c r="F486" s="171">
        <v>1</v>
      </c>
      <c r="G486" s="171">
        <v>1</v>
      </c>
      <c r="H486" s="171">
        <v>1</v>
      </c>
      <c r="I486" s="171">
        <v>1</v>
      </c>
      <c r="J486" s="171">
        <v>1</v>
      </c>
      <c r="K486" s="171">
        <v>1</v>
      </c>
      <c r="L486" s="171"/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  <c r="AC486" s="171"/>
      <c r="AD486" s="171"/>
      <c r="AE486" s="171"/>
      <c r="AF486" s="171"/>
      <c r="AG486" s="171"/>
      <c r="AH486" s="171"/>
      <c r="AI486" s="171"/>
      <c r="AJ486" s="171"/>
      <c r="AK486" s="171"/>
      <c r="AL486" s="171"/>
      <c r="AM486" s="22"/>
      <c r="AN486" s="22">
        <f t="shared" si="4"/>
        <v>6</v>
      </c>
      <c r="AO486" s="171"/>
    </row>
    <row r="487" spans="1:41" ht="15.75" customHeight="1">
      <c r="A487" s="167" t="s">
        <v>726</v>
      </c>
      <c r="B487" s="22" t="s">
        <v>725</v>
      </c>
      <c r="C487" s="168">
        <v>1</v>
      </c>
      <c r="D487" s="169" t="b">
        <v>1</v>
      </c>
      <c r="E487" s="170" t="s">
        <v>1900</v>
      </c>
      <c r="F487" s="171">
        <v>1</v>
      </c>
      <c r="G487" s="171">
        <v>1</v>
      </c>
      <c r="H487" s="171">
        <v>1</v>
      </c>
      <c r="I487" s="171">
        <v>1</v>
      </c>
      <c r="J487" s="171">
        <v>1</v>
      </c>
      <c r="K487" s="171"/>
      <c r="L487" s="171">
        <v>1</v>
      </c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  <c r="AC487" s="171"/>
      <c r="AD487" s="171"/>
      <c r="AE487" s="171"/>
      <c r="AF487" s="171"/>
      <c r="AG487" s="171"/>
      <c r="AH487" s="171"/>
      <c r="AI487" s="171"/>
      <c r="AJ487" s="171"/>
      <c r="AK487" s="171"/>
      <c r="AL487" s="171"/>
      <c r="AM487" s="22"/>
      <c r="AN487" s="22">
        <f t="shared" si="4"/>
        <v>6</v>
      </c>
      <c r="AO487" s="171"/>
    </row>
    <row r="488" spans="1:41" ht="15.75" customHeight="1">
      <c r="A488" s="167" t="s">
        <v>744</v>
      </c>
      <c r="B488" s="22" t="s">
        <v>743</v>
      </c>
      <c r="C488" s="168">
        <v>1</v>
      </c>
      <c r="D488" s="169" t="b">
        <v>1</v>
      </c>
      <c r="E488" s="170" t="s">
        <v>1901</v>
      </c>
      <c r="F488" s="171">
        <v>1</v>
      </c>
      <c r="G488" s="171">
        <v>1</v>
      </c>
      <c r="H488" s="171">
        <v>1</v>
      </c>
      <c r="I488" s="171">
        <v>1</v>
      </c>
      <c r="J488" s="171">
        <v>1</v>
      </c>
      <c r="K488" s="171">
        <v>1</v>
      </c>
      <c r="L488" s="171"/>
      <c r="M488" s="171"/>
      <c r="N488" s="171"/>
      <c r="O488" s="171"/>
      <c r="P488" s="171"/>
      <c r="Q488" s="171"/>
      <c r="R488" s="171"/>
      <c r="S488" s="171"/>
      <c r="T488" s="171"/>
      <c r="U488" s="171"/>
      <c r="V488" s="171"/>
      <c r="W488" s="171"/>
      <c r="X488" s="171"/>
      <c r="Y488" s="171"/>
      <c r="Z488" s="171"/>
      <c r="AA488" s="171"/>
      <c r="AB488" s="171"/>
      <c r="AC488" s="171"/>
      <c r="AD488" s="171"/>
      <c r="AE488" s="171"/>
      <c r="AF488" s="171"/>
      <c r="AG488" s="171"/>
      <c r="AH488" s="171"/>
      <c r="AI488" s="171"/>
      <c r="AJ488" s="171"/>
      <c r="AK488" s="171"/>
      <c r="AL488" s="171"/>
      <c r="AM488" s="22"/>
      <c r="AN488" s="22">
        <f t="shared" si="4"/>
        <v>6</v>
      </c>
      <c r="AO488" s="171"/>
    </row>
    <row r="489" spans="1:41" ht="15.75" customHeight="1">
      <c r="A489" s="167" t="s">
        <v>754</v>
      </c>
      <c r="B489" s="22" t="s">
        <v>753</v>
      </c>
      <c r="C489" s="168">
        <v>1</v>
      </c>
      <c r="D489" s="169" t="b">
        <v>1</v>
      </c>
      <c r="E489" s="170" t="s">
        <v>1902</v>
      </c>
      <c r="F489" s="171">
        <v>1</v>
      </c>
      <c r="G489" s="171">
        <v>1</v>
      </c>
      <c r="H489" s="171">
        <v>1</v>
      </c>
      <c r="I489" s="171">
        <v>1</v>
      </c>
      <c r="J489" s="171">
        <v>1</v>
      </c>
      <c r="K489" s="171"/>
      <c r="L489" s="171">
        <v>1</v>
      </c>
      <c r="M489" s="171"/>
      <c r="N489" s="171"/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  <c r="AC489" s="171"/>
      <c r="AD489" s="171"/>
      <c r="AE489" s="171"/>
      <c r="AF489" s="171"/>
      <c r="AG489" s="171"/>
      <c r="AH489" s="171"/>
      <c r="AI489" s="171"/>
      <c r="AJ489" s="171"/>
      <c r="AK489" s="171"/>
      <c r="AL489" s="171"/>
      <c r="AM489" s="22"/>
      <c r="AN489" s="22">
        <f t="shared" si="4"/>
        <v>6</v>
      </c>
      <c r="AO489" s="171"/>
    </row>
    <row r="490" spans="1:41" ht="15.75" customHeight="1">
      <c r="A490" s="167" t="s">
        <v>762</v>
      </c>
      <c r="B490" s="22" t="s">
        <v>761</v>
      </c>
      <c r="C490" s="168">
        <v>1</v>
      </c>
      <c r="D490" s="169" t="b">
        <v>1</v>
      </c>
      <c r="E490" s="170" t="s">
        <v>1903</v>
      </c>
      <c r="F490" s="171">
        <v>1</v>
      </c>
      <c r="G490" s="171">
        <v>1</v>
      </c>
      <c r="H490" s="171">
        <v>1</v>
      </c>
      <c r="I490" s="171">
        <v>1</v>
      </c>
      <c r="J490" s="171">
        <v>1</v>
      </c>
      <c r="K490" s="171"/>
      <c r="L490" s="171"/>
      <c r="M490" s="171">
        <v>1</v>
      </c>
      <c r="N490" s="171"/>
      <c r="O490" s="171"/>
      <c r="P490" s="171"/>
      <c r="Q490" s="171"/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  <c r="AC490" s="171"/>
      <c r="AD490" s="171"/>
      <c r="AE490" s="171"/>
      <c r="AF490" s="171"/>
      <c r="AG490" s="171"/>
      <c r="AH490" s="171"/>
      <c r="AI490" s="171"/>
      <c r="AJ490" s="171"/>
      <c r="AK490" s="171"/>
      <c r="AL490" s="171"/>
      <c r="AM490" s="22"/>
      <c r="AN490" s="22">
        <f t="shared" si="4"/>
        <v>6</v>
      </c>
      <c r="AO490" s="171"/>
    </row>
    <row r="491" spans="1:41" ht="15.75" customHeight="1">
      <c r="A491" s="167" t="s">
        <v>764</v>
      </c>
      <c r="B491" s="22" t="s">
        <v>763</v>
      </c>
      <c r="C491" s="168">
        <v>1</v>
      </c>
      <c r="D491" s="169" t="b">
        <v>1</v>
      </c>
      <c r="E491" s="183" t="s">
        <v>1904</v>
      </c>
      <c r="F491" s="171">
        <v>1</v>
      </c>
      <c r="G491" s="171">
        <v>1</v>
      </c>
      <c r="H491" s="171">
        <v>1</v>
      </c>
      <c r="I491" s="171">
        <v>1</v>
      </c>
      <c r="J491" s="171">
        <v>1</v>
      </c>
      <c r="K491" s="171"/>
      <c r="L491" s="171"/>
      <c r="M491" s="171"/>
      <c r="N491" s="171"/>
      <c r="O491" s="171"/>
      <c r="P491" s="171"/>
      <c r="Q491" s="171"/>
      <c r="R491" s="171">
        <v>1</v>
      </c>
      <c r="S491" s="171"/>
      <c r="T491" s="171"/>
      <c r="U491" s="171"/>
      <c r="V491" s="171"/>
      <c r="W491" s="171"/>
      <c r="X491" s="171"/>
      <c r="Y491" s="171"/>
      <c r="Z491" s="171"/>
      <c r="AA491" s="171"/>
      <c r="AB491" s="171"/>
      <c r="AC491" s="171"/>
      <c r="AD491" s="171"/>
      <c r="AE491" s="171"/>
      <c r="AF491" s="171"/>
      <c r="AG491" s="171"/>
      <c r="AH491" s="171"/>
      <c r="AI491" s="171"/>
      <c r="AJ491" s="171"/>
      <c r="AK491" s="171"/>
      <c r="AL491" s="171"/>
      <c r="AM491" s="22"/>
      <c r="AN491" s="22">
        <f t="shared" si="4"/>
        <v>6</v>
      </c>
      <c r="AO491" s="171"/>
    </row>
    <row r="492" spans="1:41" ht="15.75" customHeight="1">
      <c r="A492" s="167" t="s">
        <v>784</v>
      </c>
      <c r="B492" s="22" t="s">
        <v>783</v>
      </c>
      <c r="C492" s="168">
        <v>1</v>
      </c>
      <c r="D492" s="169" t="b">
        <v>1</v>
      </c>
      <c r="E492" s="170" t="s">
        <v>1905</v>
      </c>
      <c r="F492" s="178">
        <v>1</v>
      </c>
      <c r="G492" s="178">
        <v>1</v>
      </c>
      <c r="H492" s="178">
        <v>1</v>
      </c>
      <c r="I492" s="178">
        <v>1</v>
      </c>
      <c r="J492" s="178">
        <v>1</v>
      </c>
      <c r="K492" s="178"/>
      <c r="L492" s="178"/>
      <c r="M492" s="178">
        <v>1</v>
      </c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  <c r="AE492" s="178"/>
      <c r="AF492" s="178"/>
      <c r="AG492" s="178"/>
      <c r="AH492" s="178"/>
      <c r="AI492" s="178"/>
      <c r="AJ492" s="178"/>
      <c r="AK492" s="178"/>
      <c r="AL492" s="178"/>
      <c r="AM492" s="22"/>
      <c r="AN492" s="22">
        <f t="shared" si="4"/>
        <v>6</v>
      </c>
      <c r="AO492" s="171"/>
    </row>
    <row r="493" spans="1:41" ht="15.75" customHeight="1">
      <c r="A493" s="167" t="s">
        <v>800</v>
      </c>
      <c r="B493" s="22" t="s">
        <v>799</v>
      </c>
      <c r="C493" s="168">
        <v>1</v>
      </c>
      <c r="D493" s="169" t="b">
        <v>1</v>
      </c>
      <c r="E493" s="170" t="s">
        <v>1906</v>
      </c>
      <c r="F493" s="171">
        <v>1</v>
      </c>
      <c r="G493" s="171">
        <v>1</v>
      </c>
      <c r="H493" s="171">
        <v>1</v>
      </c>
      <c r="I493" s="171">
        <v>1</v>
      </c>
      <c r="J493" s="171">
        <v>1</v>
      </c>
      <c r="K493" s="171"/>
      <c r="L493" s="171">
        <v>1</v>
      </c>
      <c r="M493" s="171"/>
      <c r="N493" s="171"/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  <c r="AC493" s="171"/>
      <c r="AD493" s="171"/>
      <c r="AE493" s="171"/>
      <c r="AF493" s="171"/>
      <c r="AG493" s="171"/>
      <c r="AH493" s="171"/>
      <c r="AI493" s="171"/>
      <c r="AJ493" s="171"/>
      <c r="AK493" s="171"/>
      <c r="AL493" s="171"/>
      <c r="AM493" s="22"/>
      <c r="AN493" s="22">
        <f t="shared" si="4"/>
        <v>6</v>
      </c>
      <c r="AO493" s="171"/>
    </row>
    <row r="494" spans="1:41" ht="15.75" customHeight="1">
      <c r="A494" s="167" t="s">
        <v>808</v>
      </c>
      <c r="B494" s="22" t="s">
        <v>807</v>
      </c>
      <c r="C494" s="168">
        <v>1</v>
      </c>
      <c r="D494" s="169" t="b">
        <v>1</v>
      </c>
      <c r="E494" s="170" t="s">
        <v>1907</v>
      </c>
      <c r="F494" s="171">
        <v>1</v>
      </c>
      <c r="G494" s="171">
        <v>1</v>
      </c>
      <c r="H494" s="171">
        <v>1</v>
      </c>
      <c r="I494" s="171">
        <v>1</v>
      </c>
      <c r="J494" s="171">
        <v>1</v>
      </c>
      <c r="K494" s="171"/>
      <c r="L494" s="171"/>
      <c r="M494" s="171">
        <v>1</v>
      </c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  <c r="AC494" s="171"/>
      <c r="AD494" s="171"/>
      <c r="AE494" s="171"/>
      <c r="AF494" s="171"/>
      <c r="AG494" s="171"/>
      <c r="AH494" s="171"/>
      <c r="AI494" s="171"/>
      <c r="AJ494" s="171"/>
      <c r="AK494" s="171"/>
      <c r="AL494" s="171"/>
      <c r="AM494" s="22"/>
      <c r="AN494" s="22">
        <f t="shared" si="4"/>
        <v>6</v>
      </c>
      <c r="AO494" s="171"/>
    </row>
    <row r="495" spans="1:41" ht="15.75" customHeight="1">
      <c r="A495" s="167" t="s">
        <v>810</v>
      </c>
      <c r="B495" s="22" t="s">
        <v>809</v>
      </c>
      <c r="C495" s="168">
        <v>1</v>
      </c>
      <c r="D495" s="169" t="b">
        <v>1</v>
      </c>
      <c r="E495" s="170" t="s">
        <v>1908</v>
      </c>
      <c r="F495" s="171">
        <v>1</v>
      </c>
      <c r="G495" s="171">
        <v>1</v>
      </c>
      <c r="H495" s="171">
        <v>1</v>
      </c>
      <c r="I495" s="171">
        <v>1</v>
      </c>
      <c r="J495" s="171">
        <v>1</v>
      </c>
      <c r="K495" s="171"/>
      <c r="L495" s="171">
        <v>1</v>
      </c>
      <c r="M495" s="171"/>
      <c r="N495" s="171"/>
      <c r="O495" s="171"/>
      <c r="P495" s="171"/>
      <c r="Q495" s="171"/>
      <c r="R495" s="171"/>
      <c r="S495" s="171"/>
      <c r="T495" s="171"/>
      <c r="U495" s="171"/>
      <c r="V495" s="171"/>
      <c r="W495" s="171"/>
      <c r="X495" s="171"/>
      <c r="Y495" s="171"/>
      <c r="Z495" s="171"/>
      <c r="AA495" s="171"/>
      <c r="AB495" s="171"/>
      <c r="AC495" s="171"/>
      <c r="AD495" s="171"/>
      <c r="AE495" s="171"/>
      <c r="AF495" s="171"/>
      <c r="AG495" s="171"/>
      <c r="AH495" s="171"/>
      <c r="AI495" s="171"/>
      <c r="AJ495" s="171"/>
      <c r="AK495" s="171"/>
      <c r="AL495" s="171"/>
      <c r="AM495" s="22"/>
      <c r="AN495" s="22">
        <f t="shared" si="4"/>
        <v>6</v>
      </c>
      <c r="AO495" s="171"/>
    </row>
    <row r="496" spans="1:41" ht="15.75" customHeight="1">
      <c r="A496" s="167" t="s">
        <v>814</v>
      </c>
      <c r="B496" s="22" t="s">
        <v>813</v>
      </c>
      <c r="C496" s="168">
        <v>1</v>
      </c>
      <c r="D496" s="169" t="b">
        <v>1</v>
      </c>
      <c r="E496" s="170" t="s">
        <v>1909</v>
      </c>
      <c r="F496" s="171">
        <v>1</v>
      </c>
      <c r="G496" s="171">
        <v>1</v>
      </c>
      <c r="H496" s="171">
        <v>1</v>
      </c>
      <c r="I496" s="171">
        <v>1</v>
      </c>
      <c r="J496" s="171">
        <v>1</v>
      </c>
      <c r="K496" s="171">
        <v>1</v>
      </c>
      <c r="L496" s="171"/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/>
      <c r="AC496" s="171"/>
      <c r="AD496" s="171"/>
      <c r="AE496" s="171"/>
      <c r="AF496" s="171"/>
      <c r="AG496" s="171"/>
      <c r="AH496" s="171"/>
      <c r="AI496" s="171"/>
      <c r="AJ496" s="171"/>
      <c r="AK496" s="171"/>
      <c r="AL496" s="171"/>
      <c r="AM496" s="22"/>
      <c r="AN496" s="22">
        <f t="shared" si="4"/>
        <v>6</v>
      </c>
      <c r="AO496" s="171"/>
    </row>
    <row r="497" spans="1:41" ht="15.75" customHeight="1">
      <c r="A497" s="167" t="s">
        <v>820</v>
      </c>
      <c r="B497" s="22" t="s">
        <v>819</v>
      </c>
      <c r="C497" s="168">
        <v>1</v>
      </c>
      <c r="D497" s="169" t="b">
        <v>1</v>
      </c>
      <c r="E497" s="170" t="s">
        <v>1910</v>
      </c>
      <c r="F497" s="171">
        <v>1</v>
      </c>
      <c r="G497" s="171">
        <v>1</v>
      </c>
      <c r="H497" s="171">
        <v>1</v>
      </c>
      <c r="I497" s="171">
        <v>1</v>
      </c>
      <c r="J497" s="171">
        <v>1</v>
      </c>
      <c r="K497" s="171"/>
      <c r="L497" s="171">
        <v>1</v>
      </c>
      <c r="M497" s="171"/>
      <c r="N497" s="171"/>
      <c r="O497" s="171"/>
      <c r="P497" s="171"/>
      <c r="Q497" s="171"/>
      <c r="R497" s="171"/>
      <c r="S497" s="171"/>
      <c r="T497" s="171"/>
      <c r="U497" s="171"/>
      <c r="V497" s="171"/>
      <c r="W497" s="171"/>
      <c r="X497" s="171"/>
      <c r="Y497" s="171"/>
      <c r="Z497" s="171"/>
      <c r="AA497" s="171"/>
      <c r="AB497" s="171"/>
      <c r="AC497" s="171"/>
      <c r="AD497" s="171"/>
      <c r="AE497" s="171"/>
      <c r="AF497" s="171"/>
      <c r="AG497" s="171"/>
      <c r="AH497" s="171"/>
      <c r="AI497" s="171"/>
      <c r="AJ497" s="171"/>
      <c r="AK497" s="171"/>
      <c r="AL497" s="171"/>
      <c r="AM497" s="22"/>
      <c r="AN497" s="22">
        <f t="shared" si="4"/>
        <v>6</v>
      </c>
      <c r="AO497" s="171"/>
    </row>
    <row r="498" spans="1:41" ht="15.75" customHeight="1">
      <c r="A498" s="167" t="s">
        <v>826</v>
      </c>
      <c r="B498" s="22" t="s">
        <v>825</v>
      </c>
      <c r="C498" s="168">
        <v>1</v>
      </c>
      <c r="D498" s="169" t="b">
        <v>1</v>
      </c>
      <c r="E498" s="170" t="s">
        <v>1911</v>
      </c>
      <c r="F498" s="171">
        <v>1</v>
      </c>
      <c r="G498" s="171">
        <v>1</v>
      </c>
      <c r="H498" s="171">
        <v>1</v>
      </c>
      <c r="I498" s="171">
        <v>1</v>
      </c>
      <c r="J498" s="171">
        <v>1</v>
      </c>
      <c r="K498" s="171">
        <v>1</v>
      </c>
      <c r="L498" s="171"/>
      <c r="M498" s="171"/>
      <c r="N498" s="171"/>
      <c r="O498" s="171"/>
      <c r="P498" s="171"/>
      <c r="Q498" s="171"/>
      <c r="R498" s="171"/>
      <c r="S498" s="171"/>
      <c r="T498" s="171"/>
      <c r="U498" s="171"/>
      <c r="V498" s="171"/>
      <c r="W498" s="171"/>
      <c r="X498" s="171"/>
      <c r="Y498" s="171"/>
      <c r="Z498" s="171"/>
      <c r="AA498" s="171"/>
      <c r="AB498" s="171"/>
      <c r="AC498" s="171"/>
      <c r="AD498" s="171"/>
      <c r="AE498" s="171"/>
      <c r="AF498" s="171"/>
      <c r="AG498" s="171"/>
      <c r="AH498" s="171"/>
      <c r="AI498" s="171"/>
      <c r="AJ498" s="171"/>
      <c r="AK498" s="171"/>
      <c r="AL498" s="171"/>
      <c r="AM498" s="22"/>
      <c r="AN498" s="22">
        <f t="shared" si="4"/>
        <v>6</v>
      </c>
      <c r="AO498" s="171"/>
    </row>
    <row r="499" spans="1:41" ht="15.75" customHeight="1">
      <c r="A499" s="167" t="s">
        <v>828</v>
      </c>
      <c r="B499" s="22" t="s">
        <v>827</v>
      </c>
      <c r="C499" s="168">
        <v>1</v>
      </c>
      <c r="D499" s="169" t="b">
        <v>1</v>
      </c>
      <c r="E499" s="170" t="s">
        <v>1912</v>
      </c>
      <c r="F499" s="171">
        <v>1</v>
      </c>
      <c r="G499" s="171">
        <v>1</v>
      </c>
      <c r="H499" s="171">
        <v>1</v>
      </c>
      <c r="I499" s="171">
        <v>1</v>
      </c>
      <c r="J499" s="171">
        <v>1</v>
      </c>
      <c r="K499" s="171"/>
      <c r="L499" s="171">
        <v>1</v>
      </c>
      <c r="M499" s="171"/>
      <c r="N499" s="171"/>
      <c r="O499" s="171"/>
      <c r="P499" s="171"/>
      <c r="Q499" s="171"/>
      <c r="R499" s="171"/>
      <c r="S499" s="171"/>
      <c r="T499" s="171"/>
      <c r="U499" s="171"/>
      <c r="V499" s="171"/>
      <c r="W499" s="171"/>
      <c r="X499" s="171"/>
      <c r="Y499" s="171"/>
      <c r="Z499" s="171"/>
      <c r="AA499" s="171"/>
      <c r="AB499" s="171"/>
      <c r="AC499" s="171"/>
      <c r="AD499" s="171"/>
      <c r="AE499" s="171"/>
      <c r="AF499" s="171"/>
      <c r="AG499" s="171"/>
      <c r="AH499" s="171"/>
      <c r="AI499" s="171"/>
      <c r="AJ499" s="171"/>
      <c r="AK499" s="171"/>
      <c r="AL499" s="171"/>
      <c r="AM499" s="22"/>
      <c r="AN499" s="22">
        <f t="shared" si="4"/>
        <v>6</v>
      </c>
      <c r="AO499" s="171"/>
    </row>
    <row r="500" spans="1:41" ht="15.75" customHeight="1">
      <c r="A500" s="167" t="s">
        <v>844</v>
      </c>
      <c r="B500" s="22" t="s">
        <v>843</v>
      </c>
      <c r="C500" s="168">
        <v>1</v>
      </c>
      <c r="D500" s="169" t="b">
        <v>1</v>
      </c>
      <c r="E500" s="170" t="s">
        <v>1913</v>
      </c>
      <c r="F500" s="171">
        <v>1</v>
      </c>
      <c r="G500" s="171">
        <v>1</v>
      </c>
      <c r="H500" s="171">
        <v>1</v>
      </c>
      <c r="I500" s="171">
        <v>1</v>
      </c>
      <c r="J500" s="171">
        <v>1</v>
      </c>
      <c r="K500" s="171"/>
      <c r="L500" s="171"/>
      <c r="M500" s="171"/>
      <c r="N500" s="171"/>
      <c r="O500" s="171"/>
      <c r="P500" s="171"/>
      <c r="Q500" s="171"/>
      <c r="R500" s="171"/>
      <c r="S500" s="171"/>
      <c r="T500" s="171">
        <v>1</v>
      </c>
      <c r="U500" s="171"/>
      <c r="V500" s="171"/>
      <c r="W500" s="171"/>
      <c r="X500" s="171"/>
      <c r="Y500" s="171"/>
      <c r="Z500" s="171"/>
      <c r="AA500" s="171"/>
      <c r="AB500" s="171"/>
      <c r="AC500" s="171"/>
      <c r="AD500" s="171"/>
      <c r="AE500" s="171"/>
      <c r="AF500" s="171"/>
      <c r="AG500" s="171"/>
      <c r="AH500" s="171"/>
      <c r="AI500" s="171"/>
      <c r="AJ500" s="171"/>
      <c r="AK500" s="171"/>
      <c r="AL500" s="171"/>
      <c r="AM500" s="22"/>
      <c r="AN500" s="22">
        <f t="shared" si="4"/>
        <v>6</v>
      </c>
      <c r="AO500" s="171"/>
    </row>
    <row r="501" spans="1:41" ht="15.75" customHeight="1">
      <c r="A501" s="167" t="s">
        <v>854</v>
      </c>
      <c r="B501" s="22" t="s">
        <v>853</v>
      </c>
      <c r="C501" s="168">
        <v>1</v>
      </c>
      <c r="D501" s="169" t="b">
        <v>1</v>
      </c>
      <c r="E501" s="170" t="s">
        <v>1914</v>
      </c>
      <c r="F501" s="171">
        <v>1</v>
      </c>
      <c r="G501" s="171">
        <v>1</v>
      </c>
      <c r="H501" s="171">
        <v>1</v>
      </c>
      <c r="I501" s="171">
        <v>1</v>
      </c>
      <c r="J501" s="171">
        <v>1</v>
      </c>
      <c r="K501" s="171">
        <v>1</v>
      </c>
      <c r="L501" s="171"/>
      <c r="M501" s="171"/>
      <c r="N501" s="171"/>
      <c r="O501" s="171"/>
      <c r="P501" s="171"/>
      <c r="Q501" s="171"/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  <c r="AC501" s="171"/>
      <c r="AD501" s="171"/>
      <c r="AE501" s="171"/>
      <c r="AF501" s="171"/>
      <c r="AG501" s="171"/>
      <c r="AH501" s="171"/>
      <c r="AI501" s="171"/>
      <c r="AJ501" s="171"/>
      <c r="AK501" s="171"/>
      <c r="AL501" s="171"/>
      <c r="AM501" s="22"/>
      <c r="AN501" s="22">
        <f t="shared" si="4"/>
        <v>6</v>
      </c>
      <c r="AO501" s="171"/>
    </row>
    <row r="502" spans="1:41" ht="15.75" customHeight="1">
      <c r="A502" s="167" t="s">
        <v>886</v>
      </c>
      <c r="B502" s="22" t="s">
        <v>885</v>
      </c>
      <c r="C502" s="168">
        <v>1</v>
      </c>
      <c r="D502" s="169" t="b">
        <v>1</v>
      </c>
      <c r="E502" s="170" t="s">
        <v>1915</v>
      </c>
      <c r="F502" s="171">
        <v>1</v>
      </c>
      <c r="G502" s="171">
        <v>1</v>
      </c>
      <c r="H502" s="171">
        <v>1</v>
      </c>
      <c r="I502" s="171">
        <v>1</v>
      </c>
      <c r="J502" s="171">
        <v>1</v>
      </c>
      <c r="K502" s="171">
        <v>1</v>
      </c>
      <c r="L502" s="171"/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  <c r="AC502" s="171"/>
      <c r="AD502" s="171"/>
      <c r="AE502" s="171"/>
      <c r="AF502" s="171"/>
      <c r="AG502" s="171"/>
      <c r="AH502" s="171"/>
      <c r="AI502" s="171"/>
      <c r="AJ502" s="171"/>
      <c r="AK502" s="171"/>
      <c r="AL502" s="171"/>
      <c r="AM502" s="22"/>
      <c r="AN502" s="22">
        <f t="shared" si="4"/>
        <v>6</v>
      </c>
      <c r="AO502" s="171"/>
    </row>
    <row r="503" spans="1:41" ht="15.75" customHeight="1">
      <c r="A503" s="167" t="s">
        <v>890</v>
      </c>
      <c r="B503" s="22" t="s">
        <v>889</v>
      </c>
      <c r="C503" s="168">
        <v>1</v>
      </c>
      <c r="D503" s="169" t="b">
        <v>1</v>
      </c>
      <c r="E503" s="174" t="s">
        <v>1916</v>
      </c>
      <c r="F503" s="171">
        <v>1</v>
      </c>
      <c r="G503" s="171">
        <v>1</v>
      </c>
      <c r="H503" s="171">
        <v>1</v>
      </c>
      <c r="I503" s="171">
        <v>1</v>
      </c>
      <c r="J503" s="171">
        <v>1</v>
      </c>
      <c r="K503" s="171">
        <v>1</v>
      </c>
      <c r="L503" s="171"/>
      <c r="M503" s="171"/>
      <c r="N503" s="171"/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  <c r="AC503" s="171"/>
      <c r="AD503" s="171"/>
      <c r="AE503" s="171"/>
      <c r="AF503" s="171"/>
      <c r="AG503" s="171"/>
      <c r="AH503" s="171"/>
      <c r="AI503" s="171"/>
      <c r="AJ503" s="171"/>
      <c r="AK503" s="171"/>
      <c r="AL503" s="171"/>
      <c r="AM503" s="22"/>
      <c r="AN503" s="22">
        <f t="shared" si="4"/>
        <v>6</v>
      </c>
      <c r="AO503" s="171"/>
    </row>
    <row r="504" spans="1:41" ht="15.75" customHeight="1">
      <c r="A504" s="167" t="s">
        <v>896</v>
      </c>
      <c r="B504" s="22" t="s">
        <v>895</v>
      </c>
      <c r="C504" s="168">
        <v>1</v>
      </c>
      <c r="D504" s="169" t="b">
        <v>1</v>
      </c>
      <c r="E504" s="170" t="s">
        <v>1917</v>
      </c>
      <c r="F504" s="171">
        <v>1</v>
      </c>
      <c r="G504" s="171">
        <v>1</v>
      </c>
      <c r="H504" s="171">
        <v>1</v>
      </c>
      <c r="I504" s="171">
        <v>1</v>
      </c>
      <c r="J504" s="171">
        <v>1</v>
      </c>
      <c r="K504" s="171"/>
      <c r="L504" s="171"/>
      <c r="M504" s="171"/>
      <c r="N504" s="171"/>
      <c r="O504" s="171">
        <v>1</v>
      </c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  <c r="AC504" s="171"/>
      <c r="AD504" s="171"/>
      <c r="AE504" s="171"/>
      <c r="AF504" s="171"/>
      <c r="AG504" s="171"/>
      <c r="AH504" s="171"/>
      <c r="AI504" s="171"/>
      <c r="AJ504" s="171"/>
      <c r="AK504" s="171"/>
      <c r="AL504" s="171"/>
      <c r="AM504" s="22"/>
      <c r="AN504" s="22">
        <f t="shared" si="4"/>
        <v>6</v>
      </c>
      <c r="AO504" s="171"/>
    </row>
    <row r="505" spans="1:41" ht="15.75" customHeight="1">
      <c r="A505" s="167" t="s">
        <v>900</v>
      </c>
      <c r="B505" s="22" t="s">
        <v>899</v>
      </c>
      <c r="C505" s="168">
        <v>1</v>
      </c>
      <c r="D505" s="169" t="b">
        <v>1</v>
      </c>
      <c r="E505" s="170" t="s">
        <v>1460</v>
      </c>
      <c r="F505" s="171">
        <v>1</v>
      </c>
      <c r="G505" s="171">
        <v>1</v>
      </c>
      <c r="H505" s="171">
        <v>1</v>
      </c>
      <c r="I505" s="171">
        <v>1</v>
      </c>
      <c r="J505" s="171">
        <v>1</v>
      </c>
      <c r="K505" s="171"/>
      <c r="L505" s="171"/>
      <c r="M505" s="171"/>
      <c r="N505" s="171"/>
      <c r="O505" s="171">
        <v>1</v>
      </c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  <c r="AC505" s="171"/>
      <c r="AD505" s="171"/>
      <c r="AE505" s="171"/>
      <c r="AF505" s="171"/>
      <c r="AG505" s="171"/>
      <c r="AH505" s="171"/>
      <c r="AI505" s="171"/>
      <c r="AJ505" s="171"/>
      <c r="AK505" s="171"/>
      <c r="AL505" s="171"/>
      <c r="AM505" s="22"/>
      <c r="AN505" s="22">
        <f t="shared" si="4"/>
        <v>6</v>
      </c>
      <c r="AO505" s="171"/>
    </row>
    <row r="506" spans="1:41" ht="15.75" customHeight="1">
      <c r="A506" s="167" t="s">
        <v>902</v>
      </c>
      <c r="B506" s="22" t="s">
        <v>901</v>
      </c>
      <c r="C506" s="168">
        <v>1</v>
      </c>
      <c r="D506" s="169" t="b">
        <v>1</v>
      </c>
      <c r="E506" s="170" t="s">
        <v>1918</v>
      </c>
      <c r="F506" s="171">
        <v>1</v>
      </c>
      <c r="G506" s="171">
        <v>1</v>
      </c>
      <c r="H506" s="171">
        <v>1</v>
      </c>
      <c r="I506" s="171">
        <v>1</v>
      </c>
      <c r="J506" s="171">
        <v>1</v>
      </c>
      <c r="K506" s="171">
        <v>1</v>
      </c>
      <c r="L506" s="171"/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  <c r="AC506" s="171"/>
      <c r="AD506" s="171"/>
      <c r="AE506" s="171"/>
      <c r="AF506" s="171"/>
      <c r="AG506" s="171"/>
      <c r="AH506" s="171"/>
      <c r="AI506" s="171"/>
      <c r="AJ506" s="171"/>
      <c r="AK506" s="171"/>
      <c r="AL506" s="171"/>
      <c r="AM506" s="22"/>
      <c r="AN506" s="22">
        <f t="shared" si="4"/>
        <v>6</v>
      </c>
      <c r="AO506" s="171"/>
    </row>
    <row r="507" spans="1:41" ht="15.75" customHeight="1">
      <c r="A507" s="167" t="s">
        <v>912</v>
      </c>
      <c r="B507" s="22" t="s">
        <v>911</v>
      </c>
      <c r="C507" s="168">
        <v>1</v>
      </c>
      <c r="D507" s="169" t="b">
        <v>1</v>
      </c>
      <c r="E507" s="170" t="s">
        <v>1919</v>
      </c>
      <c r="F507" s="171">
        <v>1</v>
      </c>
      <c r="G507" s="171">
        <v>1</v>
      </c>
      <c r="H507" s="171">
        <v>1</v>
      </c>
      <c r="I507" s="171">
        <v>1</v>
      </c>
      <c r="J507" s="171">
        <v>1</v>
      </c>
      <c r="K507" s="171">
        <v>1</v>
      </c>
      <c r="L507" s="171"/>
      <c r="M507" s="171"/>
      <c r="N507" s="171"/>
      <c r="O507" s="171"/>
      <c r="P507" s="171"/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  <c r="AC507" s="171"/>
      <c r="AD507" s="171"/>
      <c r="AE507" s="171"/>
      <c r="AF507" s="171"/>
      <c r="AG507" s="171"/>
      <c r="AH507" s="171"/>
      <c r="AI507" s="171"/>
      <c r="AJ507" s="171"/>
      <c r="AK507" s="171"/>
      <c r="AL507" s="171"/>
      <c r="AM507" s="22"/>
      <c r="AN507" s="22">
        <f t="shared" si="4"/>
        <v>6</v>
      </c>
      <c r="AO507" s="171"/>
    </row>
    <row r="508" spans="1:41" ht="15.75" customHeight="1">
      <c r="A508" s="167" t="s">
        <v>926</v>
      </c>
      <c r="B508" s="22" t="s">
        <v>925</v>
      </c>
      <c r="C508" s="168">
        <v>1</v>
      </c>
      <c r="D508" s="169" t="b">
        <v>1</v>
      </c>
      <c r="E508" s="170" t="s">
        <v>1920</v>
      </c>
      <c r="F508" s="171">
        <v>1</v>
      </c>
      <c r="G508" s="171">
        <v>1</v>
      </c>
      <c r="H508" s="171">
        <v>1</v>
      </c>
      <c r="I508" s="171">
        <v>1</v>
      </c>
      <c r="J508" s="171">
        <v>1</v>
      </c>
      <c r="K508" s="171"/>
      <c r="L508" s="171"/>
      <c r="M508" s="171"/>
      <c r="N508" s="171"/>
      <c r="O508" s="171"/>
      <c r="P508" s="171">
        <v>1</v>
      </c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  <c r="AC508" s="171"/>
      <c r="AD508" s="171"/>
      <c r="AE508" s="171"/>
      <c r="AF508" s="171"/>
      <c r="AG508" s="171"/>
      <c r="AH508" s="171"/>
      <c r="AI508" s="171"/>
      <c r="AJ508" s="171"/>
      <c r="AK508" s="171"/>
      <c r="AL508" s="171"/>
      <c r="AM508" s="22"/>
      <c r="AN508" s="22">
        <f t="shared" si="4"/>
        <v>6</v>
      </c>
      <c r="AO508" s="171"/>
    </row>
    <row r="509" spans="1:41" ht="15.75" customHeight="1">
      <c r="A509" s="167" t="s">
        <v>936</v>
      </c>
      <c r="B509" s="22" t="s">
        <v>935</v>
      </c>
      <c r="C509" s="168">
        <v>1</v>
      </c>
      <c r="D509" s="169" t="b">
        <v>1</v>
      </c>
      <c r="E509" s="170" t="s">
        <v>1921</v>
      </c>
      <c r="F509" s="171">
        <v>1</v>
      </c>
      <c r="G509" s="171">
        <v>1</v>
      </c>
      <c r="H509" s="171">
        <v>1</v>
      </c>
      <c r="I509" s="171">
        <v>1</v>
      </c>
      <c r="J509" s="171">
        <v>1</v>
      </c>
      <c r="K509" s="171">
        <v>1</v>
      </c>
      <c r="L509" s="171"/>
      <c r="M509" s="171"/>
      <c r="N509" s="171"/>
      <c r="O509" s="171"/>
      <c r="P509" s="171"/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  <c r="AC509" s="171"/>
      <c r="AD509" s="171"/>
      <c r="AE509" s="171"/>
      <c r="AF509" s="171"/>
      <c r="AG509" s="171"/>
      <c r="AH509" s="171"/>
      <c r="AI509" s="171"/>
      <c r="AJ509" s="171"/>
      <c r="AK509" s="171"/>
      <c r="AL509" s="171"/>
      <c r="AM509" s="22"/>
      <c r="AN509" s="22">
        <f t="shared" si="4"/>
        <v>6</v>
      </c>
      <c r="AO509" s="171"/>
    </row>
    <row r="510" spans="1:41" ht="15.75" customHeight="1">
      <c r="A510" s="167" t="s">
        <v>938</v>
      </c>
      <c r="B510" s="22" t="s">
        <v>937</v>
      </c>
      <c r="C510" s="168">
        <v>1</v>
      </c>
      <c r="D510" s="169" t="b">
        <v>1</v>
      </c>
      <c r="E510" s="170" t="s">
        <v>1922</v>
      </c>
      <c r="F510" s="171">
        <v>1</v>
      </c>
      <c r="G510" s="171">
        <v>1</v>
      </c>
      <c r="H510" s="171">
        <v>1</v>
      </c>
      <c r="I510" s="171">
        <v>1</v>
      </c>
      <c r="J510" s="171">
        <v>1</v>
      </c>
      <c r="K510" s="171"/>
      <c r="L510" s="171"/>
      <c r="M510" s="171">
        <v>1</v>
      </c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  <c r="AC510" s="171"/>
      <c r="AD510" s="171"/>
      <c r="AE510" s="171"/>
      <c r="AF510" s="171"/>
      <c r="AG510" s="171"/>
      <c r="AH510" s="171"/>
      <c r="AI510" s="171"/>
      <c r="AJ510" s="171"/>
      <c r="AK510" s="171"/>
      <c r="AL510" s="171"/>
      <c r="AM510" s="22"/>
      <c r="AN510" s="22">
        <f t="shared" si="4"/>
        <v>6</v>
      </c>
      <c r="AO510" s="171"/>
    </row>
    <row r="511" spans="1:41" ht="15.75" customHeight="1">
      <c r="A511" s="167" t="s">
        <v>940</v>
      </c>
      <c r="B511" s="22" t="s">
        <v>939</v>
      </c>
      <c r="C511" s="168">
        <v>1</v>
      </c>
      <c r="D511" s="169" t="b">
        <v>1</v>
      </c>
      <c r="E511" s="170" t="s">
        <v>1843</v>
      </c>
      <c r="F511" s="171">
        <v>1</v>
      </c>
      <c r="G511" s="171">
        <v>1</v>
      </c>
      <c r="H511" s="171">
        <v>1</v>
      </c>
      <c r="I511" s="171">
        <v>1</v>
      </c>
      <c r="J511" s="171">
        <v>1</v>
      </c>
      <c r="K511" s="171">
        <v>1</v>
      </c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  <c r="AC511" s="171"/>
      <c r="AD511" s="171"/>
      <c r="AE511" s="171"/>
      <c r="AF511" s="171"/>
      <c r="AG511" s="171"/>
      <c r="AH511" s="171"/>
      <c r="AI511" s="171"/>
      <c r="AJ511" s="171"/>
      <c r="AK511" s="171"/>
      <c r="AL511" s="171"/>
      <c r="AM511" s="22"/>
      <c r="AN511" s="22">
        <f t="shared" si="4"/>
        <v>6</v>
      </c>
      <c r="AO511" s="171"/>
    </row>
    <row r="512" spans="1:41" ht="15.75" customHeight="1">
      <c r="A512" s="167" t="s">
        <v>946</v>
      </c>
      <c r="B512" s="22" t="s">
        <v>945</v>
      </c>
      <c r="C512" s="168">
        <v>1</v>
      </c>
      <c r="D512" s="169" t="b">
        <v>1</v>
      </c>
      <c r="E512" s="170" t="s">
        <v>1923</v>
      </c>
      <c r="F512" s="171">
        <v>1</v>
      </c>
      <c r="G512" s="171">
        <v>1</v>
      </c>
      <c r="H512" s="171">
        <v>1</v>
      </c>
      <c r="I512" s="171">
        <v>1</v>
      </c>
      <c r="J512" s="171">
        <v>1</v>
      </c>
      <c r="K512" s="171"/>
      <c r="L512" s="171"/>
      <c r="M512" s="171"/>
      <c r="N512" s="171"/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  <c r="AC512" s="171"/>
      <c r="AD512" s="171"/>
      <c r="AE512" s="171"/>
      <c r="AF512" s="171"/>
      <c r="AG512" s="171"/>
      <c r="AH512" s="171"/>
      <c r="AI512" s="171"/>
      <c r="AJ512" s="171"/>
      <c r="AK512" s="171"/>
      <c r="AL512" s="171">
        <v>1</v>
      </c>
      <c r="AM512" s="22"/>
      <c r="AN512" s="22">
        <f t="shared" si="4"/>
        <v>6</v>
      </c>
      <c r="AO512" s="171" t="s">
        <v>1648</v>
      </c>
    </row>
    <row r="513" spans="1:41" ht="15.75" customHeight="1">
      <c r="A513" s="167" t="s">
        <v>948</v>
      </c>
      <c r="B513" s="22" t="s">
        <v>947</v>
      </c>
      <c r="C513" s="168">
        <v>1</v>
      </c>
      <c r="D513" s="169" t="b">
        <v>1</v>
      </c>
      <c r="E513" s="170" t="s">
        <v>1924</v>
      </c>
      <c r="F513" s="171">
        <v>1</v>
      </c>
      <c r="G513" s="171">
        <v>1</v>
      </c>
      <c r="H513" s="171">
        <v>1</v>
      </c>
      <c r="I513" s="171">
        <v>1</v>
      </c>
      <c r="J513" s="171">
        <v>1</v>
      </c>
      <c r="K513" s="171">
        <v>1</v>
      </c>
      <c r="L513" s="171"/>
      <c r="M513" s="171"/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  <c r="AC513" s="171"/>
      <c r="AD513" s="171"/>
      <c r="AE513" s="171"/>
      <c r="AF513" s="171"/>
      <c r="AG513" s="171"/>
      <c r="AH513" s="171"/>
      <c r="AI513" s="171"/>
      <c r="AJ513" s="171"/>
      <c r="AK513" s="171"/>
      <c r="AL513" s="171"/>
      <c r="AM513" s="22"/>
      <c r="AN513" s="22">
        <f t="shared" si="4"/>
        <v>6</v>
      </c>
      <c r="AO513" s="171"/>
    </row>
    <row r="514" spans="1:41" ht="15.75" customHeight="1">
      <c r="A514" s="167" t="s">
        <v>960</v>
      </c>
      <c r="B514" s="22" t="s">
        <v>959</v>
      </c>
      <c r="C514" s="168">
        <v>1</v>
      </c>
      <c r="D514" s="169" t="b">
        <v>1</v>
      </c>
      <c r="E514" s="170" t="s">
        <v>1925</v>
      </c>
      <c r="F514" s="171">
        <v>1</v>
      </c>
      <c r="G514" s="171">
        <v>1</v>
      </c>
      <c r="H514" s="171">
        <v>1</v>
      </c>
      <c r="I514" s="171">
        <v>1</v>
      </c>
      <c r="J514" s="171">
        <v>1</v>
      </c>
      <c r="K514" s="171"/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>
        <v>1</v>
      </c>
      <c r="W514" s="171"/>
      <c r="X514" s="171"/>
      <c r="Y514" s="171"/>
      <c r="Z514" s="171"/>
      <c r="AA514" s="171"/>
      <c r="AB514" s="171"/>
      <c r="AC514" s="171"/>
      <c r="AD514" s="171"/>
      <c r="AE514" s="171"/>
      <c r="AF514" s="171"/>
      <c r="AG514" s="171"/>
      <c r="AH514" s="171"/>
      <c r="AI514" s="171"/>
      <c r="AJ514" s="171"/>
      <c r="AK514" s="171"/>
      <c r="AL514" s="171"/>
      <c r="AM514" s="22"/>
      <c r="AN514" s="22">
        <f t="shared" si="4"/>
        <v>6</v>
      </c>
      <c r="AO514" s="171"/>
    </row>
    <row r="515" spans="1:41" ht="15.75" customHeight="1">
      <c r="A515" s="167" t="s">
        <v>970</v>
      </c>
      <c r="B515" s="22" t="s">
        <v>969</v>
      </c>
      <c r="C515" s="168">
        <v>1</v>
      </c>
      <c r="D515" s="169" t="b">
        <v>1</v>
      </c>
      <c r="E515" s="170" t="s">
        <v>1926</v>
      </c>
      <c r="F515" s="171">
        <v>1</v>
      </c>
      <c r="G515" s="171">
        <v>1</v>
      </c>
      <c r="H515" s="171">
        <v>1</v>
      </c>
      <c r="I515" s="171">
        <v>1</v>
      </c>
      <c r="J515" s="171">
        <v>1</v>
      </c>
      <c r="K515" s="171">
        <v>1</v>
      </c>
      <c r="L515" s="171"/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  <c r="AC515" s="171"/>
      <c r="AD515" s="171"/>
      <c r="AE515" s="171"/>
      <c r="AF515" s="171"/>
      <c r="AG515" s="171"/>
      <c r="AH515" s="171"/>
      <c r="AI515" s="171"/>
      <c r="AJ515" s="171"/>
      <c r="AK515" s="171"/>
      <c r="AL515" s="171"/>
      <c r="AM515" s="22"/>
      <c r="AN515" s="22">
        <f t="shared" si="4"/>
        <v>6</v>
      </c>
      <c r="AO515" s="171"/>
    </row>
    <row r="516" spans="1:41" ht="15.75" customHeight="1">
      <c r="A516" s="167" t="s">
        <v>974</v>
      </c>
      <c r="B516" s="22" t="s">
        <v>973</v>
      </c>
      <c r="C516" s="168">
        <v>1</v>
      </c>
      <c r="D516" s="169" t="b">
        <v>1</v>
      </c>
      <c r="E516" s="170" t="s">
        <v>1927</v>
      </c>
      <c r="F516" s="171">
        <v>1</v>
      </c>
      <c r="G516" s="171">
        <v>1</v>
      </c>
      <c r="H516" s="171">
        <v>1</v>
      </c>
      <c r="I516" s="171">
        <v>1</v>
      </c>
      <c r="J516" s="171"/>
      <c r="K516" s="171"/>
      <c r="L516" s="171"/>
      <c r="M516" s="171">
        <v>1</v>
      </c>
      <c r="N516" s="171"/>
      <c r="O516" s="171"/>
      <c r="P516" s="171"/>
      <c r="Q516" s="171"/>
      <c r="R516" s="171"/>
      <c r="S516" s="171"/>
      <c r="T516" s="171"/>
      <c r="U516" s="171">
        <v>1</v>
      </c>
      <c r="V516" s="171"/>
      <c r="W516" s="171"/>
      <c r="X516" s="171"/>
      <c r="Y516" s="171"/>
      <c r="Z516" s="171"/>
      <c r="AA516" s="171"/>
      <c r="AB516" s="171"/>
      <c r="AC516" s="171"/>
      <c r="AD516" s="171"/>
      <c r="AE516" s="171"/>
      <c r="AF516" s="171"/>
      <c r="AG516" s="171"/>
      <c r="AH516" s="171"/>
      <c r="AI516" s="171"/>
      <c r="AJ516" s="171"/>
      <c r="AK516" s="171"/>
      <c r="AL516" s="171"/>
      <c r="AM516" s="22"/>
      <c r="AN516" s="22">
        <f t="shared" si="4"/>
        <v>6</v>
      </c>
      <c r="AO516" s="171"/>
    </row>
    <row r="517" spans="1:41" ht="15.75" customHeight="1">
      <c r="A517" s="167" t="s">
        <v>976</v>
      </c>
      <c r="B517" s="22" t="s">
        <v>975</v>
      </c>
      <c r="C517" s="168">
        <v>1</v>
      </c>
      <c r="D517" s="169" t="b">
        <v>1</v>
      </c>
      <c r="E517" s="170" t="s">
        <v>1928</v>
      </c>
      <c r="F517" s="171">
        <v>1</v>
      </c>
      <c r="G517" s="171">
        <v>1</v>
      </c>
      <c r="H517" s="171">
        <v>1</v>
      </c>
      <c r="I517" s="171">
        <v>1</v>
      </c>
      <c r="J517" s="171">
        <v>1</v>
      </c>
      <c r="K517" s="171"/>
      <c r="L517" s="171">
        <v>1</v>
      </c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  <c r="AC517" s="171"/>
      <c r="AD517" s="171"/>
      <c r="AE517" s="171"/>
      <c r="AF517" s="171"/>
      <c r="AG517" s="171"/>
      <c r="AH517" s="171"/>
      <c r="AI517" s="171"/>
      <c r="AJ517" s="171"/>
      <c r="AK517" s="171"/>
      <c r="AL517" s="171"/>
      <c r="AM517" s="22"/>
      <c r="AN517" s="22">
        <f t="shared" si="4"/>
        <v>6</v>
      </c>
      <c r="AO517" s="171"/>
    </row>
    <row r="518" spans="1:41" ht="15.75" customHeight="1">
      <c r="A518" s="167" t="s">
        <v>992</v>
      </c>
      <c r="B518" s="22" t="s">
        <v>991</v>
      </c>
      <c r="C518" s="168">
        <v>1</v>
      </c>
      <c r="D518" s="169" t="b">
        <v>1</v>
      </c>
      <c r="E518" s="170" t="s">
        <v>1929</v>
      </c>
      <c r="F518" s="171">
        <v>1</v>
      </c>
      <c r="G518" s="171">
        <v>1</v>
      </c>
      <c r="H518" s="171">
        <v>1</v>
      </c>
      <c r="I518" s="171">
        <v>1</v>
      </c>
      <c r="J518" s="171">
        <v>1</v>
      </c>
      <c r="K518" s="171"/>
      <c r="L518" s="171"/>
      <c r="M518" s="171"/>
      <c r="N518" s="171"/>
      <c r="O518" s="171">
        <v>1</v>
      </c>
      <c r="P518" s="171"/>
      <c r="Q518" s="171"/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  <c r="AC518" s="171"/>
      <c r="AD518" s="171"/>
      <c r="AE518" s="171"/>
      <c r="AF518" s="171"/>
      <c r="AG518" s="171"/>
      <c r="AH518" s="171"/>
      <c r="AI518" s="171"/>
      <c r="AJ518" s="171"/>
      <c r="AK518" s="171"/>
      <c r="AL518" s="171"/>
      <c r="AM518" s="22"/>
      <c r="AN518" s="22">
        <f t="shared" si="4"/>
        <v>6</v>
      </c>
      <c r="AO518" s="171"/>
    </row>
    <row r="519" spans="1:41" ht="15.75" customHeight="1">
      <c r="A519" s="167" t="s">
        <v>996</v>
      </c>
      <c r="B519" s="22" t="s">
        <v>995</v>
      </c>
      <c r="C519" s="168">
        <v>1</v>
      </c>
      <c r="D519" s="169" t="b">
        <v>1</v>
      </c>
      <c r="E519" s="170" t="s">
        <v>1930</v>
      </c>
      <c r="F519" s="171">
        <v>1</v>
      </c>
      <c r="G519" s="171">
        <v>1</v>
      </c>
      <c r="H519" s="171">
        <v>1</v>
      </c>
      <c r="I519" s="171">
        <v>1</v>
      </c>
      <c r="J519" s="171">
        <v>1</v>
      </c>
      <c r="K519" s="171">
        <v>1</v>
      </c>
      <c r="L519" s="171"/>
      <c r="M519" s="171"/>
      <c r="N519" s="171"/>
      <c r="O519" s="171"/>
      <c r="P519" s="171"/>
      <c r="Q519" s="171"/>
      <c r="R519" s="171"/>
      <c r="S519" s="171"/>
      <c r="T519" s="171"/>
      <c r="U519" s="171"/>
      <c r="V519" s="171"/>
      <c r="W519" s="171"/>
      <c r="X519" s="171"/>
      <c r="Y519" s="171"/>
      <c r="Z519" s="171"/>
      <c r="AA519" s="171"/>
      <c r="AB519" s="171"/>
      <c r="AC519" s="171"/>
      <c r="AD519" s="171"/>
      <c r="AE519" s="171"/>
      <c r="AF519" s="171"/>
      <c r="AG519" s="171"/>
      <c r="AH519" s="171"/>
      <c r="AI519" s="171"/>
      <c r="AJ519" s="171"/>
      <c r="AK519" s="171"/>
      <c r="AL519" s="171"/>
      <c r="AM519" s="22"/>
      <c r="AN519" s="22">
        <f t="shared" si="4"/>
        <v>6</v>
      </c>
      <c r="AO519" s="171"/>
    </row>
    <row r="520" spans="1:41" ht="15.75" customHeight="1">
      <c r="A520" s="167" t="s">
        <v>998</v>
      </c>
      <c r="B520" s="22" t="s">
        <v>997</v>
      </c>
      <c r="C520" s="168">
        <v>1</v>
      </c>
      <c r="D520" s="169" t="b">
        <v>1</v>
      </c>
      <c r="E520" s="170" t="s">
        <v>1931</v>
      </c>
      <c r="F520" s="171">
        <v>1</v>
      </c>
      <c r="G520" s="171">
        <v>1</v>
      </c>
      <c r="H520" s="171">
        <v>1</v>
      </c>
      <c r="I520" s="171">
        <v>1</v>
      </c>
      <c r="J520" s="171">
        <v>1</v>
      </c>
      <c r="K520" s="171"/>
      <c r="L520" s="171">
        <v>1</v>
      </c>
      <c r="M520" s="171"/>
      <c r="N520" s="171"/>
      <c r="O520" s="171"/>
      <c r="P520" s="171"/>
      <c r="Q520" s="171"/>
      <c r="R520" s="171"/>
      <c r="S520" s="171"/>
      <c r="T520" s="171"/>
      <c r="U520" s="171"/>
      <c r="V520" s="171"/>
      <c r="W520" s="171"/>
      <c r="X520" s="171"/>
      <c r="Y520" s="171"/>
      <c r="Z520" s="171"/>
      <c r="AA520" s="171"/>
      <c r="AB520" s="171"/>
      <c r="AC520" s="171"/>
      <c r="AD520" s="171"/>
      <c r="AE520" s="171"/>
      <c r="AF520" s="171"/>
      <c r="AG520" s="171"/>
      <c r="AH520" s="171"/>
      <c r="AI520" s="171"/>
      <c r="AJ520" s="171"/>
      <c r="AK520" s="171"/>
      <c r="AL520" s="171"/>
      <c r="AM520" s="22"/>
      <c r="AN520" s="22">
        <f t="shared" si="4"/>
        <v>6</v>
      </c>
      <c r="AO520" s="171"/>
    </row>
    <row r="521" spans="1:41" ht="15.75" customHeight="1">
      <c r="A521" s="167" t="s">
        <v>1002</v>
      </c>
      <c r="B521" s="22" t="s">
        <v>1001</v>
      </c>
      <c r="C521" s="168">
        <v>1</v>
      </c>
      <c r="D521" s="169" t="b">
        <v>1</v>
      </c>
      <c r="E521" s="170" t="s">
        <v>1932</v>
      </c>
      <c r="F521" s="171">
        <v>1</v>
      </c>
      <c r="G521" s="171">
        <v>1</v>
      </c>
      <c r="H521" s="171">
        <v>1</v>
      </c>
      <c r="I521" s="171">
        <v>1</v>
      </c>
      <c r="J521" s="171">
        <v>1</v>
      </c>
      <c r="K521" s="171">
        <v>1</v>
      </c>
      <c r="L521" s="171"/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  <c r="AC521" s="171"/>
      <c r="AD521" s="171"/>
      <c r="AE521" s="171"/>
      <c r="AF521" s="171"/>
      <c r="AG521" s="171"/>
      <c r="AH521" s="171"/>
      <c r="AI521" s="171"/>
      <c r="AJ521" s="171"/>
      <c r="AK521" s="171"/>
      <c r="AL521" s="171"/>
      <c r="AM521" s="22"/>
      <c r="AN521" s="22">
        <f t="shared" si="4"/>
        <v>6</v>
      </c>
      <c r="AO521" s="171"/>
    </row>
    <row r="522" spans="1:41" ht="15.75" customHeight="1">
      <c r="A522" s="167" t="s">
        <v>1008</v>
      </c>
      <c r="B522" s="22" t="s">
        <v>1007</v>
      </c>
      <c r="C522" s="168">
        <v>1</v>
      </c>
      <c r="D522" s="169" t="b">
        <v>1</v>
      </c>
      <c r="E522" s="170" t="s">
        <v>1933</v>
      </c>
      <c r="F522" s="171">
        <v>1</v>
      </c>
      <c r="G522" s="171">
        <v>1</v>
      </c>
      <c r="H522" s="171">
        <v>1</v>
      </c>
      <c r="I522" s="171">
        <v>1</v>
      </c>
      <c r="J522" s="171">
        <v>1</v>
      </c>
      <c r="K522" s="171"/>
      <c r="L522" s="171"/>
      <c r="M522" s="171"/>
      <c r="N522" s="171"/>
      <c r="O522" s="171"/>
      <c r="P522" s="171"/>
      <c r="Q522" s="171"/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  <c r="AC522" s="171"/>
      <c r="AD522" s="171"/>
      <c r="AE522" s="171"/>
      <c r="AF522" s="171"/>
      <c r="AG522" s="171"/>
      <c r="AH522" s="171">
        <v>1</v>
      </c>
      <c r="AI522" s="171"/>
      <c r="AJ522" s="171"/>
      <c r="AK522" s="171"/>
      <c r="AL522" s="171"/>
      <c r="AM522" s="22"/>
      <c r="AN522" s="22">
        <f t="shared" si="4"/>
        <v>6</v>
      </c>
      <c r="AO522" s="171"/>
    </row>
    <row r="523" spans="1:41" ht="15.75" customHeight="1">
      <c r="A523" s="167" t="s">
        <v>1012</v>
      </c>
      <c r="B523" s="22" t="s">
        <v>1011</v>
      </c>
      <c r="C523" s="168">
        <v>1</v>
      </c>
      <c r="D523" s="169" t="b">
        <v>1</v>
      </c>
      <c r="E523" s="170" t="s">
        <v>1934</v>
      </c>
      <c r="F523" s="171">
        <v>1</v>
      </c>
      <c r="G523" s="171">
        <v>1</v>
      </c>
      <c r="H523" s="171">
        <v>1</v>
      </c>
      <c r="I523" s="171">
        <v>1</v>
      </c>
      <c r="J523" s="171">
        <v>1</v>
      </c>
      <c r="K523" s="171"/>
      <c r="L523" s="171"/>
      <c r="M523" s="171"/>
      <c r="N523" s="171"/>
      <c r="O523" s="171"/>
      <c r="P523" s="171"/>
      <c r="Q523" s="171"/>
      <c r="R523" s="171"/>
      <c r="S523" s="171"/>
      <c r="T523" s="171"/>
      <c r="U523" s="171"/>
      <c r="V523" s="171">
        <v>1</v>
      </c>
      <c r="W523" s="171"/>
      <c r="X523" s="171"/>
      <c r="Y523" s="171"/>
      <c r="Z523" s="171"/>
      <c r="AA523" s="171"/>
      <c r="AB523" s="171"/>
      <c r="AC523" s="171"/>
      <c r="AD523" s="171"/>
      <c r="AE523" s="171"/>
      <c r="AF523" s="171"/>
      <c r="AG523" s="171"/>
      <c r="AH523" s="171"/>
      <c r="AI523" s="171"/>
      <c r="AJ523" s="171"/>
      <c r="AK523" s="171"/>
      <c r="AL523" s="171"/>
      <c r="AM523" s="22"/>
      <c r="AN523" s="22">
        <f t="shared" si="4"/>
        <v>6</v>
      </c>
      <c r="AO523" s="171"/>
    </row>
    <row r="524" spans="1:41" ht="15.75" customHeight="1">
      <c r="A524" s="167" t="s">
        <v>1014</v>
      </c>
      <c r="B524" s="22" t="s">
        <v>1013</v>
      </c>
      <c r="C524" s="168">
        <v>1</v>
      </c>
      <c r="D524" s="169" t="b">
        <v>1</v>
      </c>
      <c r="E524" s="170" t="s">
        <v>1935</v>
      </c>
      <c r="F524" s="171">
        <v>1</v>
      </c>
      <c r="G524" s="171">
        <v>1</v>
      </c>
      <c r="H524" s="171">
        <v>1</v>
      </c>
      <c r="I524" s="171">
        <v>1</v>
      </c>
      <c r="J524" s="171">
        <v>1</v>
      </c>
      <c r="K524" s="171">
        <v>1</v>
      </c>
      <c r="L524" s="171"/>
      <c r="M524" s="171"/>
      <c r="N524" s="171"/>
      <c r="O524" s="171"/>
      <c r="P524" s="171"/>
      <c r="Q524" s="171"/>
      <c r="R524" s="171"/>
      <c r="S524" s="171"/>
      <c r="T524" s="171"/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1"/>
      <c r="AG524" s="171"/>
      <c r="AH524" s="171"/>
      <c r="AI524" s="171"/>
      <c r="AJ524" s="171"/>
      <c r="AK524" s="171"/>
      <c r="AL524" s="171"/>
      <c r="AM524" s="22"/>
      <c r="AN524" s="22">
        <f t="shared" si="4"/>
        <v>6</v>
      </c>
      <c r="AO524" s="171"/>
    </row>
    <row r="525" spans="1:41" ht="15.75" customHeight="1">
      <c r="A525" s="167" t="s">
        <v>1016</v>
      </c>
      <c r="B525" s="22" t="s">
        <v>1015</v>
      </c>
      <c r="C525" s="168">
        <v>1</v>
      </c>
      <c r="D525" s="169" t="b">
        <v>1</v>
      </c>
      <c r="E525" s="170" t="s">
        <v>1936</v>
      </c>
      <c r="F525" s="171">
        <v>1</v>
      </c>
      <c r="G525" s="171">
        <v>1</v>
      </c>
      <c r="H525" s="171">
        <v>1</v>
      </c>
      <c r="I525" s="171">
        <v>1</v>
      </c>
      <c r="J525" s="171">
        <v>1</v>
      </c>
      <c r="K525" s="171"/>
      <c r="L525" s="171"/>
      <c r="M525" s="171"/>
      <c r="N525" s="171"/>
      <c r="O525" s="171"/>
      <c r="P525" s="171"/>
      <c r="Q525" s="171"/>
      <c r="R525" s="171">
        <v>1</v>
      </c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  <c r="AC525" s="171"/>
      <c r="AD525" s="171"/>
      <c r="AE525" s="171"/>
      <c r="AF525" s="171"/>
      <c r="AG525" s="171"/>
      <c r="AH525" s="171"/>
      <c r="AI525" s="171"/>
      <c r="AJ525" s="171"/>
      <c r="AK525" s="171"/>
      <c r="AL525" s="171"/>
      <c r="AM525" s="22"/>
      <c r="AN525" s="22">
        <f t="shared" si="4"/>
        <v>6</v>
      </c>
      <c r="AO525" s="171"/>
    </row>
    <row r="526" spans="1:41" ht="15.75" customHeight="1">
      <c r="A526" s="167" t="s">
        <v>1030</v>
      </c>
      <c r="B526" s="22" t="s">
        <v>1029</v>
      </c>
      <c r="C526" s="168">
        <v>1</v>
      </c>
      <c r="D526" s="169" t="b">
        <v>1</v>
      </c>
      <c r="E526" s="170" t="s">
        <v>1937</v>
      </c>
      <c r="F526" s="171">
        <v>1</v>
      </c>
      <c r="G526" s="171">
        <v>1</v>
      </c>
      <c r="H526" s="171">
        <v>1</v>
      </c>
      <c r="I526" s="171">
        <v>1</v>
      </c>
      <c r="J526" s="171">
        <v>1</v>
      </c>
      <c r="K526" s="171"/>
      <c r="L526" s="171">
        <v>1</v>
      </c>
      <c r="M526" s="171"/>
      <c r="N526" s="171"/>
      <c r="O526" s="171"/>
      <c r="P526" s="171"/>
      <c r="Q526" s="171"/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  <c r="AC526" s="171"/>
      <c r="AD526" s="171"/>
      <c r="AE526" s="171"/>
      <c r="AF526" s="171"/>
      <c r="AG526" s="171"/>
      <c r="AH526" s="171"/>
      <c r="AI526" s="171"/>
      <c r="AJ526" s="171"/>
      <c r="AK526" s="171"/>
      <c r="AL526" s="171"/>
      <c r="AM526" s="22"/>
      <c r="AN526" s="22">
        <f t="shared" si="4"/>
        <v>6</v>
      </c>
      <c r="AO526" s="171"/>
    </row>
    <row r="527" spans="1:41" ht="15.75" customHeight="1">
      <c r="A527" s="167" t="s">
        <v>1032</v>
      </c>
      <c r="B527" s="22" t="s">
        <v>1031</v>
      </c>
      <c r="C527" s="168">
        <v>1</v>
      </c>
      <c r="D527" s="169" t="b">
        <v>1</v>
      </c>
      <c r="E527" s="170" t="s">
        <v>1938</v>
      </c>
      <c r="F527" s="171">
        <v>1</v>
      </c>
      <c r="G527" s="171">
        <v>1</v>
      </c>
      <c r="H527" s="171">
        <v>1</v>
      </c>
      <c r="I527" s="171">
        <v>1</v>
      </c>
      <c r="J527" s="171">
        <v>1</v>
      </c>
      <c r="K527" s="171">
        <v>1</v>
      </c>
      <c r="L527" s="171"/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  <c r="AC527" s="171"/>
      <c r="AD527" s="171"/>
      <c r="AE527" s="171"/>
      <c r="AF527" s="171"/>
      <c r="AG527" s="171"/>
      <c r="AH527" s="171"/>
      <c r="AI527" s="171"/>
      <c r="AJ527" s="171"/>
      <c r="AK527" s="171"/>
      <c r="AL527" s="171"/>
      <c r="AM527" s="22"/>
      <c r="AN527" s="22">
        <f t="shared" si="4"/>
        <v>6</v>
      </c>
      <c r="AO527" s="171"/>
    </row>
    <row r="528" spans="1:41" ht="15.75" customHeight="1">
      <c r="A528" s="167" t="s">
        <v>1038</v>
      </c>
      <c r="B528" s="22" t="s">
        <v>1037</v>
      </c>
      <c r="C528" s="168">
        <v>1</v>
      </c>
      <c r="D528" s="169" t="b">
        <v>1</v>
      </c>
      <c r="E528" s="170" t="s">
        <v>1939</v>
      </c>
      <c r="F528" s="171">
        <v>1</v>
      </c>
      <c r="G528" s="171">
        <v>1</v>
      </c>
      <c r="H528" s="171">
        <v>1</v>
      </c>
      <c r="I528" s="171">
        <v>1</v>
      </c>
      <c r="J528" s="171">
        <v>1</v>
      </c>
      <c r="K528" s="171">
        <v>1</v>
      </c>
      <c r="L528" s="171"/>
      <c r="M528" s="171"/>
      <c r="N528" s="171"/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  <c r="AC528" s="171"/>
      <c r="AD528" s="171"/>
      <c r="AE528" s="171"/>
      <c r="AF528" s="171"/>
      <c r="AG528" s="171"/>
      <c r="AH528" s="171"/>
      <c r="AI528" s="171"/>
      <c r="AJ528" s="171"/>
      <c r="AK528" s="171"/>
      <c r="AL528" s="171"/>
      <c r="AM528" s="22"/>
      <c r="AN528" s="22">
        <f t="shared" si="4"/>
        <v>6</v>
      </c>
      <c r="AO528" s="171"/>
    </row>
    <row r="529" spans="1:41" ht="15.75" customHeight="1">
      <c r="A529" s="167" t="s">
        <v>1040</v>
      </c>
      <c r="B529" s="22" t="s">
        <v>1039</v>
      </c>
      <c r="C529" s="168">
        <v>1</v>
      </c>
      <c r="D529" s="169" t="b">
        <v>1</v>
      </c>
      <c r="E529" s="170" t="s">
        <v>1940</v>
      </c>
      <c r="F529" s="171">
        <v>1</v>
      </c>
      <c r="G529" s="171">
        <v>1</v>
      </c>
      <c r="H529" s="171">
        <v>1</v>
      </c>
      <c r="I529" s="171">
        <v>1</v>
      </c>
      <c r="J529" s="171">
        <v>1</v>
      </c>
      <c r="K529" s="171"/>
      <c r="L529" s="171">
        <v>1</v>
      </c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  <c r="AC529" s="171"/>
      <c r="AD529" s="171"/>
      <c r="AE529" s="171"/>
      <c r="AF529" s="171"/>
      <c r="AG529" s="171"/>
      <c r="AH529" s="171"/>
      <c r="AI529" s="171"/>
      <c r="AJ529" s="171"/>
      <c r="AK529" s="171"/>
      <c r="AL529" s="171"/>
      <c r="AM529" s="22"/>
      <c r="AN529" s="22">
        <f t="shared" si="4"/>
        <v>6</v>
      </c>
      <c r="AO529" s="171"/>
    </row>
    <row r="530" spans="1:41" ht="15.75" customHeight="1">
      <c r="A530" s="167" t="s">
        <v>1046</v>
      </c>
      <c r="B530" s="22" t="s">
        <v>1045</v>
      </c>
      <c r="C530" s="168">
        <v>1</v>
      </c>
      <c r="D530" s="169" t="b">
        <v>1</v>
      </c>
      <c r="E530" s="170" t="s">
        <v>1941</v>
      </c>
      <c r="F530" s="171">
        <v>1</v>
      </c>
      <c r="G530" s="171">
        <v>1</v>
      </c>
      <c r="H530" s="171">
        <v>1</v>
      </c>
      <c r="I530" s="171">
        <v>1</v>
      </c>
      <c r="J530" s="171">
        <v>1</v>
      </c>
      <c r="K530" s="171"/>
      <c r="L530" s="171"/>
      <c r="M530" s="171">
        <v>1</v>
      </c>
      <c r="N530" s="171"/>
      <c r="O530" s="171"/>
      <c r="P530" s="171"/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  <c r="AC530" s="171"/>
      <c r="AD530" s="171"/>
      <c r="AE530" s="171"/>
      <c r="AF530" s="171"/>
      <c r="AG530" s="171"/>
      <c r="AH530" s="171"/>
      <c r="AI530" s="171"/>
      <c r="AJ530" s="171"/>
      <c r="AK530" s="171"/>
      <c r="AL530" s="171"/>
      <c r="AM530" s="22"/>
      <c r="AN530" s="22">
        <f t="shared" si="4"/>
        <v>6</v>
      </c>
      <c r="AO530" s="171"/>
    </row>
    <row r="531" spans="1:41" ht="15.75" customHeight="1">
      <c r="A531" s="167" t="s">
        <v>1052</v>
      </c>
      <c r="B531" s="22" t="s">
        <v>1051</v>
      </c>
      <c r="C531" s="168">
        <v>1</v>
      </c>
      <c r="D531" s="169" t="b">
        <v>1</v>
      </c>
      <c r="E531" s="170" t="s">
        <v>1942</v>
      </c>
      <c r="F531" s="171">
        <v>1</v>
      </c>
      <c r="G531" s="171">
        <v>1</v>
      </c>
      <c r="H531" s="171">
        <v>1</v>
      </c>
      <c r="I531" s="171">
        <v>1</v>
      </c>
      <c r="J531" s="171">
        <v>1</v>
      </c>
      <c r="K531" s="171">
        <v>1</v>
      </c>
      <c r="L531" s="171"/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  <c r="AC531" s="171"/>
      <c r="AD531" s="171"/>
      <c r="AE531" s="171"/>
      <c r="AF531" s="171"/>
      <c r="AG531" s="171"/>
      <c r="AH531" s="171"/>
      <c r="AI531" s="171"/>
      <c r="AJ531" s="171"/>
      <c r="AK531" s="171"/>
      <c r="AL531" s="171"/>
      <c r="AM531" s="22"/>
      <c r="AN531" s="22">
        <f t="shared" si="4"/>
        <v>6</v>
      </c>
      <c r="AO531" s="171"/>
    </row>
    <row r="532" spans="1:41" ht="15.75" customHeight="1">
      <c r="A532" s="167" t="s">
        <v>1056</v>
      </c>
      <c r="B532" s="22" t="s">
        <v>1055</v>
      </c>
      <c r="C532" s="168">
        <v>1</v>
      </c>
      <c r="D532" s="169" t="b">
        <v>1</v>
      </c>
      <c r="E532" s="170" t="s">
        <v>1943</v>
      </c>
      <c r="F532" s="171">
        <v>1</v>
      </c>
      <c r="G532" s="171">
        <v>1</v>
      </c>
      <c r="H532" s="171">
        <v>1</v>
      </c>
      <c r="I532" s="171">
        <v>1</v>
      </c>
      <c r="J532" s="171">
        <v>1</v>
      </c>
      <c r="K532" s="171">
        <v>1</v>
      </c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  <c r="AC532" s="171"/>
      <c r="AD532" s="171"/>
      <c r="AE532" s="171"/>
      <c r="AF532" s="171"/>
      <c r="AG532" s="171"/>
      <c r="AH532" s="171"/>
      <c r="AI532" s="171"/>
      <c r="AJ532" s="171"/>
      <c r="AK532" s="171"/>
      <c r="AL532" s="171"/>
      <c r="AM532" s="22"/>
      <c r="AN532" s="22">
        <f t="shared" si="4"/>
        <v>6</v>
      </c>
      <c r="AO532" s="171"/>
    </row>
    <row r="533" spans="1:41" ht="15.75" customHeight="1">
      <c r="A533" s="167" t="s">
        <v>1060</v>
      </c>
      <c r="B533" s="22" t="s">
        <v>1059</v>
      </c>
      <c r="C533" s="168">
        <v>1</v>
      </c>
      <c r="D533" s="169" t="b">
        <v>1</v>
      </c>
      <c r="E533" s="170" t="s">
        <v>1944</v>
      </c>
      <c r="F533" s="171">
        <v>1</v>
      </c>
      <c r="G533" s="171">
        <v>1</v>
      </c>
      <c r="H533" s="171">
        <v>1</v>
      </c>
      <c r="I533" s="171">
        <v>1</v>
      </c>
      <c r="J533" s="171">
        <v>1</v>
      </c>
      <c r="K533" s="171"/>
      <c r="L533" s="171"/>
      <c r="M533" s="171"/>
      <c r="N533" s="171"/>
      <c r="O533" s="171"/>
      <c r="P533" s="171"/>
      <c r="Q533" s="171"/>
      <c r="R533" s="171"/>
      <c r="S533" s="171"/>
      <c r="T533" s="171"/>
      <c r="U533" s="171">
        <v>1</v>
      </c>
      <c r="V533" s="171"/>
      <c r="W533" s="171"/>
      <c r="X533" s="171"/>
      <c r="Y533" s="171"/>
      <c r="Z533" s="171"/>
      <c r="AA533" s="171"/>
      <c r="AB533" s="171"/>
      <c r="AC533" s="171"/>
      <c r="AD533" s="171"/>
      <c r="AE533" s="171"/>
      <c r="AF533" s="171"/>
      <c r="AG533" s="171"/>
      <c r="AH533" s="171"/>
      <c r="AI533" s="171"/>
      <c r="AJ533" s="171"/>
      <c r="AK533" s="171"/>
      <c r="AL533" s="171"/>
      <c r="AM533" s="22"/>
      <c r="AN533" s="22">
        <f t="shared" si="4"/>
        <v>6</v>
      </c>
      <c r="AO533" s="171"/>
    </row>
    <row r="534" spans="1:41" ht="15.75" customHeight="1">
      <c r="A534" s="167" t="s">
        <v>1062</v>
      </c>
      <c r="B534" s="22" t="s">
        <v>1061</v>
      </c>
      <c r="C534" s="168">
        <v>1</v>
      </c>
      <c r="D534" s="169" t="b">
        <v>1</v>
      </c>
      <c r="E534" s="170" t="s">
        <v>1945</v>
      </c>
      <c r="F534" s="171">
        <v>1</v>
      </c>
      <c r="G534" s="171">
        <v>1</v>
      </c>
      <c r="H534" s="171">
        <v>1</v>
      </c>
      <c r="I534" s="171">
        <v>1</v>
      </c>
      <c r="J534" s="171">
        <v>1</v>
      </c>
      <c r="K534" s="171">
        <v>1</v>
      </c>
      <c r="L534" s="171"/>
      <c r="M534" s="171"/>
      <c r="N534" s="171"/>
      <c r="O534" s="171"/>
      <c r="P534" s="171"/>
      <c r="Q534" s="171"/>
      <c r="R534" s="171"/>
      <c r="S534" s="171"/>
      <c r="T534" s="171"/>
      <c r="U534" s="171"/>
      <c r="V534" s="171"/>
      <c r="W534" s="171"/>
      <c r="X534" s="171"/>
      <c r="Y534" s="171"/>
      <c r="Z534" s="171"/>
      <c r="AA534" s="171"/>
      <c r="AB534" s="171"/>
      <c r="AC534" s="171"/>
      <c r="AD534" s="171"/>
      <c r="AE534" s="171"/>
      <c r="AF534" s="171"/>
      <c r="AG534" s="171"/>
      <c r="AH534" s="171"/>
      <c r="AI534" s="171"/>
      <c r="AJ534" s="171"/>
      <c r="AK534" s="171"/>
      <c r="AL534" s="171"/>
      <c r="AM534" s="22"/>
      <c r="AN534" s="22">
        <f t="shared" si="4"/>
        <v>6</v>
      </c>
      <c r="AO534" s="171"/>
    </row>
    <row r="535" spans="1:41" ht="15.75" customHeight="1">
      <c r="A535" s="167" t="s">
        <v>1066</v>
      </c>
      <c r="B535" s="22" t="s">
        <v>1065</v>
      </c>
      <c r="C535" s="168">
        <v>1</v>
      </c>
      <c r="D535" s="169" t="b">
        <v>1</v>
      </c>
      <c r="E535" s="170" t="s">
        <v>1946</v>
      </c>
      <c r="F535" s="171">
        <v>1</v>
      </c>
      <c r="G535" s="171">
        <v>1</v>
      </c>
      <c r="H535" s="171">
        <v>1</v>
      </c>
      <c r="I535" s="171">
        <v>1</v>
      </c>
      <c r="J535" s="171">
        <v>1</v>
      </c>
      <c r="K535" s="171"/>
      <c r="L535" s="171"/>
      <c r="M535" s="171">
        <v>1</v>
      </c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/>
      <c r="AB535" s="171"/>
      <c r="AC535" s="171"/>
      <c r="AD535" s="171"/>
      <c r="AE535" s="171"/>
      <c r="AF535" s="171"/>
      <c r="AG535" s="171"/>
      <c r="AH535" s="171"/>
      <c r="AI535" s="171"/>
      <c r="AJ535" s="171"/>
      <c r="AK535" s="171"/>
      <c r="AL535" s="171"/>
      <c r="AM535" s="22"/>
      <c r="AN535" s="22">
        <f t="shared" si="4"/>
        <v>6</v>
      </c>
      <c r="AO535" s="171"/>
    </row>
    <row r="536" spans="1:41" ht="15.75" customHeight="1">
      <c r="A536" s="167" t="s">
        <v>1070</v>
      </c>
      <c r="B536" s="22" t="s">
        <v>1069</v>
      </c>
      <c r="C536" s="168">
        <v>1</v>
      </c>
      <c r="D536" s="169" t="b">
        <v>1</v>
      </c>
      <c r="E536" s="170" t="s">
        <v>1947</v>
      </c>
      <c r="F536" s="171">
        <v>1</v>
      </c>
      <c r="G536" s="171">
        <v>1</v>
      </c>
      <c r="H536" s="171">
        <v>1</v>
      </c>
      <c r="I536" s="171">
        <v>1</v>
      </c>
      <c r="J536" s="171">
        <v>1</v>
      </c>
      <c r="K536" s="171"/>
      <c r="L536" s="171"/>
      <c r="M536" s="171">
        <v>1</v>
      </c>
      <c r="N536" s="171"/>
      <c r="O536" s="171"/>
      <c r="P536" s="171"/>
      <c r="Q536" s="171"/>
      <c r="R536" s="171"/>
      <c r="S536" s="171"/>
      <c r="T536" s="171"/>
      <c r="U536" s="171"/>
      <c r="V536" s="171"/>
      <c r="W536" s="171"/>
      <c r="X536" s="171"/>
      <c r="Y536" s="171"/>
      <c r="Z536" s="171"/>
      <c r="AA536" s="171"/>
      <c r="AB536" s="171"/>
      <c r="AC536" s="171"/>
      <c r="AD536" s="171"/>
      <c r="AE536" s="171"/>
      <c r="AF536" s="171"/>
      <c r="AG536" s="171"/>
      <c r="AH536" s="171"/>
      <c r="AI536" s="171"/>
      <c r="AJ536" s="171"/>
      <c r="AK536" s="171"/>
      <c r="AL536" s="171"/>
      <c r="AM536" s="22"/>
      <c r="AN536" s="22">
        <f t="shared" si="4"/>
        <v>6</v>
      </c>
      <c r="AO536" s="171"/>
    </row>
    <row r="537" spans="1:41" ht="15.75" customHeight="1">
      <c r="A537" s="167" t="s">
        <v>1078</v>
      </c>
      <c r="B537" s="22" t="s">
        <v>1077</v>
      </c>
      <c r="C537" s="168">
        <v>1</v>
      </c>
      <c r="D537" s="169" t="b">
        <v>1</v>
      </c>
      <c r="E537" s="170" t="s">
        <v>1565</v>
      </c>
      <c r="F537" s="171">
        <v>1</v>
      </c>
      <c r="G537" s="171">
        <v>1</v>
      </c>
      <c r="H537" s="171">
        <v>1</v>
      </c>
      <c r="I537" s="171">
        <v>1</v>
      </c>
      <c r="J537" s="171"/>
      <c r="K537" s="171">
        <v>2</v>
      </c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  <c r="AC537" s="171"/>
      <c r="AD537" s="171"/>
      <c r="AE537" s="171"/>
      <c r="AF537" s="171"/>
      <c r="AG537" s="171"/>
      <c r="AH537" s="171"/>
      <c r="AI537" s="171"/>
      <c r="AJ537" s="171"/>
      <c r="AK537" s="171"/>
      <c r="AL537" s="171"/>
      <c r="AM537" s="22"/>
      <c r="AN537" s="22">
        <f t="shared" si="4"/>
        <v>6</v>
      </c>
      <c r="AO537" s="171"/>
    </row>
    <row r="538" spans="1:41" ht="15.75" customHeight="1">
      <c r="A538" s="167" t="s">
        <v>1086</v>
      </c>
      <c r="B538" s="22" t="s">
        <v>1085</v>
      </c>
      <c r="C538" s="168">
        <v>1</v>
      </c>
      <c r="D538" s="169" t="b">
        <v>1</v>
      </c>
      <c r="E538" s="170" t="s">
        <v>1948</v>
      </c>
      <c r="F538" s="171">
        <v>1</v>
      </c>
      <c r="G538" s="171">
        <v>1</v>
      </c>
      <c r="H538" s="171">
        <v>1</v>
      </c>
      <c r="I538" s="171">
        <v>1</v>
      </c>
      <c r="J538" s="171">
        <v>1</v>
      </c>
      <c r="K538" s="171"/>
      <c r="L538" s="171"/>
      <c r="M538" s="171"/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  <c r="AC538" s="171"/>
      <c r="AD538" s="171">
        <v>1</v>
      </c>
      <c r="AE538" s="171"/>
      <c r="AF538" s="171"/>
      <c r="AG538" s="171"/>
      <c r="AH538" s="171"/>
      <c r="AI538" s="171"/>
      <c r="AJ538" s="171"/>
      <c r="AK538" s="171"/>
      <c r="AL538" s="171"/>
      <c r="AM538" s="22"/>
      <c r="AN538" s="22">
        <f t="shared" si="4"/>
        <v>6</v>
      </c>
      <c r="AO538" s="171"/>
    </row>
    <row r="539" spans="1:41" ht="15.75" customHeight="1">
      <c r="A539" s="167" t="s">
        <v>1092</v>
      </c>
      <c r="B539" s="22" t="s">
        <v>1091</v>
      </c>
      <c r="C539" s="168">
        <v>1</v>
      </c>
      <c r="D539" s="169" t="b">
        <v>1</v>
      </c>
      <c r="E539" s="170" t="s">
        <v>1949</v>
      </c>
      <c r="F539" s="171">
        <v>1</v>
      </c>
      <c r="G539" s="171">
        <v>1</v>
      </c>
      <c r="H539" s="171">
        <v>1</v>
      </c>
      <c r="I539" s="171">
        <v>1</v>
      </c>
      <c r="J539" s="171">
        <v>1</v>
      </c>
      <c r="K539" s="171"/>
      <c r="L539" s="171"/>
      <c r="M539" s="171"/>
      <c r="N539" s="171"/>
      <c r="O539" s="171"/>
      <c r="P539" s="171"/>
      <c r="Q539" s="171"/>
      <c r="R539" s="171">
        <v>1</v>
      </c>
      <c r="S539" s="171"/>
      <c r="T539" s="171"/>
      <c r="U539" s="171"/>
      <c r="V539" s="171"/>
      <c r="W539" s="171"/>
      <c r="X539" s="171"/>
      <c r="Y539" s="171"/>
      <c r="Z539" s="171"/>
      <c r="AA539" s="171"/>
      <c r="AB539" s="171"/>
      <c r="AC539" s="171"/>
      <c r="AD539" s="171"/>
      <c r="AE539" s="171"/>
      <c r="AF539" s="171"/>
      <c r="AG539" s="171"/>
      <c r="AH539" s="171"/>
      <c r="AI539" s="171"/>
      <c r="AJ539" s="171"/>
      <c r="AK539" s="171"/>
      <c r="AL539" s="171"/>
      <c r="AM539" s="22"/>
      <c r="AN539" s="22">
        <f t="shared" si="4"/>
        <v>6</v>
      </c>
      <c r="AO539" s="171"/>
    </row>
    <row r="540" spans="1:41" ht="15.75" customHeight="1">
      <c r="A540" s="167" t="s">
        <v>1096</v>
      </c>
      <c r="B540" s="22" t="s">
        <v>1095</v>
      </c>
      <c r="C540" s="168">
        <v>1</v>
      </c>
      <c r="D540" s="169" t="b">
        <v>1</v>
      </c>
      <c r="E540" s="170" t="s">
        <v>1950</v>
      </c>
      <c r="F540" s="179">
        <v>1</v>
      </c>
      <c r="G540" s="179">
        <v>1</v>
      </c>
      <c r="H540" s="171">
        <v>1</v>
      </c>
      <c r="I540" s="179">
        <v>1</v>
      </c>
      <c r="J540" s="171">
        <v>1</v>
      </c>
      <c r="K540" s="171"/>
      <c r="L540" s="171">
        <v>1</v>
      </c>
      <c r="M540" s="171"/>
      <c r="N540" s="171"/>
      <c r="O540" s="171"/>
      <c r="P540" s="179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  <c r="AC540" s="171"/>
      <c r="AD540" s="171"/>
      <c r="AE540" s="171"/>
      <c r="AF540" s="171"/>
      <c r="AG540" s="171"/>
      <c r="AH540" s="171"/>
      <c r="AI540" s="171"/>
      <c r="AJ540" s="171"/>
      <c r="AK540" s="171"/>
      <c r="AL540" s="171"/>
      <c r="AM540" s="22"/>
      <c r="AN540" s="22">
        <f t="shared" si="4"/>
        <v>6</v>
      </c>
      <c r="AO540" s="171"/>
    </row>
    <row r="541" spans="1:41" ht="15.75" customHeight="1">
      <c r="A541" s="167" t="s">
        <v>1108</v>
      </c>
      <c r="B541" s="22" t="s">
        <v>1107</v>
      </c>
      <c r="C541" s="168">
        <v>1</v>
      </c>
      <c r="D541" s="169" t="b">
        <v>1</v>
      </c>
      <c r="E541" s="170" t="s">
        <v>1951</v>
      </c>
      <c r="F541" s="171">
        <v>1</v>
      </c>
      <c r="G541" s="171">
        <v>1</v>
      </c>
      <c r="H541" s="171">
        <v>1</v>
      </c>
      <c r="I541" s="171">
        <v>1</v>
      </c>
      <c r="J541" s="171">
        <v>1</v>
      </c>
      <c r="K541" s="171"/>
      <c r="L541" s="171"/>
      <c r="M541" s="171"/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  <c r="AC541" s="171"/>
      <c r="AD541" s="171"/>
      <c r="AE541" s="171"/>
      <c r="AF541" s="171"/>
      <c r="AG541" s="171"/>
      <c r="AH541" s="171"/>
      <c r="AI541" s="171"/>
      <c r="AJ541" s="171"/>
      <c r="AK541" s="171"/>
      <c r="AL541" s="171">
        <v>1</v>
      </c>
      <c r="AM541" s="22"/>
      <c r="AN541" s="22">
        <f t="shared" si="4"/>
        <v>6</v>
      </c>
      <c r="AO541" s="171" t="s">
        <v>1952</v>
      </c>
    </row>
    <row r="542" spans="1:41" ht="15.75" customHeight="1">
      <c r="A542" s="167" t="s">
        <v>1112</v>
      </c>
      <c r="B542" s="22" t="s">
        <v>1111</v>
      </c>
      <c r="C542" s="168">
        <v>1</v>
      </c>
      <c r="D542" s="169" t="b">
        <v>1</v>
      </c>
      <c r="E542" s="174" t="s">
        <v>1953</v>
      </c>
      <c r="F542" s="171">
        <v>1</v>
      </c>
      <c r="G542" s="171">
        <v>1</v>
      </c>
      <c r="H542" s="171">
        <v>1</v>
      </c>
      <c r="I542" s="171">
        <v>1</v>
      </c>
      <c r="J542" s="171">
        <v>1</v>
      </c>
      <c r="K542" s="171"/>
      <c r="L542" s="171"/>
      <c r="M542" s="171"/>
      <c r="N542" s="171"/>
      <c r="O542" s="171">
        <v>1</v>
      </c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  <c r="AC542" s="171"/>
      <c r="AD542" s="171"/>
      <c r="AE542" s="171"/>
      <c r="AF542" s="171"/>
      <c r="AG542" s="171"/>
      <c r="AH542" s="171"/>
      <c r="AI542" s="171"/>
      <c r="AJ542" s="171"/>
      <c r="AK542" s="171"/>
      <c r="AL542" s="171"/>
      <c r="AM542" s="22"/>
      <c r="AN542" s="22">
        <f t="shared" si="4"/>
        <v>6</v>
      </c>
      <c r="AO542" s="171"/>
    </row>
    <row r="543" spans="1:41" ht="15.75" customHeight="1">
      <c r="A543" s="167" t="s">
        <v>1118</v>
      </c>
      <c r="B543" s="22" t="s">
        <v>1117</v>
      </c>
      <c r="C543" s="168">
        <v>1</v>
      </c>
      <c r="D543" s="169" t="b">
        <v>1</v>
      </c>
      <c r="E543" s="170" t="s">
        <v>1954</v>
      </c>
      <c r="F543" s="171">
        <v>1</v>
      </c>
      <c r="G543" s="171">
        <v>1</v>
      </c>
      <c r="H543" s="171">
        <v>1</v>
      </c>
      <c r="I543" s="171">
        <v>1</v>
      </c>
      <c r="J543" s="171">
        <v>1</v>
      </c>
      <c r="K543" s="171"/>
      <c r="L543" s="171">
        <v>1</v>
      </c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  <c r="AC543" s="171"/>
      <c r="AD543" s="171"/>
      <c r="AE543" s="171"/>
      <c r="AF543" s="171"/>
      <c r="AG543" s="171"/>
      <c r="AH543" s="171"/>
      <c r="AI543" s="171"/>
      <c r="AJ543" s="171"/>
      <c r="AK543" s="171"/>
      <c r="AL543" s="171"/>
      <c r="AM543" s="22"/>
      <c r="AN543" s="22">
        <f t="shared" si="4"/>
        <v>6</v>
      </c>
      <c r="AO543" s="171"/>
    </row>
    <row r="544" spans="1:41" ht="15.75" customHeight="1">
      <c r="A544" s="167" t="s">
        <v>1126</v>
      </c>
      <c r="B544" s="22" t="s">
        <v>1125</v>
      </c>
      <c r="C544" s="168">
        <v>1</v>
      </c>
      <c r="D544" s="169" t="b">
        <v>1</v>
      </c>
      <c r="E544" s="170" t="s">
        <v>1955</v>
      </c>
      <c r="F544" s="171">
        <v>1</v>
      </c>
      <c r="G544" s="171">
        <v>1</v>
      </c>
      <c r="H544" s="171">
        <v>1</v>
      </c>
      <c r="I544" s="171">
        <v>1</v>
      </c>
      <c r="J544" s="171">
        <v>1</v>
      </c>
      <c r="K544" s="171">
        <v>1</v>
      </c>
      <c r="L544" s="171"/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  <c r="AC544" s="171"/>
      <c r="AD544" s="171"/>
      <c r="AE544" s="171"/>
      <c r="AF544" s="171"/>
      <c r="AG544" s="171"/>
      <c r="AH544" s="171"/>
      <c r="AI544" s="171"/>
      <c r="AJ544" s="171"/>
      <c r="AK544" s="171"/>
      <c r="AL544" s="171"/>
      <c r="AM544" s="22"/>
      <c r="AN544" s="22">
        <f t="shared" si="4"/>
        <v>6</v>
      </c>
      <c r="AO544" s="171"/>
    </row>
    <row r="545" spans="1:41" ht="15.75" customHeight="1">
      <c r="A545" s="167" t="s">
        <v>1134</v>
      </c>
      <c r="B545" s="22" t="s">
        <v>1133</v>
      </c>
      <c r="C545" s="168">
        <v>1</v>
      </c>
      <c r="D545" s="169" t="b">
        <v>1</v>
      </c>
      <c r="E545" s="170" t="s">
        <v>1956</v>
      </c>
      <c r="F545" s="171">
        <v>1</v>
      </c>
      <c r="G545" s="171">
        <v>1</v>
      </c>
      <c r="H545" s="171">
        <v>1</v>
      </c>
      <c r="I545" s="171">
        <v>1</v>
      </c>
      <c r="J545" s="171">
        <v>1</v>
      </c>
      <c r="K545" s="171">
        <v>1</v>
      </c>
      <c r="L545" s="171"/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  <c r="AC545" s="171"/>
      <c r="AD545" s="171"/>
      <c r="AE545" s="171"/>
      <c r="AF545" s="171"/>
      <c r="AG545" s="171"/>
      <c r="AH545" s="171"/>
      <c r="AI545" s="171"/>
      <c r="AJ545" s="171"/>
      <c r="AK545" s="171"/>
      <c r="AL545" s="171"/>
      <c r="AM545" s="22"/>
      <c r="AN545" s="22">
        <f t="shared" si="4"/>
        <v>6</v>
      </c>
      <c r="AO545" s="171"/>
    </row>
    <row r="546" spans="1:41" ht="15.75" customHeight="1">
      <c r="A546" s="167" t="s">
        <v>1145</v>
      </c>
      <c r="B546" s="22" t="s">
        <v>1144</v>
      </c>
      <c r="C546" s="168">
        <v>1</v>
      </c>
      <c r="D546" s="169" t="b">
        <v>1</v>
      </c>
      <c r="E546" s="170" t="s">
        <v>1421</v>
      </c>
      <c r="F546" s="171"/>
      <c r="G546" s="171"/>
      <c r="H546" s="171"/>
      <c r="I546" s="171">
        <v>1</v>
      </c>
      <c r="J546" s="171"/>
      <c r="K546" s="171"/>
      <c r="L546" s="171"/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>
        <v>1</v>
      </c>
      <c r="Z546" s="171">
        <v>1</v>
      </c>
      <c r="AA546" s="171">
        <v>1</v>
      </c>
      <c r="AB546" s="171">
        <v>1</v>
      </c>
      <c r="AC546" s="171"/>
      <c r="AD546" s="171"/>
      <c r="AE546" s="171"/>
      <c r="AF546" s="171">
        <v>1</v>
      </c>
      <c r="AG546" s="171"/>
      <c r="AH546" s="171"/>
      <c r="AI546" s="171"/>
      <c r="AJ546" s="171"/>
      <c r="AK546" s="171"/>
      <c r="AL546" s="171"/>
      <c r="AM546" s="22"/>
      <c r="AN546" s="22">
        <f t="shared" si="4"/>
        <v>6</v>
      </c>
      <c r="AO546" s="171"/>
    </row>
    <row r="547" spans="1:41" ht="15.75" customHeight="1">
      <c r="A547" s="167" t="s">
        <v>1153</v>
      </c>
      <c r="B547" s="22" t="s">
        <v>1152</v>
      </c>
      <c r="C547" s="168">
        <v>1</v>
      </c>
      <c r="D547" s="169" t="b">
        <v>1</v>
      </c>
      <c r="E547" s="170" t="s">
        <v>1421</v>
      </c>
      <c r="F547" s="171"/>
      <c r="G547" s="171"/>
      <c r="H547" s="171"/>
      <c r="I547" s="171"/>
      <c r="J547" s="171"/>
      <c r="K547" s="171"/>
      <c r="L547" s="171"/>
      <c r="M547" s="171"/>
      <c r="N547" s="171"/>
      <c r="O547" s="171"/>
      <c r="P547" s="171"/>
      <c r="Q547" s="171"/>
      <c r="R547" s="171"/>
      <c r="S547" s="171"/>
      <c r="T547" s="171"/>
      <c r="U547" s="171"/>
      <c r="V547" s="171"/>
      <c r="W547" s="171"/>
      <c r="X547" s="171"/>
      <c r="Y547" s="171">
        <v>1</v>
      </c>
      <c r="Z547" s="171">
        <v>1</v>
      </c>
      <c r="AA547" s="171">
        <v>1</v>
      </c>
      <c r="AB547" s="171"/>
      <c r="AC547" s="171"/>
      <c r="AD547" s="171"/>
      <c r="AE547" s="171">
        <v>1</v>
      </c>
      <c r="AF547" s="171"/>
      <c r="AG547" s="171"/>
      <c r="AH547" s="171"/>
      <c r="AI547" s="171"/>
      <c r="AJ547" s="171"/>
      <c r="AK547" s="171"/>
      <c r="AL547" s="171">
        <v>2</v>
      </c>
      <c r="AM547" s="22"/>
      <c r="AN547" s="22">
        <f t="shared" si="4"/>
        <v>6</v>
      </c>
      <c r="AO547" s="171" t="s">
        <v>1957</v>
      </c>
    </row>
    <row r="548" spans="1:41" ht="15.75" customHeight="1">
      <c r="A548" s="167" t="s">
        <v>1157</v>
      </c>
      <c r="B548" s="22" t="s">
        <v>1156</v>
      </c>
      <c r="C548" s="168">
        <v>1</v>
      </c>
      <c r="D548" s="169" t="b">
        <v>1</v>
      </c>
      <c r="E548" s="170" t="s">
        <v>1421</v>
      </c>
      <c r="F548" s="171"/>
      <c r="G548" s="171"/>
      <c r="H548" s="171"/>
      <c r="I548" s="171">
        <v>1</v>
      </c>
      <c r="J548" s="171"/>
      <c r="K548" s="171"/>
      <c r="L548" s="171"/>
      <c r="M548" s="171"/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>
        <v>1</v>
      </c>
      <c r="Z548" s="171">
        <v>1</v>
      </c>
      <c r="AA548" s="171">
        <v>1</v>
      </c>
      <c r="AB548" s="171">
        <v>1</v>
      </c>
      <c r="AC548" s="171"/>
      <c r="AD548" s="171"/>
      <c r="AE548" s="171"/>
      <c r="AF548" s="171">
        <v>1</v>
      </c>
      <c r="AG548" s="171"/>
      <c r="AH548" s="171"/>
      <c r="AI548" s="171"/>
      <c r="AJ548" s="171"/>
      <c r="AK548" s="171"/>
      <c r="AL548" s="171"/>
      <c r="AM548" s="22"/>
      <c r="AN548" s="22">
        <f t="shared" si="4"/>
        <v>6</v>
      </c>
      <c r="AO548" s="171"/>
    </row>
    <row r="549" spans="1:41" ht="15.75" customHeight="1">
      <c r="A549" s="167" t="s">
        <v>1165</v>
      </c>
      <c r="B549" s="22" t="s">
        <v>1164</v>
      </c>
      <c r="C549" s="168">
        <v>1</v>
      </c>
      <c r="D549" s="169" t="b">
        <v>1</v>
      </c>
      <c r="E549" s="170" t="s">
        <v>1421</v>
      </c>
      <c r="F549" s="171"/>
      <c r="G549" s="171"/>
      <c r="H549" s="171"/>
      <c r="I549" s="171">
        <v>1</v>
      </c>
      <c r="J549" s="171"/>
      <c r="K549" s="171">
        <v>2</v>
      </c>
      <c r="L549" s="171"/>
      <c r="M549" s="171"/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>
        <v>1</v>
      </c>
      <c r="Z549" s="171">
        <v>1</v>
      </c>
      <c r="AA549" s="171">
        <v>1</v>
      </c>
      <c r="AB549" s="171"/>
      <c r="AC549" s="171"/>
      <c r="AD549" s="171"/>
      <c r="AE549" s="171"/>
      <c r="AF549" s="171"/>
      <c r="AG549" s="171"/>
      <c r="AH549" s="171"/>
      <c r="AI549" s="171"/>
      <c r="AJ549" s="171"/>
      <c r="AK549" s="171"/>
      <c r="AL549" s="171"/>
      <c r="AM549" s="22"/>
      <c r="AN549" s="22">
        <f t="shared" si="4"/>
        <v>6</v>
      </c>
      <c r="AO549" s="171"/>
    </row>
    <row r="550" spans="1:41" ht="15.75" customHeight="1">
      <c r="A550" s="167" t="s">
        <v>1190</v>
      </c>
      <c r="B550" s="22" t="s">
        <v>1189</v>
      </c>
      <c r="C550" s="168">
        <v>1</v>
      </c>
      <c r="D550" s="169" t="b">
        <v>1</v>
      </c>
      <c r="E550" s="170" t="s">
        <v>1958</v>
      </c>
      <c r="F550" s="171">
        <v>1</v>
      </c>
      <c r="G550" s="171">
        <v>1</v>
      </c>
      <c r="H550" s="171">
        <v>1</v>
      </c>
      <c r="I550" s="171"/>
      <c r="J550" s="171">
        <v>1</v>
      </c>
      <c r="K550" s="171"/>
      <c r="L550" s="171"/>
      <c r="M550" s="171"/>
      <c r="N550" s="171">
        <v>1</v>
      </c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  <c r="AC550" s="171"/>
      <c r="AD550" s="171"/>
      <c r="AE550" s="171"/>
      <c r="AF550" s="171"/>
      <c r="AG550" s="171"/>
      <c r="AH550" s="171"/>
      <c r="AI550" s="171"/>
      <c r="AJ550" s="171"/>
      <c r="AK550" s="171"/>
      <c r="AL550" s="171">
        <v>1</v>
      </c>
      <c r="AM550" s="22"/>
      <c r="AN550" s="22">
        <f t="shared" si="4"/>
        <v>6</v>
      </c>
      <c r="AO550" s="171" t="s">
        <v>1959</v>
      </c>
    </row>
    <row r="551" spans="1:41" ht="15.75" customHeight="1">
      <c r="A551" s="167" t="s">
        <v>1194</v>
      </c>
      <c r="B551" s="22" t="s">
        <v>1193</v>
      </c>
      <c r="C551" s="168">
        <v>1</v>
      </c>
      <c r="D551" s="169" t="b">
        <v>1</v>
      </c>
      <c r="E551" s="170" t="s">
        <v>1960</v>
      </c>
      <c r="F551" s="171">
        <v>1</v>
      </c>
      <c r="G551" s="171">
        <v>1</v>
      </c>
      <c r="H551" s="171">
        <v>1</v>
      </c>
      <c r="I551" s="171">
        <v>1</v>
      </c>
      <c r="J551" s="171">
        <v>1</v>
      </c>
      <c r="K551" s="171"/>
      <c r="L551" s="171"/>
      <c r="M551" s="171"/>
      <c r="N551" s="171">
        <v>1</v>
      </c>
      <c r="O551" s="171"/>
      <c r="P551" s="171"/>
      <c r="Q551" s="171"/>
      <c r="R551" s="171"/>
      <c r="S551" s="171"/>
      <c r="T551" s="171"/>
      <c r="U551" s="171"/>
      <c r="V551" s="171"/>
      <c r="W551" s="171"/>
      <c r="X551" s="171"/>
      <c r="Y551" s="171"/>
      <c r="Z551" s="171"/>
      <c r="AA551" s="171"/>
      <c r="AB551" s="171"/>
      <c r="AC551" s="171"/>
      <c r="AD551" s="171"/>
      <c r="AE551" s="171"/>
      <c r="AF551" s="171"/>
      <c r="AG551" s="171"/>
      <c r="AH551" s="171"/>
      <c r="AI551" s="171"/>
      <c r="AJ551" s="171"/>
      <c r="AK551" s="171"/>
      <c r="AL551" s="171"/>
      <c r="AM551" s="22"/>
      <c r="AN551" s="22">
        <f t="shared" si="4"/>
        <v>6</v>
      </c>
      <c r="AO551" s="171"/>
    </row>
    <row r="552" spans="1:41" ht="15.75" customHeight="1">
      <c r="A552" s="167" t="s">
        <v>1208</v>
      </c>
      <c r="B552" s="22" t="s">
        <v>1207</v>
      </c>
      <c r="C552" s="168">
        <v>1</v>
      </c>
      <c r="D552" s="169" t="b">
        <v>1</v>
      </c>
      <c r="E552" s="170" t="s">
        <v>1961</v>
      </c>
      <c r="F552" s="171">
        <v>1</v>
      </c>
      <c r="G552" s="171">
        <v>1</v>
      </c>
      <c r="H552" s="171">
        <v>1</v>
      </c>
      <c r="I552" s="171"/>
      <c r="J552" s="171">
        <v>1</v>
      </c>
      <c r="K552" s="171">
        <v>1</v>
      </c>
      <c r="L552" s="171"/>
      <c r="M552" s="171"/>
      <c r="N552" s="171">
        <v>1</v>
      </c>
      <c r="O552" s="171"/>
      <c r="P552" s="171"/>
      <c r="Q552" s="171"/>
      <c r="R552" s="171"/>
      <c r="S552" s="171"/>
      <c r="T552" s="171"/>
      <c r="U552" s="171"/>
      <c r="V552" s="171"/>
      <c r="W552" s="171"/>
      <c r="X552" s="171"/>
      <c r="Y552" s="171"/>
      <c r="Z552" s="171"/>
      <c r="AA552" s="171"/>
      <c r="AB552" s="171"/>
      <c r="AC552" s="171"/>
      <c r="AD552" s="171"/>
      <c r="AE552" s="171"/>
      <c r="AF552" s="171"/>
      <c r="AG552" s="171"/>
      <c r="AH552" s="171"/>
      <c r="AI552" s="171"/>
      <c r="AJ552" s="171"/>
      <c r="AK552" s="171"/>
      <c r="AL552" s="171"/>
      <c r="AM552" s="22"/>
      <c r="AN552" s="22">
        <f t="shared" si="4"/>
        <v>6</v>
      </c>
      <c r="AO552" s="171"/>
    </row>
    <row r="553" spans="1:41" ht="15.75" customHeight="1">
      <c r="A553" s="167" t="s">
        <v>1212</v>
      </c>
      <c r="B553" s="22" t="s">
        <v>1211</v>
      </c>
      <c r="C553" s="168">
        <v>1</v>
      </c>
      <c r="D553" s="169" t="b">
        <v>1</v>
      </c>
      <c r="E553" s="170" t="s">
        <v>1962</v>
      </c>
      <c r="F553" s="171">
        <v>1</v>
      </c>
      <c r="G553" s="171">
        <v>1</v>
      </c>
      <c r="H553" s="171">
        <v>1</v>
      </c>
      <c r="I553" s="171"/>
      <c r="J553" s="171">
        <v>1</v>
      </c>
      <c r="K553" s="171">
        <v>1</v>
      </c>
      <c r="L553" s="171"/>
      <c r="M553" s="171"/>
      <c r="N553" s="171">
        <v>1</v>
      </c>
      <c r="O553" s="171"/>
      <c r="P553" s="171"/>
      <c r="Q553" s="171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  <c r="AC553" s="171"/>
      <c r="AD553" s="171"/>
      <c r="AE553" s="171"/>
      <c r="AF553" s="171"/>
      <c r="AG553" s="171"/>
      <c r="AH553" s="171"/>
      <c r="AI553" s="171"/>
      <c r="AJ553" s="171"/>
      <c r="AK553" s="171"/>
      <c r="AL553" s="171"/>
      <c r="AM553" s="22"/>
      <c r="AN553" s="22">
        <f t="shared" si="4"/>
        <v>6</v>
      </c>
      <c r="AO553" s="171"/>
    </row>
    <row r="554" spans="1:41" ht="15.75" customHeight="1">
      <c r="A554" s="167" t="s">
        <v>1222</v>
      </c>
      <c r="B554" s="22" t="s">
        <v>1221</v>
      </c>
      <c r="C554" s="168">
        <v>1</v>
      </c>
      <c r="D554" s="169" t="b">
        <v>1</v>
      </c>
      <c r="E554" s="170" t="s">
        <v>1963</v>
      </c>
      <c r="F554" s="171">
        <v>1</v>
      </c>
      <c r="G554" s="171">
        <v>1</v>
      </c>
      <c r="H554" s="171">
        <v>1</v>
      </c>
      <c r="I554" s="171">
        <v>1</v>
      </c>
      <c r="J554" s="171">
        <v>1</v>
      </c>
      <c r="K554" s="171"/>
      <c r="L554" s="171"/>
      <c r="M554" s="171"/>
      <c r="N554" s="171">
        <v>1</v>
      </c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  <c r="AC554" s="171"/>
      <c r="AD554" s="171"/>
      <c r="AE554" s="171"/>
      <c r="AF554" s="171"/>
      <c r="AG554" s="171"/>
      <c r="AH554" s="171"/>
      <c r="AI554" s="171"/>
      <c r="AJ554" s="171"/>
      <c r="AK554" s="171"/>
      <c r="AL554" s="171"/>
      <c r="AM554" s="22"/>
      <c r="AN554" s="22">
        <f t="shared" si="4"/>
        <v>6</v>
      </c>
      <c r="AO554" s="171"/>
    </row>
    <row r="555" spans="1:41" ht="15.75" customHeight="1">
      <c r="A555" s="167" t="s">
        <v>1262</v>
      </c>
      <c r="B555" s="22" t="s">
        <v>1261</v>
      </c>
      <c r="C555" s="168">
        <v>1</v>
      </c>
      <c r="D555" s="169" t="b">
        <v>1</v>
      </c>
      <c r="E555" s="170" t="s">
        <v>1964</v>
      </c>
      <c r="F555" s="171">
        <v>1</v>
      </c>
      <c r="G555" s="171">
        <v>1</v>
      </c>
      <c r="H555" s="171">
        <v>1</v>
      </c>
      <c r="I555" s="171"/>
      <c r="J555" s="171">
        <v>1</v>
      </c>
      <c r="K555" s="171"/>
      <c r="L555" s="171"/>
      <c r="M555" s="171"/>
      <c r="N555" s="171">
        <v>1</v>
      </c>
      <c r="O555" s="171"/>
      <c r="P555" s="171"/>
      <c r="Q555" s="171"/>
      <c r="R555" s="171"/>
      <c r="S555" s="171"/>
      <c r="T555" s="171"/>
      <c r="U555" s="171">
        <v>1</v>
      </c>
      <c r="V555" s="171"/>
      <c r="W555" s="171"/>
      <c r="X555" s="171"/>
      <c r="Y555" s="171"/>
      <c r="Z555" s="171"/>
      <c r="AA555" s="171"/>
      <c r="AB555" s="171"/>
      <c r="AC555" s="171"/>
      <c r="AD555" s="171"/>
      <c r="AE555" s="171"/>
      <c r="AF555" s="171"/>
      <c r="AG555" s="171"/>
      <c r="AH555" s="171"/>
      <c r="AI555" s="171"/>
      <c r="AJ555" s="171"/>
      <c r="AK555" s="171"/>
      <c r="AL555" s="171"/>
      <c r="AM555" s="22"/>
      <c r="AN555" s="22">
        <f t="shared" si="4"/>
        <v>6</v>
      </c>
      <c r="AO555" s="171"/>
    </row>
    <row r="556" spans="1:41" ht="15.75" customHeight="1">
      <c r="A556" s="167" t="s">
        <v>1278</v>
      </c>
      <c r="B556" s="22" t="s">
        <v>1277</v>
      </c>
      <c r="C556" s="168">
        <v>1</v>
      </c>
      <c r="D556" s="169" t="b">
        <v>1</v>
      </c>
      <c r="E556" s="170" t="s">
        <v>1965</v>
      </c>
      <c r="F556" s="171">
        <v>1</v>
      </c>
      <c r="G556" s="171">
        <v>1</v>
      </c>
      <c r="H556" s="171">
        <v>1</v>
      </c>
      <c r="I556" s="171">
        <v>1</v>
      </c>
      <c r="J556" s="171">
        <v>1</v>
      </c>
      <c r="K556" s="171"/>
      <c r="L556" s="171"/>
      <c r="M556" s="171"/>
      <c r="N556" s="171">
        <v>1</v>
      </c>
      <c r="O556" s="171"/>
      <c r="P556" s="171"/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  <c r="AC556" s="171"/>
      <c r="AD556" s="171"/>
      <c r="AE556" s="171"/>
      <c r="AF556" s="171"/>
      <c r="AG556" s="171"/>
      <c r="AH556" s="171"/>
      <c r="AI556" s="171"/>
      <c r="AJ556" s="171"/>
      <c r="AK556" s="171"/>
      <c r="AL556" s="171"/>
      <c r="AM556" s="22"/>
      <c r="AN556" s="22">
        <f t="shared" si="4"/>
        <v>6</v>
      </c>
      <c r="AO556" s="171"/>
    </row>
    <row r="557" spans="1:41" ht="15.75" customHeight="1">
      <c r="A557" s="167" t="s">
        <v>1280</v>
      </c>
      <c r="B557" s="22" t="s">
        <v>1279</v>
      </c>
      <c r="C557" s="168">
        <v>1</v>
      </c>
      <c r="D557" s="169" t="b">
        <v>1</v>
      </c>
      <c r="E557" s="170" t="s">
        <v>1966</v>
      </c>
      <c r="F557" s="171">
        <v>1</v>
      </c>
      <c r="G557" s="171">
        <v>1</v>
      </c>
      <c r="H557" s="171">
        <v>1</v>
      </c>
      <c r="I557" s="171">
        <v>1</v>
      </c>
      <c r="J557" s="171">
        <v>1</v>
      </c>
      <c r="K557" s="171"/>
      <c r="L557" s="171"/>
      <c r="M557" s="171"/>
      <c r="N557" s="171">
        <v>1</v>
      </c>
      <c r="O557" s="171"/>
      <c r="P557" s="171"/>
      <c r="Q557" s="171"/>
      <c r="R557" s="171"/>
      <c r="S557" s="171"/>
      <c r="T557" s="171"/>
      <c r="U557" s="171"/>
      <c r="V557" s="171"/>
      <c r="W557" s="171"/>
      <c r="X557" s="171"/>
      <c r="Y557" s="171"/>
      <c r="Z557" s="171"/>
      <c r="AA557" s="171"/>
      <c r="AB557" s="171"/>
      <c r="AC557" s="171"/>
      <c r="AD557" s="171"/>
      <c r="AE557" s="171"/>
      <c r="AF557" s="171"/>
      <c r="AG557" s="171"/>
      <c r="AH557" s="171"/>
      <c r="AI557" s="171"/>
      <c r="AJ557" s="171"/>
      <c r="AK557" s="171"/>
      <c r="AL557" s="171"/>
      <c r="AM557" s="22"/>
      <c r="AN557" s="22">
        <f t="shared" si="4"/>
        <v>6</v>
      </c>
      <c r="AO557" s="171"/>
    </row>
    <row r="558" spans="1:41" ht="15.75" customHeight="1">
      <c r="A558" s="167" t="s">
        <v>1284</v>
      </c>
      <c r="B558" s="22" t="s">
        <v>1283</v>
      </c>
      <c r="C558" s="168">
        <v>1</v>
      </c>
      <c r="D558" s="169" t="b">
        <v>1</v>
      </c>
      <c r="E558" s="174" t="s">
        <v>1967</v>
      </c>
      <c r="F558" s="171">
        <v>1</v>
      </c>
      <c r="G558" s="171">
        <v>1</v>
      </c>
      <c r="H558" s="171">
        <v>1</v>
      </c>
      <c r="I558" s="171"/>
      <c r="J558" s="171">
        <v>1</v>
      </c>
      <c r="K558" s="171">
        <v>1</v>
      </c>
      <c r="L558" s="171"/>
      <c r="M558" s="171"/>
      <c r="N558" s="171">
        <v>1</v>
      </c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  <c r="AC558" s="171"/>
      <c r="AD558" s="171"/>
      <c r="AE558" s="171"/>
      <c r="AF558" s="171"/>
      <c r="AG558" s="171"/>
      <c r="AH558" s="171"/>
      <c r="AI558" s="171"/>
      <c r="AJ558" s="171"/>
      <c r="AK558" s="171"/>
      <c r="AL558" s="171"/>
      <c r="AM558" s="22"/>
      <c r="AN558" s="22">
        <f t="shared" si="4"/>
        <v>6</v>
      </c>
      <c r="AO558" s="171"/>
    </row>
    <row r="559" spans="1:41" ht="15.75" customHeight="1">
      <c r="A559" s="167" t="s">
        <v>1288</v>
      </c>
      <c r="B559" s="22" t="s">
        <v>1287</v>
      </c>
      <c r="C559" s="168">
        <v>1</v>
      </c>
      <c r="D559" s="169" t="b">
        <v>1</v>
      </c>
      <c r="E559" s="183" t="s">
        <v>1968</v>
      </c>
      <c r="F559" s="171">
        <v>1</v>
      </c>
      <c r="G559" s="171">
        <v>1</v>
      </c>
      <c r="H559" s="171">
        <v>1</v>
      </c>
      <c r="I559" s="171">
        <v>1</v>
      </c>
      <c r="J559" s="171">
        <v>1</v>
      </c>
      <c r="K559" s="171"/>
      <c r="L559" s="171"/>
      <c r="M559" s="171"/>
      <c r="N559" s="171">
        <v>1</v>
      </c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  <c r="AC559" s="171"/>
      <c r="AD559" s="171"/>
      <c r="AE559" s="171"/>
      <c r="AF559" s="171"/>
      <c r="AG559" s="171"/>
      <c r="AH559" s="171"/>
      <c r="AI559" s="171"/>
      <c r="AJ559" s="171"/>
      <c r="AK559" s="171"/>
      <c r="AL559" s="171"/>
      <c r="AM559" s="22"/>
      <c r="AN559" s="22">
        <f t="shared" si="4"/>
        <v>6</v>
      </c>
      <c r="AO559" s="171"/>
    </row>
    <row r="560" spans="1:41" ht="15.75" customHeight="1">
      <c r="A560" s="167" t="s">
        <v>1307</v>
      </c>
      <c r="B560" s="22" t="s">
        <v>1306</v>
      </c>
      <c r="C560" s="168">
        <v>1</v>
      </c>
      <c r="D560" s="169" t="b">
        <v>1</v>
      </c>
      <c r="E560" s="170" t="s">
        <v>1793</v>
      </c>
      <c r="F560" s="171">
        <v>1</v>
      </c>
      <c r="G560" s="171">
        <v>1</v>
      </c>
      <c r="H560" s="171">
        <v>1</v>
      </c>
      <c r="I560" s="171">
        <v>1</v>
      </c>
      <c r="J560" s="171">
        <v>1</v>
      </c>
      <c r="K560" s="171"/>
      <c r="L560" s="171"/>
      <c r="M560" s="171"/>
      <c r="N560" s="171"/>
      <c r="O560" s="171"/>
      <c r="P560" s="171"/>
      <c r="Q560" s="171">
        <v>1</v>
      </c>
      <c r="R560" s="171"/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  <c r="AC560" s="171"/>
      <c r="AD560" s="171"/>
      <c r="AE560" s="171"/>
      <c r="AF560" s="171"/>
      <c r="AG560" s="171"/>
      <c r="AH560" s="171"/>
      <c r="AI560" s="171"/>
      <c r="AJ560" s="171"/>
      <c r="AK560" s="171"/>
      <c r="AL560" s="171"/>
      <c r="AM560" s="22"/>
      <c r="AN560" s="22">
        <f t="shared" si="4"/>
        <v>6</v>
      </c>
      <c r="AO560" s="171"/>
    </row>
    <row r="561" spans="1:41" ht="15.75" customHeight="1">
      <c r="A561" s="167" t="s">
        <v>1311</v>
      </c>
      <c r="B561" s="22" t="s">
        <v>1310</v>
      </c>
      <c r="C561" s="168">
        <v>1</v>
      </c>
      <c r="D561" s="169" t="b">
        <v>1</v>
      </c>
      <c r="E561" s="174" t="s">
        <v>1969</v>
      </c>
      <c r="F561" s="171">
        <v>1</v>
      </c>
      <c r="G561" s="171">
        <v>1</v>
      </c>
      <c r="H561" s="171">
        <v>1</v>
      </c>
      <c r="I561" s="171">
        <v>1</v>
      </c>
      <c r="J561" s="171">
        <v>1</v>
      </c>
      <c r="K561" s="171"/>
      <c r="L561" s="171"/>
      <c r="M561" s="171"/>
      <c r="N561" s="171"/>
      <c r="O561" s="171"/>
      <c r="P561" s="171"/>
      <c r="Q561" s="171">
        <v>1</v>
      </c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  <c r="AC561" s="171"/>
      <c r="AD561" s="171"/>
      <c r="AE561" s="171"/>
      <c r="AF561" s="171"/>
      <c r="AG561" s="171"/>
      <c r="AH561" s="171"/>
      <c r="AI561" s="171"/>
      <c r="AJ561" s="171"/>
      <c r="AK561" s="171"/>
      <c r="AL561" s="171"/>
      <c r="AM561" s="22"/>
      <c r="AN561" s="22">
        <f t="shared" si="4"/>
        <v>6</v>
      </c>
      <c r="AO561" s="171"/>
    </row>
    <row r="562" spans="1:41" ht="15.75" customHeight="1">
      <c r="A562" s="167" t="s">
        <v>1313</v>
      </c>
      <c r="B562" s="22" t="s">
        <v>1312</v>
      </c>
      <c r="C562" s="168">
        <v>1</v>
      </c>
      <c r="D562" s="169" t="b">
        <v>1</v>
      </c>
      <c r="E562" s="174" t="s">
        <v>1970</v>
      </c>
      <c r="F562" s="171">
        <v>1</v>
      </c>
      <c r="G562" s="171">
        <v>1</v>
      </c>
      <c r="H562" s="171">
        <v>1</v>
      </c>
      <c r="I562" s="171">
        <v>1</v>
      </c>
      <c r="J562" s="171">
        <v>1</v>
      </c>
      <c r="K562" s="171"/>
      <c r="L562" s="171"/>
      <c r="M562" s="171"/>
      <c r="N562" s="171"/>
      <c r="O562" s="171"/>
      <c r="P562" s="171"/>
      <c r="Q562" s="171">
        <v>1</v>
      </c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  <c r="AC562" s="171"/>
      <c r="AD562" s="171"/>
      <c r="AE562" s="171"/>
      <c r="AF562" s="171"/>
      <c r="AG562" s="171"/>
      <c r="AH562" s="171"/>
      <c r="AI562" s="171"/>
      <c r="AJ562" s="171"/>
      <c r="AK562" s="171"/>
      <c r="AL562" s="171"/>
      <c r="AM562" s="22"/>
      <c r="AN562" s="22">
        <f t="shared" si="4"/>
        <v>6</v>
      </c>
      <c r="AO562" s="171"/>
    </row>
    <row r="563" spans="1:41" ht="15.75" customHeight="1">
      <c r="A563" s="167" t="s">
        <v>1321</v>
      </c>
      <c r="B563" s="22" t="s">
        <v>1320</v>
      </c>
      <c r="C563" s="168">
        <v>1</v>
      </c>
      <c r="D563" s="169" t="b">
        <v>1</v>
      </c>
      <c r="E563" s="174" t="s">
        <v>1971</v>
      </c>
      <c r="F563" s="171">
        <v>1</v>
      </c>
      <c r="G563" s="171">
        <v>1</v>
      </c>
      <c r="H563" s="171">
        <v>1</v>
      </c>
      <c r="I563" s="171">
        <v>1</v>
      </c>
      <c r="J563" s="171">
        <v>1</v>
      </c>
      <c r="K563" s="171"/>
      <c r="L563" s="171"/>
      <c r="M563" s="171"/>
      <c r="N563" s="171"/>
      <c r="O563" s="171"/>
      <c r="P563" s="171"/>
      <c r="Q563" s="171">
        <v>1</v>
      </c>
      <c r="R563" s="171"/>
      <c r="S563" s="171"/>
      <c r="T563" s="171"/>
      <c r="U563" s="171"/>
      <c r="V563" s="171"/>
      <c r="W563" s="171"/>
      <c r="X563" s="171"/>
      <c r="Y563" s="171"/>
      <c r="Z563" s="171"/>
      <c r="AA563" s="171"/>
      <c r="AB563" s="171"/>
      <c r="AC563" s="171"/>
      <c r="AD563" s="171"/>
      <c r="AE563" s="171"/>
      <c r="AF563" s="171"/>
      <c r="AG563" s="171"/>
      <c r="AH563" s="171"/>
      <c r="AI563" s="171"/>
      <c r="AJ563" s="171"/>
      <c r="AK563" s="171"/>
      <c r="AL563" s="171"/>
      <c r="AM563" s="22"/>
      <c r="AN563" s="22">
        <f t="shared" si="4"/>
        <v>6</v>
      </c>
      <c r="AO563" s="171"/>
    </row>
    <row r="564" spans="1:41" ht="15.75" customHeight="1">
      <c r="A564" s="167" t="s">
        <v>1335</v>
      </c>
      <c r="B564" s="22" t="s">
        <v>1334</v>
      </c>
      <c r="C564" s="168">
        <v>1</v>
      </c>
      <c r="D564" s="169" t="b">
        <v>1</v>
      </c>
      <c r="E564" s="170" t="s">
        <v>1616</v>
      </c>
      <c r="F564" s="171">
        <v>1</v>
      </c>
      <c r="G564" s="171">
        <v>1</v>
      </c>
      <c r="H564" s="171">
        <v>1</v>
      </c>
      <c r="I564" s="171">
        <v>1</v>
      </c>
      <c r="J564" s="171">
        <v>1</v>
      </c>
      <c r="K564" s="171"/>
      <c r="L564" s="171"/>
      <c r="M564" s="171"/>
      <c r="N564" s="171"/>
      <c r="O564" s="171"/>
      <c r="P564" s="171"/>
      <c r="Q564" s="171">
        <v>1</v>
      </c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  <c r="AC564" s="171"/>
      <c r="AD564" s="171"/>
      <c r="AE564" s="171"/>
      <c r="AF564" s="171"/>
      <c r="AG564" s="171"/>
      <c r="AH564" s="171"/>
      <c r="AI564" s="171"/>
      <c r="AJ564" s="171"/>
      <c r="AK564" s="171"/>
      <c r="AL564" s="171"/>
      <c r="AM564" s="22"/>
      <c r="AN564" s="22">
        <f t="shared" si="4"/>
        <v>6</v>
      </c>
      <c r="AO564" s="171"/>
    </row>
    <row r="565" spans="1:41" ht="15.75" customHeight="1">
      <c r="A565" s="167" t="s">
        <v>1337</v>
      </c>
      <c r="B565" s="22" t="s">
        <v>1336</v>
      </c>
      <c r="C565" s="168">
        <v>1</v>
      </c>
      <c r="D565" s="169" t="b">
        <v>1</v>
      </c>
      <c r="E565" s="170" t="s">
        <v>1972</v>
      </c>
      <c r="F565" s="171">
        <v>1</v>
      </c>
      <c r="G565" s="171">
        <v>1</v>
      </c>
      <c r="H565" s="171">
        <v>1</v>
      </c>
      <c r="I565" s="171">
        <v>1</v>
      </c>
      <c r="J565" s="171">
        <v>1</v>
      </c>
      <c r="K565" s="171"/>
      <c r="L565" s="171"/>
      <c r="M565" s="171"/>
      <c r="N565" s="171"/>
      <c r="O565" s="171"/>
      <c r="P565" s="171"/>
      <c r="Q565" s="171">
        <v>1</v>
      </c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  <c r="AC565" s="171"/>
      <c r="AD565" s="171"/>
      <c r="AE565" s="171"/>
      <c r="AF565" s="171"/>
      <c r="AG565" s="171"/>
      <c r="AH565" s="171"/>
      <c r="AI565" s="171"/>
      <c r="AJ565" s="171"/>
      <c r="AK565" s="171"/>
      <c r="AL565" s="171"/>
      <c r="AM565" s="22"/>
      <c r="AN565" s="22">
        <f t="shared" si="4"/>
        <v>6</v>
      </c>
      <c r="AO565" s="171"/>
    </row>
    <row r="566" spans="1:41" ht="15.75" customHeight="1">
      <c r="A566" s="167" t="s">
        <v>1345</v>
      </c>
      <c r="B566" s="22" t="s">
        <v>1344</v>
      </c>
      <c r="C566" s="168">
        <v>1</v>
      </c>
      <c r="D566" s="169" t="b">
        <v>1</v>
      </c>
      <c r="E566" s="170" t="s">
        <v>1487</v>
      </c>
      <c r="F566" s="171">
        <v>1</v>
      </c>
      <c r="G566" s="171">
        <v>1</v>
      </c>
      <c r="H566" s="171">
        <v>1</v>
      </c>
      <c r="I566" s="171">
        <v>1</v>
      </c>
      <c r="J566" s="171">
        <v>1</v>
      </c>
      <c r="K566" s="171"/>
      <c r="L566" s="171"/>
      <c r="M566" s="171"/>
      <c r="N566" s="171"/>
      <c r="O566" s="171"/>
      <c r="P566" s="171"/>
      <c r="Q566" s="171">
        <v>1</v>
      </c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  <c r="AC566" s="171"/>
      <c r="AD566" s="171"/>
      <c r="AE566" s="171"/>
      <c r="AF566" s="171"/>
      <c r="AG566" s="171"/>
      <c r="AH566" s="171"/>
      <c r="AI566" s="171"/>
      <c r="AJ566" s="171"/>
      <c r="AK566" s="171"/>
      <c r="AL566" s="171"/>
      <c r="AM566" s="22"/>
      <c r="AN566" s="22">
        <f t="shared" si="4"/>
        <v>6</v>
      </c>
      <c r="AO566" s="171"/>
    </row>
    <row r="567" spans="1:41" ht="15.75" customHeight="1">
      <c r="A567" s="167" t="s">
        <v>46</v>
      </c>
      <c r="B567" s="22" t="s">
        <v>45</v>
      </c>
      <c r="C567" s="168">
        <v>1</v>
      </c>
      <c r="D567" s="169" t="b">
        <v>1</v>
      </c>
      <c r="E567" s="174" t="s">
        <v>1973</v>
      </c>
      <c r="F567" s="171">
        <v>1</v>
      </c>
      <c r="G567" s="171">
        <v>1</v>
      </c>
      <c r="H567" s="171">
        <v>1</v>
      </c>
      <c r="I567" s="171">
        <v>1</v>
      </c>
      <c r="J567" s="171">
        <v>1</v>
      </c>
      <c r="K567" s="171"/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/>
      <c r="X567" s="171"/>
      <c r="Y567" s="171"/>
      <c r="Z567" s="171"/>
      <c r="AA567" s="171"/>
      <c r="AB567" s="171"/>
      <c r="AC567" s="171"/>
      <c r="AD567" s="171"/>
      <c r="AE567" s="171"/>
      <c r="AF567" s="171"/>
      <c r="AG567" s="171"/>
      <c r="AH567" s="171"/>
      <c r="AI567" s="171"/>
      <c r="AJ567" s="171"/>
      <c r="AK567" s="171"/>
      <c r="AL567" s="171"/>
      <c r="AM567" s="22"/>
      <c r="AN567" s="22">
        <f t="shared" si="4"/>
        <v>5</v>
      </c>
      <c r="AO567" s="171"/>
    </row>
    <row r="568" spans="1:41" ht="15.75" customHeight="1">
      <c r="A568" s="167" t="s">
        <v>52</v>
      </c>
      <c r="B568" s="22" t="s">
        <v>51</v>
      </c>
      <c r="C568" s="168">
        <v>1</v>
      </c>
      <c r="D568" s="169" t="b">
        <v>1</v>
      </c>
      <c r="E568" s="170" t="s">
        <v>1974</v>
      </c>
      <c r="F568" s="171">
        <v>1</v>
      </c>
      <c r="G568" s="171">
        <v>1</v>
      </c>
      <c r="H568" s="171">
        <v>1</v>
      </c>
      <c r="I568" s="171">
        <v>1</v>
      </c>
      <c r="J568" s="171">
        <v>1</v>
      </c>
      <c r="K568" s="171"/>
      <c r="L568" s="171"/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  <c r="AC568" s="171"/>
      <c r="AD568" s="171"/>
      <c r="AE568" s="171"/>
      <c r="AF568" s="171"/>
      <c r="AG568" s="171"/>
      <c r="AH568" s="171"/>
      <c r="AI568" s="171"/>
      <c r="AJ568" s="171"/>
      <c r="AK568" s="171"/>
      <c r="AL568" s="171"/>
      <c r="AM568" s="22"/>
      <c r="AN568" s="22">
        <f t="shared" si="4"/>
        <v>5</v>
      </c>
      <c r="AO568" s="171"/>
    </row>
    <row r="569" spans="1:41" ht="15.75" customHeight="1">
      <c r="A569" s="167" t="s">
        <v>82</v>
      </c>
      <c r="B569" s="22" t="s">
        <v>81</v>
      </c>
      <c r="C569" s="168">
        <v>1</v>
      </c>
      <c r="D569" s="169" t="b">
        <v>1</v>
      </c>
      <c r="E569" s="170" t="s">
        <v>1975</v>
      </c>
      <c r="F569" s="171">
        <v>1</v>
      </c>
      <c r="G569" s="171">
        <v>1</v>
      </c>
      <c r="H569" s="171">
        <v>1</v>
      </c>
      <c r="I569" s="171">
        <v>1</v>
      </c>
      <c r="J569" s="171">
        <v>1</v>
      </c>
      <c r="K569" s="171"/>
      <c r="L569" s="171"/>
      <c r="M569" s="171"/>
      <c r="N569" s="171"/>
      <c r="O569" s="171"/>
      <c r="P569" s="171"/>
      <c r="Q569" s="171"/>
      <c r="R569" s="171"/>
      <c r="S569" s="171"/>
      <c r="T569" s="171"/>
      <c r="U569" s="171"/>
      <c r="V569" s="171"/>
      <c r="W569" s="171"/>
      <c r="X569" s="171"/>
      <c r="Y569" s="171"/>
      <c r="Z569" s="171"/>
      <c r="AA569" s="171"/>
      <c r="AB569" s="171"/>
      <c r="AC569" s="171"/>
      <c r="AD569" s="171"/>
      <c r="AE569" s="171"/>
      <c r="AF569" s="171"/>
      <c r="AG569" s="171"/>
      <c r="AH569" s="171"/>
      <c r="AI569" s="171"/>
      <c r="AJ569" s="171"/>
      <c r="AK569" s="171"/>
      <c r="AL569" s="171"/>
      <c r="AM569" s="22"/>
      <c r="AN569" s="22">
        <f t="shared" si="4"/>
        <v>5</v>
      </c>
      <c r="AO569" s="171"/>
    </row>
    <row r="570" spans="1:41" ht="15.75" customHeight="1">
      <c r="A570" s="167" t="s">
        <v>91</v>
      </c>
      <c r="B570" s="22" t="s">
        <v>90</v>
      </c>
      <c r="C570" s="168">
        <v>1</v>
      </c>
      <c r="D570" s="169" t="b">
        <v>1</v>
      </c>
      <c r="E570" s="174" t="s">
        <v>1976</v>
      </c>
      <c r="F570" s="171">
        <v>1</v>
      </c>
      <c r="G570" s="171">
        <v>1</v>
      </c>
      <c r="H570" s="171">
        <v>1</v>
      </c>
      <c r="I570" s="171">
        <v>1</v>
      </c>
      <c r="J570" s="171">
        <v>1</v>
      </c>
      <c r="K570" s="171"/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  <c r="AC570" s="171"/>
      <c r="AD570" s="171"/>
      <c r="AE570" s="171"/>
      <c r="AF570" s="171"/>
      <c r="AG570" s="171"/>
      <c r="AH570" s="171"/>
      <c r="AI570" s="171"/>
      <c r="AJ570" s="171"/>
      <c r="AK570" s="171"/>
      <c r="AL570" s="171"/>
      <c r="AM570" s="22"/>
      <c r="AN570" s="22">
        <f t="shared" si="4"/>
        <v>5</v>
      </c>
      <c r="AO570" s="171"/>
    </row>
    <row r="571" spans="1:41" ht="15.75" customHeight="1">
      <c r="A571" s="167" t="s">
        <v>104</v>
      </c>
      <c r="B571" s="22" t="s">
        <v>103</v>
      </c>
      <c r="C571" s="168">
        <v>1</v>
      </c>
      <c r="D571" s="169" t="b">
        <v>1</v>
      </c>
      <c r="E571" s="170" t="s">
        <v>1977</v>
      </c>
      <c r="F571" s="171">
        <v>1</v>
      </c>
      <c r="G571" s="171">
        <v>1</v>
      </c>
      <c r="H571" s="171">
        <v>1</v>
      </c>
      <c r="I571" s="171">
        <v>1</v>
      </c>
      <c r="J571" s="171">
        <v>1</v>
      </c>
      <c r="K571" s="171"/>
      <c r="L571" s="171"/>
      <c r="M571" s="171"/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  <c r="AC571" s="171"/>
      <c r="AD571" s="171"/>
      <c r="AE571" s="171"/>
      <c r="AF571" s="171"/>
      <c r="AG571" s="171"/>
      <c r="AH571" s="171"/>
      <c r="AI571" s="171"/>
      <c r="AJ571" s="171"/>
      <c r="AK571" s="171"/>
      <c r="AL571" s="171"/>
      <c r="AM571" s="22"/>
      <c r="AN571" s="22">
        <f t="shared" si="4"/>
        <v>5</v>
      </c>
      <c r="AO571" s="171"/>
    </row>
    <row r="572" spans="1:41" ht="15.75" customHeight="1">
      <c r="A572" s="167" t="s">
        <v>133</v>
      </c>
      <c r="B572" s="22" t="s">
        <v>132</v>
      </c>
      <c r="C572" s="168">
        <v>1</v>
      </c>
      <c r="D572" s="169" t="b">
        <v>1</v>
      </c>
      <c r="E572" s="170" t="s">
        <v>1978</v>
      </c>
      <c r="F572" s="171">
        <v>1</v>
      </c>
      <c r="G572" s="171">
        <v>1</v>
      </c>
      <c r="H572" s="171">
        <v>1</v>
      </c>
      <c r="I572" s="171">
        <v>1</v>
      </c>
      <c r="J572" s="171">
        <v>1</v>
      </c>
      <c r="K572" s="171"/>
      <c r="L572" s="171"/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  <c r="AC572" s="171"/>
      <c r="AD572" s="171"/>
      <c r="AE572" s="171"/>
      <c r="AF572" s="171"/>
      <c r="AG572" s="171"/>
      <c r="AH572" s="171"/>
      <c r="AI572" s="171"/>
      <c r="AJ572" s="171"/>
      <c r="AK572" s="171"/>
      <c r="AL572" s="171"/>
      <c r="AM572" s="22"/>
      <c r="AN572" s="22">
        <f t="shared" si="4"/>
        <v>5</v>
      </c>
      <c r="AO572" s="171"/>
    </row>
    <row r="573" spans="1:41" ht="15.75" customHeight="1">
      <c r="A573" s="167" t="s">
        <v>141</v>
      </c>
      <c r="B573" s="22" t="s">
        <v>140</v>
      </c>
      <c r="C573" s="168">
        <v>1</v>
      </c>
      <c r="D573" s="169" t="b">
        <v>1</v>
      </c>
      <c r="E573" s="170" t="s">
        <v>1979</v>
      </c>
      <c r="F573" s="171">
        <v>1</v>
      </c>
      <c r="G573" s="171">
        <v>1</v>
      </c>
      <c r="H573" s="171">
        <v>1</v>
      </c>
      <c r="I573" s="171">
        <v>1</v>
      </c>
      <c r="J573" s="171">
        <v>1</v>
      </c>
      <c r="K573" s="171"/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  <c r="AC573" s="171"/>
      <c r="AD573" s="171"/>
      <c r="AE573" s="171"/>
      <c r="AF573" s="171"/>
      <c r="AG573" s="171"/>
      <c r="AH573" s="171"/>
      <c r="AI573" s="171"/>
      <c r="AJ573" s="171"/>
      <c r="AK573" s="171"/>
      <c r="AL573" s="171"/>
      <c r="AM573" s="22"/>
      <c r="AN573" s="22">
        <f t="shared" si="4"/>
        <v>5</v>
      </c>
      <c r="AO573" s="171"/>
    </row>
    <row r="574" spans="1:41" ht="15.75" customHeight="1">
      <c r="A574" s="167" t="s">
        <v>145</v>
      </c>
      <c r="B574" s="22" t="s">
        <v>144</v>
      </c>
      <c r="C574" s="168">
        <v>1</v>
      </c>
      <c r="D574" s="169" t="b">
        <v>1</v>
      </c>
      <c r="E574" s="170" t="s">
        <v>1980</v>
      </c>
      <c r="F574" s="171">
        <v>1</v>
      </c>
      <c r="G574" s="171">
        <v>1</v>
      </c>
      <c r="H574" s="171">
        <v>1</v>
      </c>
      <c r="I574" s="171">
        <v>1</v>
      </c>
      <c r="J574" s="171">
        <v>1</v>
      </c>
      <c r="K574" s="171"/>
      <c r="L574" s="171"/>
      <c r="M574" s="171"/>
      <c r="N574" s="171"/>
      <c r="O574" s="171"/>
      <c r="P574" s="171"/>
      <c r="Q574" s="171"/>
      <c r="R574" s="171"/>
      <c r="S574" s="171"/>
      <c r="T574" s="171"/>
      <c r="U574" s="171"/>
      <c r="V574" s="171"/>
      <c r="W574" s="171"/>
      <c r="X574" s="171"/>
      <c r="Y574" s="171"/>
      <c r="Z574" s="171"/>
      <c r="AA574" s="171"/>
      <c r="AB574" s="171"/>
      <c r="AC574" s="171"/>
      <c r="AD574" s="171"/>
      <c r="AE574" s="171"/>
      <c r="AF574" s="171"/>
      <c r="AG574" s="171"/>
      <c r="AH574" s="171"/>
      <c r="AI574" s="171"/>
      <c r="AJ574" s="171"/>
      <c r="AK574" s="171"/>
      <c r="AL574" s="171"/>
      <c r="AM574" s="22"/>
      <c r="AN574" s="22">
        <f t="shared" si="4"/>
        <v>5</v>
      </c>
      <c r="AO574" s="171"/>
    </row>
    <row r="575" spans="1:41" ht="15.75" customHeight="1">
      <c r="A575" s="167" t="s">
        <v>183</v>
      </c>
      <c r="B575" s="22" t="s">
        <v>182</v>
      </c>
      <c r="C575" s="168">
        <v>1</v>
      </c>
      <c r="D575" s="169" t="b">
        <v>1</v>
      </c>
      <c r="E575" s="170" t="s">
        <v>1675</v>
      </c>
      <c r="F575" s="171">
        <v>1</v>
      </c>
      <c r="G575" s="171">
        <v>1</v>
      </c>
      <c r="H575" s="171">
        <v>1</v>
      </c>
      <c r="I575" s="171">
        <v>1</v>
      </c>
      <c r="J575" s="171">
        <v>1</v>
      </c>
      <c r="K575" s="171"/>
      <c r="L575" s="171"/>
      <c r="M575" s="171"/>
      <c r="N575" s="171"/>
      <c r="O575" s="171"/>
      <c r="P575" s="171"/>
      <c r="Q575" s="171"/>
      <c r="R575" s="171"/>
      <c r="S575" s="171"/>
      <c r="T575" s="171"/>
      <c r="U575" s="171"/>
      <c r="V575" s="171"/>
      <c r="W575" s="171"/>
      <c r="X575" s="171"/>
      <c r="Y575" s="171"/>
      <c r="Z575" s="171"/>
      <c r="AA575" s="171"/>
      <c r="AB575" s="171"/>
      <c r="AC575" s="171"/>
      <c r="AD575" s="171"/>
      <c r="AE575" s="171"/>
      <c r="AF575" s="171"/>
      <c r="AG575" s="171"/>
      <c r="AH575" s="171"/>
      <c r="AI575" s="171"/>
      <c r="AJ575" s="171"/>
      <c r="AK575" s="171"/>
      <c r="AL575" s="171"/>
      <c r="AM575" s="22"/>
      <c r="AN575" s="22">
        <f t="shared" si="4"/>
        <v>5</v>
      </c>
      <c r="AO575" s="171"/>
    </row>
    <row r="576" spans="1:41" ht="15.75" customHeight="1">
      <c r="A576" s="167" t="s">
        <v>199</v>
      </c>
      <c r="B576" s="22" t="s">
        <v>198</v>
      </c>
      <c r="C576" s="168">
        <v>1</v>
      </c>
      <c r="D576" s="169" t="b">
        <v>1</v>
      </c>
      <c r="E576" s="170" t="s">
        <v>1981</v>
      </c>
      <c r="F576" s="171">
        <v>1</v>
      </c>
      <c r="G576" s="171">
        <v>1</v>
      </c>
      <c r="H576" s="171">
        <v>1</v>
      </c>
      <c r="I576" s="171">
        <v>1</v>
      </c>
      <c r="J576" s="171">
        <v>1</v>
      </c>
      <c r="K576" s="171"/>
      <c r="L576" s="171"/>
      <c r="M576" s="171"/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  <c r="AC576" s="171"/>
      <c r="AD576" s="171"/>
      <c r="AE576" s="171"/>
      <c r="AF576" s="171"/>
      <c r="AG576" s="171"/>
      <c r="AH576" s="171"/>
      <c r="AI576" s="171"/>
      <c r="AJ576" s="171"/>
      <c r="AK576" s="171"/>
      <c r="AL576" s="171"/>
      <c r="AM576" s="22"/>
      <c r="AN576" s="22">
        <f t="shared" si="4"/>
        <v>5</v>
      </c>
      <c r="AO576" s="171"/>
    </row>
    <row r="577" spans="1:41" ht="15.75" customHeight="1">
      <c r="A577" s="167" t="s">
        <v>227</v>
      </c>
      <c r="B577" s="22" t="s">
        <v>226</v>
      </c>
      <c r="C577" s="168">
        <v>1</v>
      </c>
      <c r="D577" s="169" t="b">
        <v>1</v>
      </c>
      <c r="E577" s="170" t="s">
        <v>1982</v>
      </c>
      <c r="F577" s="171">
        <v>1</v>
      </c>
      <c r="G577" s="171">
        <v>1</v>
      </c>
      <c r="H577" s="171">
        <v>1</v>
      </c>
      <c r="I577" s="171">
        <v>1</v>
      </c>
      <c r="J577" s="171">
        <v>1</v>
      </c>
      <c r="K577" s="171"/>
      <c r="L577" s="171"/>
      <c r="M577" s="171"/>
      <c r="N577" s="171"/>
      <c r="O577" s="171"/>
      <c r="P577" s="171"/>
      <c r="Q577" s="171"/>
      <c r="R577" s="171"/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  <c r="AC577" s="171"/>
      <c r="AD577" s="171"/>
      <c r="AE577" s="171"/>
      <c r="AF577" s="171"/>
      <c r="AG577" s="171"/>
      <c r="AH577" s="171"/>
      <c r="AI577" s="171"/>
      <c r="AJ577" s="171"/>
      <c r="AK577" s="171"/>
      <c r="AL577" s="171"/>
      <c r="AM577" s="22"/>
      <c r="AN577" s="22">
        <f t="shared" si="4"/>
        <v>5</v>
      </c>
      <c r="AO577" s="171"/>
    </row>
    <row r="578" spans="1:41" ht="15.75" customHeight="1">
      <c r="A578" s="167" t="s">
        <v>235</v>
      </c>
      <c r="B578" s="22" t="s">
        <v>234</v>
      </c>
      <c r="C578" s="168">
        <v>1</v>
      </c>
      <c r="D578" s="169" t="b">
        <v>1</v>
      </c>
      <c r="E578" s="170" t="s">
        <v>1983</v>
      </c>
      <c r="F578" s="171">
        <v>1</v>
      </c>
      <c r="G578" s="171">
        <v>1</v>
      </c>
      <c r="H578" s="171">
        <v>1</v>
      </c>
      <c r="I578" s="171">
        <v>1</v>
      </c>
      <c r="J578" s="171">
        <v>1</v>
      </c>
      <c r="K578" s="171"/>
      <c r="L578" s="171"/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  <c r="AC578" s="171"/>
      <c r="AD578" s="171"/>
      <c r="AE578" s="171"/>
      <c r="AF578" s="171"/>
      <c r="AG578" s="171"/>
      <c r="AH578" s="171"/>
      <c r="AI578" s="171"/>
      <c r="AJ578" s="171"/>
      <c r="AK578" s="171"/>
      <c r="AL578" s="171"/>
      <c r="AM578" s="22"/>
      <c r="AN578" s="22">
        <f t="shared" si="4"/>
        <v>5</v>
      </c>
      <c r="AO578" s="171"/>
    </row>
    <row r="579" spans="1:41" ht="15.75" customHeight="1">
      <c r="A579" s="167" t="s">
        <v>249</v>
      </c>
      <c r="B579" s="22" t="s">
        <v>248</v>
      </c>
      <c r="C579" s="168">
        <v>1</v>
      </c>
      <c r="D579" s="169" t="b">
        <v>1</v>
      </c>
      <c r="E579" s="174" t="s">
        <v>1984</v>
      </c>
      <c r="F579" s="171">
        <v>1</v>
      </c>
      <c r="G579" s="171">
        <v>1</v>
      </c>
      <c r="H579" s="171">
        <v>1</v>
      </c>
      <c r="I579" s="171">
        <v>1</v>
      </c>
      <c r="J579" s="171"/>
      <c r="K579" s="171">
        <v>1</v>
      </c>
      <c r="L579" s="171"/>
      <c r="M579" s="171"/>
      <c r="N579" s="171"/>
      <c r="O579" s="171"/>
      <c r="P579" s="171"/>
      <c r="Q579" s="171"/>
      <c r="R579" s="171"/>
      <c r="S579" s="171"/>
      <c r="T579" s="171"/>
      <c r="U579" s="171"/>
      <c r="V579" s="171"/>
      <c r="W579" s="171"/>
      <c r="X579" s="171"/>
      <c r="Y579" s="171"/>
      <c r="Z579" s="171"/>
      <c r="AA579" s="171"/>
      <c r="AB579" s="171"/>
      <c r="AC579" s="171"/>
      <c r="AD579" s="171"/>
      <c r="AE579" s="171"/>
      <c r="AF579" s="171"/>
      <c r="AG579" s="171"/>
      <c r="AH579" s="171"/>
      <c r="AI579" s="171"/>
      <c r="AJ579" s="171"/>
      <c r="AK579" s="171"/>
      <c r="AL579" s="171"/>
      <c r="AM579" s="22"/>
      <c r="AN579" s="22">
        <f t="shared" si="4"/>
        <v>5</v>
      </c>
      <c r="AO579" s="171"/>
    </row>
    <row r="580" spans="1:41" ht="15.75" customHeight="1">
      <c r="A580" s="167" t="s">
        <v>253</v>
      </c>
      <c r="B580" s="22" t="s">
        <v>252</v>
      </c>
      <c r="C580" s="168">
        <v>1</v>
      </c>
      <c r="D580" s="169" t="b">
        <v>1</v>
      </c>
      <c r="E580" s="170" t="s">
        <v>1985</v>
      </c>
      <c r="F580" s="171">
        <v>1</v>
      </c>
      <c r="G580" s="171">
        <v>1</v>
      </c>
      <c r="H580" s="171">
        <v>1</v>
      </c>
      <c r="I580" s="171">
        <v>1</v>
      </c>
      <c r="J580" s="171">
        <v>1</v>
      </c>
      <c r="K580" s="171"/>
      <c r="L580" s="171"/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  <c r="AC580" s="171"/>
      <c r="AD580" s="171"/>
      <c r="AE580" s="171"/>
      <c r="AF580" s="171"/>
      <c r="AG580" s="171"/>
      <c r="AH580" s="171"/>
      <c r="AI580" s="171"/>
      <c r="AJ580" s="171"/>
      <c r="AK580" s="171"/>
      <c r="AL580" s="171"/>
      <c r="AM580" s="22"/>
      <c r="AN580" s="22">
        <f t="shared" si="4"/>
        <v>5</v>
      </c>
      <c r="AO580" s="171"/>
    </row>
    <row r="581" spans="1:41" ht="15.75" customHeight="1">
      <c r="A581" s="167" t="s">
        <v>268</v>
      </c>
      <c r="B581" s="22" t="s">
        <v>267</v>
      </c>
      <c r="C581" s="168">
        <v>1</v>
      </c>
      <c r="D581" s="169" t="b">
        <v>1</v>
      </c>
      <c r="E581" s="170" t="s">
        <v>1986</v>
      </c>
      <c r="F581" s="171"/>
      <c r="G581" s="171"/>
      <c r="H581" s="171"/>
      <c r="I581" s="171">
        <v>1</v>
      </c>
      <c r="J581" s="171"/>
      <c r="K581" s="171"/>
      <c r="L581" s="171"/>
      <c r="M581" s="171"/>
      <c r="N581" s="171"/>
      <c r="O581" s="171"/>
      <c r="P581" s="171">
        <v>1</v>
      </c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  <c r="AC581" s="171"/>
      <c r="AD581" s="171"/>
      <c r="AE581" s="171"/>
      <c r="AF581" s="171"/>
      <c r="AG581" s="171"/>
      <c r="AH581" s="171"/>
      <c r="AI581" s="171"/>
      <c r="AJ581" s="171"/>
      <c r="AK581" s="171"/>
      <c r="AL581" s="171">
        <v>3</v>
      </c>
      <c r="AM581" s="22"/>
      <c r="AN581" s="22">
        <f t="shared" si="4"/>
        <v>5</v>
      </c>
      <c r="AO581" s="171" t="s">
        <v>1987</v>
      </c>
    </row>
    <row r="582" spans="1:41" ht="15.75" customHeight="1">
      <c r="A582" s="167" t="s">
        <v>300</v>
      </c>
      <c r="B582" s="22" t="s">
        <v>299</v>
      </c>
      <c r="C582" s="168">
        <v>1</v>
      </c>
      <c r="D582" s="169" t="b">
        <v>1</v>
      </c>
      <c r="E582" s="170" t="s">
        <v>1527</v>
      </c>
      <c r="F582" s="171">
        <v>1</v>
      </c>
      <c r="G582" s="171">
        <v>1</v>
      </c>
      <c r="H582" s="171">
        <v>1</v>
      </c>
      <c r="I582" s="171">
        <v>1</v>
      </c>
      <c r="J582" s="171">
        <v>1</v>
      </c>
      <c r="K582" s="171"/>
      <c r="L582" s="171"/>
      <c r="M582" s="171"/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  <c r="AC582" s="171"/>
      <c r="AD582" s="171"/>
      <c r="AE582" s="171"/>
      <c r="AF582" s="171"/>
      <c r="AG582" s="171"/>
      <c r="AH582" s="171"/>
      <c r="AI582" s="171"/>
      <c r="AJ582" s="171"/>
      <c r="AK582" s="171"/>
      <c r="AL582" s="171"/>
      <c r="AM582" s="22"/>
      <c r="AN582" s="22">
        <f t="shared" si="4"/>
        <v>5</v>
      </c>
      <c r="AO582" s="171"/>
    </row>
    <row r="583" spans="1:41" ht="15.75" customHeight="1">
      <c r="A583" s="167" t="s">
        <v>308</v>
      </c>
      <c r="B583" s="22" t="s">
        <v>307</v>
      </c>
      <c r="C583" s="168">
        <v>1</v>
      </c>
      <c r="D583" s="169" t="b">
        <v>1</v>
      </c>
      <c r="E583" s="170" t="s">
        <v>1988</v>
      </c>
      <c r="F583" s="171">
        <v>1</v>
      </c>
      <c r="G583" s="171">
        <v>1</v>
      </c>
      <c r="H583" s="171">
        <v>1</v>
      </c>
      <c r="I583" s="171">
        <v>1</v>
      </c>
      <c r="J583" s="171">
        <v>1</v>
      </c>
      <c r="K583" s="171"/>
      <c r="L583" s="171"/>
      <c r="M583" s="171"/>
      <c r="N583" s="171"/>
      <c r="O583" s="171"/>
      <c r="P583" s="171"/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/>
      <c r="AB583" s="171"/>
      <c r="AC583" s="171"/>
      <c r="AD583" s="171"/>
      <c r="AE583" s="171"/>
      <c r="AF583" s="171"/>
      <c r="AG583" s="171"/>
      <c r="AH583" s="171"/>
      <c r="AI583" s="171"/>
      <c r="AJ583" s="171"/>
      <c r="AK583" s="171"/>
      <c r="AL583" s="171"/>
      <c r="AM583" s="22"/>
      <c r="AN583" s="22">
        <f t="shared" si="4"/>
        <v>5</v>
      </c>
      <c r="AO583" s="171"/>
    </row>
    <row r="584" spans="1:41" ht="15.75" customHeight="1">
      <c r="A584" s="167" t="s">
        <v>310</v>
      </c>
      <c r="B584" s="22" t="s">
        <v>309</v>
      </c>
      <c r="C584" s="168">
        <v>1</v>
      </c>
      <c r="D584" s="169" t="b">
        <v>1</v>
      </c>
      <c r="E584" s="174" t="s">
        <v>1989</v>
      </c>
      <c r="F584" s="171">
        <v>1</v>
      </c>
      <c r="G584" s="171">
        <v>1</v>
      </c>
      <c r="H584" s="171">
        <v>1</v>
      </c>
      <c r="I584" s="171">
        <v>1</v>
      </c>
      <c r="J584" s="171">
        <v>1</v>
      </c>
      <c r="K584" s="171"/>
      <c r="L584" s="171"/>
      <c r="M584" s="171"/>
      <c r="N584" s="171"/>
      <c r="O584" s="171"/>
      <c r="P584" s="171"/>
      <c r="Q584" s="171"/>
      <c r="R584" s="171"/>
      <c r="S584" s="171"/>
      <c r="T584" s="171"/>
      <c r="U584" s="171"/>
      <c r="V584" s="171"/>
      <c r="W584" s="171"/>
      <c r="X584" s="171"/>
      <c r="Y584" s="171"/>
      <c r="Z584" s="171"/>
      <c r="AA584" s="171"/>
      <c r="AB584" s="171"/>
      <c r="AC584" s="171"/>
      <c r="AD584" s="171"/>
      <c r="AE584" s="171"/>
      <c r="AF584" s="171"/>
      <c r="AG584" s="171"/>
      <c r="AH584" s="171"/>
      <c r="AI584" s="171"/>
      <c r="AJ584" s="171"/>
      <c r="AK584" s="171"/>
      <c r="AL584" s="171"/>
      <c r="AM584" s="22"/>
      <c r="AN584" s="22">
        <f t="shared" si="4"/>
        <v>5</v>
      </c>
      <c r="AO584" s="171"/>
    </row>
    <row r="585" spans="1:41" ht="15.75" customHeight="1">
      <c r="A585" s="167" t="s">
        <v>312</v>
      </c>
      <c r="B585" s="22" t="s">
        <v>311</v>
      </c>
      <c r="C585" s="168">
        <v>1</v>
      </c>
      <c r="D585" s="169" t="b">
        <v>1</v>
      </c>
      <c r="E585" s="170" t="s">
        <v>1581</v>
      </c>
      <c r="F585" s="171">
        <v>1</v>
      </c>
      <c r="G585" s="171">
        <v>1</v>
      </c>
      <c r="H585" s="171">
        <v>1</v>
      </c>
      <c r="I585" s="171">
        <v>1</v>
      </c>
      <c r="J585" s="171">
        <v>1</v>
      </c>
      <c r="K585" s="171"/>
      <c r="L585" s="171"/>
      <c r="M585" s="171"/>
      <c r="N585" s="171"/>
      <c r="O585" s="171"/>
      <c r="P585" s="171"/>
      <c r="Q585" s="171"/>
      <c r="R585" s="171"/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  <c r="AC585" s="171"/>
      <c r="AD585" s="171"/>
      <c r="AE585" s="171"/>
      <c r="AF585" s="171"/>
      <c r="AG585" s="171"/>
      <c r="AH585" s="171"/>
      <c r="AI585" s="171"/>
      <c r="AJ585" s="171"/>
      <c r="AK585" s="171"/>
      <c r="AL585" s="171"/>
      <c r="AM585" s="22"/>
      <c r="AN585" s="22">
        <f t="shared" si="4"/>
        <v>5</v>
      </c>
      <c r="AO585" s="171"/>
    </row>
    <row r="586" spans="1:41" ht="15.75" customHeight="1">
      <c r="A586" s="167" t="s">
        <v>314</v>
      </c>
      <c r="B586" s="22" t="s">
        <v>313</v>
      </c>
      <c r="C586" s="168">
        <v>1</v>
      </c>
      <c r="D586" s="169" t="b">
        <v>1</v>
      </c>
      <c r="E586" s="170" t="s">
        <v>1662</v>
      </c>
      <c r="F586" s="171">
        <v>1</v>
      </c>
      <c r="G586" s="171">
        <v>1</v>
      </c>
      <c r="H586" s="171">
        <v>1</v>
      </c>
      <c r="I586" s="171">
        <v>1</v>
      </c>
      <c r="J586" s="171">
        <v>1</v>
      </c>
      <c r="K586" s="171"/>
      <c r="L586" s="171"/>
      <c r="M586" s="171"/>
      <c r="N586" s="171"/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  <c r="AC586" s="171"/>
      <c r="AD586" s="171"/>
      <c r="AE586" s="171"/>
      <c r="AF586" s="171"/>
      <c r="AG586" s="171"/>
      <c r="AH586" s="171"/>
      <c r="AI586" s="171"/>
      <c r="AJ586" s="171"/>
      <c r="AK586" s="171"/>
      <c r="AL586" s="171"/>
      <c r="AM586" s="22"/>
      <c r="AN586" s="22">
        <f t="shared" si="4"/>
        <v>5</v>
      </c>
      <c r="AO586" s="171"/>
    </row>
    <row r="587" spans="1:41" ht="15.75" customHeight="1">
      <c r="A587" s="167" t="s">
        <v>330</v>
      </c>
      <c r="B587" s="22" t="s">
        <v>329</v>
      </c>
      <c r="C587" s="168">
        <v>1</v>
      </c>
      <c r="D587" s="169" t="b">
        <v>1</v>
      </c>
      <c r="E587" s="170" t="s">
        <v>1990</v>
      </c>
      <c r="F587" s="171">
        <v>1</v>
      </c>
      <c r="G587" s="171">
        <v>1</v>
      </c>
      <c r="H587" s="171">
        <v>1</v>
      </c>
      <c r="I587" s="171">
        <v>1</v>
      </c>
      <c r="J587" s="171">
        <v>1</v>
      </c>
      <c r="K587" s="171"/>
      <c r="L587" s="171"/>
      <c r="M587" s="171"/>
      <c r="N587" s="171"/>
      <c r="O587" s="171"/>
      <c r="P587" s="171"/>
      <c r="Q587" s="171"/>
      <c r="R587" s="171"/>
      <c r="S587" s="171"/>
      <c r="T587" s="171"/>
      <c r="U587" s="171"/>
      <c r="V587" s="171"/>
      <c r="W587" s="171"/>
      <c r="X587" s="171"/>
      <c r="Y587" s="171"/>
      <c r="Z587" s="171"/>
      <c r="AA587" s="171"/>
      <c r="AB587" s="171"/>
      <c r="AC587" s="171"/>
      <c r="AD587" s="171"/>
      <c r="AE587" s="171"/>
      <c r="AF587" s="171"/>
      <c r="AG587" s="171"/>
      <c r="AH587" s="171"/>
      <c r="AI587" s="171"/>
      <c r="AJ587" s="171"/>
      <c r="AK587" s="171"/>
      <c r="AL587" s="171"/>
      <c r="AM587" s="22"/>
      <c r="AN587" s="22">
        <f t="shared" si="4"/>
        <v>5</v>
      </c>
      <c r="AO587" s="171"/>
    </row>
    <row r="588" spans="1:41" ht="15.75" customHeight="1">
      <c r="A588" s="167" t="s">
        <v>348</v>
      </c>
      <c r="B588" s="22" t="s">
        <v>347</v>
      </c>
      <c r="C588" s="168">
        <v>1</v>
      </c>
      <c r="D588" s="169" t="b">
        <v>1</v>
      </c>
      <c r="E588" s="174" t="s">
        <v>1991</v>
      </c>
      <c r="F588" s="171">
        <v>1</v>
      </c>
      <c r="G588" s="171">
        <v>1</v>
      </c>
      <c r="H588" s="171">
        <v>1</v>
      </c>
      <c r="I588" s="171">
        <v>1</v>
      </c>
      <c r="J588" s="171"/>
      <c r="K588" s="171"/>
      <c r="L588" s="171"/>
      <c r="M588" s="171">
        <v>1</v>
      </c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  <c r="AC588" s="171"/>
      <c r="AD588" s="171"/>
      <c r="AE588" s="171"/>
      <c r="AF588" s="171"/>
      <c r="AG588" s="171"/>
      <c r="AH588" s="171"/>
      <c r="AI588" s="171"/>
      <c r="AJ588" s="171"/>
      <c r="AK588" s="171"/>
      <c r="AL588" s="171"/>
      <c r="AM588" s="22"/>
      <c r="AN588" s="22">
        <f t="shared" si="4"/>
        <v>5</v>
      </c>
      <c r="AO588" s="171"/>
    </row>
    <row r="589" spans="1:41" ht="15.75" customHeight="1">
      <c r="A589" s="167" t="s">
        <v>402</v>
      </c>
      <c r="B589" s="22" t="s">
        <v>401</v>
      </c>
      <c r="C589" s="168">
        <v>1</v>
      </c>
      <c r="D589" s="169" t="b">
        <v>1</v>
      </c>
      <c r="E589" s="170" t="s">
        <v>1992</v>
      </c>
      <c r="F589" s="171">
        <v>1</v>
      </c>
      <c r="G589" s="171">
        <v>1</v>
      </c>
      <c r="H589" s="171">
        <v>1</v>
      </c>
      <c r="I589" s="171">
        <v>1</v>
      </c>
      <c r="J589" s="171">
        <v>1</v>
      </c>
      <c r="K589" s="171"/>
      <c r="L589" s="171"/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  <c r="AC589" s="171"/>
      <c r="AD589" s="171"/>
      <c r="AE589" s="171"/>
      <c r="AF589" s="171"/>
      <c r="AG589" s="171"/>
      <c r="AH589" s="171"/>
      <c r="AI589" s="171"/>
      <c r="AJ589" s="171"/>
      <c r="AK589" s="171"/>
      <c r="AL589" s="171"/>
      <c r="AM589" s="22"/>
      <c r="AN589" s="22">
        <f t="shared" si="4"/>
        <v>5</v>
      </c>
      <c r="AO589" s="171"/>
    </row>
    <row r="590" spans="1:41" ht="15.75" customHeight="1">
      <c r="A590" s="167" t="s">
        <v>422</v>
      </c>
      <c r="B590" s="22" t="s">
        <v>421</v>
      </c>
      <c r="C590" s="168">
        <v>1</v>
      </c>
      <c r="D590" s="169" t="b">
        <v>1</v>
      </c>
      <c r="E590" s="170" t="s">
        <v>1993</v>
      </c>
      <c r="F590" s="171">
        <v>1</v>
      </c>
      <c r="G590" s="171">
        <v>1</v>
      </c>
      <c r="H590" s="171">
        <v>1</v>
      </c>
      <c r="I590" s="171">
        <v>1</v>
      </c>
      <c r="J590" s="171">
        <v>1</v>
      </c>
      <c r="K590" s="171"/>
      <c r="L590" s="171"/>
      <c r="M590" s="171"/>
      <c r="N590" s="171"/>
      <c r="O590" s="171"/>
      <c r="P590" s="171"/>
      <c r="Q590" s="171"/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  <c r="AC590" s="171"/>
      <c r="AD590" s="171"/>
      <c r="AE590" s="171"/>
      <c r="AF590" s="171"/>
      <c r="AG590" s="171"/>
      <c r="AH590" s="171"/>
      <c r="AI590" s="171"/>
      <c r="AJ590" s="171"/>
      <c r="AK590" s="171"/>
      <c r="AL590" s="171"/>
      <c r="AM590" s="22"/>
      <c r="AN590" s="22">
        <f t="shared" si="4"/>
        <v>5</v>
      </c>
      <c r="AO590" s="171"/>
    </row>
    <row r="591" spans="1:41" ht="15.75" customHeight="1">
      <c r="A591" s="167" t="s">
        <v>436</v>
      </c>
      <c r="B591" s="22" t="s">
        <v>435</v>
      </c>
      <c r="C591" s="168">
        <v>1</v>
      </c>
      <c r="D591" s="169" t="b">
        <v>1</v>
      </c>
      <c r="E591" s="170" t="s">
        <v>1994</v>
      </c>
      <c r="F591" s="171">
        <v>1</v>
      </c>
      <c r="G591" s="171">
        <v>1</v>
      </c>
      <c r="H591" s="171">
        <v>1</v>
      </c>
      <c r="I591" s="171">
        <v>1</v>
      </c>
      <c r="J591" s="171">
        <v>1</v>
      </c>
      <c r="K591" s="171"/>
      <c r="L591" s="171"/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  <c r="AC591" s="171"/>
      <c r="AD591" s="171"/>
      <c r="AE591" s="171"/>
      <c r="AF591" s="171"/>
      <c r="AG591" s="171"/>
      <c r="AH591" s="171"/>
      <c r="AI591" s="171"/>
      <c r="AJ591" s="171"/>
      <c r="AK591" s="171"/>
      <c r="AL591" s="171"/>
      <c r="AM591" s="22"/>
      <c r="AN591" s="22">
        <f t="shared" si="4"/>
        <v>5</v>
      </c>
      <c r="AO591" s="171"/>
    </row>
    <row r="592" spans="1:41" ht="15.75" customHeight="1">
      <c r="A592" s="167" t="s">
        <v>450</v>
      </c>
      <c r="B592" s="22" t="s">
        <v>449</v>
      </c>
      <c r="C592" s="168">
        <v>1</v>
      </c>
      <c r="D592" s="169" t="b">
        <v>1</v>
      </c>
      <c r="E592" s="170" t="s">
        <v>1995</v>
      </c>
      <c r="F592" s="171">
        <v>1</v>
      </c>
      <c r="G592" s="171">
        <v>1</v>
      </c>
      <c r="H592" s="171">
        <v>1</v>
      </c>
      <c r="I592" s="171">
        <v>1</v>
      </c>
      <c r="J592" s="171">
        <v>1</v>
      </c>
      <c r="K592" s="171"/>
      <c r="L592" s="171"/>
      <c r="M592" s="171"/>
      <c r="N592" s="171"/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  <c r="AC592" s="171"/>
      <c r="AD592" s="171"/>
      <c r="AE592" s="171"/>
      <c r="AF592" s="171"/>
      <c r="AG592" s="171"/>
      <c r="AH592" s="171"/>
      <c r="AI592" s="171"/>
      <c r="AJ592" s="171"/>
      <c r="AK592" s="171"/>
      <c r="AL592" s="171"/>
      <c r="AM592" s="22"/>
      <c r="AN592" s="22">
        <f t="shared" si="4"/>
        <v>5</v>
      </c>
      <c r="AO592" s="171"/>
    </row>
    <row r="593" spans="1:41" ht="15.75" customHeight="1">
      <c r="A593" s="167" t="s">
        <v>474</v>
      </c>
      <c r="B593" s="22" t="s">
        <v>473</v>
      </c>
      <c r="C593" s="168">
        <v>1</v>
      </c>
      <c r="D593" s="169" t="b">
        <v>1</v>
      </c>
      <c r="E593" s="170" t="s">
        <v>1996</v>
      </c>
      <c r="F593" s="171">
        <v>1</v>
      </c>
      <c r="G593" s="171">
        <v>1</v>
      </c>
      <c r="H593" s="171">
        <v>1</v>
      </c>
      <c r="I593" s="171">
        <v>1</v>
      </c>
      <c r="J593" s="171">
        <v>1</v>
      </c>
      <c r="K593" s="171"/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/>
      <c r="W593" s="171"/>
      <c r="X593" s="171"/>
      <c r="Y593" s="171"/>
      <c r="Z593" s="171"/>
      <c r="AA593" s="171"/>
      <c r="AB593" s="171"/>
      <c r="AC593" s="171"/>
      <c r="AD593" s="171"/>
      <c r="AE593" s="171"/>
      <c r="AF593" s="171"/>
      <c r="AG593" s="171"/>
      <c r="AH593" s="171"/>
      <c r="AI593" s="171"/>
      <c r="AJ593" s="171"/>
      <c r="AK593" s="171"/>
      <c r="AL593" s="171"/>
      <c r="AM593" s="22"/>
      <c r="AN593" s="22">
        <f t="shared" si="4"/>
        <v>5</v>
      </c>
      <c r="AO593" s="171"/>
    </row>
    <row r="594" spans="1:41" ht="15.75" customHeight="1">
      <c r="A594" s="167" t="s">
        <v>484</v>
      </c>
      <c r="B594" s="22" t="s">
        <v>483</v>
      </c>
      <c r="C594" s="168">
        <v>1</v>
      </c>
      <c r="D594" s="169" t="b">
        <v>1</v>
      </c>
      <c r="E594" s="174" t="s">
        <v>1997</v>
      </c>
      <c r="F594" s="171">
        <v>1</v>
      </c>
      <c r="G594" s="171">
        <v>1</v>
      </c>
      <c r="H594" s="171">
        <v>1</v>
      </c>
      <c r="I594" s="171">
        <v>1</v>
      </c>
      <c r="J594" s="171">
        <v>1</v>
      </c>
      <c r="K594" s="171"/>
      <c r="L594" s="171"/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  <c r="AC594" s="171"/>
      <c r="AD594" s="171"/>
      <c r="AE594" s="171"/>
      <c r="AF594" s="171"/>
      <c r="AG594" s="171"/>
      <c r="AH594" s="171"/>
      <c r="AI594" s="171"/>
      <c r="AJ594" s="171"/>
      <c r="AK594" s="171"/>
      <c r="AL594" s="171"/>
      <c r="AM594" s="22"/>
      <c r="AN594" s="22">
        <f t="shared" si="4"/>
        <v>5</v>
      </c>
      <c r="AO594" s="171"/>
    </row>
    <row r="595" spans="1:41" ht="15.75" customHeight="1">
      <c r="A595" s="167" t="s">
        <v>492</v>
      </c>
      <c r="B595" s="22" t="s">
        <v>491</v>
      </c>
      <c r="C595" s="168">
        <v>1</v>
      </c>
      <c r="D595" s="169" t="b">
        <v>1</v>
      </c>
      <c r="E595" s="170" t="s">
        <v>1998</v>
      </c>
      <c r="F595" s="171">
        <v>1</v>
      </c>
      <c r="G595" s="171">
        <v>1</v>
      </c>
      <c r="H595" s="171">
        <v>1</v>
      </c>
      <c r="I595" s="171">
        <v>1</v>
      </c>
      <c r="J595" s="171">
        <v>1</v>
      </c>
      <c r="K595" s="171"/>
      <c r="L595" s="171"/>
      <c r="M595" s="171"/>
      <c r="N595" s="171"/>
      <c r="O595" s="171"/>
      <c r="P595" s="171"/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  <c r="AC595" s="171"/>
      <c r="AD595" s="171"/>
      <c r="AE595" s="171"/>
      <c r="AF595" s="171"/>
      <c r="AG595" s="171"/>
      <c r="AH595" s="171"/>
      <c r="AI595" s="171"/>
      <c r="AJ595" s="171"/>
      <c r="AK595" s="171"/>
      <c r="AL595" s="171"/>
      <c r="AM595" s="22"/>
      <c r="AN595" s="22">
        <f t="shared" si="4"/>
        <v>5</v>
      </c>
      <c r="AO595" s="171"/>
    </row>
    <row r="596" spans="1:41" ht="15.75" customHeight="1">
      <c r="A596" s="167" t="s">
        <v>500</v>
      </c>
      <c r="B596" s="22" t="s">
        <v>499</v>
      </c>
      <c r="C596" s="168">
        <v>1</v>
      </c>
      <c r="D596" s="169" t="b">
        <v>1</v>
      </c>
      <c r="E596" s="170" t="s">
        <v>1999</v>
      </c>
      <c r="F596" s="171">
        <v>1</v>
      </c>
      <c r="G596" s="171">
        <v>1</v>
      </c>
      <c r="H596" s="171">
        <v>1</v>
      </c>
      <c r="I596" s="171"/>
      <c r="J596" s="171">
        <v>1</v>
      </c>
      <c r="K596" s="171">
        <v>1</v>
      </c>
      <c r="L596" s="171"/>
      <c r="M596" s="171"/>
      <c r="N596" s="171"/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  <c r="AC596" s="171"/>
      <c r="AD596" s="171"/>
      <c r="AE596" s="171"/>
      <c r="AF596" s="171"/>
      <c r="AG596" s="171"/>
      <c r="AH596" s="171"/>
      <c r="AI596" s="171"/>
      <c r="AJ596" s="171"/>
      <c r="AK596" s="171"/>
      <c r="AL596" s="171"/>
      <c r="AM596" s="22"/>
      <c r="AN596" s="22">
        <f t="shared" si="4"/>
        <v>5</v>
      </c>
      <c r="AO596" s="171"/>
    </row>
    <row r="597" spans="1:41" ht="15.75" customHeight="1">
      <c r="A597" s="167" t="s">
        <v>502</v>
      </c>
      <c r="B597" s="22" t="s">
        <v>501</v>
      </c>
      <c r="C597" s="168">
        <v>1</v>
      </c>
      <c r="D597" s="169" t="b">
        <v>1</v>
      </c>
      <c r="E597" s="170" t="s">
        <v>2000</v>
      </c>
      <c r="F597" s="171">
        <v>1</v>
      </c>
      <c r="G597" s="171">
        <v>1</v>
      </c>
      <c r="H597" s="171">
        <v>1</v>
      </c>
      <c r="I597" s="171">
        <v>1</v>
      </c>
      <c r="J597" s="171">
        <v>1</v>
      </c>
      <c r="K597" s="171"/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  <c r="AC597" s="171"/>
      <c r="AD597" s="171"/>
      <c r="AE597" s="171"/>
      <c r="AF597" s="171"/>
      <c r="AG597" s="171"/>
      <c r="AH597" s="171"/>
      <c r="AI597" s="171"/>
      <c r="AJ597" s="171"/>
      <c r="AK597" s="171"/>
      <c r="AL597" s="171"/>
      <c r="AM597" s="22"/>
      <c r="AN597" s="22">
        <f t="shared" si="4"/>
        <v>5</v>
      </c>
      <c r="AO597" s="171"/>
    </row>
    <row r="598" spans="1:41" ht="15.75" customHeight="1">
      <c r="A598" s="167" t="s">
        <v>518</v>
      </c>
      <c r="B598" s="22" t="s">
        <v>517</v>
      </c>
      <c r="C598" s="168">
        <v>1</v>
      </c>
      <c r="D598" s="169" t="b">
        <v>1</v>
      </c>
      <c r="E598" s="170" t="s">
        <v>2001</v>
      </c>
      <c r="F598" s="171">
        <v>1</v>
      </c>
      <c r="G598" s="171">
        <v>1</v>
      </c>
      <c r="H598" s="171">
        <v>1</v>
      </c>
      <c r="I598" s="171">
        <v>1</v>
      </c>
      <c r="J598" s="171">
        <v>1</v>
      </c>
      <c r="K598" s="171"/>
      <c r="L598" s="171"/>
      <c r="M598" s="171"/>
      <c r="N598" s="171"/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  <c r="AC598" s="171"/>
      <c r="AD598" s="171"/>
      <c r="AE598" s="171"/>
      <c r="AF598" s="171"/>
      <c r="AG598" s="171"/>
      <c r="AH598" s="171"/>
      <c r="AI598" s="171"/>
      <c r="AJ598" s="171"/>
      <c r="AK598" s="171"/>
      <c r="AL598" s="171"/>
      <c r="AM598" s="22"/>
      <c r="AN598" s="22">
        <f t="shared" si="4"/>
        <v>5</v>
      </c>
      <c r="AO598" s="171"/>
    </row>
    <row r="599" spans="1:41" ht="15.75" customHeight="1">
      <c r="A599" s="167" t="s">
        <v>522</v>
      </c>
      <c r="B599" s="22" t="s">
        <v>521</v>
      </c>
      <c r="C599" s="168">
        <v>1</v>
      </c>
      <c r="D599" s="169" t="b">
        <v>1</v>
      </c>
      <c r="E599" s="170" t="s">
        <v>1843</v>
      </c>
      <c r="F599" s="171">
        <v>1</v>
      </c>
      <c r="G599" s="171">
        <v>1</v>
      </c>
      <c r="H599" s="171">
        <v>1</v>
      </c>
      <c r="I599" s="171">
        <v>1</v>
      </c>
      <c r="J599" s="171">
        <v>1</v>
      </c>
      <c r="K599" s="171"/>
      <c r="L599" s="171"/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  <c r="AC599" s="171"/>
      <c r="AD599" s="171"/>
      <c r="AE599" s="171"/>
      <c r="AF599" s="171"/>
      <c r="AG599" s="171"/>
      <c r="AH599" s="171"/>
      <c r="AI599" s="171"/>
      <c r="AJ599" s="171"/>
      <c r="AK599" s="171"/>
      <c r="AL599" s="171"/>
      <c r="AM599" s="22"/>
      <c r="AN599" s="22">
        <f t="shared" si="4"/>
        <v>5</v>
      </c>
      <c r="AO599" s="171"/>
    </row>
    <row r="600" spans="1:41" ht="15.75" customHeight="1">
      <c r="A600" s="167" t="s">
        <v>526</v>
      </c>
      <c r="B600" s="22" t="s">
        <v>525</v>
      </c>
      <c r="C600" s="168">
        <v>1</v>
      </c>
      <c r="D600" s="169" t="b">
        <v>1</v>
      </c>
      <c r="E600" s="170" t="s">
        <v>2002</v>
      </c>
      <c r="F600" s="171">
        <v>1</v>
      </c>
      <c r="G600" s="171">
        <v>1</v>
      </c>
      <c r="H600" s="171">
        <v>1</v>
      </c>
      <c r="I600" s="171">
        <v>1</v>
      </c>
      <c r="J600" s="171">
        <v>1</v>
      </c>
      <c r="K600" s="171"/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  <c r="AC600" s="171"/>
      <c r="AD600" s="171"/>
      <c r="AE600" s="171"/>
      <c r="AF600" s="171"/>
      <c r="AG600" s="171"/>
      <c r="AH600" s="171"/>
      <c r="AI600" s="171"/>
      <c r="AJ600" s="171"/>
      <c r="AK600" s="171"/>
      <c r="AL600" s="171"/>
      <c r="AM600" s="22"/>
      <c r="AN600" s="22">
        <f t="shared" si="4"/>
        <v>5</v>
      </c>
      <c r="AO600" s="171"/>
    </row>
    <row r="601" spans="1:41" ht="15.75" customHeight="1">
      <c r="A601" s="167" t="s">
        <v>554</v>
      </c>
      <c r="B601" s="22" t="s">
        <v>553</v>
      </c>
      <c r="C601" s="168">
        <v>1</v>
      </c>
      <c r="D601" s="169" t="b">
        <v>1</v>
      </c>
      <c r="E601" s="170" t="s">
        <v>2003</v>
      </c>
      <c r="F601" s="171">
        <v>1</v>
      </c>
      <c r="G601" s="171">
        <v>1</v>
      </c>
      <c r="H601" s="171">
        <v>1</v>
      </c>
      <c r="I601" s="171">
        <v>1</v>
      </c>
      <c r="J601" s="171">
        <v>1</v>
      </c>
      <c r="K601" s="171"/>
      <c r="L601" s="171"/>
      <c r="M601" s="171"/>
      <c r="N601" s="171"/>
      <c r="O601" s="171"/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  <c r="AC601" s="171"/>
      <c r="AD601" s="171"/>
      <c r="AE601" s="171"/>
      <c r="AF601" s="171"/>
      <c r="AG601" s="171"/>
      <c r="AH601" s="171"/>
      <c r="AI601" s="171"/>
      <c r="AJ601" s="171"/>
      <c r="AK601" s="171"/>
      <c r="AL601" s="171"/>
      <c r="AM601" s="22"/>
      <c r="AN601" s="22">
        <f t="shared" si="4"/>
        <v>5</v>
      </c>
      <c r="AO601" s="171"/>
    </row>
    <row r="602" spans="1:41" ht="15.75" customHeight="1">
      <c r="A602" s="167" t="s">
        <v>564</v>
      </c>
      <c r="B602" s="22" t="s">
        <v>563</v>
      </c>
      <c r="C602" s="168">
        <v>1</v>
      </c>
      <c r="D602" s="169" t="b">
        <v>1</v>
      </c>
      <c r="E602" s="170" t="s">
        <v>2004</v>
      </c>
      <c r="F602" s="171">
        <v>1</v>
      </c>
      <c r="G602" s="171">
        <v>1</v>
      </c>
      <c r="H602" s="171">
        <v>1</v>
      </c>
      <c r="I602" s="171">
        <v>1</v>
      </c>
      <c r="J602" s="171">
        <v>1</v>
      </c>
      <c r="K602" s="171"/>
      <c r="L602" s="171"/>
      <c r="M602" s="171"/>
      <c r="N602" s="171"/>
      <c r="O602" s="171"/>
      <c r="P602" s="171"/>
      <c r="Q602" s="171"/>
      <c r="R602" s="171"/>
      <c r="S602" s="171"/>
      <c r="T602" s="171"/>
      <c r="U602" s="171"/>
      <c r="V602" s="171"/>
      <c r="W602" s="171"/>
      <c r="X602" s="171"/>
      <c r="Y602" s="171"/>
      <c r="Z602" s="171"/>
      <c r="AA602" s="171"/>
      <c r="AB602" s="171"/>
      <c r="AC602" s="171"/>
      <c r="AD602" s="171"/>
      <c r="AE602" s="171"/>
      <c r="AF602" s="171"/>
      <c r="AG602" s="171"/>
      <c r="AH602" s="171"/>
      <c r="AI602" s="171"/>
      <c r="AJ602" s="171"/>
      <c r="AK602" s="171"/>
      <c r="AL602" s="171"/>
      <c r="AM602" s="22"/>
      <c r="AN602" s="22">
        <f t="shared" si="4"/>
        <v>5</v>
      </c>
      <c r="AO602" s="171"/>
    </row>
    <row r="603" spans="1:41" ht="15.75" customHeight="1">
      <c r="A603" s="167" t="s">
        <v>612</v>
      </c>
      <c r="B603" s="22" t="s">
        <v>611</v>
      </c>
      <c r="C603" s="168">
        <v>1</v>
      </c>
      <c r="D603" s="169" t="b">
        <v>1</v>
      </c>
      <c r="E603" s="170" t="s">
        <v>2005</v>
      </c>
      <c r="F603" s="171">
        <v>1</v>
      </c>
      <c r="G603" s="171">
        <v>1</v>
      </c>
      <c r="H603" s="171">
        <v>1</v>
      </c>
      <c r="I603" s="171">
        <v>1</v>
      </c>
      <c r="J603" s="171">
        <v>1</v>
      </c>
      <c r="K603" s="171"/>
      <c r="L603" s="171"/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  <c r="AC603" s="171"/>
      <c r="AD603" s="171"/>
      <c r="AE603" s="171"/>
      <c r="AF603" s="171"/>
      <c r="AG603" s="171"/>
      <c r="AH603" s="171"/>
      <c r="AI603" s="171"/>
      <c r="AJ603" s="171"/>
      <c r="AK603" s="171"/>
      <c r="AL603" s="171"/>
      <c r="AM603" s="22"/>
      <c r="AN603" s="22">
        <f t="shared" si="4"/>
        <v>5</v>
      </c>
      <c r="AO603" s="171"/>
    </row>
    <row r="604" spans="1:41" ht="15.75" customHeight="1">
      <c r="A604" s="167" t="s">
        <v>616</v>
      </c>
      <c r="B604" s="22" t="s">
        <v>615</v>
      </c>
      <c r="C604" s="168">
        <v>1</v>
      </c>
      <c r="D604" s="169" t="b">
        <v>1</v>
      </c>
      <c r="E604" s="170" t="s">
        <v>2006</v>
      </c>
      <c r="F604" s="171">
        <v>1</v>
      </c>
      <c r="G604" s="171">
        <v>1</v>
      </c>
      <c r="H604" s="171">
        <v>1</v>
      </c>
      <c r="I604" s="171">
        <v>1</v>
      </c>
      <c r="J604" s="171">
        <v>1</v>
      </c>
      <c r="K604" s="171"/>
      <c r="L604" s="171"/>
      <c r="M604" s="171"/>
      <c r="N604" s="171"/>
      <c r="O604" s="171"/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/>
      <c r="AA604" s="171"/>
      <c r="AB604" s="171"/>
      <c r="AC604" s="171"/>
      <c r="AD604" s="171"/>
      <c r="AE604" s="171"/>
      <c r="AF604" s="171"/>
      <c r="AG604" s="171"/>
      <c r="AH604" s="171"/>
      <c r="AI604" s="171"/>
      <c r="AJ604" s="171"/>
      <c r="AK604" s="171"/>
      <c r="AL604" s="171"/>
      <c r="AM604" s="22"/>
      <c r="AN604" s="22">
        <f t="shared" si="4"/>
        <v>5</v>
      </c>
      <c r="AO604" s="171"/>
    </row>
    <row r="605" spans="1:41" ht="15.75" customHeight="1">
      <c r="A605" s="167" t="s">
        <v>630</v>
      </c>
      <c r="B605" s="22" t="s">
        <v>629</v>
      </c>
      <c r="C605" s="168">
        <v>1</v>
      </c>
      <c r="D605" s="169" t="b">
        <v>1</v>
      </c>
      <c r="E605" s="170" t="s">
        <v>2007</v>
      </c>
      <c r="F605" s="171">
        <v>1</v>
      </c>
      <c r="G605" s="171">
        <v>1</v>
      </c>
      <c r="H605" s="171">
        <v>1</v>
      </c>
      <c r="I605" s="171">
        <v>1</v>
      </c>
      <c r="J605" s="171">
        <v>1</v>
      </c>
      <c r="K605" s="171"/>
      <c r="L605" s="171"/>
      <c r="M605" s="171"/>
      <c r="N605" s="171"/>
      <c r="O605" s="171"/>
      <c r="P605" s="171"/>
      <c r="Q605" s="171"/>
      <c r="R605" s="171"/>
      <c r="S605" s="171"/>
      <c r="T605" s="171"/>
      <c r="U605" s="171"/>
      <c r="V605" s="171"/>
      <c r="W605" s="171"/>
      <c r="X605" s="171"/>
      <c r="Y605" s="171"/>
      <c r="Z605" s="171"/>
      <c r="AA605" s="171"/>
      <c r="AB605" s="171"/>
      <c r="AC605" s="171"/>
      <c r="AD605" s="171"/>
      <c r="AE605" s="171"/>
      <c r="AF605" s="171"/>
      <c r="AG605" s="171"/>
      <c r="AH605" s="171"/>
      <c r="AI605" s="171"/>
      <c r="AJ605" s="171"/>
      <c r="AK605" s="171"/>
      <c r="AL605" s="171"/>
      <c r="AM605" s="22"/>
      <c r="AN605" s="22">
        <f t="shared" si="4"/>
        <v>5</v>
      </c>
      <c r="AO605" s="171"/>
    </row>
    <row r="606" spans="1:41" ht="15.75" customHeight="1">
      <c r="A606" s="167" t="s">
        <v>640</v>
      </c>
      <c r="B606" s="22" t="s">
        <v>639</v>
      </c>
      <c r="C606" s="168">
        <v>1</v>
      </c>
      <c r="D606" s="169" t="b">
        <v>1</v>
      </c>
      <c r="E606" s="170" t="s">
        <v>2008</v>
      </c>
      <c r="F606" s="171">
        <v>1</v>
      </c>
      <c r="G606" s="171">
        <v>1</v>
      </c>
      <c r="H606" s="171">
        <v>1</v>
      </c>
      <c r="I606" s="171">
        <v>1</v>
      </c>
      <c r="J606" s="171">
        <v>1</v>
      </c>
      <c r="K606" s="171"/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  <c r="AC606" s="171"/>
      <c r="AD606" s="171"/>
      <c r="AE606" s="171"/>
      <c r="AF606" s="171"/>
      <c r="AG606" s="171"/>
      <c r="AH606" s="171"/>
      <c r="AI606" s="171"/>
      <c r="AJ606" s="171"/>
      <c r="AK606" s="171"/>
      <c r="AL606" s="171"/>
      <c r="AM606" s="22"/>
      <c r="AN606" s="22">
        <f t="shared" si="4"/>
        <v>5</v>
      </c>
      <c r="AO606" s="171"/>
    </row>
    <row r="607" spans="1:41" ht="15.75" customHeight="1">
      <c r="A607" s="167" t="s">
        <v>644</v>
      </c>
      <c r="B607" s="22" t="s">
        <v>643</v>
      </c>
      <c r="C607" s="168">
        <v>1</v>
      </c>
      <c r="D607" s="169" t="b">
        <v>1</v>
      </c>
      <c r="E607" s="182" t="s">
        <v>1915</v>
      </c>
      <c r="F607" s="171">
        <v>1</v>
      </c>
      <c r="G607" s="171">
        <v>1</v>
      </c>
      <c r="H607" s="171">
        <v>1</v>
      </c>
      <c r="I607" s="171">
        <v>1</v>
      </c>
      <c r="J607" s="171">
        <v>1</v>
      </c>
      <c r="K607" s="171"/>
      <c r="L607" s="171"/>
      <c r="M607" s="171"/>
      <c r="N607" s="171"/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  <c r="AC607" s="171"/>
      <c r="AD607" s="171"/>
      <c r="AE607" s="171"/>
      <c r="AF607" s="171"/>
      <c r="AG607" s="171"/>
      <c r="AH607" s="171"/>
      <c r="AI607" s="171"/>
      <c r="AJ607" s="171"/>
      <c r="AK607" s="171"/>
      <c r="AL607" s="171"/>
      <c r="AM607" s="22"/>
      <c r="AN607" s="22">
        <f t="shared" si="4"/>
        <v>5</v>
      </c>
      <c r="AO607" s="171"/>
    </row>
    <row r="608" spans="1:41" ht="15.75" customHeight="1">
      <c r="A608" s="167" t="s">
        <v>654</v>
      </c>
      <c r="B608" s="22" t="s">
        <v>653</v>
      </c>
      <c r="C608" s="168">
        <v>1</v>
      </c>
      <c r="D608" s="169" t="b">
        <v>1</v>
      </c>
      <c r="E608" s="170" t="s">
        <v>1565</v>
      </c>
      <c r="F608" s="171">
        <v>1</v>
      </c>
      <c r="G608" s="171">
        <v>1</v>
      </c>
      <c r="H608" s="171">
        <v>1</v>
      </c>
      <c r="I608" s="171">
        <v>1</v>
      </c>
      <c r="J608" s="171"/>
      <c r="K608" s="171"/>
      <c r="L608" s="171"/>
      <c r="M608" s="171">
        <v>1</v>
      </c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/>
      <c r="AB608" s="171"/>
      <c r="AC608" s="171"/>
      <c r="AD608" s="171"/>
      <c r="AE608" s="171"/>
      <c r="AF608" s="171"/>
      <c r="AG608" s="171"/>
      <c r="AH608" s="171"/>
      <c r="AI608" s="171"/>
      <c r="AJ608" s="171"/>
      <c r="AK608" s="171"/>
      <c r="AL608" s="171"/>
      <c r="AM608" s="22"/>
      <c r="AN608" s="22">
        <f t="shared" si="4"/>
        <v>5</v>
      </c>
      <c r="AO608" s="171"/>
    </row>
    <row r="609" spans="1:41" ht="15.75" customHeight="1">
      <c r="A609" s="167" t="s">
        <v>656</v>
      </c>
      <c r="B609" s="22" t="s">
        <v>655</v>
      </c>
      <c r="C609" s="168">
        <v>1</v>
      </c>
      <c r="D609" s="169" t="b">
        <v>1</v>
      </c>
      <c r="E609" s="170" t="s">
        <v>2009</v>
      </c>
      <c r="F609" s="171">
        <v>1</v>
      </c>
      <c r="G609" s="171">
        <v>1</v>
      </c>
      <c r="H609" s="171">
        <v>1</v>
      </c>
      <c r="I609" s="171">
        <v>1</v>
      </c>
      <c r="J609" s="171">
        <v>1</v>
      </c>
      <c r="K609" s="171"/>
      <c r="L609" s="171"/>
      <c r="M609" s="171"/>
      <c r="N609" s="171"/>
      <c r="O609" s="171"/>
      <c r="P609" s="171"/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  <c r="AC609" s="171"/>
      <c r="AD609" s="171"/>
      <c r="AE609" s="171"/>
      <c r="AF609" s="171"/>
      <c r="AG609" s="171"/>
      <c r="AH609" s="171"/>
      <c r="AI609" s="171"/>
      <c r="AJ609" s="171"/>
      <c r="AK609" s="171"/>
      <c r="AL609" s="171"/>
      <c r="AM609" s="22"/>
      <c r="AN609" s="22">
        <f t="shared" si="4"/>
        <v>5</v>
      </c>
      <c r="AO609" s="171"/>
    </row>
    <row r="610" spans="1:41" ht="15.75" customHeight="1">
      <c r="A610" s="167" t="s">
        <v>658</v>
      </c>
      <c r="B610" s="22" t="s">
        <v>657</v>
      </c>
      <c r="C610" s="168">
        <v>1</v>
      </c>
      <c r="D610" s="169" t="b">
        <v>1</v>
      </c>
      <c r="E610" s="170" t="s">
        <v>2010</v>
      </c>
      <c r="F610" s="171">
        <v>1</v>
      </c>
      <c r="G610" s="171">
        <v>1</v>
      </c>
      <c r="H610" s="171">
        <v>1</v>
      </c>
      <c r="I610" s="171">
        <v>1</v>
      </c>
      <c r="J610" s="171">
        <v>1</v>
      </c>
      <c r="K610" s="171"/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  <c r="AC610" s="171"/>
      <c r="AD610" s="171"/>
      <c r="AE610" s="171"/>
      <c r="AF610" s="171"/>
      <c r="AG610" s="171"/>
      <c r="AH610" s="171"/>
      <c r="AI610" s="171"/>
      <c r="AJ610" s="171"/>
      <c r="AK610" s="171"/>
      <c r="AL610" s="171"/>
      <c r="AM610" s="22"/>
      <c r="AN610" s="22">
        <f t="shared" si="4"/>
        <v>5</v>
      </c>
      <c r="AO610" s="171"/>
    </row>
    <row r="611" spans="1:41" ht="15.75" customHeight="1">
      <c r="A611" s="167" t="s">
        <v>664</v>
      </c>
      <c r="B611" s="22" t="s">
        <v>663</v>
      </c>
      <c r="C611" s="168">
        <v>1</v>
      </c>
      <c r="D611" s="169" t="b">
        <v>1</v>
      </c>
      <c r="E611" s="170" t="s">
        <v>2011</v>
      </c>
      <c r="F611" s="171">
        <v>1</v>
      </c>
      <c r="G611" s="171">
        <v>1</v>
      </c>
      <c r="H611" s="171">
        <v>1</v>
      </c>
      <c r="I611" s="171">
        <v>1</v>
      </c>
      <c r="J611" s="171"/>
      <c r="K611" s="171"/>
      <c r="L611" s="171"/>
      <c r="M611" s="171">
        <v>1</v>
      </c>
      <c r="N611" s="171"/>
      <c r="O611" s="171"/>
      <c r="P611" s="171"/>
      <c r="Q611" s="171"/>
      <c r="R611" s="171"/>
      <c r="S611" s="171"/>
      <c r="T611" s="171"/>
      <c r="U611" s="171"/>
      <c r="V611" s="171"/>
      <c r="W611" s="171"/>
      <c r="X611" s="171"/>
      <c r="Y611" s="171"/>
      <c r="Z611" s="171"/>
      <c r="AA611" s="171"/>
      <c r="AB611" s="171"/>
      <c r="AC611" s="171"/>
      <c r="AD611" s="171"/>
      <c r="AE611" s="171"/>
      <c r="AF611" s="171"/>
      <c r="AG611" s="171"/>
      <c r="AH611" s="171"/>
      <c r="AI611" s="171"/>
      <c r="AJ611" s="171"/>
      <c r="AK611" s="171"/>
      <c r="AL611" s="171"/>
      <c r="AM611" s="22"/>
      <c r="AN611" s="22">
        <f t="shared" si="4"/>
        <v>5</v>
      </c>
      <c r="AO611" s="171"/>
    </row>
    <row r="612" spans="1:41" ht="15.75" customHeight="1">
      <c r="A612" s="167" t="s">
        <v>668</v>
      </c>
      <c r="B612" s="22" t="s">
        <v>667</v>
      </c>
      <c r="C612" s="168">
        <v>1</v>
      </c>
      <c r="D612" s="169" t="b">
        <v>1</v>
      </c>
      <c r="E612" s="170" t="s">
        <v>1833</v>
      </c>
      <c r="F612" s="171">
        <v>1</v>
      </c>
      <c r="G612" s="171">
        <v>1</v>
      </c>
      <c r="H612" s="171">
        <v>1</v>
      </c>
      <c r="I612" s="171">
        <v>1</v>
      </c>
      <c r="J612" s="171">
        <v>1</v>
      </c>
      <c r="K612" s="171"/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  <c r="AC612" s="171"/>
      <c r="AD612" s="171"/>
      <c r="AE612" s="171"/>
      <c r="AF612" s="171"/>
      <c r="AG612" s="171"/>
      <c r="AH612" s="171"/>
      <c r="AI612" s="171"/>
      <c r="AJ612" s="171"/>
      <c r="AK612" s="171"/>
      <c r="AL612" s="171"/>
      <c r="AM612" s="22"/>
      <c r="AN612" s="22">
        <f t="shared" si="4"/>
        <v>5</v>
      </c>
      <c r="AO612" s="171"/>
    </row>
    <row r="613" spans="1:41" ht="15.75" customHeight="1">
      <c r="A613" s="167" t="s">
        <v>672</v>
      </c>
      <c r="B613" s="22" t="s">
        <v>671</v>
      </c>
      <c r="C613" s="168">
        <v>1</v>
      </c>
      <c r="D613" s="169" t="b">
        <v>1</v>
      </c>
      <c r="E613" s="170" t="s">
        <v>2004</v>
      </c>
      <c r="F613" s="171">
        <v>1</v>
      </c>
      <c r="G613" s="171">
        <v>1</v>
      </c>
      <c r="H613" s="171">
        <v>1</v>
      </c>
      <c r="I613" s="171">
        <v>1</v>
      </c>
      <c r="J613" s="171">
        <v>1</v>
      </c>
      <c r="K613" s="171"/>
      <c r="L613" s="171"/>
      <c r="M613" s="171"/>
      <c r="N613" s="171"/>
      <c r="O613" s="171"/>
      <c r="P613" s="171"/>
      <c r="Q613" s="171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  <c r="AC613" s="171"/>
      <c r="AD613" s="171"/>
      <c r="AE613" s="171"/>
      <c r="AF613" s="171"/>
      <c r="AG613" s="171"/>
      <c r="AH613" s="171"/>
      <c r="AI613" s="171"/>
      <c r="AJ613" s="171"/>
      <c r="AK613" s="171"/>
      <c r="AL613" s="171"/>
      <c r="AM613" s="22"/>
      <c r="AN613" s="22">
        <f t="shared" si="4"/>
        <v>5</v>
      </c>
      <c r="AO613" s="171"/>
    </row>
    <row r="614" spans="1:41" ht="15.75" customHeight="1">
      <c r="A614" s="167" t="s">
        <v>688</v>
      </c>
      <c r="B614" s="22" t="s">
        <v>687</v>
      </c>
      <c r="C614" s="168">
        <v>1</v>
      </c>
      <c r="D614" s="169" t="b">
        <v>1</v>
      </c>
      <c r="E614" s="170" t="s">
        <v>2012</v>
      </c>
      <c r="F614" s="171">
        <v>1</v>
      </c>
      <c r="G614" s="171">
        <v>1</v>
      </c>
      <c r="H614" s="171">
        <v>1</v>
      </c>
      <c r="I614" s="171">
        <v>1</v>
      </c>
      <c r="J614" s="171">
        <v>1</v>
      </c>
      <c r="K614" s="171"/>
      <c r="L614" s="171"/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  <c r="AC614" s="171"/>
      <c r="AD614" s="171"/>
      <c r="AE614" s="171"/>
      <c r="AF614" s="171"/>
      <c r="AG614" s="171"/>
      <c r="AH614" s="171"/>
      <c r="AI614" s="171"/>
      <c r="AJ614" s="171"/>
      <c r="AK614" s="171"/>
      <c r="AL614" s="171"/>
      <c r="AM614" s="22"/>
      <c r="AN614" s="22">
        <f t="shared" si="4"/>
        <v>5</v>
      </c>
      <c r="AO614" s="171"/>
    </row>
    <row r="615" spans="1:41" ht="15.75" customHeight="1">
      <c r="A615" s="167" t="s">
        <v>694</v>
      </c>
      <c r="B615" s="22" t="s">
        <v>693</v>
      </c>
      <c r="C615" s="168">
        <v>1</v>
      </c>
      <c r="D615" s="169" t="b">
        <v>1</v>
      </c>
      <c r="E615" s="170" t="s">
        <v>2013</v>
      </c>
      <c r="F615" s="178">
        <v>1</v>
      </c>
      <c r="G615" s="178">
        <v>1</v>
      </c>
      <c r="H615" s="178">
        <v>1</v>
      </c>
      <c r="I615" s="178">
        <v>1</v>
      </c>
      <c r="J615" s="178">
        <v>1</v>
      </c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  <c r="AE615" s="178"/>
      <c r="AF615" s="178"/>
      <c r="AG615" s="178"/>
      <c r="AH615" s="178"/>
      <c r="AI615" s="178"/>
      <c r="AJ615" s="178"/>
      <c r="AK615" s="178"/>
      <c r="AL615" s="178"/>
      <c r="AM615" s="22"/>
      <c r="AN615" s="22">
        <f t="shared" si="4"/>
        <v>5</v>
      </c>
      <c r="AO615" s="171"/>
    </row>
    <row r="616" spans="1:41" ht="15.75" customHeight="1">
      <c r="A616" s="167" t="s">
        <v>696</v>
      </c>
      <c r="B616" s="22" t="s">
        <v>695</v>
      </c>
      <c r="C616" s="168">
        <v>1</v>
      </c>
      <c r="D616" s="169" t="b">
        <v>1</v>
      </c>
      <c r="E616" s="174" t="s">
        <v>2014</v>
      </c>
      <c r="F616" s="171">
        <v>1</v>
      </c>
      <c r="G616" s="171">
        <v>1</v>
      </c>
      <c r="H616" s="171">
        <v>1</v>
      </c>
      <c r="I616" s="171">
        <v>1</v>
      </c>
      <c r="J616" s="171">
        <v>1</v>
      </c>
      <c r="K616" s="171"/>
      <c r="L616" s="171"/>
      <c r="M616" s="171"/>
      <c r="N616" s="171"/>
      <c r="O616" s="171"/>
      <c r="P616" s="171"/>
      <c r="Q616" s="171"/>
      <c r="R616" s="171"/>
      <c r="S616" s="171"/>
      <c r="T616" s="171"/>
      <c r="U616" s="171"/>
      <c r="V616" s="171"/>
      <c r="W616" s="171"/>
      <c r="X616" s="171"/>
      <c r="Y616" s="171"/>
      <c r="Z616" s="171"/>
      <c r="AA616" s="171"/>
      <c r="AB616" s="171"/>
      <c r="AC616" s="171"/>
      <c r="AD616" s="171"/>
      <c r="AE616" s="171"/>
      <c r="AF616" s="171"/>
      <c r="AG616" s="171"/>
      <c r="AH616" s="171"/>
      <c r="AI616" s="171"/>
      <c r="AJ616" s="171"/>
      <c r="AK616" s="171"/>
      <c r="AL616" s="171"/>
      <c r="AM616" s="22"/>
      <c r="AN616" s="22">
        <f t="shared" si="4"/>
        <v>5</v>
      </c>
      <c r="AO616" s="171"/>
    </row>
    <row r="617" spans="1:41" ht="15.75" customHeight="1">
      <c r="A617" s="167" t="s">
        <v>714</v>
      </c>
      <c r="B617" s="22" t="s">
        <v>713</v>
      </c>
      <c r="C617" s="168">
        <v>1</v>
      </c>
      <c r="D617" s="169" t="b">
        <v>1</v>
      </c>
      <c r="E617" s="170" t="s">
        <v>2015</v>
      </c>
      <c r="F617" s="171">
        <v>1</v>
      </c>
      <c r="G617" s="171">
        <v>1</v>
      </c>
      <c r="H617" s="171">
        <v>1</v>
      </c>
      <c r="I617" s="171">
        <v>1</v>
      </c>
      <c r="J617" s="171">
        <v>1</v>
      </c>
      <c r="K617" s="171"/>
      <c r="L617" s="171"/>
      <c r="M617" s="171"/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  <c r="AC617" s="171"/>
      <c r="AD617" s="171"/>
      <c r="AE617" s="171"/>
      <c r="AF617" s="171"/>
      <c r="AG617" s="171"/>
      <c r="AH617" s="171"/>
      <c r="AI617" s="171"/>
      <c r="AJ617" s="171"/>
      <c r="AK617" s="171"/>
      <c r="AL617" s="171"/>
      <c r="AM617" s="22"/>
      <c r="AN617" s="22">
        <f t="shared" si="4"/>
        <v>5</v>
      </c>
      <c r="AO617" s="171"/>
    </row>
    <row r="618" spans="1:41" ht="15.75" customHeight="1">
      <c r="A618" s="167" t="s">
        <v>720</v>
      </c>
      <c r="B618" s="22" t="s">
        <v>719</v>
      </c>
      <c r="C618" s="168">
        <v>1</v>
      </c>
      <c r="D618" s="169" t="b">
        <v>1</v>
      </c>
      <c r="E618" s="170" t="s">
        <v>2016</v>
      </c>
      <c r="F618" s="171">
        <v>1</v>
      </c>
      <c r="G618" s="171">
        <v>1</v>
      </c>
      <c r="H618" s="171">
        <v>1</v>
      </c>
      <c r="I618" s="171">
        <v>1</v>
      </c>
      <c r="J618" s="171">
        <v>1</v>
      </c>
      <c r="K618" s="171"/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  <c r="AC618" s="171"/>
      <c r="AD618" s="171"/>
      <c r="AE618" s="171"/>
      <c r="AF618" s="171"/>
      <c r="AG618" s="171"/>
      <c r="AH618" s="171"/>
      <c r="AI618" s="171"/>
      <c r="AJ618" s="171"/>
      <c r="AK618" s="171"/>
      <c r="AL618" s="171"/>
      <c r="AM618" s="22"/>
      <c r="AN618" s="22">
        <f t="shared" si="4"/>
        <v>5</v>
      </c>
      <c r="AO618" s="171"/>
    </row>
    <row r="619" spans="1:41" ht="15.75" customHeight="1">
      <c r="A619" s="167" t="s">
        <v>728</v>
      </c>
      <c r="B619" s="22" t="s">
        <v>727</v>
      </c>
      <c r="C619" s="168">
        <v>1</v>
      </c>
      <c r="D619" s="169" t="b">
        <v>1</v>
      </c>
      <c r="E619" s="170" t="s">
        <v>2017</v>
      </c>
      <c r="F619" s="171">
        <v>1</v>
      </c>
      <c r="G619" s="171">
        <v>1</v>
      </c>
      <c r="H619" s="171">
        <v>1</v>
      </c>
      <c r="I619" s="171">
        <v>1</v>
      </c>
      <c r="J619" s="171">
        <v>1</v>
      </c>
      <c r="K619" s="171"/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  <c r="AC619" s="171"/>
      <c r="AD619" s="171"/>
      <c r="AE619" s="171"/>
      <c r="AF619" s="171"/>
      <c r="AG619" s="171"/>
      <c r="AH619" s="171"/>
      <c r="AI619" s="171"/>
      <c r="AJ619" s="171"/>
      <c r="AK619" s="171"/>
      <c r="AL619" s="171"/>
      <c r="AM619" s="22"/>
      <c r="AN619" s="22">
        <f t="shared" si="4"/>
        <v>5</v>
      </c>
      <c r="AO619" s="171"/>
    </row>
    <row r="620" spans="1:41" ht="15.75" customHeight="1">
      <c r="A620" s="167" t="s">
        <v>730</v>
      </c>
      <c r="B620" s="22" t="s">
        <v>729</v>
      </c>
      <c r="C620" s="168">
        <v>1</v>
      </c>
      <c r="D620" s="169" t="b">
        <v>1</v>
      </c>
      <c r="E620" s="174" t="s">
        <v>2018</v>
      </c>
      <c r="F620" s="171">
        <v>1</v>
      </c>
      <c r="G620" s="171">
        <v>1</v>
      </c>
      <c r="H620" s="171">
        <v>1</v>
      </c>
      <c r="I620" s="171">
        <v>1</v>
      </c>
      <c r="J620" s="171">
        <v>1</v>
      </c>
      <c r="K620" s="171"/>
      <c r="L620" s="171"/>
      <c r="M620" s="171"/>
      <c r="N620" s="171"/>
      <c r="O620" s="171"/>
      <c r="P620" s="171"/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  <c r="AC620" s="171"/>
      <c r="AD620" s="171"/>
      <c r="AE620" s="171"/>
      <c r="AF620" s="171"/>
      <c r="AG620" s="171"/>
      <c r="AH620" s="171"/>
      <c r="AI620" s="171"/>
      <c r="AJ620" s="171"/>
      <c r="AK620" s="171"/>
      <c r="AL620" s="171"/>
      <c r="AM620" s="22"/>
      <c r="AN620" s="22">
        <f t="shared" si="4"/>
        <v>5</v>
      </c>
      <c r="AO620" s="171"/>
    </row>
    <row r="621" spans="1:41" ht="15.75" customHeight="1">
      <c r="A621" s="167" t="s">
        <v>738</v>
      </c>
      <c r="B621" s="22" t="s">
        <v>737</v>
      </c>
      <c r="C621" s="168">
        <v>1</v>
      </c>
      <c r="D621" s="169" t="b">
        <v>1</v>
      </c>
      <c r="E621" s="174" t="s">
        <v>2019</v>
      </c>
      <c r="F621" s="171">
        <v>1</v>
      </c>
      <c r="G621" s="171">
        <v>1</v>
      </c>
      <c r="H621" s="171">
        <v>1</v>
      </c>
      <c r="I621" s="171">
        <v>1</v>
      </c>
      <c r="J621" s="171">
        <v>1</v>
      </c>
      <c r="K621" s="171"/>
      <c r="L621" s="171"/>
      <c r="M621" s="171"/>
      <c r="N621" s="171"/>
      <c r="O621" s="171"/>
      <c r="P621" s="171"/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  <c r="AC621" s="171"/>
      <c r="AD621" s="171"/>
      <c r="AE621" s="171"/>
      <c r="AF621" s="171"/>
      <c r="AG621" s="171"/>
      <c r="AH621" s="171"/>
      <c r="AI621" s="171"/>
      <c r="AJ621" s="171"/>
      <c r="AK621" s="171"/>
      <c r="AL621" s="171"/>
      <c r="AM621" s="22"/>
      <c r="AN621" s="22">
        <f t="shared" si="4"/>
        <v>5</v>
      </c>
      <c r="AO621" s="171"/>
    </row>
    <row r="622" spans="1:41" ht="15.75" customHeight="1">
      <c r="A622" s="167" t="s">
        <v>750</v>
      </c>
      <c r="B622" s="22" t="s">
        <v>749</v>
      </c>
      <c r="C622" s="168">
        <v>1</v>
      </c>
      <c r="D622" s="169" t="b">
        <v>1</v>
      </c>
      <c r="E622" s="182" t="s">
        <v>2020</v>
      </c>
      <c r="F622" s="171">
        <v>1</v>
      </c>
      <c r="G622" s="171">
        <v>1</v>
      </c>
      <c r="H622" s="171">
        <v>1</v>
      </c>
      <c r="I622" s="171">
        <v>1</v>
      </c>
      <c r="J622" s="171">
        <v>1</v>
      </c>
      <c r="K622" s="171"/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  <c r="AC622" s="171"/>
      <c r="AD622" s="171"/>
      <c r="AE622" s="171"/>
      <c r="AF622" s="171"/>
      <c r="AG622" s="171"/>
      <c r="AH622" s="171"/>
      <c r="AI622" s="171"/>
      <c r="AJ622" s="171"/>
      <c r="AK622" s="171"/>
      <c r="AL622" s="171"/>
      <c r="AM622" s="22"/>
      <c r="AN622" s="22">
        <f t="shared" si="4"/>
        <v>5</v>
      </c>
      <c r="AO622" s="171"/>
    </row>
    <row r="623" spans="1:41" ht="15.75" customHeight="1">
      <c r="A623" s="167" t="s">
        <v>774</v>
      </c>
      <c r="B623" s="22" t="s">
        <v>773</v>
      </c>
      <c r="C623" s="168">
        <v>1</v>
      </c>
      <c r="D623" s="169" t="b">
        <v>1</v>
      </c>
      <c r="E623" s="170" t="s">
        <v>1578</v>
      </c>
      <c r="F623" s="171">
        <v>1</v>
      </c>
      <c r="G623" s="171">
        <v>1</v>
      </c>
      <c r="H623" s="171">
        <v>1</v>
      </c>
      <c r="I623" s="171">
        <v>1</v>
      </c>
      <c r="J623" s="171">
        <v>1</v>
      </c>
      <c r="K623" s="171"/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  <c r="AC623" s="171"/>
      <c r="AD623" s="171"/>
      <c r="AE623" s="171"/>
      <c r="AF623" s="171"/>
      <c r="AG623" s="171"/>
      <c r="AH623" s="171"/>
      <c r="AI623" s="171"/>
      <c r="AJ623" s="171"/>
      <c r="AK623" s="171"/>
      <c r="AL623" s="171"/>
      <c r="AM623" s="22"/>
      <c r="AN623" s="22">
        <f t="shared" si="4"/>
        <v>5</v>
      </c>
      <c r="AO623" s="171"/>
    </row>
    <row r="624" spans="1:41" ht="15.75" customHeight="1">
      <c r="A624" s="167" t="s">
        <v>780</v>
      </c>
      <c r="B624" s="22" t="s">
        <v>779</v>
      </c>
      <c r="C624" s="168">
        <v>1</v>
      </c>
      <c r="D624" s="169" t="b">
        <v>1</v>
      </c>
      <c r="E624" s="174" t="s">
        <v>2021</v>
      </c>
      <c r="F624" s="171">
        <v>1</v>
      </c>
      <c r="G624" s="171">
        <v>1</v>
      </c>
      <c r="H624" s="171">
        <v>1</v>
      </c>
      <c r="I624" s="171">
        <v>1</v>
      </c>
      <c r="J624" s="171">
        <v>1</v>
      </c>
      <c r="K624" s="171"/>
      <c r="L624" s="171"/>
      <c r="M624" s="171"/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  <c r="AC624" s="171"/>
      <c r="AD624" s="171"/>
      <c r="AE624" s="171"/>
      <c r="AF624" s="171"/>
      <c r="AG624" s="171"/>
      <c r="AH624" s="171"/>
      <c r="AI624" s="171"/>
      <c r="AJ624" s="171"/>
      <c r="AK624" s="171"/>
      <c r="AL624" s="171"/>
      <c r="AM624" s="22"/>
      <c r="AN624" s="22">
        <f t="shared" si="4"/>
        <v>5</v>
      </c>
      <c r="AO624" s="171"/>
    </row>
    <row r="625" spans="1:41" ht="15.75" customHeight="1">
      <c r="A625" s="167" t="s">
        <v>790</v>
      </c>
      <c r="B625" s="22" t="s">
        <v>789</v>
      </c>
      <c r="C625" s="168">
        <v>1</v>
      </c>
      <c r="D625" s="169" t="b">
        <v>1</v>
      </c>
      <c r="E625" s="170" t="s">
        <v>2022</v>
      </c>
      <c r="F625" s="171">
        <v>1</v>
      </c>
      <c r="G625" s="171">
        <v>1</v>
      </c>
      <c r="H625" s="171">
        <v>1</v>
      </c>
      <c r="I625" s="171">
        <v>1</v>
      </c>
      <c r="J625" s="171">
        <v>1</v>
      </c>
      <c r="K625" s="171"/>
      <c r="L625" s="171"/>
      <c r="M625" s="171"/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  <c r="AC625" s="171"/>
      <c r="AD625" s="171"/>
      <c r="AE625" s="171"/>
      <c r="AF625" s="171"/>
      <c r="AG625" s="171"/>
      <c r="AH625" s="171"/>
      <c r="AI625" s="171"/>
      <c r="AJ625" s="171"/>
      <c r="AK625" s="171"/>
      <c r="AL625" s="171"/>
      <c r="AM625" s="22"/>
      <c r="AN625" s="22">
        <f t="shared" si="4"/>
        <v>5</v>
      </c>
      <c r="AO625" s="171"/>
    </row>
    <row r="626" spans="1:41" ht="15.75" customHeight="1">
      <c r="A626" s="167" t="s">
        <v>802</v>
      </c>
      <c r="B626" s="22" t="s">
        <v>801</v>
      </c>
      <c r="C626" s="168">
        <v>1</v>
      </c>
      <c r="D626" s="169" t="b">
        <v>1</v>
      </c>
      <c r="E626" s="170" t="s">
        <v>2023</v>
      </c>
      <c r="F626" s="171">
        <v>1</v>
      </c>
      <c r="G626" s="171">
        <v>1</v>
      </c>
      <c r="H626" s="171">
        <v>1</v>
      </c>
      <c r="I626" s="171">
        <v>1</v>
      </c>
      <c r="J626" s="171">
        <v>1</v>
      </c>
      <c r="K626" s="171"/>
      <c r="L626" s="171"/>
      <c r="M626" s="171"/>
      <c r="N626" s="171"/>
      <c r="O626" s="171"/>
      <c r="P626" s="171"/>
      <c r="Q626" s="171"/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  <c r="AC626" s="171"/>
      <c r="AD626" s="171"/>
      <c r="AE626" s="171"/>
      <c r="AF626" s="171"/>
      <c r="AG626" s="171"/>
      <c r="AH626" s="171"/>
      <c r="AI626" s="171"/>
      <c r="AJ626" s="171"/>
      <c r="AK626" s="171"/>
      <c r="AL626" s="171"/>
      <c r="AM626" s="22"/>
      <c r="AN626" s="22">
        <f t="shared" si="4"/>
        <v>5</v>
      </c>
      <c r="AO626" s="171"/>
    </row>
    <row r="627" spans="1:41" ht="15.75" customHeight="1">
      <c r="A627" s="167" t="s">
        <v>812</v>
      </c>
      <c r="B627" s="22" t="s">
        <v>811</v>
      </c>
      <c r="C627" s="168">
        <v>1</v>
      </c>
      <c r="D627" s="169" t="b">
        <v>1</v>
      </c>
      <c r="E627" s="170" t="s">
        <v>2024</v>
      </c>
      <c r="F627" s="171">
        <v>1</v>
      </c>
      <c r="G627" s="171">
        <v>1</v>
      </c>
      <c r="H627" s="171">
        <v>1</v>
      </c>
      <c r="I627" s="171">
        <v>1</v>
      </c>
      <c r="J627" s="171">
        <v>1</v>
      </c>
      <c r="K627" s="171"/>
      <c r="L627" s="171"/>
      <c r="M627" s="171"/>
      <c r="N627" s="171"/>
      <c r="O627" s="171"/>
      <c r="P627" s="171"/>
      <c r="Q627" s="171"/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  <c r="AC627" s="171"/>
      <c r="AD627" s="171"/>
      <c r="AE627" s="171"/>
      <c r="AF627" s="171"/>
      <c r="AG627" s="171"/>
      <c r="AH627" s="171"/>
      <c r="AI627" s="171"/>
      <c r="AJ627" s="171"/>
      <c r="AK627" s="171"/>
      <c r="AL627" s="171"/>
      <c r="AM627" s="22"/>
      <c r="AN627" s="22">
        <f t="shared" si="4"/>
        <v>5</v>
      </c>
      <c r="AO627" s="171"/>
    </row>
    <row r="628" spans="1:41" ht="15.75" customHeight="1">
      <c r="A628" s="167" t="s">
        <v>830</v>
      </c>
      <c r="B628" s="22" t="s">
        <v>829</v>
      </c>
      <c r="C628" s="168">
        <v>1</v>
      </c>
      <c r="D628" s="169" t="b">
        <v>1</v>
      </c>
      <c r="E628" s="170" t="s">
        <v>1906</v>
      </c>
      <c r="F628" s="171">
        <v>1</v>
      </c>
      <c r="G628" s="171">
        <v>1</v>
      </c>
      <c r="H628" s="171">
        <v>1</v>
      </c>
      <c r="I628" s="171">
        <v>1</v>
      </c>
      <c r="J628" s="171">
        <v>1</v>
      </c>
      <c r="K628" s="171"/>
      <c r="L628" s="171"/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  <c r="AC628" s="171"/>
      <c r="AD628" s="171"/>
      <c r="AE628" s="171"/>
      <c r="AF628" s="171"/>
      <c r="AG628" s="171"/>
      <c r="AH628" s="171"/>
      <c r="AI628" s="171"/>
      <c r="AJ628" s="171"/>
      <c r="AK628" s="171"/>
      <c r="AL628" s="171"/>
      <c r="AM628" s="22"/>
      <c r="AN628" s="22">
        <f t="shared" si="4"/>
        <v>5</v>
      </c>
      <c r="AO628" s="171"/>
    </row>
    <row r="629" spans="1:41" ht="15.75" customHeight="1">
      <c r="A629" s="167" t="s">
        <v>836</v>
      </c>
      <c r="B629" s="22" t="s">
        <v>835</v>
      </c>
      <c r="C629" s="168">
        <v>1</v>
      </c>
      <c r="D629" s="169" t="b">
        <v>1</v>
      </c>
      <c r="E629" s="170" t="s">
        <v>2025</v>
      </c>
      <c r="F629" s="171">
        <v>1</v>
      </c>
      <c r="G629" s="171">
        <v>1</v>
      </c>
      <c r="H629" s="171">
        <v>1</v>
      </c>
      <c r="I629" s="171">
        <v>1</v>
      </c>
      <c r="J629" s="171">
        <v>1</v>
      </c>
      <c r="K629" s="171"/>
      <c r="L629" s="171"/>
      <c r="M629" s="171"/>
      <c r="N629" s="171"/>
      <c r="O629" s="171"/>
      <c r="P629" s="171"/>
      <c r="Q629" s="171"/>
      <c r="R629" s="171"/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  <c r="AC629" s="171"/>
      <c r="AD629" s="171"/>
      <c r="AE629" s="171"/>
      <c r="AF629" s="171"/>
      <c r="AG629" s="171"/>
      <c r="AH629" s="171"/>
      <c r="AI629" s="171"/>
      <c r="AJ629" s="171"/>
      <c r="AK629" s="171"/>
      <c r="AL629" s="171"/>
      <c r="AM629" s="22"/>
      <c r="AN629" s="22">
        <f t="shared" si="4"/>
        <v>5</v>
      </c>
      <c r="AO629" s="171"/>
    </row>
    <row r="630" spans="1:41" ht="15.75" customHeight="1">
      <c r="A630" s="167" t="s">
        <v>856</v>
      </c>
      <c r="B630" s="22" t="s">
        <v>855</v>
      </c>
      <c r="C630" s="168">
        <v>1</v>
      </c>
      <c r="D630" s="169" t="b">
        <v>1</v>
      </c>
      <c r="E630" s="170" t="s">
        <v>2026</v>
      </c>
      <c r="F630" s="171">
        <v>1</v>
      </c>
      <c r="G630" s="171">
        <v>1</v>
      </c>
      <c r="H630" s="171">
        <v>1</v>
      </c>
      <c r="I630" s="171">
        <v>1</v>
      </c>
      <c r="J630" s="171">
        <v>1</v>
      </c>
      <c r="K630" s="171"/>
      <c r="L630" s="171"/>
      <c r="M630" s="171"/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  <c r="AC630" s="171"/>
      <c r="AD630" s="171"/>
      <c r="AE630" s="171"/>
      <c r="AF630" s="171"/>
      <c r="AG630" s="171"/>
      <c r="AH630" s="171"/>
      <c r="AI630" s="171"/>
      <c r="AJ630" s="171"/>
      <c r="AK630" s="171"/>
      <c r="AL630" s="171"/>
      <c r="AM630" s="22"/>
      <c r="AN630" s="22">
        <f t="shared" si="4"/>
        <v>5</v>
      </c>
      <c r="AO630" s="171"/>
    </row>
    <row r="631" spans="1:41" ht="15.75" customHeight="1">
      <c r="A631" s="167" t="s">
        <v>904</v>
      </c>
      <c r="B631" s="22" t="s">
        <v>903</v>
      </c>
      <c r="C631" s="168">
        <v>1</v>
      </c>
      <c r="D631" s="169" t="b">
        <v>1</v>
      </c>
      <c r="E631" s="170" t="s">
        <v>2027</v>
      </c>
      <c r="F631" s="171">
        <v>1</v>
      </c>
      <c r="G631" s="171">
        <v>1</v>
      </c>
      <c r="H631" s="171">
        <v>1</v>
      </c>
      <c r="I631" s="171">
        <v>1</v>
      </c>
      <c r="J631" s="171">
        <v>1</v>
      </c>
      <c r="K631" s="171"/>
      <c r="L631" s="171"/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  <c r="AC631" s="171"/>
      <c r="AD631" s="171"/>
      <c r="AE631" s="171"/>
      <c r="AF631" s="171"/>
      <c r="AG631" s="171"/>
      <c r="AH631" s="171"/>
      <c r="AI631" s="171"/>
      <c r="AJ631" s="171"/>
      <c r="AK631" s="171"/>
      <c r="AL631" s="171"/>
      <c r="AM631" s="22"/>
      <c r="AN631" s="22">
        <f t="shared" si="4"/>
        <v>5</v>
      </c>
      <c r="AO631" s="171"/>
    </row>
    <row r="632" spans="1:41" ht="15.75" customHeight="1">
      <c r="A632" s="167" t="s">
        <v>910</v>
      </c>
      <c r="B632" s="22" t="s">
        <v>909</v>
      </c>
      <c r="C632" s="168">
        <v>1</v>
      </c>
      <c r="D632" s="169" t="b">
        <v>1</v>
      </c>
      <c r="E632" s="170" t="s">
        <v>2028</v>
      </c>
      <c r="F632" s="171">
        <v>1</v>
      </c>
      <c r="G632" s="171">
        <v>1</v>
      </c>
      <c r="H632" s="171">
        <v>1</v>
      </c>
      <c r="I632" s="171">
        <v>1</v>
      </c>
      <c r="J632" s="171">
        <v>1</v>
      </c>
      <c r="K632" s="171"/>
      <c r="L632" s="171"/>
      <c r="M632" s="171"/>
      <c r="N632" s="171"/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  <c r="AC632" s="171"/>
      <c r="AD632" s="171"/>
      <c r="AE632" s="171"/>
      <c r="AF632" s="171"/>
      <c r="AG632" s="171"/>
      <c r="AH632" s="171"/>
      <c r="AI632" s="171"/>
      <c r="AJ632" s="171"/>
      <c r="AK632" s="171"/>
      <c r="AL632" s="171"/>
      <c r="AM632" s="22"/>
      <c r="AN632" s="22">
        <f t="shared" si="4"/>
        <v>5</v>
      </c>
      <c r="AO632" s="171"/>
    </row>
    <row r="633" spans="1:41" ht="15.75" customHeight="1">
      <c r="A633" s="167" t="s">
        <v>914</v>
      </c>
      <c r="B633" s="22" t="s">
        <v>913</v>
      </c>
      <c r="C633" s="168">
        <v>1</v>
      </c>
      <c r="D633" s="169" t="b">
        <v>1</v>
      </c>
      <c r="E633" s="170" t="s">
        <v>2029</v>
      </c>
      <c r="F633" s="171">
        <v>1</v>
      </c>
      <c r="G633" s="171">
        <v>1</v>
      </c>
      <c r="H633" s="171">
        <v>1</v>
      </c>
      <c r="I633" s="171">
        <v>1</v>
      </c>
      <c r="J633" s="171">
        <v>1</v>
      </c>
      <c r="K633" s="171"/>
      <c r="L633" s="171"/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  <c r="AC633" s="171"/>
      <c r="AD633" s="171"/>
      <c r="AE633" s="171"/>
      <c r="AF633" s="171"/>
      <c r="AG633" s="171"/>
      <c r="AH633" s="171"/>
      <c r="AI633" s="171"/>
      <c r="AJ633" s="171"/>
      <c r="AK633" s="171"/>
      <c r="AL633" s="171"/>
      <c r="AM633" s="22"/>
      <c r="AN633" s="22">
        <f t="shared" si="4"/>
        <v>5</v>
      </c>
      <c r="AO633" s="171"/>
    </row>
    <row r="634" spans="1:41" ht="15.75" customHeight="1">
      <c r="A634" s="167" t="s">
        <v>916</v>
      </c>
      <c r="B634" s="22" t="s">
        <v>915</v>
      </c>
      <c r="C634" s="168">
        <v>1</v>
      </c>
      <c r="D634" s="169" t="b">
        <v>1</v>
      </c>
      <c r="E634" s="170" t="s">
        <v>2030</v>
      </c>
      <c r="F634" s="171">
        <v>1</v>
      </c>
      <c r="G634" s="171">
        <v>1</v>
      </c>
      <c r="H634" s="171">
        <v>1</v>
      </c>
      <c r="I634" s="171">
        <v>1</v>
      </c>
      <c r="J634" s="171">
        <v>1</v>
      </c>
      <c r="K634" s="171"/>
      <c r="L634" s="171"/>
      <c r="M634" s="171"/>
      <c r="N634" s="171"/>
      <c r="O634" s="171"/>
      <c r="P634" s="171"/>
      <c r="Q634" s="171"/>
      <c r="R634" s="171"/>
      <c r="S634" s="171"/>
      <c r="T634" s="171"/>
      <c r="U634" s="171"/>
      <c r="V634" s="171"/>
      <c r="W634" s="171"/>
      <c r="X634" s="171"/>
      <c r="Y634" s="171"/>
      <c r="Z634" s="171"/>
      <c r="AA634" s="171"/>
      <c r="AB634" s="171"/>
      <c r="AC634" s="171"/>
      <c r="AD634" s="171"/>
      <c r="AE634" s="171"/>
      <c r="AF634" s="171"/>
      <c r="AG634" s="171"/>
      <c r="AH634" s="171"/>
      <c r="AI634" s="171"/>
      <c r="AJ634" s="171"/>
      <c r="AK634" s="171"/>
      <c r="AL634" s="171"/>
      <c r="AM634" s="22"/>
      <c r="AN634" s="22">
        <f t="shared" si="4"/>
        <v>5</v>
      </c>
      <c r="AO634" s="171"/>
    </row>
    <row r="635" spans="1:41" ht="15.75" customHeight="1">
      <c r="A635" s="167" t="s">
        <v>956</v>
      </c>
      <c r="B635" s="22" t="s">
        <v>955</v>
      </c>
      <c r="C635" s="168">
        <v>1</v>
      </c>
      <c r="D635" s="169" t="b">
        <v>1</v>
      </c>
      <c r="E635" s="170" t="s">
        <v>2031</v>
      </c>
      <c r="F635" s="171">
        <v>1</v>
      </c>
      <c r="G635" s="171">
        <v>1</v>
      </c>
      <c r="H635" s="171">
        <v>1</v>
      </c>
      <c r="I635" s="171">
        <v>1</v>
      </c>
      <c r="J635" s="171">
        <v>1</v>
      </c>
      <c r="K635" s="171"/>
      <c r="L635" s="171"/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  <c r="AC635" s="171"/>
      <c r="AD635" s="171"/>
      <c r="AE635" s="171"/>
      <c r="AF635" s="171"/>
      <c r="AG635" s="171"/>
      <c r="AH635" s="171"/>
      <c r="AI635" s="171"/>
      <c r="AJ635" s="171"/>
      <c r="AK635" s="171"/>
      <c r="AL635" s="171"/>
      <c r="AM635" s="22"/>
      <c r="AN635" s="22">
        <f t="shared" si="4"/>
        <v>5</v>
      </c>
      <c r="AO635" s="171"/>
    </row>
    <row r="636" spans="1:41" ht="15.75" customHeight="1">
      <c r="A636" s="167" t="s">
        <v>964</v>
      </c>
      <c r="B636" s="22" t="s">
        <v>963</v>
      </c>
      <c r="C636" s="168">
        <v>1</v>
      </c>
      <c r="D636" s="169" t="b">
        <v>1</v>
      </c>
      <c r="E636" s="170" t="s">
        <v>2032</v>
      </c>
      <c r="F636" s="171">
        <v>1</v>
      </c>
      <c r="G636" s="171">
        <v>1</v>
      </c>
      <c r="H636" s="171">
        <v>1</v>
      </c>
      <c r="I636" s="171">
        <v>1</v>
      </c>
      <c r="J636" s="171">
        <v>1</v>
      </c>
      <c r="K636" s="171"/>
      <c r="L636" s="171"/>
      <c r="M636" s="171"/>
      <c r="N636" s="171"/>
      <c r="O636" s="171"/>
      <c r="P636" s="171"/>
      <c r="Q636" s="171"/>
      <c r="R636" s="171"/>
      <c r="S636" s="171"/>
      <c r="T636" s="171"/>
      <c r="U636" s="171"/>
      <c r="V636" s="171"/>
      <c r="W636" s="171"/>
      <c r="X636" s="171"/>
      <c r="Y636" s="171"/>
      <c r="Z636" s="171"/>
      <c r="AA636" s="171"/>
      <c r="AB636" s="171"/>
      <c r="AC636" s="171"/>
      <c r="AD636" s="171"/>
      <c r="AE636" s="171"/>
      <c r="AF636" s="171"/>
      <c r="AG636" s="171"/>
      <c r="AH636" s="171"/>
      <c r="AI636" s="171"/>
      <c r="AJ636" s="171"/>
      <c r="AK636" s="171"/>
      <c r="AL636" s="171"/>
      <c r="AM636" s="22"/>
      <c r="AN636" s="22">
        <f t="shared" si="4"/>
        <v>5</v>
      </c>
      <c r="AO636" s="171"/>
    </row>
    <row r="637" spans="1:41" ht="15.75" customHeight="1">
      <c r="A637" s="167" t="s">
        <v>988</v>
      </c>
      <c r="B637" s="22" t="s">
        <v>987</v>
      </c>
      <c r="C637" s="168">
        <v>1</v>
      </c>
      <c r="D637" s="169" t="b">
        <v>1</v>
      </c>
      <c r="E637" s="170" t="s">
        <v>2033</v>
      </c>
      <c r="F637" s="171">
        <v>1</v>
      </c>
      <c r="G637" s="171">
        <v>1</v>
      </c>
      <c r="H637" s="171">
        <v>1</v>
      </c>
      <c r="I637" s="171">
        <v>1</v>
      </c>
      <c r="J637" s="171">
        <v>1</v>
      </c>
      <c r="K637" s="171"/>
      <c r="L637" s="171"/>
      <c r="M637" s="171"/>
      <c r="N637" s="171"/>
      <c r="O637" s="171"/>
      <c r="P637" s="171"/>
      <c r="Q637" s="171"/>
      <c r="R637" s="171"/>
      <c r="S637" s="171"/>
      <c r="T637" s="171"/>
      <c r="U637" s="171"/>
      <c r="V637" s="171"/>
      <c r="W637" s="171"/>
      <c r="X637" s="171"/>
      <c r="Y637" s="171"/>
      <c r="Z637" s="171"/>
      <c r="AA637" s="171"/>
      <c r="AB637" s="171"/>
      <c r="AC637" s="171"/>
      <c r="AD637" s="171"/>
      <c r="AE637" s="171"/>
      <c r="AF637" s="171"/>
      <c r="AG637" s="171"/>
      <c r="AH637" s="171"/>
      <c r="AI637" s="171"/>
      <c r="AJ637" s="171"/>
      <c r="AK637" s="171"/>
      <c r="AL637" s="171"/>
      <c r="AM637" s="22"/>
      <c r="AN637" s="22">
        <f t="shared" si="4"/>
        <v>5</v>
      </c>
      <c r="AO637" s="171"/>
    </row>
    <row r="638" spans="1:41" ht="15.75" customHeight="1">
      <c r="A638" s="167" t="s">
        <v>990</v>
      </c>
      <c r="B638" s="22" t="s">
        <v>989</v>
      </c>
      <c r="C638" s="168">
        <v>1</v>
      </c>
      <c r="D638" s="169" t="b">
        <v>1</v>
      </c>
      <c r="E638" s="170" t="s">
        <v>2034</v>
      </c>
      <c r="F638" s="171">
        <v>1</v>
      </c>
      <c r="G638" s="171">
        <v>1</v>
      </c>
      <c r="H638" s="171">
        <v>1</v>
      </c>
      <c r="I638" s="171">
        <v>1</v>
      </c>
      <c r="J638" s="171">
        <v>1</v>
      </c>
      <c r="K638" s="171"/>
      <c r="L638" s="171"/>
      <c r="M638" s="171"/>
      <c r="N638" s="171"/>
      <c r="O638" s="171"/>
      <c r="P638" s="171"/>
      <c r="Q638" s="171"/>
      <c r="R638" s="171"/>
      <c r="S638" s="171"/>
      <c r="T638" s="171"/>
      <c r="U638" s="171"/>
      <c r="V638" s="171"/>
      <c r="W638" s="171"/>
      <c r="X638" s="171"/>
      <c r="Y638" s="171"/>
      <c r="Z638" s="171"/>
      <c r="AA638" s="171"/>
      <c r="AB638" s="171"/>
      <c r="AC638" s="171"/>
      <c r="AD638" s="171"/>
      <c r="AE638" s="171"/>
      <c r="AF638" s="171"/>
      <c r="AG638" s="171"/>
      <c r="AH638" s="171"/>
      <c r="AI638" s="171"/>
      <c r="AJ638" s="171"/>
      <c r="AK638" s="171"/>
      <c r="AL638" s="171"/>
      <c r="AM638" s="22"/>
      <c r="AN638" s="22">
        <f t="shared" si="4"/>
        <v>5</v>
      </c>
      <c r="AO638" s="171"/>
    </row>
    <row r="639" spans="1:41" ht="15.75" customHeight="1">
      <c r="A639" s="167" t="s">
        <v>1006</v>
      </c>
      <c r="B639" s="22" t="s">
        <v>1005</v>
      </c>
      <c r="C639" s="168">
        <v>1</v>
      </c>
      <c r="D639" s="169" t="b">
        <v>1</v>
      </c>
      <c r="E639" s="170" t="s">
        <v>2035</v>
      </c>
      <c r="F639" s="171">
        <v>1</v>
      </c>
      <c r="G639" s="171">
        <v>1</v>
      </c>
      <c r="H639" s="171">
        <v>1</v>
      </c>
      <c r="I639" s="171">
        <v>1</v>
      </c>
      <c r="J639" s="171">
        <v>1</v>
      </c>
      <c r="K639" s="171"/>
      <c r="L639" s="171"/>
      <c r="M639" s="171"/>
      <c r="N639" s="171"/>
      <c r="O639" s="171"/>
      <c r="P639" s="171"/>
      <c r="Q639" s="171"/>
      <c r="R639" s="171"/>
      <c r="S639" s="171"/>
      <c r="T639" s="171"/>
      <c r="U639" s="171"/>
      <c r="V639" s="171"/>
      <c r="W639" s="171"/>
      <c r="X639" s="171"/>
      <c r="Y639" s="171"/>
      <c r="Z639" s="171"/>
      <c r="AA639" s="171"/>
      <c r="AB639" s="171"/>
      <c r="AC639" s="171"/>
      <c r="AD639" s="171"/>
      <c r="AE639" s="171"/>
      <c r="AF639" s="171"/>
      <c r="AG639" s="171"/>
      <c r="AH639" s="171"/>
      <c r="AI639" s="171"/>
      <c r="AJ639" s="171"/>
      <c r="AK639" s="171"/>
      <c r="AL639" s="171"/>
      <c r="AM639" s="22"/>
      <c r="AN639" s="22">
        <f t="shared" si="4"/>
        <v>5</v>
      </c>
      <c r="AO639" s="171"/>
    </row>
    <row r="640" spans="1:41" ht="15.75" customHeight="1">
      <c r="A640" s="167" t="s">
        <v>1010</v>
      </c>
      <c r="B640" s="22" t="s">
        <v>1009</v>
      </c>
      <c r="C640" s="168">
        <v>1</v>
      </c>
      <c r="D640" s="169" t="b">
        <v>1</v>
      </c>
      <c r="E640" s="170" t="s">
        <v>2036</v>
      </c>
      <c r="F640" s="171">
        <v>1</v>
      </c>
      <c r="G640" s="171">
        <v>1</v>
      </c>
      <c r="H640" s="171">
        <v>1</v>
      </c>
      <c r="I640" s="171">
        <v>1</v>
      </c>
      <c r="J640" s="171">
        <v>1</v>
      </c>
      <c r="K640" s="171"/>
      <c r="L640" s="171"/>
      <c r="M640" s="171"/>
      <c r="N640" s="171"/>
      <c r="O640" s="171"/>
      <c r="P640" s="171"/>
      <c r="Q640" s="171"/>
      <c r="R640" s="171"/>
      <c r="S640" s="171"/>
      <c r="T640" s="171"/>
      <c r="U640" s="171"/>
      <c r="V640" s="171"/>
      <c r="W640" s="171"/>
      <c r="X640" s="171"/>
      <c r="Y640" s="171"/>
      <c r="Z640" s="171"/>
      <c r="AA640" s="171"/>
      <c r="AB640" s="171"/>
      <c r="AC640" s="171"/>
      <c r="AD640" s="171"/>
      <c r="AE640" s="171"/>
      <c r="AF640" s="171"/>
      <c r="AG640" s="171"/>
      <c r="AH640" s="171"/>
      <c r="AI640" s="171"/>
      <c r="AJ640" s="171"/>
      <c r="AK640" s="171"/>
      <c r="AL640" s="171"/>
      <c r="AM640" s="22"/>
      <c r="AN640" s="22">
        <f t="shared" si="4"/>
        <v>5</v>
      </c>
      <c r="AO640" s="171"/>
    </row>
    <row r="641" spans="1:41" ht="15.75" customHeight="1">
      <c r="A641" s="167" t="s">
        <v>1018</v>
      </c>
      <c r="B641" s="22" t="s">
        <v>1017</v>
      </c>
      <c r="C641" s="168">
        <v>1</v>
      </c>
      <c r="D641" s="169" t="b">
        <v>1</v>
      </c>
      <c r="E641" s="170" t="s">
        <v>2037</v>
      </c>
      <c r="F641" s="171">
        <v>1</v>
      </c>
      <c r="G641" s="171">
        <v>1</v>
      </c>
      <c r="H641" s="171">
        <v>1</v>
      </c>
      <c r="I641" s="171">
        <v>1</v>
      </c>
      <c r="J641" s="171">
        <v>1</v>
      </c>
      <c r="K641" s="171"/>
      <c r="L641" s="171"/>
      <c r="M641" s="171"/>
      <c r="N641" s="171"/>
      <c r="O641" s="171"/>
      <c r="P641" s="171"/>
      <c r="Q641" s="171"/>
      <c r="R641" s="171"/>
      <c r="S641" s="171"/>
      <c r="T641" s="171"/>
      <c r="U641" s="171"/>
      <c r="V641" s="171"/>
      <c r="W641" s="171"/>
      <c r="X641" s="171"/>
      <c r="Y641" s="171"/>
      <c r="Z641" s="171"/>
      <c r="AA641" s="171"/>
      <c r="AB641" s="171"/>
      <c r="AC641" s="171"/>
      <c r="AD641" s="171"/>
      <c r="AE641" s="171"/>
      <c r="AF641" s="171"/>
      <c r="AG641" s="171"/>
      <c r="AH641" s="171"/>
      <c r="AI641" s="171"/>
      <c r="AJ641" s="171"/>
      <c r="AK641" s="171"/>
      <c r="AL641" s="171"/>
      <c r="AM641" s="22"/>
      <c r="AN641" s="22">
        <f t="shared" si="4"/>
        <v>5</v>
      </c>
      <c r="AO641" s="171"/>
    </row>
    <row r="642" spans="1:41" ht="15.75" customHeight="1">
      <c r="A642" s="167" t="s">
        <v>1024</v>
      </c>
      <c r="B642" s="22" t="s">
        <v>1023</v>
      </c>
      <c r="C642" s="168">
        <v>1</v>
      </c>
      <c r="D642" s="169" t="b">
        <v>1</v>
      </c>
      <c r="E642" s="170" t="s">
        <v>2038</v>
      </c>
      <c r="F642" s="171">
        <v>1</v>
      </c>
      <c r="G642" s="171">
        <v>1</v>
      </c>
      <c r="H642" s="171">
        <v>1</v>
      </c>
      <c r="I642" s="171">
        <v>1</v>
      </c>
      <c r="J642" s="171">
        <v>1</v>
      </c>
      <c r="K642" s="171"/>
      <c r="L642" s="171"/>
      <c r="M642" s="171"/>
      <c r="N642" s="171"/>
      <c r="O642" s="171"/>
      <c r="P642" s="171"/>
      <c r="Q642" s="171"/>
      <c r="R642" s="171"/>
      <c r="S642" s="171"/>
      <c r="T642" s="171"/>
      <c r="U642" s="171"/>
      <c r="V642" s="171"/>
      <c r="W642" s="171"/>
      <c r="X642" s="171"/>
      <c r="Y642" s="171"/>
      <c r="Z642" s="171"/>
      <c r="AA642" s="171"/>
      <c r="AB642" s="171"/>
      <c r="AC642" s="171"/>
      <c r="AD642" s="171"/>
      <c r="AE642" s="171"/>
      <c r="AF642" s="171"/>
      <c r="AG642" s="171"/>
      <c r="AH642" s="171"/>
      <c r="AI642" s="171"/>
      <c r="AJ642" s="171"/>
      <c r="AK642" s="171"/>
      <c r="AL642" s="171"/>
      <c r="AM642" s="22"/>
      <c r="AN642" s="22">
        <f t="shared" si="4"/>
        <v>5</v>
      </c>
      <c r="AO642" s="171"/>
    </row>
    <row r="643" spans="1:41" ht="15.75" customHeight="1">
      <c r="A643" s="167" t="s">
        <v>1068</v>
      </c>
      <c r="B643" s="22" t="s">
        <v>1067</v>
      </c>
      <c r="C643" s="168">
        <v>1</v>
      </c>
      <c r="D643" s="169" t="b">
        <v>1</v>
      </c>
      <c r="E643" s="170" t="s">
        <v>2039</v>
      </c>
      <c r="F643" s="171">
        <v>1</v>
      </c>
      <c r="G643" s="171">
        <v>1</v>
      </c>
      <c r="H643" s="171">
        <v>1</v>
      </c>
      <c r="I643" s="171">
        <v>1</v>
      </c>
      <c r="J643" s="171">
        <v>1</v>
      </c>
      <c r="K643" s="171"/>
      <c r="L643" s="171"/>
      <c r="M643" s="171"/>
      <c r="N643" s="171"/>
      <c r="O643" s="171"/>
      <c r="P643" s="171"/>
      <c r="Q643" s="171"/>
      <c r="R643" s="171"/>
      <c r="S643" s="171"/>
      <c r="T643" s="171"/>
      <c r="U643" s="171"/>
      <c r="V643" s="171"/>
      <c r="W643" s="171"/>
      <c r="X643" s="171"/>
      <c r="Y643" s="171"/>
      <c r="Z643" s="171"/>
      <c r="AA643" s="171"/>
      <c r="AB643" s="171"/>
      <c r="AC643" s="171"/>
      <c r="AD643" s="171"/>
      <c r="AE643" s="171"/>
      <c r="AF643" s="171"/>
      <c r="AG643" s="171"/>
      <c r="AH643" s="171"/>
      <c r="AI643" s="171"/>
      <c r="AJ643" s="171"/>
      <c r="AK643" s="171"/>
      <c r="AL643" s="171"/>
      <c r="AM643" s="22"/>
      <c r="AN643" s="22">
        <f t="shared" si="4"/>
        <v>5</v>
      </c>
      <c r="AO643" s="171"/>
    </row>
    <row r="644" spans="1:41" ht="15.75" customHeight="1">
      <c r="A644" s="167" t="s">
        <v>1074</v>
      </c>
      <c r="B644" s="22" t="s">
        <v>1073</v>
      </c>
      <c r="C644" s="168">
        <v>1</v>
      </c>
      <c r="D644" s="169" t="b">
        <v>1</v>
      </c>
      <c r="E644" s="170" t="s">
        <v>2040</v>
      </c>
      <c r="F644" s="171">
        <v>1</v>
      </c>
      <c r="G644" s="171">
        <v>1</v>
      </c>
      <c r="H644" s="171">
        <v>1</v>
      </c>
      <c r="I644" s="171">
        <v>1</v>
      </c>
      <c r="J644" s="171">
        <v>1</v>
      </c>
      <c r="K644" s="171"/>
      <c r="L644" s="171"/>
      <c r="M644" s="171"/>
      <c r="N644" s="171"/>
      <c r="O644" s="171"/>
      <c r="P644" s="171"/>
      <c r="Q644" s="171"/>
      <c r="R644" s="171"/>
      <c r="S644" s="171"/>
      <c r="T644" s="171"/>
      <c r="U644" s="171"/>
      <c r="V644" s="171"/>
      <c r="W644" s="171"/>
      <c r="X644" s="171"/>
      <c r="Y644" s="171"/>
      <c r="Z644" s="171"/>
      <c r="AA644" s="171"/>
      <c r="AB644" s="171"/>
      <c r="AC644" s="171"/>
      <c r="AD644" s="171"/>
      <c r="AE644" s="171"/>
      <c r="AF644" s="171"/>
      <c r="AG644" s="171"/>
      <c r="AH644" s="171"/>
      <c r="AI644" s="171"/>
      <c r="AJ644" s="171"/>
      <c r="AK644" s="171"/>
      <c r="AL644" s="171"/>
      <c r="AM644" s="22"/>
      <c r="AN644" s="22">
        <f t="shared" si="4"/>
        <v>5</v>
      </c>
      <c r="AO644" s="171"/>
    </row>
    <row r="645" spans="1:41" ht="15.75" customHeight="1">
      <c r="A645" s="167" t="s">
        <v>1082</v>
      </c>
      <c r="B645" s="22" t="s">
        <v>1081</v>
      </c>
      <c r="C645" s="168">
        <v>1</v>
      </c>
      <c r="D645" s="169" t="b">
        <v>1</v>
      </c>
      <c r="E645" s="170" t="s">
        <v>2041</v>
      </c>
      <c r="F645" s="171">
        <v>1</v>
      </c>
      <c r="G645" s="171">
        <v>1</v>
      </c>
      <c r="H645" s="171">
        <v>1</v>
      </c>
      <c r="I645" s="171">
        <v>1</v>
      </c>
      <c r="J645" s="171">
        <v>1</v>
      </c>
      <c r="K645" s="171"/>
      <c r="L645" s="171"/>
      <c r="M645" s="171"/>
      <c r="N645" s="171"/>
      <c r="O645" s="171"/>
      <c r="P645" s="171"/>
      <c r="Q645" s="171"/>
      <c r="R645" s="171"/>
      <c r="S645" s="171"/>
      <c r="T645" s="171"/>
      <c r="U645" s="171"/>
      <c r="V645" s="171"/>
      <c r="W645" s="171"/>
      <c r="X645" s="171"/>
      <c r="Y645" s="171"/>
      <c r="Z645" s="171"/>
      <c r="AA645" s="171"/>
      <c r="AB645" s="171"/>
      <c r="AC645" s="171"/>
      <c r="AD645" s="171"/>
      <c r="AE645" s="171"/>
      <c r="AF645" s="171"/>
      <c r="AG645" s="171"/>
      <c r="AH645" s="171"/>
      <c r="AI645" s="171"/>
      <c r="AJ645" s="171"/>
      <c r="AK645" s="171"/>
      <c r="AL645" s="171"/>
      <c r="AM645" s="22"/>
      <c r="AN645" s="22">
        <f t="shared" si="4"/>
        <v>5</v>
      </c>
      <c r="AO645" s="171"/>
    </row>
    <row r="646" spans="1:41" ht="15.75" customHeight="1">
      <c r="A646" s="167" t="s">
        <v>1090</v>
      </c>
      <c r="B646" s="22" t="s">
        <v>1089</v>
      </c>
      <c r="C646" s="168">
        <v>1</v>
      </c>
      <c r="D646" s="169" t="b">
        <v>1</v>
      </c>
      <c r="E646" s="170" t="s">
        <v>2042</v>
      </c>
      <c r="F646" s="171">
        <v>1</v>
      </c>
      <c r="G646" s="171">
        <v>1</v>
      </c>
      <c r="H646" s="171">
        <v>1</v>
      </c>
      <c r="I646" s="171">
        <v>1</v>
      </c>
      <c r="J646" s="171">
        <v>1</v>
      </c>
      <c r="K646" s="171"/>
      <c r="L646" s="171"/>
      <c r="M646" s="171"/>
      <c r="N646" s="171"/>
      <c r="O646" s="171"/>
      <c r="P646" s="171"/>
      <c r="Q646" s="171"/>
      <c r="R646" s="171"/>
      <c r="S646" s="171"/>
      <c r="T646" s="171"/>
      <c r="U646" s="171"/>
      <c r="V646" s="171"/>
      <c r="W646" s="171"/>
      <c r="X646" s="171"/>
      <c r="Y646" s="171"/>
      <c r="Z646" s="171"/>
      <c r="AA646" s="171"/>
      <c r="AB646" s="171"/>
      <c r="AC646" s="171"/>
      <c r="AD646" s="171"/>
      <c r="AE646" s="171"/>
      <c r="AF646" s="171"/>
      <c r="AG646" s="171"/>
      <c r="AH646" s="171"/>
      <c r="AI646" s="171"/>
      <c r="AJ646" s="171"/>
      <c r="AK646" s="171"/>
      <c r="AL646" s="171"/>
      <c r="AM646" s="22"/>
      <c r="AN646" s="22">
        <f t="shared" si="4"/>
        <v>5</v>
      </c>
      <c r="AO646" s="171"/>
    </row>
    <row r="647" spans="1:41" ht="15.75" customHeight="1">
      <c r="A647" s="167" t="s">
        <v>1094</v>
      </c>
      <c r="B647" s="22" t="s">
        <v>1093</v>
      </c>
      <c r="C647" s="168">
        <v>1</v>
      </c>
      <c r="D647" s="169" t="b">
        <v>1</v>
      </c>
      <c r="E647" s="170" t="s">
        <v>2043</v>
      </c>
      <c r="F647" s="171">
        <v>1</v>
      </c>
      <c r="G647" s="171">
        <v>1</v>
      </c>
      <c r="H647" s="171">
        <v>1</v>
      </c>
      <c r="I647" s="171">
        <v>1</v>
      </c>
      <c r="J647" s="171">
        <v>1</v>
      </c>
      <c r="K647" s="171"/>
      <c r="L647" s="171"/>
      <c r="M647" s="171"/>
      <c r="N647" s="171"/>
      <c r="O647" s="171"/>
      <c r="P647" s="171"/>
      <c r="Q647" s="171"/>
      <c r="R647" s="171"/>
      <c r="S647" s="171"/>
      <c r="T647" s="171"/>
      <c r="U647" s="171"/>
      <c r="V647" s="171"/>
      <c r="W647" s="171"/>
      <c r="X647" s="171"/>
      <c r="Y647" s="171"/>
      <c r="Z647" s="171"/>
      <c r="AA647" s="171"/>
      <c r="AB647" s="171"/>
      <c r="AC647" s="171"/>
      <c r="AD647" s="171"/>
      <c r="AE647" s="171"/>
      <c r="AF647" s="171"/>
      <c r="AG647" s="171"/>
      <c r="AH647" s="171"/>
      <c r="AI647" s="171"/>
      <c r="AJ647" s="171"/>
      <c r="AK647" s="171"/>
      <c r="AL647" s="171"/>
      <c r="AM647" s="22"/>
      <c r="AN647" s="22">
        <f t="shared" si="4"/>
        <v>5</v>
      </c>
      <c r="AO647" s="171"/>
    </row>
    <row r="648" spans="1:41" ht="15.75" customHeight="1">
      <c r="A648" s="167" t="s">
        <v>1106</v>
      </c>
      <c r="B648" s="22" t="s">
        <v>1105</v>
      </c>
      <c r="C648" s="168">
        <v>1</v>
      </c>
      <c r="D648" s="169" t="b">
        <v>1</v>
      </c>
      <c r="E648" s="170" t="s">
        <v>2044</v>
      </c>
      <c r="F648" s="171">
        <v>1</v>
      </c>
      <c r="G648" s="171">
        <v>1</v>
      </c>
      <c r="H648" s="171">
        <v>1</v>
      </c>
      <c r="I648" s="171">
        <v>1</v>
      </c>
      <c r="J648" s="171">
        <v>1</v>
      </c>
      <c r="K648" s="171"/>
      <c r="L648" s="171"/>
      <c r="M648" s="171"/>
      <c r="N648" s="171"/>
      <c r="O648" s="171"/>
      <c r="P648" s="171"/>
      <c r="Q648" s="171"/>
      <c r="R648" s="171"/>
      <c r="S648" s="171"/>
      <c r="T648" s="171"/>
      <c r="U648" s="171"/>
      <c r="V648" s="171"/>
      <c r="W648" s="171"/>
      <c r="X648" s="171"/>
      <c r="Y648" s="171"/>
      <c r="Z648" s="171"/>
      <c r="AA648" s="171"/>
      <c r="AB648" s="171"/>
      <c r="AC648" s="171"/>
      <c r="AD648" s="171"/>
      <c r="AE648" s="171"/>
      <c r="AF648" s="171"/>
      <c r="AG648" s="171"/>
      <c r="AH648" s="171"/>
      <c r="AI648" s="171"/>
      <c r="AJ648" s="171"/>
      <c r="AK648" s="171"/>
      <c r="AL648" s="171"/>
      <c r="AM648" s="22"/>
      <c r="AN648" s="22">
        <f t="shared" si="4"/>
        <v>5</v>
      </c>
      <c r="AO648" s="171"/>
    </row>
    <row r="649" spans="1:41" ht="15.75" customHeight="1">
      <c r="A649" s="167" t="s">
        <v>1114</v>
      </c>
      <c r="B649" s="22" t="s">
        <v>1113</v>
      </c>
      <c r="C649" s="168">
        <v>1</v>
      </c>
      <c r="D649" s="169" t="b">
        <v>1</v>
      </c>
      <c r="E649" s="170" t="s">
        <v>2045</v>
      </c>
      <c r="F649" s="171">
        <v>1</v>
      </c>
      <c r="G649" s="171">
        <v>1</v>
      </c>
      <c r="H649" s="171">
        <v>1</v>
      </c>
      <c r="I649" s="171">
        <v>1</v>
      </c>
      <c r="J649" s="171">
        <v>1</v>
      </c>
      <c r="K649" s="171"/>
      <c r="L649" s="171"/>
      <c r="M649" s="171"/>
      <c r="N649" s="171"/>
      <c r="O649" s="171"/>
      <c r="P649" s="171"/>
      <c r="Q649" s="171"/>
      <c r="R649" s="171"/>
      <c r="S649" s="171"/>
      <c r="T649" s="171"/>
      <c r="U649" s="171"/>
      <c r="V649" s="171"/>
      <c r="W649" s="171"/>
      <c r="X649" s="171"/>
      <c r="Y649" s="171"/>
      <c r="Z649" s="171"/>
      <c r="AA649" s="171"/>
      <c r="AB649" s="171"/>
      <c r="AC649" s="171"/>
      <c r="AD649" s="171"/>
      <c r="AE649" s="171"/>
      <c r="AF649" s="171"/>
      <c r="AG649" s="171"/>
      <c r="AH649" s="171"/>
      <c r="AI649" s="171"/>
      <c r="AJ649" s="171"/>
      <c r="AK649" s="171"/>
      <c r="AL649" s="171"/>
      <c r="AM649" s="22"/>
      <c r="AN649" s="22">
        <f t="shared" si="4"/>
        <v>5</v>
      </c>
      <c r="AO649" s="171"/>
    </row>
    <row r="650" spans="1:41" ht="15.75" customHeight="1">
      <c r="A650" s="167" t="s">
        <v>1116</v>
      </c>
      <c r="B650" s="22" t="s">
        <v>1115</v>
      </c>
      <c r="C650" s="168">
        <v>1</v>
      </c>
      <c r="D650" s="169" t="b">
        <v>1</v>
      </c>
      <c r="E650" s="170" t="s">
        <v>2046</v>
      </c>
      <c r="F650" s="171">
        <v>1</v>
      </c>
      <c r="G650" s="171">
        <v>1</v>
      </c>
      <c r="H650" s="171">
        <v>1</v>
      </c>
      <c r="I650" s="171">
        <v>1</v>
      </c>
      <c r="J650" s="171">
        <v>1</v>
      </c>
      <c r="K650" s="171"/>
      <c r="L650" s="171"/>
      <c r="M650" s="171"/>
      <c r="N650" s="171"/>
      <c r="O650" s="171"/>
      <c r="P650" s="171"/>
      <c r="Q650" s="171"/>
      <c r="R650" s="171"/>
      <c r="S650" s="171"/>
      <c r="T650" s="171"/>
      <c r="U650" s="171"/>
      <c r="V650" s="171"/>
      <c r="W650" s="171"/>
      <c r="X650" s="171"/>
      <c r="Y650" s="171"/>
      <c r="Z650" s="171"/>
      <c r="AA650" s="171"/>
      <c r="AB650" s="171"/>
      <c r="AC650" s="171"/>
      <c r="AD650" s="171"/>
      <c r="AE650" s="171"/>
      <c r="AF650" s="171"/>
      <c r="AG650" s="171"/>
      <c r="AH650" s="171"/>
      <c r="AI650" s="171"/>
      <c r="AJ650" s="171"/>
      <c r="AK650" s="171"/>
      <c r="AL650" s="171"/>
      <c r="AM650" s="22"/>
      <c r="AN650" s="22">
        <f t="shared" si="4"/>
        <v>5</v>
      </c>
      <c r="AO650" s="171"/>
    </row>
    <row r="651" spans="1:41" ht="15.75" customHeight="1">
      <c r="A651" s="167" t="s">
        <v>1173</v>
      </c>
      <c r="B651" s="22" t="s">
        <v>1172</v>
      </c>
      <c r="C651" s="168">
        <v>1</v>
      </c>
      <c r="D651" s="169" t="b">
        <v>1</v>
      </c>
      <c r="E651" s="174" t="s">
        <v>1421</v>
      </c>
      <c r="F651" s="171"/>
      <c r="G651" s="171"/>
      <c r="H651" s="171"/>
      <c r="I651" s="171"/>
      <c r="J651" s="171"/>
      <c r="K651" s="171"/>
      <c r="L651" s="171"/>
      <c r="M651" s="171"/>
      <c r="N651" s="171"/>
      <c r="O651" s="171"/>
      <c r="P651" s="171"/>
      <c r="Q651" s="171"/>
      <c r="R651" s="171"/>
      <c r="S651" s="171"/>
      <c r="T651" s="171"/>
      <c r="U651" s="171"/>
      <c r="V651" s="171"/>
      <c r="W651" s="171"/>
      <c r="X651" s="171"/>
      <c r="Y651" s="171">
        <v>1</v>
      </c>
      <c r="Z651" s="171">
        <v>1</v>
      </c>
      <c r="AA651" s="171">
        <v>1</v>
      </c>
      <c r="AB651" s="171">
        <v>1</v>
      </c>
      <c r="AC651" s="171"/>
      <c r="AD651" s="171"/>
      <c r="AE651" s="171">
        <v>1</v>
      </c>
      <c r="AF651" s="171"/>
      <c r="AG651" s="171"/>
      <c r="AH651" s="171"/>
      <c r="AI651" s="171"/>
      <c r="AJ651" s="171"/>
      <c r="AK651" s="171"/>
      <c r="AL651" s="171"/>
      <c r="AM651" s="22"/>
      <c r="AN651" s="22">
        <f t="shared" si="4"/>
        <v>5</v>
      </c>
      <c r="AO651" s="171"/>
    </row>
    <row r="652" spans="1:41" ht="15.75" customHeight="1">
      <c r="A652" s="167" t="s">
        <v>1202</v>
      </c>
      <c r="B652" s="22" t="s">
        <v>1201</v>
      </c>
      <c r="C652" s="168">
        <v>1</v>
      </c>
      <c r="D652" s="169" t="b">
        <v>1</v>
      </c>
      <c r="E652" s="170" t="s">
        <v>2047</v>
      </c>
      <c r="F652" s="171">
        <v>1</v>
      </c>
      <c r="G652" s="171">
        <v>1</v>
      </c>
      <c r="H652" s="178">
        <v>1</v>
      </c>
      <c r="I652" s="171"/>
      <c r="J652" s="171">
        <v>1</v>
      </c>
      <c r="K652" s="171"/>
      <c r="L652" s="171"/>
      <c r="M652" s="171"/>
      <c r="N652" s="171">
        <v>1</v>
      </c>
      <c r="O652" s="171"/>
      <c r="P652" s="171"/>
      <c r="Q652" s="171"/>
      <c r="R652" s="171"/>
      <c r="S652" s="171"/>
      <c r="T652" s="171"/>
      <c r="U652" s="171"/>
      <c r="V652" s="171"/>
      <c r="W652" s="171"/>
      <c r="X652" s="171"/>
      <c r="Y652" s="171"/>
      <c r="Z652" s="171"/>
      <c r="AA652" s="171"/>
      <c r="AB652" s="171"/>
      <c r="AC652" s="171"/>
      <c r="AD652" s="171"/>
      <c r="AE652" s="171"/>
      <c r="AF652" s="171"/>
      <c r="AG652" s="171"/>
      <c r="AH652" s="171"/>
      <c r="AI652" s="171"/>
      <c r="AJ652" s="171"/>
      <c r="AK652" s="171"/>
      <c r="AL652" s="171"/>
      <c r="AM652" s="22"/>
      <c r="AN652" s="22">
        <f t="shared" si="4"/>
        <v>5</v>
      </c>
      <c r="AO652" s="171"/>
    </row>
    <row r="653" spans="1:41" ht="15.75" customHeight="1">
      <c r="A653" s="167" t="s">
        <v>1258</v>
      </c>
      <c r="B653" s="22" t="s">
        <v>1257</v>
      </c>
      <c r="C653" s="168">
        <v>1</v>
      </c>
      <c r="D653" s="169" t="b">
        <v>1</v>
      </c>
      <c r="E653" s="185" t="s">
        <v>2048</v>
      </c>
      <c r="F653" s="171">
        <v>1</v>
      </c>
      <c r="G653" s="171">
        <v>1</v>
      </c>
      <c r="H653" s="171">
        <v>1</v>
      </c>
      <c r="I653" s="171"/>
      <c r="J653" s="171">
        <v>1</v>
      </c>
      <c r="K653" s="171"/>
      <c r="L653" s="171"/>
      <c r="M653" s="171"/>
      <c r="N653" s="171">
        <v>1</v>
      </c>
      <c r="O653" s="171"/>
      <c r="P653" s="171"/>
      <c r="Q653" s="171"/>
      <c r="R653" s="171"/>
      <c r="S653" s="171"/>
      <c r="T653" s="171"/>
      <c r="U653" s="171"/>
      <c r="V653" s="171"/>
      <c r="W653" s="171"/>
      <c r="X653" s="171"/>
      <c r="Y653" s="171"/>
      <c r="Z653" s="171"/>
      <c r="AA653" s="171"/>
      <c r="AB653" s="171"/>
      <c r="AC653" s="171"/>
      <c r="AD653" s="171"/>
      <c r="AE653" s="171"/>
      <c r="AF653" s="171"/>
      <c r="AG653" s="171"/>
      <c r="AH653" s="171"/>
      <c r="AI653" s="171"/>
      <c r="AJ653" s="171"/>
      <c r="AK653" s="171"/>
      <c r="AL653" s="171"/>
      <c r="AM653" s="22"/>
      <c r="AN653" s="22">
        <f t="shared" si="4"/>
        <v>5</v>
      </c>
      <c r="AO653" s="171"/>
    </row>
    <row r="654" spans="1:41" ht="15.75" customHeight="1">
      <c r="A654" s="167" t="s">
        <v>1260</v>
      </c>
      <c r="B654" s="22" t="s">
        <v>1259</v>
      </c>
      <c r="C654" s="168">
        <v>1</v>
      </c>
      <c r="D654" s="169" t="b">
        <v>1</v>
      </c>
      <c r="E654" s="170" t="s">
        <v>2049</v>
      </c>
      <c r="F654" s="171">
        <v>1</v>
      </c>
      <c r="G654" s="171">
        <v>1</v>
      </c>
      <c r="H654" s="171">
        <v>1</v>
      </c>
      <c r="I654" s="171"/>
      <c r="J654" s="171">
        <v>1</v>
      </c>
      <c r="K654" s="171"/>
      <c r="L654" s="171"/>
      <c r="M654" s="171"/>
      <c r="N654" s="171">
        <v>1</v>
      </c>
      <c r="O654" s="171"/>
      <c r="P654" s="171"/>
      <c r="Q654" s="171"/>
      <c r="R654" s="171"/>
      <c r="S654" s="171"/>
      <c r="T654" s="171"/>
      <c r="U654" s="171"/>
      <c r="V654" s="171"/>
      <c r="W654" s="171"/>
      <c r="X654" s="171"/>
      <c r="Y654" s="171"/>
      <c r="Z654" s="171"/>
      <c r="AA654" s="171"/>
      <c r="AB654" s="171"/>
      <c r="AC654" s="171"/>
      <c r="AD654" s="171"/>
      <c r="AE654" s="171"/>
      <c r="AF654" s="171"/>
      <c r="AG654" s="171"/>
      <c r="AH654" s="171"/>
      <c r="AI654" s="171"/>
      <c r="AJ654" s="171"/>
      <c r="AK654" s="171"/>
      <c r="AL654" s="171"/>
      <c r="AM654" s="22"/>
      <c r="AN654" s="22">
        <f t="shared" si="4"/>
        <v>5</v>
      </c>
      <c r="AO654" s="171"/>
    </row>
  </sheetData>
  <mergeCells count="39">
    <mergeCell ref="AM1:AM2"/>
    <mergeCell ref="AN1:AN3"/>
    <mergeCell ref="AO1:AO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J3:AJ4"/>
    <mergeCell ref="AK3:AK4"/>
    <mergeCell ref="A1:A4"/>
    <mergeCell ref="B1:B4"/>
    <mergeCell ref="C1:C3"/>
    <mergeCell ref="D1:D3"/>
    <mergeCell ref="AI3:AI4"/>
    <mergeCell ref="R3:R4"/>
    <mergeCell ref="S3:S4"/>
    <mergeCell ref="T3:T4"/>
    <mergeCell ref="U3:U4"/>
    <mergeCell ref="E1:E4"/>
    <mergeCell ref="F3:F4"/>
    <mergeCell ref="M3:M4"/>
    <mergeCell ref="N3:N4"/>
    <mergeCell ref="O3:O4"/>
    <mergeCell ref="P3:P4"/>
    <mergeCell ref="Q3:Q4"/>
    <mergeCell ref="G3:G4"/>
    <mergeCell ref="H3:H4"/>
    <mergeCell ref="I3:I4"/>
    <mergeCell ref="J3:J4"/>
    <mergeCell ref="L3:L4"/>
  </mergeCells>
  <conditionalFormatting sqref="F5:F654">
    <cfRule type="notContainsBlanks" dxfId="59" priority="1">
      <formula>LEN(TRIM(F5))&gt;0</formula>
    </cfRule>
  </conditionalFormatting>
  <conditionalFormatting sqref="G5:G654">
    <cfRule type="notContainsBlanks" dxfId="58" priority="2">
      <formula>LEN(TRIM(G5))&gt;0</formula>
    </cfRule>
  </conditionalFormatting>
  <conditionalFormatting sqref="H5:H654">
    <cfRule type="notContainsBlanks" dxfId="57" priority="4">
      <formula>LEN(TRIM(H5))&gt;0</formula>
    </cfRule>
  </conditionalFormatting>
  <conditionalFormatting sqref="I5:I654">
    <cfRule type="notContainsBlanks" dxfId="56" priority="5">
      <formula>LEN(TRIM(I5))&gt;0</formula>
    </cfRule>
  </conditionalFormatting>
  <conditionalFormatting sqref="I13:J22 L5:L654">
    <cfRule type="notContainsBlanks" dxfId="55" priority="19">
      <formula>LEN(TRIM(L5))&gt;0</formula>
    </cfRule>
  </conditionalFormatting>
  <conditionalFormatting sqref="J5:J654">
    <cfRule type="notContainsBlanks" dxfId="54" priority="8">
      <formula>LEN(TRIM(J5))&gt;0</formula>
    </cfRule>
  </conditionalFormatting>
  <conditionalFormatting sqref="K5:K654">
    <cfRule type="notContainsBlanks" dxfId="53" priority="6">
      <formula>LEN(TRIM(K5))&gt;0</formula>
    </cfRule>
  </conditionalFormatting>
  <conditionalFormatting sqref="M5:M654">
    <cfRule type="notContainsBlanks" dxfId="52" priority="14">
      <formula>LEN(TRIM(M5))&gt;0</formula>
    </cfRule>
  </conditionalFormatting>
  <conditionalFormatting sqref="N5:N654">
    <cfRule type="notContainsBlanks" dxfId="51" priority="21">
      <formula>LEN(TRIM(N5))&gt;0</formula>
    </cfRule>
  </conditionalFormatting>
  <conditionalFormatting sqref="O5:O654">
    <cfRule type="notContainsBlanks" dxfId="50" priority="10">
      <formula>LEN(TRIM(O5))&gt;0</formula>
    </cfRule>
  </conditionalFormatting>
  <conditionalFormatting sqref="P5:P654">
    <cfRule type="notContainsBlanks" dxfId="49" priority="9">
      <formula>LEN(TRIM(P5))&gt;0</formula>
    </cfRule>
  </conditionalFormatting>
  <conditionalFormatting sqref="Q5:Q654">
    <cfRule type="notContainsBlanks" dxfId="48" priority="23">
      <formula>LEN(TRIM(Q5))&gt;0</formula>
    </cfRule>
  </conditionalFormatting>
  <conditionalFormatting sqref="R5:R654">
    <cfRule type="notContainsBlanks" dxfId="47" priority="13">
      <formula>LEN(TRIM(R5))&gt;0</formula>
    </cfRule>
  </conditionalFormatting>
  <conditionalFormatting sqref="S5:S654">
    <cfRule type="notContainsBlanks" dxfId="46" priority="7">
      <formula>LEN(TRIM(S5))&gt;0</formula>
    </cfRule>
  </conditionalFormatting>
  <conditionalFormatting sqref="T5:T654">
    <cfRule type="notContainsBlanks" dxfId="45" priority="12">
      <formula>LEN(TRIM(T5))&gt;0</formula>
    </cfRule>
  </conditionalFormatting>
  <conditionalFormatting sqref="U5:U654">
    <cfRule type="notContainsBlanks" dxfId="44" priority="11">
      <formula>LEN(TRIM(U5))&gt;0</formula>
    </cfRule>
  </conditionalFormatting>
  <conditionalFormatting sqref="V5:V654">
    <cfRule type="notContainsBlanks" dxfId="43" priority="17">
      <formula>LEN(TRIM(V5))&gt;0</formula>
    </cfRule>
  </conditionalFormatting>
  <conditionalFormatting sqref="W5:W654">
    <cfRule type="notContainsBlanks" dxfId="42" priority="32">
      <formula>LEN(TRIM(W5))&gt;0</formula>
    </cfRule>
  </conditionalFormatting>
  <conditionalFormatting sqref="X5:X654">
    <cfRule type="notContainsBlanks" dxfId="41" priority="30">
      <formula>LEN(TRIM(X5))&gt;0</formula>
    </cfRule>
  </conditionalFormatting>
  <conditionalFormatting sqref="Y5:Y654">
    <cfRule type="notContainsBlanks" dxfId="40" priority="27">
      <formula>LEN(TRIM(Y5))&gt;0</formula>
    </cfRule>
  </conditionalFormatting>
  <conditionalFormatting sqref="Z5:Z654">
    <cfRule type="notContainsBlanks" dxfId="39" priority="29">
      <formula>LEN(TRIM(Z5))&gt;0</formula>
    </cfRule>
  </conditionalFormatting>
  <conditionalFormatting sqref="AA5:AA654">
    <cfRule type="notContainsBlanks" dxfId="38" priority="26">
      <formula>LEN(TRIM(AA5))&gt;0</formula>
    </cfRule>
  </conditionalFormatting>
  <conditionalFormatting sqref="AB5:AB654">
    <cfRule type="notContainsBlanks" dxfId="37" priority="24">
      <formula>LEN(TRIM(AB5))&gt;0</formula>
    </cfRule>
  </conditionalFormatting>
  <conditionalFormatting sqref="AC5:AC654">
    <cfRule type="notContainsBlanks" dxfId="36" priority="31">
      <formula>LEN(TRIM(AC5))&gt;0</formula>
    </cfRule>
  </conditionalFormatting>
  <conditionalFormatting sqref="AD5:AD654">
    <cfRule type="notContainsBlanks" dxfId="35" priority="15">
      <formula>LEN(TRIM(AD5))&gt;0</formula>
    </cfRule>
  </conditionalFormatting>
  <conditionalFormatting sqref="AE5:AE654">
    <cfRule type="notContainsBlanks" dxfId="34" priority="25">
      <formula>LEN(TRIM(AE5))&gt;0</formula>
    </cfRule>
  </conditionalFormatting>
  <conditionalFormatting sqref="AF5:AF654">
    <cfRule type="notContainsBlanks" dxfId="33" priority="28">
      <formula>LEN(TRIM(AF5))&gt;0</formula>
    </cfRule>
  </conditionalFormatting>
  <conditionalFormatting sqref="AG5:AG654">
    <cfRule type="notContainsBlanks" dxfId="32" priority="22">
      <formula>LEN(TRIM(AG5))&gt;0</formula>
    </cfRule>
  </conditionalFormatting>
  <conditionalFormatting sqref="AH5:AH654">
    <cfRule type="notContainsBlanks" dxfId="31" priority="16">
      <formula>LEN(TRIM(AH5))&gt;0</formula>
    </cfRule>
  </conditionalFormatting>
  <conditionalFormatting sqref="AI5:AI654">
    <cfRule type="notContainsBlanks" dxfId="30" priority="34">
      <formula>LEN(TRIM(AI5))&gt;0</formula>
    </cfRule>
  </conditionalFormatting>
  <conditionalFormatting sqref="AJ5:AJ654">
    <cfRule type="notContainsBlanks" dxfId="29" priority="33">
      <formula>LEN(TRIM(AJ5))&gt;0</formula>
    </cfRule>
  </conditionalFormatting>
  <conditionalFormatting sqref="AK5:AK654">
    <cfRule type="notContainsBlanks" dxfId="28" priority="35">
      <formula>LEN(TRIM(AK5))&gt;0</formula>
    </cfRule>
  </conditionalFormatting>
  <conditionalFormatting sqref="AL5:AL654">
    <cfRule type="notContainsBlanks" dxfId="27" priority="18">
      <formula>LEN(TRIM(AL5))&gt;0</formula>
    </cfRule>
  </conditionalFormatting>
  <conditionalFormatting sqref="AN5:AN654">
    <cfRule type="colorScale" priority="20">
      <colorScale>
        <cfvo type="min"/>
        <cfvo type="percentile" val="50"/>
        <cfvo type="max"/>
        <color rgb="FF57BB8A"/>
        <color rgb="FFFFD666"/>
        <color rgb="FFE67C73"/>
      </colorScale>
    </cfRule>
  </conditionalFormatting>
  <hyperlinks>
    <hyperlink ref="E5" r:id="rId1" xr:uid="{00000000-0004-0000-0100-000000000000}"/>
    <hyperlink ref="E6" r:id="rId2" xr:uid="{00000000-0004-0000-0100-000001000000}"/>
    <hyperlink ref="E7" r:id="rId3" xr:uid="{00000000-0004-0000-0100-000002000000}"/>
    <hyperlink ref="E8" r:id="rId4" xr:uid="{00000000-0004-0000-0100-000003000000}"/>
    <hyperlink ref="E9" r:id="rId5" xr:uid="{00000000-0004-0000-0100-000004000000}"/>
    <hyperlink ref="E10" r:id="rId6" xr:uid="{00000000-0004-0000-0100-000005000000}"/>
    <hyperlink ref="E11" r:id="rId7" xr:uid="{00000000-0004-0000-0100-000006000000}"/>
    <hyperlink ref="E12" r:id="rId8" xr:uid="{00000000-0004-0000-0100-000007000000}"/>
    <hyperlink ref="E13" r:id="rId9" xr:uid="{00000000-0004-0000-0100-000008000000}"/>
    <hyperlink ref="E14" r:id="rId10" xr:uid="{00000000-0004-0000-0100-000009000000}"/>
    <hyperlink ref="E15" r:id="rId11" xr:uid="{00000000-0004-0000-0100-00000A000000}"/>
    <hyperlink ref="E16" r:id="rId12" xr:uid="{00000000-0004-0000-0100-00000B000000}"/>
    <hyperlink ref="E17" r:id="rId13" xr:uid="{00000000-0004-0000-0100-00000C000000}"/>
    <hyperlink ref="E18" r:id="rId14" xr:uid="{00000000-0004-0000-0100-00000D000000}"/>
    <hyperlink ref="E19" r:id="rId15" xr:uid="{00000000-0004-0000-0100-00000E000000}"/>
    <hyperlink ref="E20" r:id="rId16" xr:uid="{00000000-0004-0000-0100-00000F000000}"/>
    <hyperlink ref="E21" r:id="rId17" xr:uid="{00000000-0004-0000-0100-000010000000}"/>
    <hyperlink ref="E22" r:id="rId18" xr:uid="{00000000-0004-0000-0100-000011000000}"/>
    <hyperlink ref="E23" r:id="rId19" xr:uid="{00000000-0004-0000-0100-000012000000}"/>
    <hyperlink ref="E24" r:id="rId20" xr:uid="{00000000-0004-0000-0100-000013000000}"/>
    <hyperlink ref="E25" r:id="rId21" xr:uid="{00000000-0004-0000-0100-000014000000}"/>
    <hyperlink ref="E26" r:id="rId22" xr:uid="{00000000-0004-0000-0100-000015000000}"/>
    <hyperlink ref="E27" r:id="rId23" xr:uid="{00000000-0004-0000-0100-000016000000}"/>
    <hyperlink ref="E28" r:id="rId24" xr:uid="{00000000-0004-0000-0100-000017000000}"/>
    <hyperlink ref="E29" r:id="rId25" xr:uid="{00000000-0004-0000-0100-000018000000}"/>
    <hyperlink ref="E30" r:id="rId26" xr:uid="{00000000-0004-0000-0100-000019000000}"/>
    <hyperlink ref="E31" r:id="rId27" xr:uid="{00000000-0004-0000-0100-00001A000000}"/>
    <hyperlink ref="E32" r:id="rId28" xr:uid="{00000000-0004-0000-0100-00001B000000}"/>
    <hyperlink ref="E33" r:id="rId29" xr:uid="{00000000-0004-0000-0100-00001C000000}"/>
    <hyperlink ref="E34" r:id="rId30" xr:uid="{00000000-0004-0000-0100-00001D000000}"/>
    <hyperlink ref="E35" r:id="rId31" xr:uid="{00000000-0004-0000-0100-00001E000000}"/>
    <hyperlink ref="E36" r:id="rId32" xr:uid="{00000000-0004-0000-0100-00001F000000}"/>
    <hyperlink ref="E37" r:id="rId33" xr:uid="{00000000-0004-0000-0100-000020000000}"/>
    <hyperlink ref="E38" r:id="rId34" xr:uid="{00000000-0004-0000-0100-000021000000}"/>
    <hyperlink ref="E39" r:id="rId35" xr:uid="{00000000-0004-0000-0100-000022000000}"/>
    <hyperlink ref="E40" r:id="rId36" xr:uid="{00000000-0004-0000-0100-000023000000}"/>
    <hyperlink ref="E41" r:id="rId37" xr:uid="{00000000-0004-0000-0100-000024000000}"/>
    <hyperlink ref="E42" r:id="rId38" xr:uid="{00000000-0004-0000-0100-000025000000}"/>
    <hyperlink ref="E43" r:id="rId39" xr:uid="{00000000-0004-0000-0100-000026000000}"/>
    <hyperlink ref="E44" r:id="rId40" xr:uid="{00000000-0004-0000-0100-000027000000}"/>
    <hyperlink ref="E45" r:id="rId41" xr:uid="{00000000-0004-0000-0100-000028000000}"/>
    <hyperlink ref="E46" r:id="rId42" xr:uid="{00000000-0004-0000-0100-000029000000}"/>
    <hyperlink ref="E47" r:id="rId43" xr:uid="{00000000-0004-0000-0100-00002A000000}"/>
    <hyperlink ref="E48" r:id="rId44" xr:uid="{00000000-0004-0000-0100-00002B000000}"/>
    <hyperlink ref="E49" r:id="rId45" xr:uid="{00000000-0004-0000-0100-00002C000000}"/>
    <hyperlink ref="E50" r:id="rId46" xr:uid="{00000000-0004-0000-0100-00002D000000}"/>
    <hyperlink ref="E51" r:id="rId47" xr:uid="{00000000-0004-0000-0100-00002E000000}"/>
    <hyperlink ref="E52" r:id="rId48" xr:uid="{00000000-0004-0000-0100-00002F000000}"/>
    <hyperlink ref="E53" r:id="rId49" xr:uid="{00000000-0004-0000-0100-000030000000}"/>
    <hyperlink ref="E54" r:id="rId50" xr:uid="{00000000-0004-0000-0100-000031000000}"/>
    <hyperlink ref="E55" r:id="rId51" xr:uid="{00000000-0004-0000-0100-000032000000}"/>
    <hyperlink ref="E56" r:id="rId52" xr:uid="{00000000-0004-0000-0100-000033000000}"/>
    <hyperlink ref="E57" r:id="rId53" xr:uid="{00000000-0004-0000-0100-000034000000}"/>
    <hyperlink ref="E58" r:id="rId54" xr:uid="{00000000-0004-0000-0100-000035000000}"/>
    <hyperlink ref="E59" r:id="rId55" xr:uid="{00000000-0004-0000-0100-000036000000}"/>
    <hyperlink ref="E60" r:id="rId56" xr:uid="{00000000-0004-0000-0100-000037000000}"/>
    <hyperlink ref="E61" r:id="rId57" xr:uid="{00000000-0004-0000-0100-000038000000}"/>
    <hyperlink ref="E62" r:id="rId58" xr:uid="{00000000-0004-0000-0100-000039000000}"/>
    <hyperlink ref="E63" r:id="rId59" xr:uid="{00000000-0004-0000-0100-00003A000000}"/>
    <hyperlink ref="E64" r:id="rId60" xr:uid="{00000000-0004-0000-0100-00003B000000}"/>
    <hyperlink ref="E65" r:id="rId61" xr:uid="{00000000-0004-0000-0100-00003C000000}"/>
    <hyperlink ref="E66" r:id="rId62" xr:uid="{00000000-0004-0000-0100-00003D000000}"/>
    <hyperlink ref="E67" r:id="rId63" xr:uid="{00000000-0004-0000-0100-00003E000000}"/>
    <hyperlink ref="E68" r:id="rId64" xr:uid="{00000000-0004-0000-0100-00003F000000}"/>
    <hyperlink ref="E69" r:id="rId65" xr:uid="{00000000-0004-0000-0100-000040000000}"/>
    <hyperlink ref="E70" r:id="rId66" xr:uid="{00000000-0004-0000-0100-000041000000}"/>
    <hyperlink ref="E71" r:id="rId67" xr:uid="{00000000-0004-0000-0100-000042000000}"/>
    <hyperlink ref="E72" r:id="rId68" xr:uid="{00000000-0004-0000-0100-000043000000}"/>
    <hyperlink ref="E73" r:id="rId69" xr:uid="{00000000-0004-0000-0100-000044000000}"/>
    <hyperlink ref="E74" r:id="rId70" xr:uid="{00000000-0004-0000-0100-000045000000}"/>
    <hyperlink ref="E75" r:id="rId71" xr:uid="{00000000-0004-0000-0100-000046000000}"/>
    <hyperlink ref="E76" r:id="rId72" xr:uid="{00000000-0004-0000-0100-000047000000}"/>
    <hyperlink ref="E77" r:id="rId73" xr:uid="{00000000-0004-0000-0100-000048000000}"/>
    <hyperlink ref="E78" r:id="rId74" xr:uid="{00000000-0004-0000-0100-000049000000}"/>
    <hyperlink ref="E79" r:id="rId75" xr:uid="{00000000-0004-0000-0100-00004A000000}"/>
    <hyperlink ref="E80" r:id="rId76" xr:uid="{00000000-0004-0000-0100-00004B000000}"/>
    <hyperlink ref="E81" r:id="rId77" xr:uid="{00000000-0004-0000-0100-00004C000000}"/>
    <hyperlink ref="E82" r:id="rId78" xr:uid="{00000000-0004-0000-0100-00004D000000}"/>
    <hyperlink ref="E83" r:id="rId79" xr:uid="{00000000-0004-0000-0100-00004E000000}"/>
    <hyperlink ref="E84" r:id="rId80" xr:uid="{00000000-0004-0000-0100-00004F000000}"/>
    <hyperlink ref="E85" r:id="rId81" xr:uid="{00000000-0004-0000-0100-000050000000}"/>
    <hyperlink ref="E86" r:id="rId82" xr:uid="{00000000-0004-0000-0100-000051000000}"/>
    <hyperlink ref="E87" r:id="rId83" xr:uid="{00000000-0004-0000-0100-000052000000}"/>
    <hyperlink ref="E88" r:id="rId84" xr:uid="{00000000-0004-0000-0100-000053000000}"/>
    <hyperlink ref="E89" r:id="rId85" xr:uid="{00000000-0004-0000-0100-000054000000}"/>
    <hyperlink ref="E90" r:id="rId86" xr:uid="{00000000-0004-0000-0100-000055000000}"/>
    <hyperlink ref="E91" r:id="rId87" xr:uid="{00000000-0004-0000-0100-000056000000}"/>
    <hyperlink ref="E92" r:id="rId88" xr:uid="{00000000-0004-0000-0100-000057000000}"/>
    <hyperlink ref="E93" r:id="rId89" xr:uid="{00000000-0004-0000-0100-000058000000}"/>
    <hyperlink ref="E94" r:id="rId90" xr:uid="{00000000-0004-0000-0100-000059000000}"/>
    <hyperlink ref="E95" r:id="rId91" xr:uid="{00000000-0004-0000-0100-00005A000000}"/>
    <hyperlink ref="E96" r:id="rId92" xr:uid="{00000000-0004-0000-0100-00005B000000}"/>
    <hyperlink ref="E97" r:id="rId93" xr:uid="{00000000-0004-0000-0100-00005C000000}"/>
    <hyperlink ref="E98" r:id="rId94" xr:uid="{00000000-0004-0000-0100-00005D000000}"/>
    <hyperlink ref="E99" r:id="rId95" xr:uid="{00000000-0004-0000-0100-00005E000000}"/>
    <hyperlink ref="E100" r:id="rId96" xr:uid="{00000000-0004-0000-0100-00005F000000}"/>
    <hyperlink ref="E101" r:id="rId97" xr:uid="{00000000-0004-0000-0100-000060000000}"/>
    <hyperlink ref="E102" r:id="rId98" xr:uid="{00000000-0004-0000-0100-000061000000}"/>
    <hyperlink ref="E103" r:id="rId99" xr:uid="{00000000-0004-0000-0100-000062000000}"/>
    <hyperlink ref="E104" r:id="rId100" xr:uid="{00000000-0004-0000-0100-000063000000}"/>
    <hyperlink ref="E105" r:id="rId101" xr:uid="{00000000-0004-0000-0100-000064000000}"/>
    <hyperlink ref="E106" r:id="rId102" xr:uid="{00000000-0004-0000-0100-000065000000}"/>
    <hyperlink ref="E107" r:id="rId103" xr:uid="{00000000-0004-0000-0100-000066000000}"/>
    <hyperlink ref="E108" r:id="rId104" xr:uid="{00000000-0004-0000-0100-000067000000}"/>
    <hyperlink ref="E109" r:id="rId105" xr:uid="{00000000-0004-0000-0100-000068000000}"/>
    <hyperlink ref="E110" r:id="rId106" xr:uid="{00000000-0004-0000-0100-000069000000}"/>
    <hyperlink ref="E111" r:id="rId107" xr:uid="{00000000-0004-0000-0100-00006A000000}"/>
    <hyperlink ref="E112" r:id="rId108" xr:uid="{00000000-0004-0000-0100-00006B000000}"/>
    <hyperlink ref="E113" r:id="rId109" xr:uid="{00000000-0004-0000-0100-00006C000000}"/>
    <hyperlink ref="E114" r:id="rId110" xr:uid="{00000000-0004-0000-0100-00006D000000}"/>
    <hyperlink ref="E115" r:id="rId111" xr:uid="{00000000-0004-0000-0100-00006E000000}"/>
    <hyperlink ref="E116" r:id="rId112" xr:uid="{00000000-0004-0000-0100-00006F000000}"/>
    <hyperlink ref="E117" r:id="rId113" xr:uid="{00000000-0004-0000-0100-000070000000}"/>
    <hyperlink ref="E118" r:id="rId114" xr:uid="{00000000-0004-0000-0100-000071000000}"/>
    <hyperlink ref="E119" r:id="rId115" xr:uid="{00000000-0004-0000-0100-000072000000}"/>
    <hyperlink ref="E120" r:id="rId116" xr:uid="{00000000-0004-0000-0100-000073000000}"/>
    <hyperlink ref="E121" r:id="rId117" xr:uid="{00000000-0004-0000-0100-000074000000}"/>
    <hyperlink ref="E122" r:id="rId118" xr:uid="{00000000-0004-0000-0100-000075000000}"/>
    <hyperlink ref="E123" r:id="rId119" xr:uid="{00000000-0004-0000-0100-000076000000}"/>
    <hyperlink ref="E124" r:id="rId120" xr:uid="{00000000-0004-0000-0100-000077000000}"/>
    <hyperlink ref="E125" r:id="rId121" xr:uid="{00000000-0004-0000-0100-000078000000}"/>
    <hyperlink ref="E126" r:id="rId122" xr:uid="{00000000-0004-0000-0100-000079000000}"/>
    <hyperlink ref="E127" r:id="rId123" xr:uid="{00000000-0004-0000-0100-00007A000000}"/>
    <hyperlink ref="E128" r:id="rId124" xr:uid="{00000000-0004-0000-0100-00007B000000}"/>
    <hyperlink ref="E129" r:id="rId125" xr:uid="{00000000-0004-0000-0100-00007C000000}"/>
    <hyperlink ref="E130" r:id="rId126" xr:uid="{00000000-0004-0000-0100-00007D000000}"/>
    <hyperlink ref="E131" r:id="rId127" xr:uid="{00000000-0004-0000-0100-00007E000000}"/>
    <hyperlink ref="E132" r:id="rId128" xr:uid="{00000000-0004-0000-0100-00007F000000}"/>
    <hyperlink ref="E133" r:id="rId129" xr:uid="{00000000-0004-0000-0100-000080000000}"/>
    <hyperlink ref="E134" r:id="rId130" xr:uid="{00000000-0004-0000-0100-000081000000}"/>
    <hyperlink ref="E135" r:id="rId131" xr:uid="{00000000-0004-0000-0100-000082000000}"/>
    <hyperlink ref="E136" r:id="rId132" xr:uid="{00000000-0004-0000-0100-000083000000}"/>
    <hyperlink ref="E137" r:id="rId133" xr:uid="{00000000-0004-0000-0100-000084000000}"/>
    <hyperlink ref="E138" r:id="rId134" xr:uid="{00000000-0004-0000-0100-000085000000}"/>
    <hyperlink ref="E139" r:id="rId135" xr:uid="{00000000-0004-0000-0100-000086000000}"/>
    <hyperlink ref="E140" r:id="rId136" xr:uid="{00000000-0004-0000-0100-000087000000}"/>
    <hyperlink ref="E141" r:id="rId137" xr:uid="{00000000-0004-0000-0100-000088000000}"/>
    <hyperlink ref="E142" r:id="rId138" xr:uid="{00000000-0004-0000-0100-000089000000}"/>
    <hyperlink ref="E143" r:id="rId139" xr:uid="{00000000-0004-0000-0100-00008A000000}"/>
    <hyperlink ref="E144" r:id="rId140" xr:uid="{00000000-0004-0000-0100-00008B000000}"/>
    <hyperlink ref="E145" r:id="rId141" xr:uid="{00000000-0004-0000-0100-00008C000000}"/>
    <hyperlink ref="E146" r:id="rId142" xr:uid="{00000000-0004-0000-0100-00008D000000}"/>
    <hyperlink ref="E147" r:id="rId143" xr:uid="{00000000-0004-0000-0100-00008E000000}"/>
    <hyperlink ref="E148" r:id="rId144" xr:uid="{00000000-0004-0000-0100-00008F000000}"/>
    <hyperlink ref="E149" r:id="rId145" xr:uid="{00000000-0004-0000-0100-000090000000}"/>
    <hyperlink ref="E150" r:id="rId146" xr:uid="{00000000-0004-0000-0100-000091000000}"/>
    <hyperlink ref="E151" r:id="rId147" xr:uid="{00000000-0004-0000-0100-000092000000}"/>
    <hyperlink ref="E152" r:id="rId148" xr:uid="{00000000-0004-0000-0100-000093000000}"/>
    <hyperlink ref="E153" r:id="rId149" xr:uid="{00000000-0004-0000-0100-000094000000}"/>
    <hyperlink ref="E154" r:id="rId150" xr:uid="{00000000-0004-0000-0100-000095000000}"/>
    <hyperlink ref="E155" r:id="rId151" xr:uid="{00000000-0004-0000-0100-000096000000}"/>
    <hyperlink ref="E156" r:id="rId152" xr:uid="{00000000-0004-0000-0100-000097000000}"/>
    <hyperlink ref="E157" r:id="rId153" xr:uid="{00000000-0004-0000-0100-000098000000}"/>
    <hyperlink ref="E158" r:id="rId154" xr:uid="{00000000-0004-0000-0100-000099000000}"/>
    <hyperlink ref="E159" r:id="rId155" xr:uid="{00000000-0004-0000-0100-00009A000000}"/>
    <hyperlink ref="E160" r:id="rId156" xr:uid="{00000000-0004-0000-0100-00009B000000}"/>
    <hyperlink ref="E161" r:id="rId157" xr:uid="{00000000-0004-0000-0100-00009C000000}"/>
    <hyperlink ref="E162" r:id="rId158" xr:uid="{00000000-0004-0000-0100-00009D000000}"/>
    <hyperlink ref="E163" r:id="rId159" xr:uid="{00000000-0004-0000-0100-00009E000000}"/>
    <hyperlink ref="E164" r:id="rId160" xr:uid="{00000000-0004-0000-0100-00009F000000}"/>
    <hyperlink ref="E165" r:id="rId161" xr:uid="{00000000-0004-0000-0100-0000A0000000}"/>
    <hyperlink ref="E166" r:id="rId162" xr:uid="{00000000-0004-0000-0100-0000A1000000}"/>
    <hyperlink ref="E167" r:id="rId163" xr:uid="{00000000-0004-0000-0100-0000A2000000}"/>
    <hyperlink ref="E168" r:id="rId164" xr:uid="{00000000-0004-0000-0100-0000A3000000}"/>
    <hyperlink ref="E169" r:id="rId165" xr:uid="{00000000-0004-0000-0100-0000A4000000}"/>
    <hyperlink ref="E170" r:id="rId166" xr:uid="{00000000-0004-0000-0100-0000A5000000}"/>
    <hyperlink ref="E171" r:id="rId167" xr:uid="{00000000-0004-0000-0100-0000A6000000}"/>
    <hyperlink ref="E172" r:id="rId168" xr:uid="{00000000-0004-0000-0100-0000A7000000}"/>
    <hyperlink ref="E173" r:id="rId169" xr:uid="{00000000-0004-0000-0100-0000A8000000}"/>
    <hyperlink ref="E174" r:id="rId170" xr:uid="{00000000-0004-0000-0100-0000A9000000}"/>
    <hyperlink ref="E175" r:id="rId171" xr:uid="{00000000-0004-0000-0100-0000AA000000}"/>
    <hyperlink ref="E176" r:id="rId172" xr:uid="{00000000-0004-0000-0100-0000AB000000}"/>
    <hyperlink ref="E177" r:id="rId173" xr:uid="{00000000-0004-0000-0100-0000AC000000}"/>
    <hyperlink ref="E178" r:id="rId174" xr:uid="{00000000-0004-0000-0100-0000AD000000}"/>
    <hyperlink ref="E179" r:id="rId175" xr:uid="{00000000-0004-0000-0100-0000AE000000}"/>
    <hyperlink ref="E180" r:id="rId176" xr:uid="{00000000-0004-0000-0100-0000AF000000}"/>
    <hyperlink ref="E181" r:id="rId177" xr:uid="{00000000-0004-0000-0100-0000B0000000}"/>
    <hyperlink ref="E182" r:id="rId178" xr:uid="{00000000-0004-0000-0100-0000B1000000}"/>
    <hyperlink ref="E183" r:id="rId179" xr:uid="{00000000-0004-0000-0100-0000B2000000}"/>
    <hyperlink ref="E184" r:id="rId180" xr:uid="{00000000-0004-0000-0100-0000B3000000}"/>
    <hyperlink ref="E185" r:id="rId181" xr:uid="{00000000-0004-0000-0100-0000B4000000}"/>
    <hyperlink ref="E186" r:id="rId182" xr:uid="{00000000-0004-0000-0100-0000B5000000}"/>
    <hyperlink ref="E187" r:id="rId183" xr:uid="{00000000-0004-0000-0100-0000B6000000}"/>
    <hyperlink ref="E188" r:id="rId184" xr:uid="{00000000-0004-0000-0100-0000B7000000}"/>
    <hyperlink ref="E189" r:id="rId185" xr:uid="{00000000-0004-0000-0100-0000B8000000}"/>
    <hyperlink ref="E190" r:id="rId186" xr:uid="{00000000-0004-0000-0100-0000B9000000}"/>
    <hyperlink ref="E191" r:id="rId187" xr:uid="{00000000-0004-0000-0100-0000BA000000}"/>
    <hyperlink ref="E192" r:id="rId188" xr:uid="{00000000-0004-0000-0100-0000BB000000}"/>
    <hyperlink ref="E193" r:id="rId189" xr:uid="{00000000-0004-0000-0100-0000BC000000}"/>
    <hyperlink ref="E194" r:id="rId190" xr:uid="{00000000-0004-0000-0100-0000BD000000}"/>
    <hyperlink ref="E195" r:id="rId191" xr:uid="{00000000-0004-0000-0100-0000BE000000}"/>
    <hyperlink ref="E196" r:id="rId192" xr:uid="{00000000-0004-0000-0100-0000BF000000}"/>
    <hyperlink ref="E197" r:id="rId193" xr:uid="{00000000-0004-0000-0100-0000C0000000}"/>
    <hyperlink ref="E198" r:id="rId194" xr:uid="{00000000-0004-0000-0100-0000C1000000}"/>
    <hyperlink ref="E199" r:id="rId195" xr:uid="{00000000-0004-0000-0100-0000C2000000}"/>
    <hyperlink ref="E200" r:id="rId196" xr:uid="{00000000-0004-0000-0100-0000C3000000}"/>
    <hyperlink ref="E201" r:id="rId197" xr:uid="{00000000-0004-0000-0100-0000C4000000}"/>
    <hyperlink ref="E202" r:id="rId198" xr:uid="{00000000-0004-0000-0100-0000C5000000}"/>
    <hyperlink ref="E203" r:id="rId199" xr:uid="{00000000-0004-0000-0100-0000C6000000}"/>
    <hyperlink ref="E204" r:id="rId200" xr:uid="{00000000-0004-0000-0100-0000C7000000}"/>
    <hyperlink ref="E205" r:id="rId201" xr:uid="{00000000-0004-0000-0100-0000C8000000}"/>
    <hyperlink ref="E206" r:id="rId202" xr:uid="{00000000-0004-0000-0100-0000C9000000}"/>
    <hyperlink ref="E207" r:id="rId203" xr:uid="{00000000-0004-0000-0100-0000CA000000}"/>
    <hyperlink ref="E208" r:id="rId204" xr:uid="{00000000-0004-0000-0100-0000CB000000}"/>
    <hyperlink ref="E209" r:id="rId205" xr:uid="{00000000-0004-0000-0100-0000CC000000}"/>
    <hyperlink ref="E210" r:id="rId206" xr:uid="{00000000-0004-0000-0100-0000CD000000}"/>
    <hyperlink ref="E211" r:id="rId207" xr:uid="{00000000-0004-0000-0100-0000CE000000}"/>
    <hyperlink ref="E212" r:id="rId208" xr:uid="{00000000-0004-0000-0100-0000CF000000}"/>
    <hyperlink ref="E213" r:id="rId209" xr:uid="{00000000-0004-0000-0100-0000D0000000}"/>
    <hyperlink ref="E214" r:id="rId210" xr:uid="{00000000-0004-0000-0100-0000D1000000}"/>
    <hyperlink ref="E215" r:id="rId211" xr:uid="{00000000-0004-0000-0100-0000D2000000}"/>
    <hyperlink ref="E216" r:id="rId212" xr:uid="{00000000-0004-0000-0100-0000D3000000}"/>
    <hyperlink ref="E217" r:id="rId213" xr:uid="{00000000-0004-0000-0100-0000D4000000}"/>
    <hyperlink ref="E218" r:id="rId214" xr:uid="{00000000-0004-0000-0100-0000D5000000}"/>
    <hyperlink ref="E219" r:id="rId215" xr:uid="{00000000-0004-0000-0100-0000D6000000}"/>
    <hyperlink ref="E220" r:id="rId216" xr:uid="{00000000-0004-0000-0100-0000D7000000}"/>
    <hyperlink ref="E221" r:id="rId217" xr:uid="{00000000-0004-0000-0100-0000D8000000}"/>
    <hyperlink ref="E222" r:id="rId218" xr:uid="{00000000-0004-0000-0100-0000D9000000}"/>
    <hyperlink ref="E223" r:id="rId219" xr:uid="{00000000-0004-0000-0100-0000DA000000}"/>
    <hyperlink ref="E224" r:id="rId220" xr:uid="{00000000-0004-0000-0100-0000DB000000}"/>
    <hyperlink ref="E225" r:id="rId221" xr:uid="{00000000-0004-0000-0100-0000DC000000}"/>
    <hyperlink ref="E226" r:id="rId222" xr:uid="{00000000-0004-0000-0100-0000DD000000}"/>
    <hyperlink ref="E227" r:id="rId223" xr:uid="{00000000-0004-0000-0100-0000DE000000}"/>
    <hyperlink ref="E228" r:id="rId224" xr:uid="{00000000-0004-0000-0100-0000DF000000}"/>
    <hyperlink ref="E229" r:id="rId225" xr:uid="{00000000-0004-0000-0100-0000E0000000}"/>
    <hyperlink ref="E230" r:id="rId226" xr:uid="{00000000-0004-0000-0100-0000E1000000}"/>
    <hyperlink ref="E231" r:id="rId227" xr:uid="{00000000-0004-0000-0100-0000E2000000}"/>
    <hyperlink ref="E232" r:id="rId228" xr:uid="{00000000-0004-0000-0100-0000E3000000}"/>
    <hyperlink ref="E233" r:id="rId229" xr:uid="{00000000-0004-0000-0100-0000E4000000}"/>
    <hyperlink ref="E234" r:id="rId230" xr:uid="{00000000-0004-0000-0100-0000E5000000}"/>
    <hyperlink ref="E235" r:id="rId231" xr:uid="{00000000-0004-0000-0100-0000E6000000}"/>
    <hyperlink ref="E236" r:id="rId232" xr:uid="{00000000-0004-0000-0100-0000E7000000}"/>
    <hyperlink ref="E237" r:id="rId233" xr:uid="{00000000-0004-0000-0100-0000E8000000}"/>
    <hyperlink ref="E238" r:id="rId234" xr:uid="{00000000-0004-0000-0100-0000E9000000}"/>
    <hyperlink ref="E239" r:id="rId235" xr:uid="{00000000-0004-0000-0100-0000EA000000}"/>
    <hyperlink ref="E240" r:id="rId236" xr:uid="{00000000-0004-0000-0100-0000EB000000}"/>
    <hyperlink ref="E241" r:id="rId237" xr:uid="{00000000-0004-0000-0100-0000EC000000}"/>
    <hyperlink ref="E242" r:id="rId238" xr:uid="{00000000-0004-0000-0100-0000ED000000}"/>
    <hyperlink ref="E243" r:id="rId239" location="page-5" xr:uid="{00000000-0004-0000-0100-0000EE000000}"/>
    <hyperlink ref="E244" r:id="rId240" xr:uid="{00000000-0004-0000-0100-0000EF000000}"/>
    <hyperlink ref="E245" r:id="rId241" xr:uid="{00000000-0004-0000-0100-0000F0000000}"/>
    <hyperlink ref="E246" r:id="rId242" xr:uid="{00000000-0004-0000-0100-0000F1000000}"/>
    <hyperlink ref="E247" r:id="rId243" xr:uid="{00000000-0004-0000-0100-0000F2000000}"/>
    <hyperlink ref="E248" r:id="rId244" xr:uid="{00000000-0004-0000-0100-0000F3000000}"/>
    <hyperlink ref="E249" r:id="rId245" xr:uid="{00000000-0004-0000-0100-0000F4000000}"/>
    <hyperlink ref="E250" r:id="rId246" xr:uid="{00000000-0004-0000-0100-0000F5000000}"/>
    <hyperlink ref="E251" r:id="rId247" xr:uid="{00000000-0004-0000-0100-0000F6000000}"/>
    <hyperlink ref="E252" r:id="rId248" xr:uid="{00000000-0004-0000-0100-0000F7000000}"/>
    <hyperlink ref="E253" r:id="rId249" xr:uid="{00000000-0004-0000-0100-0000F8000000}"/>
    <hyperlink ref="E254" r:id="rId250" xr:uid="{00000000-0004-0000-0100-0000F9000000}"/>
    <hyperlink ref="E255" r:id="rId251" xr:uid="{00000000-0004-0000-0100-0000FA000000}"/>
    <hyperlink ref="E256" r:id="rId252" xr:uid="{00000000-0004-0000-0100-0000FB000000}"/>
    <hyperlink ref="E257" r:id="rId253" xr:uid="{00000000-0004-0000-0100-0000FC000000}"/>
    <hyperlink ref="E258" r:id="rId254" xr:uid="{00000000-0004-0000-0100-0000FD000000}"/>
    <hyperlink ref="E259" r:id="rId255" xr:uid="{00000000-0004-0000-0100-0000FE000000}"/>
    <hyperlink ref="E260" r:id="rId256" xr:uid="{00000000-0004-0000-0100-0000FF000000}"/>
    <hyperlink ref="E261" r:id="rId257" xr:uid="{00000000-0004-0000-0100-000000010000}"/>
    <hyperlink ref="E262" r:id="rId258" xr:uid="{00000000-0004-0000-0100-000001010000}"/>
    <hyperlink ref="E263" r:id="rId259" xr:uid="{00000000-0004-0000-0100-000002010000}"/>
    <hyperlink ref="E264" r:id="rId260" xr:uid="{00000000-0004-0000-0100-000003010000}"/>
    <hyperlink ref="E265" r:id="rId261" xr:uid="{00000000-0004-0000-0100-000004010000}"/>
    <hyperlink ref="E266" r:id="rId262" xr:uid="{00000000-0004-0000-0100-000005010000}"/>
    <hyperlink ref="E267" r:id="rId263" xr:uid="{00000000-0004-0000-0100-000006010000}"/>
    <hyperlink ref="E268" r:id="rId264" xr:uid="{00000000-0004-0000-0100-000007010000}"/>
    <hyperlink ref="E269" r:id="rId265" xr:uid="{00000000-0004-0000-0100-000008010000}"/>
    <hyperlink ref="E270" r:id="rId266" xr:uid="{00000000-0004-0000-0100-000009010000}"/>
    <hyperlink ref="E271" r:id="rId267" xr:uid="{00000000-0004-0000-0100-00000A010000}"/>
    <hyperlink ref="E272" r:id="rId268" xr:uid="{00000000-0004-0000-0100-00000B010000}"/>
    <hyperlink ref="E273" r:id="rId269" xr:uid="{00000000-0004-0000-0100-00000C010000}"/>
    <hyperlink ref="E274" r:id="rId270" xr:uid="{00000000-0004-0000-0100-00000D010000}"/>
    <hyperlink ref="E275" r:id="rId271" xr:uid="{00000000-0004-0000-0100-00000E010000}"/>
    <hyperlink ref="E276" r:id="rId272" xr:uid="{00000000-0004-0000-0100-00000F010000}"/>
    <hyperlink ref="E277" r:id="rId273" xr:uid="{00000000-0004-0000-0100-000010010000}"/>
    <hyperlink ref="E278" r:id="rId274" xr:uid="{00000000-0004-0000-0100-000011010000}"/>
    <hyperlink ref="E279" r:id="rId275" xr:uid="{00000000-0004-0000-0100-000012010000}"/>
    <hyperlink ref="E280" r:id="rId276" xr:uid="{00000000-0004-0000-0100-000013010000}"/>
    <hyperlink ref="E281" r:id="rId277" xr:uid="{00000000-0004-0000-0100-000014010000}"/>
    <hyperlink ref="E282" r:id="rId278" xr:uid="{00000000-0004-0000-0100-000015010000}"/>
    <hyperlink ref="E283" r:id="rId279" xr:uid="{00000000-0004-0000-0100-000016010000}"/>
    <hyperlink ref="E284" r:id="rId280" xr:uid="{00000000-0004-0000-0100-000017010000}"/>
    <hyperlink ref="E285" r:id="rId281" xr:uid="{00000000-0004-0000-0100-000018010000}"/>
    <hyperlink ref="E286" r:id="rId282" xr:uid="{00000000-0004-0000-0100-000019010000}"/>
    <hyperlink ref="E287" r:id="rId283" xr:uid="{00000000-0004-0000-0100-00001A010000}"/>
    <hyperlink ref="E288" r:id="rId284" xr:uid="{00000000-0004-0000-0100-00001B010000}"/>
    <hyperlink ref="E289" r:id="rId285" xr:uid="{00000000-0004-0000-0100-00001C010000}"/>
    <hyperlink ref="E290" r:id="rId286" xr:uid="{00000000-0004-0000-0100-00001D010000}"/>
    <hyperlink ref="E291" r:id="rId287" xr:uid="{00000000-0004-0000-0100-00001E010000}"/>
    <hyperlink ref="E292" r:id="rId288" xr:uid="{00000000-0004-0000-0100-00001F010000}"/>
    <hyperlink ref="E293" r:id="rId289" xr:uid="{00000000-0004-0000-0100-000020010000}"/>
    <hyperlink ref="E294" r:id="rId290" xr:uid="{00000000-0004-0000-0100-000021010000}"/>
    <hyperlink ref="E295" r:id="rId291" xr:uid="{00000000-0004-0000-0100-000022010000}"/>
    <hyperlink ref="E296" r:id="rId292" xr:uid="{00000000-0004-0000-0100-000023010000}"/>
    <hyperlink ref="E297" r:id="rId293" xr:uid="{00000000-0004-0000-0100-000024010000}"/>
    <hyperlink ref="E298" r:id="rId294" xr:uid="{00000000-0004-0000-0100-000025010000}"/>
    <hyperlink ref="E299" r:id="rId295" xr:uid="{00000000-0004-0000-0100-000026010000}"/>
    <hyperlink ref="E300" r:id="rId296" xr:uid="{00000000-0004-0000-0100-000027010000}"/>
    <hyperlink ref="E301" r:id="rId297" xr:uid="{00000000-0004-0000-0100-000028010000}"/>
    <hyperlink ref="E302" r:id="rId298" xr:uid="{00000000-0004-0000-0100-000029010000}"/>
    <hyperlink ref="E303" r:id="rId299" xr:uid="{00000000-0004-0000-0100-00002A010000}"/>
    <hyperlink ref="E304" r:id="rId300" xr:uid="{00000000-0004-0000-0100-00002B010000}"/>
    <hyperlink ref="E305" r:id="rId301" xr:uid="{00000000-0004-0000-0100-00002C010000}"/>
    <hyperlink ref="E306" r:id="rId302" xr:uid="{00000000-0004-0000-0100-00002D010000}"/>
    <hyperlink ref="E307" r:id="rId303" xr:uid="{00000000-0004-0000-0100-00002E010000}"/>
    <hyperlink ref="E308" r:id="rId304" xr:uid="{00000000-0004-0000-0100-00002F010000}"/>
    <hyperlink ref="E309" r:id="rId305" xr:uid="{00000000-0004-0000-0100-000030010000}"/>
    <hyperlink ref="E310" r:id="rId306" xr:uid="{00000000-0004-0000-0100-000031010000}"/>
    <hyperlink ref="E311" r:id="rId307" xr:uid="{00000000-0004-0000-0100-000032010000}"/>
    <hyperlink ref="E312" r:id="rId308" xr:uid="{00000000-0004-0000-0100-000033010000}"/>
    <hyperlink ref="E313" r:id="rId309" xr:uid="{00000000-0004-0000-0100-000034010000}"/>
    <hyperlink ref="E314" r:id="rId310" xr:uid="{00000000-0004-0000-0100-000035010000}"/>
    <hyperlink ref="E315" r:id="rId311" xr:uid="{00000000-0004-0000-0100-000036010000}"/>
    <hyperlink ref="E316" r:id="rId312" xr:uid="{00000000-0004-0000-0100-000037010000}"/>
    <hyperlink ref="E317" r:id="rId313" xr:uid="{00000000-0004-0000-0100-000038010000}"/>
    <hyperlink ref="E318" r:id="rId314" xr:uid="{00000000-0004-0000-0100-000039010000}"/>
    <hyperlink ref="E319" r:id="rId315" xr:uid="{00000000-0004-0000-0100-00003A010000}"/>
    <hyperlink ref="E320" r:id="rId316" xr:uid="{00000000-0004-0000-0100-00003B010000}"/>
    <hyperlink ref="E321" r:id="rId317" xr:uid="{00000000-0004-0000-0100-00003C010000}"/>
    <hyperlink ref="E322" r:id="rId318" xr:uid="{00000000-0004-0000-0100-00003D010000}"/>
    <hyperlink ref="E323" r:id="rId319" xr:uid="{00000000-0004-0000-0100-00003E010000}"/>
    <hyperlink ref="E324" r:id="rId320" xr:uid="{00000000-0004-0000-0100-00003F010000}"/>
    <hyperlink ref="E325" r:id="rId321" xr:uid="{00000000-0004-0000-0100-000040010000}"/>
    <hyperlink ref="E326" r:id="rId322" xr:uid="{00000000-0004-0000-0100-000041010000}"/>
    <hyperlink ref="E327" r:id="rId323" xr:uid="{00000000-0004-0000-0100-000042010000}"/>
    <hyperlink ref="E328" r:id="rId324" xr:uid="{00000000-0004-0000-0100-000043010000}"/>
    <hyperlink ref="E329" r:id="rId325" xr:uid="{00000000-0004-0000-0100-000044010000}"/>
    <hyperlink ref="E330" r:id="rId326" xr:uid="{00000000-0004-0000-0100-000045010000}"/>
    <hyperlink ref="E331" r:id="rId327" xr:uid="{00000000-0004-0000-0100-000046010000}"/>
    <hyperlink ref="E332" r:id="rId328" xr:uid="{00000000-0004-0000-0100-000047010000}"/>
    <hyperlink ref="E333" r:id="rId329" xr:uid="{00000000-0004-0000-0100-000048010000}"/>
    <hyperlink ref="E334" r:id="rId330" xr:uid="{00000000-0004-0000-0100-000049010000}"/>
    <hyperlink ref="E335" r:id="rId331" xr:uid="{00000000-0004-0000-0100-00004A010000}"/>
    <hyperlink ref="E336" r:id="rId332" xr:uid="{00000000-0004-0000-0100-00004B010000}"/>
    <hyperlink ref="E337" r:id="rId333" xr:uid="{00000000-0004-0000-0100-00004C010000}"/>
    <hyperlink ref="E338" r:id="rId334" xr:uid="{00000000-0004-0000-0100-00004D010000}"/>
    <hyperlink ref="E339" r:id="rId335" xr:uid="{00000000-0004-0000-0100-00004E010000}"/>
    <hyperlink ref="E340" r:id="rId336" xr:uid="{00000000-0004-0000-0100-00004F010000}"/>
    <hyperlink ref="E341" r:id="rId337" xr:uid="{00000000-0004-0000-0100-000050010000}"/>
    <hyperlink ref="E342" r:id="rId338" xr:uid="{00000000-0004-0000-0100-000051010000}"/>
    <hyperlink ref="E343" r:id="rId339" xr:uid="{00000000-0004-0000-0100-000052010000}"/>
    <hyperlink ref="E344" r:id="rId340" xr:uid="{00000000-0004-0000-0100-000053010000}"/>
    <hyperlink ref="E345" r:id="rId341" xr:uid="{00000000-0004-0000-0100-000054010000}"/>
    <hyperlink ref="E346" r:id="rId342" xr:uid="{00000000-0004-0000-0100-000055010000}"/>
    <hyperlink ref="E347" r:id="rId343" xr:uid="{00000000-0004-0000-0100-000056010000}"/>
    <hyperlink ref="E348" r:id="rId344" xr:uid="{00000000-0004-0000-0100-000057010000}"/>
    <hyperlink ref="E349" r:id="rId345" xr:uid="{00000000-0004-0000-0100-000058010000}"/>
    <hyperlink ref="E350" r:id="rId346" xr:uid="{00000000-0004-0000-0100-000059010000}"/>
    <hyperlink ref="E351" r:id="rId347" xr:uid="{00000000-0004-0000-0100-00005A010000}"/>
    <hyperlink ref="E352" r:id="rId348" xr:uid="{00000000-0004-0000-0100-00005B010000}"/>
    <hyperlink ref="E353" r:id="rId349" xr:uid="{00000000-0004-0000-0100-00005C010000}"/>
    <hyperlink ref="E354" r:id="rId350" xr:uid="{00000000-0004-0000-0100-00005D010000}"/>
    <hyperlink ref="E355" r:id="rId351" xr:uid="{00000000-0004-0000-0100-00005E010000}"/>
    <hyperlink ref="E356" r:id="rId352" xr:uid="{00000000-0004-0000-0100-00005F010000}"/>
    <hyperlink ref="E357" r:id="rId353" xr:uid="{00000000-0004-0000-0100-000060010000}"/>
    <hyperlink ref="E358" r:id="rId354" xr:uid="{00000000-0004-0000-0100-000061010000}"/>
    <hyperlink ref="E359" r:id="rId355" xr:uid="{00000000-0004-0000-0100-000062010000}"/>
    <hyperlink ref="E360" r:id="rId356" xr:uid="{00000000-0004-0000-0100-000063010000}"/>
    <hyperlink ref="E361" r:id="rId357" xr:uid="{00000000-0004-0000-0100-000064010000}"/>
    <hyperlink ref="E362" r:id="rId358" xr:uid="{00000000-0004-0000-0100-000065010000}"/>
    <hyperlink ref="E363" r:id="rId359" xr:uid="{00000000-0004-0000-0100-000066010000}"/>
    <hyperlink ref="E364" r:id="rId360" xr:uid="{00000000-0004-0000-0100-000067010000}"/>
    <hyperlink ref="E365" r:id="rId361" xr:uid="{00000000-0004-0000-0100-000068010000}"/>
    <hyperlink ref="E366" r:id="rId362" xr:uid="{00000000-0004-0000-0100-000069010000}"/>
    <hyperlink ref="E367" r:id="rId363" xr:uid="{00000000-0004-0000-0100-00006A010000}"/>
    <hyperlink ref="E368" r:id="rId364" xr:uid="{00000000-0004-0000-0100-00006B010000}"/>
    <hyperlink ref="E369" r:id="rId365" xr:uid="{00000000-0004-0000-0100-00006C010000}"/>
    <hyperlink ref="E370" r:id="rId366" xr:uid="{00000000-0004-0000-0100-00006D010000}"/>
    <hyperlink ref="E371" r:id="rId367" xr:uid="{00000000-0004-0000-0100-00006E010000}"/>
    <hyperlink ref="E372" r:id="rId368" xr:uid="{00000000-0004-0000-0100-00006F010000}"/>
    <hyperlink ref="E373" r:id="rId369" xr:uid="{00000000-0004-0000-0100-000070010000}"/>
    <hyperlink ref="E374" r:id="rId370" xr:uid="{00000000-0004-0000-0100-000071010000}"/>
    <hyperlink ref="E375" r:id="rId371" xr:uid="{00000000-0004-0000-0100-000072010000}"/>
    <hyperlink ref="E376" r:id="rId372" xr:uid="{00000000-0004-0000-0100-000073010000}"/>
    <hyperlink ref="E377" r:id="rId373" xr:uid="{00000000-0004-0000-0100-000074010000}"/>
    <hyperlink ref="E378" r:id="rId374" xr:uid="{00000000-0004-0000-0100-000075010000}"/>
    <hyperlink ref="E379" r:id="rId375" xr:uid="{00000000-0004-0000-0100-000076010000}"/>
    <hyperlink ref="E380" r:id="rId376" xr:uid="{00000000-0004-0000-0100-000077010000}"/>
    <hyperlink ref="E381" r:id="rId377" xr:uid="{00000000-0004-0000-0100-000078010000}"/>
    <hyperlink ref="E382" r:id="rId378" xr:uid="{00000000-0004-0000-0100-000079010000}"/>
    <hyperlink ref="E383" r:id="rId379" xr:uid="{00000000-0004-0000-0100-00007A010000}"/>
    <hyperlink ref="E384" r:id="rId380" xr:uid="{00000000-0004-0000-0100-00007B010000}"/>
    <hyperlink ref="E385" r:id="rId381" xr:uid="{00000000-0004-0000-0100-00007C010000}"/>
    <hyperlink ref="E386" r:id="rId382" xr:uid="{00000000-0004-0000-0100-00007D010000}"/>
    <hyperlink ref="E387" r:id="rId383" xr:uid="{00000000-0004-0000-0100-00007E010000}"/>
    <hyperlink ref="E388" r:id="rId384" xr:uid="{00000000-0004-0000-0100-00007F010000}"/>
    <hyperlink ref="E389" r:id="rId385" xr:uid="{00000000-0004-0000-0100-000080010000}"/>
    <hyperlink ref="E390" r:id="rId386" xr:uid="{00000000-0004-0000-0100-000081010000}"/>
    <hyperlink ref="E391" r:id="rId387" xr:uid="{00000000-0004-0000-0100-000082010000}"/>
    <hyperlink ref="E392" r:id="rId388" xr:uid="{00000000-0004-0000-0100-000083010000}"/>
    <hyperlink ref="E393" r:id="rId389" xr:uid="{00000000-0004-0000-0100-000084010000}"/>
    <hyperlink ref="E394" r:id="rId390" xr:uid="{00000000-0004-0000-0100-000085010000}"/>
    <hyperlink ref="E395" r:id="rId391" xr:uid="{00000000-0004-0000-0100-000086010000}"/>
    <hyperlink ref="E396" r:id="rId392" xr:uid="{00000000-0004-0000-0100-000087010000}"/>
    <hyperlink ref="E397" r:id="rId393" xr:uid="{00000000-0004-0000-0100-000088010000}"/>
    <hyperlink ref="E398" r:id="rId394" xr:uid="{00000000-0004-0000-0100-000089010000}"/>
    <hyperlink ref="E399" r:id="rId395" xr:uid="{00000000-0004-0000-0100-00008A010000}"/>
    <hyperlink ref="E400" r:id="rId396" xr:uid="{00000000-0004-0000-0100-00008B010000}"/>
    <hyperlink ref="E401" r:id="rId397" xr:uid="{00000000-0004-0000-0100-00008C010000}"/>
    <hyperlink ref="E402" r:id="rId398" xr:uid="{00000000-0004-0000-0100-00008D010000}"/>
    <hyperlink ref="E403" r:id="rId399" xr:uid="{00000000-0004-0000-0100-00008E010000}"/>
    <hyperlink ref="E404" r:id="rId400" xr:uid="{00000000-0004-0000-0100-00008F010000}"/>
    <hyperlink ref="E405" r:id="rId401" xr:uid="{00000000-0004-0000-0100-000090010000}"/>
    <hyperlink ref="E406" r:id="rId402" xr:uid="{00000000-0004-0000-0100-000091010000}"/>
    <hyperlink ref="E407" r:id="rId403" xr:uid="{00000000-0004-0000-0100-000092010000}"/>
    <hyperlink ref="E408" r:id="rId404" xr:uid="{00000000-0004-0000-0100-000093010000}"/>
    <hyperlink ref="E409" r:id="rId405" xr:uid="{00000000-0004-0000-0100-000094010000}"/>
    <hyperlink ref="E410" r:id="rId406" xr:uid="{00000000-0004-0000-0100-000095010000}"/>
    <hyperlink ref="E411" r:id="rId407" xr:uid="{00000000-0004-0000-0100-000096010000}"/>
    <hyperlink ref="E412" r:id="rId408" xr:uid="{00000000-0004-0000-0100-000097010000}"/>
    <hyperlink ref="E413" r:id="rId409" xr:uid="{00000000-0004-0000-0100-000098010000}"/>
    <hyperlink ref="E414" r:id="rId410" xr:uid="{00000000-0004-0000-0100-000099010000}"/>
    <hyperlink ref="E415" r:id="rId411" xr:uid="{00000000-0004-0000-0100-00009A010000}"/>
    <hyperlink ref="E416" r:id="rId412" xr:uid="{00000000-0004-0000-0100-00009B010000}"/>
    <hyperlink ref="E417" r:id="rId413" xr:uid="{00000000-0004-0000-0100-00009C010000}"/>
    <hyperlink ref="E418" r:id="rId414" xr:uid="{00000000-0004-0000-0100-00009D010000}"/>
    <hyperlink ref="E419" r:id="rId415" xr:uid="{00000000-0004-0000-0100-00009E010000}"/>
    <hyperlink ref="E420" r:id="rId416" xr:uid="{00000000-0004-0000-0100-00009F010000}"/>
    <hyperlink ref="E421" r:id="rId417" xr:uid="{00000000-0004-0000-0100-0000A0010000}"/>
    <hyperlink ref="E422" r:id="rId418" xr:uid="{00000000-0004-0000-0100-0000A1010000}"/>
    <hyperlink ref="E423" r:id="rId419" xr:uid="{00000000-0004-0000-0100-0000A2010000}"/>
    <hyperlink ref="E424" r:id="rId420" xr:uid="{00000000-0004-0000-0100-0000A3010000}"/>
    <hyperlink ref="E425" r:id="rId421" xr:uid="{00000000-0004-0000-0100-0000A4010000}"/>
    <hyperlink ref="E426" r:id="rId422" xr:uid="{00000000-0004-0000-0100-0000A5010000}"/>
    <hyperlink ref="E427" r:id="rId423" xr:uid="{00000000-0004-0000-0100-0000A6010000}"/>
    <hyperlink ref="E428" r:id="rId424" xr:uid="{00000000-0004-0000-0100-0000A7010000}"/>
    <hyperlink ref="E429" r:id="rId425" xr:uid="{00000000-0004-0000-0100-0000A8010000}"/>
    <hyperlink ref="E430" r:id="rId426" xr:uid="{00000000-0004-0000-0100-0000A9010000}"/>
    <hyperlink ref="E431" r:id="rId427" xr:uid="{00000000-0004-0000-0100-0000AA010000}"/>
    <hyperlink ref="E432" r:id="rId428" xr:uid="{00000000-0004-0000-0100-0000AB010000}"/>
    <hyperlink ref="E433" r:id="rId429" xr:uid="{00000000-0004-0000-0100-0000AC010000}"/>
    <hyperlink ref="E434" r:id="rId430" xr:uid="{00000000-0004-0000-0100-0000AD010000}"/>
    <hyperlink ref="E435" r:id="rId431" xr:uid="{00000000-0004-0000-0100-0000AE010000}"/>
    <hyperlink ref="E436" r:id="rId432" xr:uid="{00000000-0004-0000-0100-0000AF010000}"/>
    <hyperlink ref="E437" r:id="rId433" xr:uid="{00000000-0004-0000-0100-0000B0010000}"/>
    <hyperlink ref="E438" r:id="rId434" xr:uid="{00000000-0004-0000-0100-0000B1010000}"/>
    <hyperlink ref="E439" r:id="rId435" xr:uid="{00000000-0004-0000-0100-0000B2010000}"/>
    <hyperlink ref="E440" r:id="rId436" xr:uid="{00000000-0004-0000-0100-0000B3010000}"/>
    <hyperlink ref="E441" r:id="rId437" xr:uid="{00000000-0004-0000-0100-0000B4010000}"/>
    <hyperlink ref="E442" r:id="rId438" xr:uid="{00000000-0004-0000-0100-0000B5010000}"/>
    <hyperlink ref="E443" r:id="rId439" xr:uid="{00000000-0004-0000-0100-0000B6010000}"/>
    <hyperlink ref="E444" r:id="rId440" xr:uid="{00000000-0004-0000-0100-0000B7010000}"/>
    <hyperlink ref="E445" r:id="rId441" xr:uid="{00000000-0004-0000-0100-0000B8010000}"/>
    <hyperlink ref="E446" r:id="rId442" xr:uid="{00000000-0004-0000-0100-0000B9010000}"/>
    <hyperlink ref="E447" r:id="rId443" xr:uid="{00000000-0004-0000-0100-0000BA010000}"/>
    <hyperlink ref="E448" r:id="rId444" xr:uid="{00000000-0004-0000-0100-0000BB010000}"/>
    <hyperlink ref="E449" r:id="rId445" xr:uid="{00000000-0004-0000-0100-0000BC010000}"/>
    <hyperlink ref="E450" r:id="rId446" xr:uid="{00000000-0004-0000-0100-0000BD010000}"/>
    <hyperlink ref="E451" r:id="rId447" xr:uid="{00000000-0004-0000-0100-0000BE010000}"/>
    <hyperlink ref="E452" r:id="rId448" xr:uid="{00000000-0004-0000-0100-0000BF010000}"/>
    <hyperlink ref="E453" r:id="rId449" xr:uid="{00000000-0004-0000-0100-0000C0010000}"/>
    <hyperlink ref="E454" r:id="rId450" xr:uid="{00000000-0004-0000-0100-0000C1010000}"/>
    <hyperlink ref="E455" r:id="rId451" xr:uid="{00000000-0004-0000-0100-0000C2010000}"/>
    <hyperlink ref="E456" r:id="rId452" xr:uid="{00000000-0004-0000-0100-0000C3010000}"/>
    <hyperlink ref="E457" r:id="rId453" xr:uid="{00000000-0004-0000-0100-0000C4010000}"/>
    <hyperlink ref="E458" r:id="rId454" xr:uid="{00000000-0004-0000-0100-0000C5010000}"/>
    <hyperlink ref="E459" r:id="rId455" xr:uid="{00000000-0004-0000-0100-0000C6010000}"/>
    <hyperlink ref="E460" r:id="rId456" xr:uid="{00000000-0004-0000-0100-0000C7010000}"/>
    <hyperlink ref="E461" r:id="rId457" xr:uid="{00000000-0004-0000-0100-0000C8010000}"/>
    <hyperlink ref="E462" r:id="rId458" xr:uid="{00000000-0004-0000-0100-0000C9010000}"/>
    <hyperlink ref="E463" r:id="rId459" xr:uid="{00000000-0004-0000-0100-0000CA010000}"/>
    <hyperlink ref="E464" r:id="rId460" xr:uid="{00000000-0004-0000-0100-0000CB010000}"/>
    <hyperlink ref="E465" r:id="rId461" xr:uid="{00000000-0004-0000-0100-0000CC010000}"/>
    <hyperlink ref="E466" r:id="rId462" xr:uid="{00000000-0004-0000-0100-0000CD010000}"/>
    <hyperlink ref="E467" r:id="rId463" xr:uid="{00000000-0004-0000-0100-0000CE010000}"/>
    <hyperlink ref="E468" r:id="rId464" xr:uid="{00000000-0004-0000-0100-0000CF010000}"/>
    <hyperlink ref="E469" r:id="rId465" xr:uid="{00000000-0004-0000-0100-0000D0010000}"/>
    <hyperlink ref="E470" r:id="rId466" xr:uid="{00000000-0004-0000-0100-0000D1010000}"/>
    <hyperlink ref="E471" r:id="rId467" xr:uid="{00000000-0004-0000-0100-0000D2010000}"/>
    <hyperlink ref="E472" r:id="rId468" xr:uid="{00000000-0004-0000-0100-0000D3010000}"/>
    <hyperlink ref="E473" r:id="rId469" xr:uid="{00000000-0004-0000-0100-0000D4010000}"/>
    <hyperlink ref="E474" r:id="rId470" xr:uid="{00000000-0004-0000-0100-0000D5010000}"/>
    <hyperlink ref="E475" r:id="rId471" xr:uid="{00000000-0004-0000-0100-0000D6010000}"/>
    <hyperlink ref="E476" r:id="rId472" xr:uid="{00000000-0004-0000-0100-0000D7010000}"/>
    <hyperlink ref="E477" r:id="rId473" xr:uid="{00000000-0004-0000-0100-0000D8010000}"/>
    <hyperlink ref="E478" r:id="rId474" xr:uid="{00000000-0004-0000-0100-0000D9010000}"/>
    <hyperlink ref="E479" r:id="rId475" xr:uid="{00000000-0004-0000-0100-0000DA010000}"/>
    <hyperlink ref="E480" r:id="rId476" xr:uid="{00000000-0004-0000-0100-0000DB010000}"/>
    <hyperlink ref="E481" r:id="rId477" xr:uid="{00000000-0004-0000-0100-0000DC010000}"/>
    <hyperlink ref="E482" r:id="rId478" xr:uid="{00000000-0004-0000-0100-0000DD010000}"/>
    <hyperlink ref="E483" r:id="rId479" xr:uid="{00000000-0004-0000-0100-0000DE010000}"/>
    <hyperlink ref="E484" r:id="rId480" xr:uid="{00000000-0004-0000-0100-0000DF010000}"/>
    <hyperlink ref="E485" r:id="rId481" xr:uid="{00000000-0004-0000-0100-0000E0010000}"/>
    <hyperlink ref="E486" r:id="rId482" xr:uid="{00000000-0004-0000-0100-0000E1010000}"/>
    <hyperlink ref="E487" r:id="rId483" xr:uid="{00000000-0004-0000-0100-0000E2010000}"/>
    <hyperlink ref="E488" r:id="rId484" xr:uid="{00000000-0004-0000-0100-0000E3010000}"/>
    <hyperlink ref="E489" r:id="rId485" xr:uid="{00000000-0004-0000-0100-0000E4010000}"/>
    <hyperlink ref="E490" r:id="rId486" xr:uid="{00000000-0004-0000-0100-0000E5010000}"/>
    <hyperlink ref="E491" r:id="rId487" xr:uid="{00000000-0004-0000-0100-0000E6010000}"/>
    <hyperlink ref="E492" r:id="rId488" xr:uid="{00000000-0004-0000-0100-0000E7010000}"/>
    <hyperlink ref="E493" r:id="rId489" xr:uid="{00000000-0004-0000-0100-0000E8010000}"/>
    <hyperlink ref="E494" r:id="rId490" xr:uid="{00000000-0004-0000-0100-0000E9010000}"/>
    <hyperlink ref="E495" r:id="rId491" xr:uid="{00000000-0004-0000-0100-0000EA010000}"/>
    <hyperlink ref="E496" r:id="rId492" xr:uid="{00000000-0004-0000-0100-0000EB010000}"/>
    <hyperlink ref="E497" r:id="rId493" xr:uid="{00000000-0004-0000-0100-0000EC010000}"/>
    <hyperlink ref="E498" r:id="rId494" xr:uid="{00000000-0004-0000-0100-0000ED010000}"/>
    <hyperlink ref="E499" r:id="rId495" xr:uid="{00000000-0004-0000-0100-0000EE010000}"/>
    <hyperlink ref="E500" r:id="rId496" xr:uid="{00000000-0004-0000-0100-0000EF010000}"/>
    <hyperlink ref="E501" r:id="rId497" xr:uid="{00000000-0004-0000-0100-0000F0010000}"/>
    <hyperlink ref="E502" r:id="rId498" xr:uid="{00000000-0004-0000-0100-0000F1010000}"/>
    <hyperlink ref="E503" r:id="rId499" xr:uid="{00000000-0004-0000-0100-0000F2010000}"/>
    <hyperlink ref="E504" r:id="rId500" xr:uid="{00000000-0004-0000-0100-0000F3010000}"/>
    <hyperlink ref="E505" r:id="rId501" xr:uid="{00000000-0004-0000-0100-0000F4010000}"/>
    <hyperlink ref="E506" r:id="rId502" xr:uid="{00000000-0004-0000-0100-0000F5010000}"/>
    <hyperlink ref="E507" r:id="rId503" xr:uid="{00000000-0004-0000-0100-0000F6010000}"/>
    <hyperlink ref="E508" r:id="rId504" xr:uid="{00000000-0004-0000-0100-0000F7010000}"/>
    <hyperlink ref="E509" r:id="rId505" xr:uid="{00000000-0004-0000-0100-0000F8010000}"/>
    <hyperlink ref="E510" r:id="rId506" xr:uid="{00000000-0004-0000-0100-0000F9010000}"/>
    <hyperlink ref="E511" r:id="rId507" xr:uid="{00000000-0004-0000-0100-0000FA010000}"/>
    <hyperlink ref="E512" r:id="rId508" xr:uid="{00000000-0004-0000-0100-0000FB010000}"/>
    <hyperlink ref="E513" r:id="rId509" xr:uid="{00000000-0004-0000-0100-0000FC010000}"/>
    <hyperlink ref="E514" r:id="rId510" xr:uid="{00000000-0004-0000-0100-0000FD010000}"/>
    <hyperlink ref="E515" r:id="rId511" xr:uid="{00000000-0004-0000-0100-0000FE010000}"/>
    <hyperlink ref="E516" r:id="rId512" xr:uid="{00000000-0004-0000-0100-0000FF010000}"/>
    <hyperlink ref="E517" r:id="rId513" xr:uid="{00000000-0004-0000-0100-000000020000}"/>
    <hyperlink ref="E518" r:id="rId514" xr:uid="{00000000-0004-0000-0100-000001020000}"/>
    <hyperlink ref="E519" r:id="rId515" xr:uid="{00000000-0004-0000-0100-000002020000}"/>
    <hyperlink ref="E520" r:id="rId516" xr:uid="{00000000-0004-0000-0100-000003020000}"/>
    <hyperlink ref="E521" r:id="rId517" xr:uid="{00000000-0004-0000-0100-000004020000}"/>
    <hyperlink ref="E522" r:id="rId518" xr:uid="{00000000-0004-0000-0100-000005020000}"/>
    <hyperlink ref="E523" r:id="rId519" xr:uid="{00000000-0004-0000-0100-000006020000}"/>
    <hyperlink ref="E524" r:id="rId520" xr:uid="{00000000-0004-0000-0100-000007020000}"/>
    <hyperlink ref="E525" r:id="rId521" xr:uid="{00000000-0004-0000-0100-000008020000}"/>
    <hyperlink ref="E526" r:id="rId522" xr:uid="{00000000-0004-0000-0100-000009020000}"/>
    <hyperlink ref="E527" r:id="rId523" xr:uid="{00000000-0004-0000-0100-00000A020000}"/>
    <hyperlink ref="E528" r:id="rId524" xr:uid="{00000000-0004-0000-0100-00000B020000}"/>
    <hyperlink ref="E529" r:id="rId525" xr:uid="{00000000-0004-0000-0100-00000C020000}"/>
    <hyperlink ref="E530" r:id="rId526" xr:uid="{00000000-0004-0000-0100-00000D020000}"/>
    <hyperlink ref="E531" r:id="rId527" xr:uid="{00000000-0004-0000-0100-00000E020000}"/>
    <hyperlink ref="E532" r:id="rId528" xr:uid="{00000000-0004-0000-0100-00000F020000}"/>
    <hyperlink ref="E533" r:id="rId529" xr:uid="{00000000-0004-0000-0100-000010020000}"/>
    <hyperlink ref="E534" r:id="rId530" xr:uid="{00000000-0004-0000-0100-000011020000}"/>
    <hyperlink ref="E535" r:id="rId531" xr:uid="{00000000-0004-0000-0100-000012020000}"/>
    <hyperlink ref="E536" r:id="rId532" xr:uid="{00000000-0004-0000-0100-000013020000}"/>
    <hyperlink ref="E537" r:id="rId533" xr:uid="{00000000-0004-0000-0100-000014020000}"/>
    <hyperlink ref="E538" r:id="rId534" xr:uid="{00000000-0004-0000-0100-000015020000}"/>
    <hyperlink ref="E539" r:id="rId535" xr:uid="{00000000-0004-0000-0100-000016020000}"/>
    <hyperlink ref="E540" r:id="rId536" xr:uid="{00000000-0004-0000-0100-000017020000}"/>
    <hyperlink ref="E541" r:id="rId537" xr:uid="{00000000-0004-0000-0100-000018020000}"/>
    <hyperlink ref="E542" r:id="rId538" xr:uid="{00000000-0004-0000-0100-000019020000}"/>
    <hyperlink ref="E543" r:id="rId539" xr:uid="{00000000-0004-0000-0100-00001A020000}"/>
    <hyperlink ref="E544" r:id="rId540" xr:uid="{00000000-0004-0000-0100-00001B020000}"/>
    <hyperlink ref="E545" r:id="rId541" xr:uid="{00000000-0004-0000-0100-00001C020000}"/>
    <hyperlink ref="E546" r:id="rId542" xr:uid="{00000000-0004-0000-0100-00001D020000}"/>
    <hyperlink ref="E547" r:id="rId543" xr:uid="{00000000-0004-0000-0100-00001E020000}"/>
    <hyperlink ref="E548" r:id="rId544" xr:uid="{00000000-0004-0000-0100-00001F020000}"/>
    <hyperlink ref="E549" r:id="rId545" xr:uid="{00000000-0004-0000-0100-000020020000}"/>
    <hyperlink ref="E550" r:id="rId546" xr:uid="{00000000-0004-0000-0100-000021020000}"/>
    <hyperlink ref="E551" r:id="rId547" xr:uid="{00000000-0004-0000-0100-000022020000}"/>
    <hyperlink ref="E552" r:id="rId548" xr:uid="{00000000-0004-0000-0100-000023020000}"/>
    <hyperlink ref="E553" r:id="rId549" xr:uid="{00000000-0004-0000-0100-000024020000}"/>
    <hyperlink ref="E554" r:id="rId550" xr:uid="{00000000-0004-0000-0100-000025020000}"/>
    <hyperlink ref="E555" r:id="rId551" xr:uid="{00000000-0004-0000-0100-000026020000}"/>
    <hyperlink ref="E556" r:id="rId552" xr:uid="{00000000-0004-0000-0100-000027020000}"/>
    <hyperlink ref="E557" r:id="rId553" xr:uid="{00000000-0004-0000-0100-000028020000}"/>
    <hyperlink ref="E558" r:id="rId554" xr:uid="{00000000-0004-0000-0100-000029020000}"/>
    <hyperlink ref="E559" r:id="rId555" xr:uid="{00000000-0004-0000-0100-00002A020000}"/>
    <hyperlink ref="E560" r:id="rId556" xr:uid="{00000000-0004-0000-0100-00002B020000}"/>
    <hyperlink ref="E561" r:id="rId557" xr:uid="{00000000-0004-0000-0100-00002C020000}"/>
    <hyperlink ref="E562" r:id="rId558" xr:uid="{00000000-0004-0000-0100-00002D020000}"/>
    <hyperlink ref="E563" r:id="rId559" xr:uid="{00000000-0004-0000-0100-00002E020000}"/>
    <hyperlink ref="E564" r:id="rId560" xr:uid="{00000000-0004-0000-0100-00002F020000}"/>
    <hyperlink ref="E565" r:id="rId561" xr:uid="{00000000-0004-0000-0100-000030020000}"/>
    <hyperlink ref="E566" r:id="rId562" xr:uid="{00000000-0004-0000-0100-000031020000}"/>
    <hyperlink ref="E567" r:id="rId563" xr:uid="{00000000-0004-0000-0100-000032020000}"/>
    <hyperlink ref="E568" r:id="rId564" xr:uid="{00000000-0004-0000-0100-000033020000}"/>
    <hyperlink ref="E569" r:id="rId565" xr:uid="{00000000-0004-0000-0100-000034020000}"/>
    <hyperlink ref="E570" r:id="rId566" xr:uid="{00000000-0004-0000-0100-000035020000}"/>
    <hyperlink ref="E571" r:id="rId567" xr:uid="{00000000-0004-0000-0100-000036020000}"/>
    <hyperlink ref="E572" r:id="rId568" xr:uid="{00000000-0004-0000-0100-000037020000}"/>
    <hyperlink ref="E573" r:id="rId569" xr:uid="{00000000-0004-0000-0100-000038020000}"/>
    <hyperlink ref="E574" r:id="rId570" xr:uid="{00000000-0004-0000-0100-000039020000}"/>
    <hyperlink ref="E575" r:id="rId571" xr:uid="{00000000-0004-0000-0100-00003A020000}"/>
    <hyperlink ref="E576" r:id="rId572" xr:uid="{00000000-0004-0000-0100-00003B020000}"/>
    <hyperlink ref="E577" r:id="rId573" xr:uid="{00000000-0004-0000-0100-00003C020000}"/>
    <hyperlink ref="E578" r:id="rId574" xr:uid="{00000000-0004-0000-0100-00003D020000}"/>
    <hyperlink ref="E579" r:id="rId575" xr:uid="{00000000-0004-0000-0100-00003E020000}"/>
    <hyperlink ref="E580" r:id="rId576" xr:uid="{00000000-0004-0000-0100-00003F020000}"/>
    <hyperlink ref="E581" r:id="rId577" xr:uid="{00000000-0004-0000-0100-000040020000}"/>
    <hyperlink ref="E582" r:id="rId578" xr:uid="{00000000-0004-0000-0100-000041020000}"/>
    <hyperlink ref="E583" r:id="rId579" xr:uid="{00000000-0004-0000-0100-000042020000}"/>
    <hyperlink ref="E584" r:id="rId580" xr:uid="{00000000-0004-0000-0100-000043020000}"/>
    <hyperlink ref="E585" r:id="rId581" xr:uid="{00000000-0004-0000-0100-000044020000}"/>
    <hyperlink ref="E586" r:id="rId582" location="page-5" xr:uid="{00000000-0004-0000-0100-000045020000}"/>
    <hyperlink ref="E587" r:id="rId583" xr:uid="{00000000-0004-0000-0100-000046020000}"/>
    <hyperlink ref="E588" r:id="rId584" xr:uid="{00000000-0004-0000-0100-000047020000}"/>
    <hyperlink ref="E589" r:id="rId585" xr:uid="{00000000-0004-0000-0100-000048020000}"/>
    <hyperlink ref="E590" r:id="rId586" xr:uid="{00000000-0004-0000-0100-000049020000}"/>
    <hyperlink ref="E591" r:id="rId587" xr:uid="{00000000-0004-0000-0100-00004A020000}"/>
    <hyperlink ref="E592" r:id="rId588" xr:uid="{00000000-0004-0000-0100-00004B020000}"/>
    <hyperlink ref="E593" r:id="rId589" xr:uid="{00000000-0004-0000-0100-00004C020000}"/>
    <hyperlink ref="E594" r:id="rId590" xr:uid="{00000000-0004-0000-0100-00004D020000}"/>
    <hyperlink ref="E595" r:id="rId591" xr:uid="{00000000-0004-0000-0100-00004E020000}"/>
    <hyperlink ref="E596" r:id="rId592" xr:uid="{00000000-0004-0000-0100-00004F020000}"/>
    <hyperlink ref="E597" r:id="rId593" xr:uid="{00000000-0004-0000-0100-000050020000}"/>
    <hyperlink ref="E598" r:id="rId594" xr:uid="{00000000-0004-0000-0100-000051020000}"/>
    <hyperlink ref="E599" r:id="rId595" xr:uid="{00000000-0004-0000-0100-000052020000}"/>
    <hyperlink ref="E600" r:id="rId596" xr:uid="{00000000-0004-0000-0100-000053020000}"/>
    <hyperlink ref="E601" r:id="rId597" xr:uid="{00000000-0004-0000-0100-000054020000}"/>
    <hyperlink ref="E602" r:id="rId598" xr:uid="{00000000-0004-0000-0100-000055020000}"/>
    <hyperlink ref="E603" r:id="rId599" xr:uid="{00000000-0004-0000-0100-000056020000}"/>
    <hyperlink ref="E604" r:id="rId600" xr:uid="{00000000-0004-0000-0100-000057020000}"/>
    <hyperlink ref="E605" r:id="rId601" xr:uid="{00000000-0004-0000-0100-000058020000}"/>
    <hyperlink ref="E606" r:id="rId602" xr:uid="{00000000-0004-0000-0100-000059020000}"/>
    <hyperlink ref="E607" r:id="rId603" xr:uid="{00000000-0004-0000-0100-00005A020000}"/>
    <hyperlink ref="E608" r:id="rId604" xr:uid="{00000000-0004-0000-0100-00005B020000}"/>
    <hyperlink ref="E609" r:id="rId605" xr:uid="{00000000-0004-0000-0100-00005C020000}"/>
    <hyperlink ref="E610" r:id="rId606" xr:uid="{00000000-0004-0000-0100-00005D020000}"/>
    <hyperlink ref="E611" r:id="rId607" xr:uid="{00000000-0004-0000-0100-00005E020000}"/>
    <hyperlink ref="E612" r:id="rId608" xr:uid="{00000000-0004-0000-0100-00005F020000}"/>
    <hyperlink ref="E613" r:id="rId609" xr:uid="{00000000-0004-0000-0100-000060020000}"/>
    <hyperlink ref="E614" r:id="rId610" xr:uid="{00000000-0004-0000-0100-000061020000}"/>
    <hyperlink ref="E615" r:id="rId611" xr:uid="{00000000-0004-0000-0100-000062020000}"/>
    <hyperlink ref="E616" r:id="rId612" xr:uid="{00000000-0004-0000-0100-000063020000}"/>
    <hyperlink ref="E617" r:id="rId613" xr:uid="{00000000-0004-0000-0100-000064020000}"/>
    <hyperlink ref="E618" r:id="rId614" xr:uid="{00000000-0004-0000-0100-000065020000}"/>
    <hyperlink ref="E619" r:id="rId615" xr:uid="{00000000-0004-0000-0100-000066020000}"/>
    <hyperlink ref="E620" r:id="rId616" xr:uid="{00000000-0004-0000-0100-000067020000}"/>
    <hyperlink ref="E621" r:id="rId617" xr:uid="{00000000-0004-0000-0100-000068020000}"/>
    <hyperlink ref="E622" r:id="rId618" xr:uid="{00000000-0004-0000-0100-000069020000}"/>
    <hyperlink ref="E623" r:id="rId619" xr:uid="{00000000-0004-0000-0100-00006A020000}"/>
    <hyperlink ref="E624" r:id="rId620" xr:uid="{00000000-0004-0000-0100-00006B020000}"/>
    <hyperlink ref="E625" r:id="rId621" xr:uid="{00000000-0004-0000-0100-00006C020000}"/>
    <hyperlink ref="E626" r:id="rId622" xr:uid="{00000000-0004-0000-0100-00006D020000}"/>
    <hyperlink ref="E627" r:id="rId623" xr:uid="{00000000-0004-0000-0100-00006E020000}"/>
    <hyperlink ref="E628" r:id="rId624" xr:uid="{00000000-0004-0000-0100-00006F020000}"/>
    <hyperlink ref="E629" r:id="rId625" xr:uid="{00000000-0004-0000-0100-000070020000}"/>
    <hyperlink ref="E630" r:id="rId626" xr:uid="{00000000-0004-0000-0100-000071020000}"/>
    <hyperlink ref="E631" r:id="rId627" xr:uid="{00000000-0004-0000-0100-000072020000}"/>
    <hyperlink ref="E632" r:id="rId628" xr:uid="{00000000-0004-0000-0100-000073020000}"/>
    <hyperlink ref="E633" r:id="rId629" xr:uid="{00000000-0004-0000-0100-000074020000}"/>
    <hyperlink ref="E634" r:id="rId630" xr:uid="{00000000-0004-0000-0100-000075020000}"/>
    <hyperlink ref="E635" r:id="rId631" xr:uid="{00000000-0004-0000-0100-000076020000}"/>
    <hyperlink ref="E636" r:id="rId632" xr:uid="{00000000-0004-0000-0100-000077020000}"/>
    <hyperlink ref="E637" r:id="rId633" xr:uid="{00000000-0004-0000-0100-000078020000}"/>
    <hyperlink ref="E638" r:id="rId634" xr:uid="{00000000-0004-0000-0100-000079020000}"/>
    <hyperlink ref="E639" r:id="rId635" xr:uid="{00000000-0004-0000-0100-00007A020000}"/>
    <hyperlink ref="E640" r:id="rId636" xr:uid="{00000000-0004-0000-0100-00007B020000}"/>
    <hyperlink ref="E641" r:id="rId637" xr:uid="{00000000-0004-0000-0100-00007C020000}"/>
    <hyperlink ref="E642" r:id="rId638" xr:uid="{00000000-0004-0000-0100-00007D020000}"/>
    <hyperlink ref="E643" r:id="rId639" xr:uid="{00000000-0004-0000-0100-00007E020000}"/>
    <hyperlink ref="E644" r:id="rId640" xr:uid="{00000000-0004-0000-0100-00007F020000}"/>
    <hyperlink ref="E645" r:id="rId641" xr:uid="{00000000-0004-0000-0100-000080020000}"/>
    <hyperlink ref="E646" r:id="rId642" xr:uid="{00000000-0004-0000-0100-000081020000}"/>
    <hyperlink ref="E647" r:id="rId643" xr:uid="{00000000-0004-0000-0100-000082020000}"/>
    <hyperlink ref="E648" r:id="rId644" xr:uid="{00000000-0004-0000-0100-000083020000}"/>
    <hyperlink ref="E649" r:id="rId645" xr:uid="{00000000-0004-0000-0100-000084020000}"/>
    <hyperlink ref="E650" r:id="rId646" xr:uid="{00000000-0004-0000-0100-000085020000}"/>
    <hyperlink ref="E651" r:id="rId647" xr:uid="{00000000-0004-0000-0100-000086020000}"/>
    <hyperlink ref="E652" r:id="rId648" xr:uid="{00000000-0004-0000-0100-000087020000}"/>
    <hyperlink ref="E653" r:id="rId649" xr:uid="{00000000-0004-0000-0100-000088020000}"/>
    <hyperlink ref="E654" r:id="rId650" xr:uid="{00000000-0004-0000-0100-000089020000}"/>
  </hyperlinks>
  <pageMargins left="0.7" right="0.7" top="0.75" bottom="0.75" header="0.3" footer="0.3"/>
  <tableParts count="1">
    <tablePart r:id="rId65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K636"/>
  <sheetViews>
    <sheetView workbookViewId="0">
      <pane ySplit="4" topLeftCell="A5" activePane="bottomLeft" state="frozen"/>
      <selection pane="bottomLeft" activeCell="B6" sqref="B6"/>
    </sheetView>
  </sheetViews>
  <sheetFormatPr defaultColWidth="12.59765625" defaultRowHeight="15.75" customHeight="1"/>
  <cols>
    <col min="1" max="2" width="9.46484375" customWidth="1"/>
    <col min="3" max="3" width="31.3984375" customWidth="1"/>
    <col min="4" max="4" width="6.3984375" customWidth="1"/>
    <col min="5" max="5" width="11.3984375" customWidth="1"/>
    <col min="6" max="6" width="30.1328125" customWidth="1"/>
    <col min="7" max="33" width="7" customWidth="1"/>
    <col min="34" max="34" width="8.73046875" customWidth="1"/>
    <col min="35" max="35" width="25.1328125" customWidth="1"/>
    <col min="36" max="37" width="10.1328125" customWidth="1"/>
  </cols>
  <sheetData>
    <row r="1" spans="1:37" ht="12.75">
      <c r="A1" s="205" t="s">
        <v>1</v>
      </c>
      <c r="B1" s="205" t="s">
        <v>2050</v>
      </c>
      <c r="C1" s="206" t="s">
        <v>1356</v>
      </c>
      <c r="D1" s="209" t="s">
        <v>1357</v>
      </c>
      <c r="E1" s="210" t="s">
        <v>1358</v>
      </c>
      <c r="F1" s="203" t="s">
        <v>2051</v>
      </c>
      <c r="G1" s="96">
        <f t="shared" ref="G1:AG1" si="0">G3/$D$4</f>
        <v>0.99683544303797467</v>
      </c>
      <c r="H1" s="97">
        <f t="shared" si="0"/>
        <v>0.99841772151898733</v>
      </c>
      <c r="I1" s="98">
        <f t="shared" si="0"/>
        <v>0.99683544303797467</v>
      </c>
      <c r="J1" s="99">
        <f t="shared" si="0"/>
        <v>0.97784810126582278</v>
      </c>
      <c r="K1" s="100">
        <f t="shared" si="0"/>
        <v>0.96360759493670889</v>
      </c>
      <c r="L1" s="101">
        <f t="shared" si="0"/>
        <v>0.48892405063291139</v>
      </c>
      <c r="M1" s="102">
        <f t="shared" si="0"/>
        <v>0.24050632911392406</v>
      </c>
      <c r="N1" s="103">
        <f t="shared" si="0"/>
        <v>0.19303797468354431</v>
      </c>
      <c r="O1" s="104">
        <f t="shared" si="0"/>
        <v>9.0189873417721514E-2</v>
      </c>
      <c r="P1" s="105">
        <f t="shared" si="0"/>
        <v>6.4873417721518986E-2</v>
      </c>
      <c r="Q1" s="106">
        <f t="shared" si="0"/>
        <v>6.3291139240506333E-2</v>
      </c>
      <c r="R1" s="107">
        <f t="shared" si="0"/>
        <v>5.0632911392405063E-2</v>
      </c>
      <c r="S1" s="108">
        <f t="shared" si="0"/>
        <v>4.2721518987341771E-2</v>
      </c>
      <c r="T1" s="109">
        <f t="shared" si="0"/>
        <v>4.1139240506329111E-2</v>
      </c>
      <c r="U1" s="110">
        <f t="shared" si="0"/>
        <v>4.1139240506329111E-2</v>
      </c>
      <c r="V1" s="111">
        <f t="shared" si="0"/>
        <v>3.7974683544303799E-2</v>
      </c>
      <c r="W1" s="112">
        <f t="shared" si="0"/>
        <v>3.4810126582278479E-2</v>
      </c>
      <c r="X1" s="113">
        <f t="shared" si="0"/>
        <v>3.4810126582278479E-2</v>
      </c>
      <c r="Y1" s="114">
        <f t="shared" si="0"/>
        <v>3.0063291139240507E-2</v>
      </c>
      <c r="Z1" s="119">
        <f t="shared" si="0"/>
        <v>2.5316455696202531E-2</v>
      </c>
      <c r="AA1" s="120">
        <f t="shared" si="0"/>
        <v>2.3734177215189875E-2</v>
      </c>
      <c r="AB1" s="118">
        <f t="shared" si="0"/>
        <v>2.2151898734177215E-2</v>
      </c>
      <c r="AC1" s="123">
        <f t="shared" si="0"/>
        <v>2.2151898734177215E-2</v>
      </c>
      <c r="AD1" s="124">
        <f t="shared" si="0"/>
        <v>2.0569620253164556E-2</v>
      </c>
      <c r="AE1" s="125">
        <f t="shared" si="0"/>
        <v>1.8987341772151899E-2</v>
      </c>
      <c r="AF1" s="126">
        <f t="shared" si="0"/>
        <v>1.8987341772151899E-2</v>
      </c>
      <c r="AG1" s="127">
        <f t="shared" si="0"/>
        <v>0.15031645569620253</v>
      </c>
      <c r="AH1" s="212"/>
      <c r="AI1" s="203" t="s">
        <v>1362</v>
      </c>
      <c r="AJ1" s="203" t="s">
        <v>2052</v>
      </c>
      <c r="AK1" s="203" t="s">
        <v>1361</v>
      </c>
    </row>
    <row r="2" spans="1:37" ht="12.75">
      <c r="A2" s="191"/>
      <c r="B2" s="191"/>
      <c r="C2" s="207"/>
      <c r="D2" s="191"/>
      <c r="E2" s="204"/>
      <c r="F2" s="204"/>
      <c r="G2" s="128" t="s">
        <v>6</v>
      </c>
      <c r="H2" s="129" t="s">
        <v>1363</v>
      </c>
      <c r="I2" s="130" t="s">
        <v>1364</v>
      </c>
      <c r="J2" s="131" t="s">
        <v>1365</v>
      </c>
      <c r="K2" s="132" t="s">
        <v>1366</v>
      </c>
      <c r="L2" s="133" t="s">
        <v>2053</v>
      </c>
      <c r="M2" s="134" t="s">
        <v>1368</v>
      </c>
      <c r="N2" s="135" t="s">
        <v>14</v>
      </c>
      <c r="O2" s="136" t="s">
        <v>10</v>
      </c>
      <c r="P2" s="137" t="s">
        <v>1369</v>
      </c>
      <c r="Q2" s="138" t="s">
        <v>1370</v>
      </c>
      <c r="R2" s="139" t="s">
        <v>1371</v>
      </c>
      <c r="S2" s="140" t="s">
        <v>1372</v>
      </c>
      <c r="T2" s="141" t="s">
        <v>15</v>
      </c>
      <c r="U2" s="142" t="s">
        <v>1373</v>
      </c>
      <c r="V2" s="143" t="s">
        <v>1374</v>
      </c>
      <c r="W2" s="144" t="s">
        <v>1375</v>
      </c>
      <c r="X2" s="145" t="s">
        <v>1376</v>
      </c>
      <c r="Y2" s="146" t="s">
        <v>1377</v>
      </c>
      <c r="Z2" s="151" t="s">
        <v>1379</v>
      </c>
      <c r="AA2" s="152" t="s">
        <v>1380</v>
      </c>
      <c r="AB2" s="150" t="s">
        <v>1381</v>
      </c>
      <c r="AC2" s="155" t="s">
        <v>1382</v>
      </c>
      <c r="AD2" s="156" t="s">
        <v>1383</v>
      </c>
      <c r="AE2" s="157" t="s">
        <v>1384</v>
      </c>
      <c r="AF2" s="158" t="s">
        <v>1385</v>
      </c>
      <c r="AG2" s="159" t="s">
        <v>39</v>
      </c>
      <c r="AH2" s="202"/>
      <c r="AI2" s="204"/>
      <c r="AJ2" s="204"/>
      <c r="AK2" s="204"/>
    </row>
    <row r="3" spans="1:37" ht="13.15">
      <c r="A3" s="191"/>
      <c r="B3" s="191"/>
      <c r="C3" s="207"/>
      <c r="D3" s="192"/>
      <c r="E3" s="204"/>
      <c r="F3" s="204"/>
      <c r="G3" s="201">
        <f t="shared" ref="G3:AG3" si="1">COUNT(G5:G636)</f>
        <v>630</v>
      </c>
      <c r="H3" s="201">
        <f t="shared" si="1"/>
        <v>631</v>
      </c>
      <c r="I3" s="201">
        <f t="shared" si="1"/>
        <v>630</v>
      </c>
      <c r="J3" s="201">
        <f t="shared" si="1"/>
        <v>618</v>
      </c>
      <c r="K3" s="201">
        <f t="shared" si="1"/>
        <v>609</v>
      </c>
      <c r="L3" s="160">
        <f t="shared" si="1"/>
        <v>309</v>
      </c>
      <c r="M3" s="201">
        <f t="shared" si="1"/>
        <v>152</v>
      </c>
      <c r="N3" s="201">
        <f t="shared" si="1"/>
        <v>122</v>
      </c>
      <c r="O3" s="201">
        <f t="shared" si="1"/>
        <v>57</v>
      </c>
      <c r="P3" s="201">
        <f t="shared" si="1"/>
        <v>41</v>
      </c>
      <c r="Q3" s="201">
        <f t="shared" si="1"/>
        <v>40</v>
      </c>
      <c r="R3" s="201">
        <f t="shared" si="1"/>
        <v>32</v>
      </c>
      <c r="S3" s="201">
        <f t="shared" si="1"/>
        <v>27</v>
      </c>
      <c r="T3" s="201">
        <f t="shared" si="1"/>
        <v>26</v>
      </c>
      <c r="U3" s="201">
        <f t="shared" si="1"/>
        <v>26</v>
      </c>
      <c r="V3" s="201">
        <f t="shared" si="1"/>
        <v>24</v>
      </c>
      <c r="W3" s="201">
        <f t="shared" si="1"/>
        <v>22</v>
      </c>
      <c r="X3" s="201">
        <f t="shared" si="1"/>
        <v>22</v>
      </c>
      <c r="Y3" s="201">
        <f t="shared" si="1"/>
        <v>19</v>
      </c>
      <c r="Z3" s="201">
        <f t="shared" si="1"/>
        <v>16</v>
      </c>
      <c r="AA3" s="201">
        <f t="shared" si="1"/>
        <v>15</v>
      </c>
      <c r="AB3" s="201">
        <f t="shared" si="1"/>
        <v>14</v>
      </c>
      <c r="AC3" s="201">
        <f t="shared" si="1"/>
        <v>14</v>
      </c>
      <c r="AD3" s="201">
        <f t="shared" si="1"/>
        <v>13</v>
      </c>
      <c r="AE3" s="201">
        <f t="shared" si="1"/>
        <v>12</v>
      </c>
      <c r="AF3" s="201">
        <f t="shared" si="1"/>
        <v>12</v>
      </c>
      <c r="AG3" s="160">
        <f t="shared" si="1"/>
        <v>95</v>
      </c>
      <c r="AH3" s="161" t="s">
        <v>1386</v>
      </c>
      <c r="AI3" s="204"/>
      <c r="AJ3" s="202"/>
      <c r="AK3" s="202"/>
    </row>
    <row r="4" spans="1:37" ht="13.15">
      <c r="A4" s="192"/>
      <c r="B4" s="192"/>
      <c r="C4" s="208"/>
      <c r="D4" s="162">
        <f>SUM(D5:D636)</f>
        <v>632</v>
      </c>
      <c r="E4" s="163">
        <f>COUNTIF(E5:E636,TRUE)/COUNTA(E5:E636)</f>
        <v>1</v>
      </c>
      <c r="F4" s="202"/>
      <c r="G4" s="202"/>
      <c r="H4" s="202"/>
      <c r="I4" s="202"/>
      <c r="J4" s="202"/>
      <c r="K4" s="202"/>
      <c r="L4" s="164">
        <f>SUM(L5:L636)</f>
        <v>454</v>
      </c>
      <c r="M4" s="202"/>
      <c r="N4" s="202"/>
      <c r="O4" s="202"/>
      <c r="P4" s="202"/>
      <c r="Q4" s="202"/>
      <c r="R4" s="202"/>
      <c r="S4" s="202"/>
      <c r="T4" s="202"/>
      <c r="U4" s="202"/>
      <c r="V4" s="202"/>
      <c r="W4" s="202"/>
      <c r="X4" s="202"/>
      <c r="Y4" s="202"/>
      <c r="Z4" s="202"/>
      <c r="AA4" s="202"/>
      <c r="AB4" s="202"/>
      <c r="AC4" s="202"/>
      <c r="AD4" s="202"/>
      <c r="AE4" s="202"/>
      <c r="AF4" s="202"/>
      <c r="AG4" s="164">
        <f>SUM(AG5:AG636)</f>
        <v>101</v>
      </c>
      <c r="AH4" s="165" t="s">
        <v>1387</v>
      </c>
      <c r="AI4" s="202"/>
      <c r="AJ4" s="166">
        <f t="shared" ref="AJ4:AK4" si="2">SUM(AJ5:AJ636)</f>
        <v>4228</v>
      </c>
      <c r="AK4" s="166">
        <f t="shared" si="2"/>
        <v>4379</v>
      </c>
    </row>
    <row r="5" spans="1:37" ht="15.75" customHeight="1">
      <c r="A5" s="167" t="s">
        <v>1292</v>
      </c>
      <c r="B5" s="167" t="s">
        <v>2054</v>
      </c>
      <c r="C5" s="22" t="s">
        <v>1291</v>
      </c>
      <c r="D5" s="168">
        <v>1</v>
      </c>
      <c r="E5" s="169" t="b">
        <v>1</v>
      </c>
      <c r="F5" s="174" t="s">
        <v>1613</v>
      </c>
      <c r="G5" s="171">
        <v>1</v>
      </c>
      <c r="H5" s="172">
        <v>1</v>
      </c>
      <c r="I5" s="172">
        <v>1</v>
      </c>
      <c r="J5" s="172">
        <v>1</v>
      </c>
      <c r="K5" s="172">
        <v>1</v>
      </c>
      <c r="L5" s="172">
        <v>1</v>
      </c>
      <c r="M5" s="172"/>
      <c r="N5" s="172"/>
      <c r="O5" s="172"/>
      <c r="P5" s="172">
        <v>1</v>
      </c>
      <c r="Q5" s="172"/>
      <c r="R5" s="172">
        <v>1</v>
      </c>
      <c r="S5" s="172"/>
      <c r="T5" s="172"/>
      <c r="U5" s="172"/>
      <c r="V5" s="172"/>
      <c r="W5" s="172"/>
      <c r="X5" s="172"/>
      <c r="Y5" s="172"/>
      <c r="Z5" s="172"/>
      <c r="AA5" s="171"/>
      <c r="AB5" s="172"/>
      <c r="AC5" s="172"/>
      <c r="AD5" s="172"/>
      <c r="AE5" s="172"/>
      <c r="AF5" s="172"/>
      <c r="AG5" s="171"/>
      <c r="AH5" s="22"/>
      <c r="AI5" s="171"/>
      <c r="AJ5" s="22">
        <f t="shared" ref="AJ5:AJ191" si="3">COUNT(E5:AG5)</f>
        <v>8</v>
      </c>
      <c r="AK5" s="22">
        <f t="shared" ref="AK5:AK191" si="4">SUM(E5:AG5)</f>
        <v>8</v>
      </c>
    </row>
    <row r="6" spans="1:37" ht="15.75" customHeight="1">
      <c r="A6" s="167" t="s">
        <v>1198</v>
      </c>
      <c r="B6" s="167" t="s">
        <v>2055</v>
      </c>
      <c r="C6" s="22" t="s">
        <v>1197</v>
      </c>
      <c r="D6" s="168">
        <v>1</v>
      </c>
      <c r="E6" s="169" t="b">
        <v>1</v>
      </c>
      <c r="F6" s="170" t="s">
        <v>1473</v>
      </c>
      <c r="G6" s="171">
        <v>1</v>
      </c>
      <c r="H6" s="171">
        <v>1</v>
      </c>
      <c r="I6" s="171">
        <v>1</v>
      </c>
      <c r="J6" s="171">
        <v>1</v>
      </c>
      <c r="K6" s="171">
        <v>1</v>
      </c>
      <c r="L6" s="171"/>
      <c r="M6" s="173"/>
      <c r="N6" s="171"/>
      <c r="O6" s="173">
        <v>1</v>
      </c>
      <c r="P6" s="171"/>
      <c r="Q6" s="171">
        <v>1</v>
      </c>
      <c r="R6" s="173"/>
      <c r="S6" s="171"/>
      <c r="T6" s="171"/>
      <c r="U6" s="171"/>
      <c r="V6" s="171"/>
      <c r="W6" s="173"/>
      <c r="X6" s="173"/>
      <c r="Y6" s="171">
        <v>1</v>
      </c>
      <c r="Z6" s="173">
        <v>1</v>
      </c>
      <c r="AA6" s="168"/>
      <c r="AB6" s="173"/>
      <c r="AC6" s="173"/>
      <c r="AD6" s="173"/>
      <c r="AE6" s="173"/>
      <c r="AF6" s="173"/>
      <c r="AG6" s="171"/>
      <c r="AH6" s="22"/>
      <c r="AI6" s="171"/>
      <c r="AJ6" s="22">
        <f t="shared" si="3"/>
        <v>9</v>
      </c>
      <c r="AK6" s="22">
        <f t="shared" si="4"/>
        <v>9</v>
      </c>
    </row>
    <row r="7" spans="1:37" ht="15.75" customHeight="1">
      <c r="A7" s="167" t="s">
        <v>1200</v>
      </c>
      <c r="B7" s="167" t="s">
        <v>2055</v>
      </c>
      <c r="C7" s="22" t="s">
        <v>1199</v>
      </c>
      <c r="D7" s="168">
        <v>1</v>
      </c>
      <c r="E7" s="169" t="b">
        <v>1</v>
      </c>
      <c r="F7" s="170" t="s">
        <v>1599</v>
      </c>
      <c r="G7" s="171">
        <v>1</v>
      </c>
      <c r="H7" s="171">
        <v>1</v>
      </c>
      <c r="I7" s="171">
        <v>1</v>
      </c>
      <c r="J7" s="171">
        <v>1</v>
      </c>
      <c r="K7" s="171">
        <v>1</v>
      </c>
      <c r="L7" s="171">
        <v>1</v>
      </c>
      <c r="M7" s="171"/>
      <c r="N7" s="171"/>
      <c r="O7" s="171">
        <v>1</v>
      </c>
      <c r="P7" s="171"/>
      <c r="Q7" s="171"/>
      <c r="R7" s="171"/>
      <c r="S7" s="171"/>
      <c r="T7" s="171"/>
      <c r="U7" s="171"/>
      <c r="V7" s="171"/>
      <c r="W7" s="171"/>
      <c r="X7" s="171"/>
      <c r="Y7" s="171"/>
      <c r="Z7" s="171">
        <v>1</v>
      </c>
      <c r="AA7" s="171"/>
      <c r="AB7" s="171"/>
      <c r="AC7" s="171"/>
      <c r="AD7" s="171"/>
      <c r="AE7" s="171"/>
      <c r="AF7" s="171"/>
      <c r="AG7" s="171"/>
      <c r="AH7" s="22"/>
      <c r="AI7" s="171"/>
      <c r="AJ7" s="22">
        <f t="shared" si="3"/>
        <v>8</v>
      </c>
      <c r="AK7" s="22">
        <f t="shared" si="4"/>
        <v>8</v>
      </c>
    </row>
    <row r="8" spans="1:37" ht="15.75" customHeight="1">
      <c r="A8" s="167" t="s">
        <v>1202</v>
      </c>
      <c r="B8" s="167" t="s">
        <v>2055</v>
      </c>
      <c r="C8" s="22" t="s">
        <v>1201</v>
      </c>
      <c r="D8" s="168">
        <v>1</v>
      </c>
      <c r="E8" s="169" t="b">
        <v>1</v>
      </c>
      <c r="F8" s="170" t="s">
        <v>2047</v>
      </c>
      <c r="G8" s="171">
        <v>1</v>
      </c>
      <c r="H8" s="171">
        <v>1</v>
      </c>
      <c r="I8" s="178">
        <v>1</v>
      </c>
      <c r="J8" s="171"/>
      <c r="K8" s="171">
        <v>1</v>
      </c>
      <c r="L8" s="171"/>
      <c r="M8" s="171"/>
      <c r="N8" s="171"/>
      <c r="O8" s="171">
        <v>1</v>
      </c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1"/>
      <c r="AH8" s="22"/>
      <c r="AI8" s="171"/>
      <c r="AJ8" s="22">
        <f t="shared" si="3"/>
        <v>5</v>
      </c>
      <c r="AK8" s="22">
        <f t="shared" si="4"/>
        <v>5</v>
      </c>
    </row>
    <row r="9" spans="1:37" ht="15.75" customHeight="1">
      <c r="A9" s="167" t="s">
        <v>1204</v>
      </c>
      <c r="B9" s="167" t="s">
        <v>2055</v>
      </c>
      <c r="C9" s="22" t="s">
        <v>1203</v>
      </c>
      <c r="D9" s="168">
        <v>1</v>
      </c>
      <c r="E9" s="169" t="b">
        <v>1</v>
      </c>
      <c r="F9" s="170" t="s">
        <v>1771</v>
      </c>
      <c r="G9" s="171">
        <v>1</v>
      </c>
      <c r="H9" s="171">
        <v>1</v>
      </c>
      <c r="I9" s="171">
        <v>1</v>
      </c>
      <c r="J9" s="171"/>
      <c r="K9" s="171">
        <v>1</v>
      </c>
      <c r="L9" s="171"/>
      <c r="M9" s="171"/>
      <c r="N9" s="171"/>
      <c r="O9" s="171">
        <v>1</v>
      </c>
      <c r="P9" s="171"/>
      <c r="Q9" s="171"/>
      <c r="R9" s="171"/>
      <c r="S9" s="171"/>
      <c r="T9" s="171"/>
      <c r="U9" s="171"/>
      <c r="V9" s="171"/>
      <c r="W9" s="171"/>
      <c r="X9" s="171"/>
      <c r="Y9" s="171">
        <v>1</v>
      </c>
      <c r="Z9" s="171"/>
      <c r="AA9" s="171"/>
      <c r="AB9" s="171"/>
      <c r="AC9" s="171"/>
      <c r="AD9" s="171"/>
      <c r="AE9" s="171"/>
      <c r="AF9" s="171"/>
      <c r="AG9" s="171">
        <v>1</v>
      </c>
      <c r="AH9" s="22"/>
      <c r="AI9" s="171" t="s">
        <v>1772</v>
      </c>
      <c r="AJ9" s="22">
        <f t="shared" si="3"/>
        <v>7</v>
      </c>
      <c r="AK9" s="22">
        <f t="shared" si="4"/>
        <v>7</v>
      </c>
    </row>
    <row r="10" spans="1:37" ht="15.75" customHeight="1">
      <c r="A10" s="167" t="s">
        <v>43</v>
      </c>
      <c r="B10" s="167" t="s">
        <v>2056</v>
      </c>
      <c r="C10" s="22" t="s">
        <v>42</v>
      </c>
      <c r="D10" s="168">
        <v>1</v>
      </c>
      <c r="E10" s="169" t="b">
        <v>1</v>
      </c>
      <c r="F10" s="174" t="s">
        <v>1795</v>
      </c>
      <c r="G10" s="171">
        <v>1</v>
      </c>
      <c r="H10" s="171">
        <v>1</v>
      </c>
      <c r="I10" s="171">
        <v>1</v>
      </c>
      <c r="J10" s="171">
        <v>1</v>
      </c>
      <c r="K10" s="171">
        <v>1</v>
      </c>
      <c r="L10" s="171"/>
      <c r="M10" s="171"/>
      <c r="N10" s="171"/>
      <c r="O10" s="171"/>
      <c r="P10" s="171"/>
      <c r="Q10" s="171"/>
      <c r="R10" s="171"/>
      <c r="S10" s="171"/>
      <c r="T10" s="171">
        <v>1</v>
      </c>
      <c r="U10" s="171"/>
      <c r="V10" s="171"/>
      <c r="W10" s="171"/>
      <c r="X10" s="171"/>
      <c r="Y10" s="171"/>
      <c r="Z10" s="171"/>
      <c r="AA10" s="171"/>
      <c r="AB10" s="171"/>
      <c r="AC10" s="171"/>
      <c r="AD10" s="171"/>
      <c r="AE10" s="171"/>
      <c r="AF10" s="171"/>
      <c r="AG10" s="171"/>
      <c r="AH10" s="22"/>
      <c r="AI10" s="171" t="s">
        <v>1796</v>
      </c>
      <c r="AJ10" s="22">
        <f t="shared" si="3"/>
        <v>6</v>
      </c>
      <c r="AK10" s="22">
        <f t="shared" si="4"/>
        <v>6</v>
      </c>
    </row>
    <row r="11" spans="1:37" ht="15.75" customHeight="1">
      <c r="A11" s="167" t="s">
        <v>46</v>
      </c>
      <c r="B11" s="167" t="s">
        <v>2056</v>
      </c>
      <c r="C11" s="22" t="s">
        <v>45</v>
      </c>
      <c r="D11" s="168">
        <v>1</v>
      </c>
      <c r="E11" s="169" t="b">
        <v>1</v>
      </c>
      <c r="F11" s="174" t="s">
        <v>1973</v>
      </c>
      <c r="G11" s="171">
        <v>1</v>
      </c>
      <c r="H11" s="171">
        <v>1</v>
      </c>
      <c r="I11" s="171">
        <v>1</v>
      </c>
      <c r="J11" s="171">
        <v>1</v>
      </c>
      <c r="K11" s="171">
        <v>1</v>
      </c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71"/>
      <c r="W11" s="171"/>
      <c r="X11" s="171"/>
      <c r="Y11" s="171"/>
      <c r="Z11" s="171"/>
      <c r="AA11" s="171"/>
      <c r="AB11" s="171"/>
      <c r="AC11" s="171"/>
      <c r="AD11" s="171"/>
      <c r="AE11" s="171"/>
      <c r="AF11" s="171"/>
      <c r="AG11" s="171"/>
      <c r="AH11" s="22"/>
      <c r="AI11" s="171"/>
      <c r="AJ11" s="22">
        <f t="shared" si="3"/>
        <v>5</v>
      </c>
      <c r="AK11" s="22">
        <f t="shared" si="4"/>
        <v>5</v>
      </c>
    </row>
    <row r="12" spans="1:37" ht="15.75" customHeight="1">
      <c r="A12" s="167" t="s">
        <v>1206</v>
      </c>
      <c r="B12" s="167" t="s">
        <v>2055</v>
      </c>
      <c r="C12" s="22" t="s">
        <v>1205</v>
      </c>
      <c r="D12" s="168">
        <v>1</v>
      </c>
      <c r="E12" s="169" t="b">
        <v>1</v>
      </c>
      <c r="F12" s="170" t="s">
        <v>1474</v>
      </c>
      <c r="G12" s="171">
        <v>1</v>
      </c>
      <c r="H12" s="171">
        <v>1</v>
      </c>
      <c r="I12" s="171">
        <v>1</v>
      </c>
      <c r="J12" s="171">
        <v>1</v>
      </c>
      <c r="K12" s="171">
        <v>1</v>
      </c>
      <c r="L12" s="171">
        <v>1</v>
      </c>
      <c r="M12" s="171">
        <v>1</v>
      </c>
      <c r="N12" s="171"/>
      <c r="O12" s="171">
        <v>1</v>
      </c>
      <c r="P12" s="171"/>
      <c r="Q12" s="171"/>
      <c r="R12" s="171"/>
      <c r="S12" s="171"/>
      <c r="T12" s="171"/>
      <c r="U12" s="171"/>
      <c r="V12" s="171"/>
      <c r="W12" s="171"/>
      <c r="X12" s="171"/>
      <c r="Y12" s="171">
        <v>1</v>
      </c>
      <c r="Z12" s="171"/>
      <c r="AA12" s="171"/>
      <c r="AB12" s="171"/>
      <c r="AC12" s="171"/>
      <c r="AD12" s="171"/>
      <c r="AE12" s="171"/>
      <c r="AF12" s="171"/>
      <c r="AG12" s="171"/>
      <c r="AH12" s="22"/>
      <c r="AI12" s="171"/>
      <c r="AJ12" s="22">
        <f t="shared" si="3"/>
        <v>9</v>
      </c>
      <c r="AK12" s="22">
        <f t="shared" si="4"/>
        <v>9</v>
      </c>
    </row>
    <row r="13" spans="1:37" ht="15.75" customHeight="1">
      <c r="A13" s="167" t="s">
        <v>49</v>
      </c>
      <c r="B13" s="167" t="s">
        <v>2056</v>
      </c>
      <c r="C13" s="22" t="s">
        <v>48</v>
      </c>
      <c r="D13" s="168">
        <v>1</v>
      </c>
      <c r="E13" s="169" t="b">
        <v>1</v>
      </c>
      <c r="F13" s="170" t="s">
        <v>1807</v>
      </c>
      <c r="G13" s="171">
        <v>1</v>
      </c>
      <c r="H13" s="171">
        <v>1</v>
      </c>
      <c r="I13" s="171">
        <v>1</v>
      </c>
      <c r="J13" s="171">
        <v>1</v>
      </c>
      <c r="K13" s="171">
        <v>1</v>
      </c>
      <c r="L13" s="171"/>
      <c r="M13" s="171">
        <v>1</v>
      </c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1"/>
      <c r="AC13" s="171"/>
      <c r="AD13" s="171"/>
      <c r="AE13" s="171"/>
      <c r="AF13" s="171"/>
      <c r="AG13" s="171"/>
      <c r="AH13" s="22"/>
      <c r="AI13" s="171"/>
      <c r="AJ13" s="22">
        <f t="shared" si="3"/>
        <v>6</v>
      </c>
      <c r="AK13" s="22">
        <f t="shared" si="4"/>
        <v>6</v>
      </c>
    </row>
    <row r="14" spans="1:37" ht="15.75" customHeight="1">
      <c r="A14" s="167" t="s">
        <v>1295</v>
      </c>
      <c r="B14" s="167" t="s">
        <v>2054</v>
      </c>
      <c r="C14" s="22" t="s">
        <v>1294</v>
      </c>
      <c r="D14" s="168">
        <v>1</v>
      </c>
      <c r="E14" s="169" t="b">
        <v>1</v>
      </c>
      <c r="F14" s="174" t="s">
        <v>1786</v>
      </c>
      <c r="G14" s="171">
        <v>1</v>
      </c>
      <c r="H14" s="171">
        <v>1</v>
      </c>
      <c r="I14" s="171">
        <v>1</v>
      </c>
      <c r="J14" s="171">
        <v>1</v>
      </c>
      <c r="K14" s="171">
        <v>1</v>
      </c>
      <c r="L14" s="171">
        <v>1</v>
      </c>
      <c r="M14" s="171"/>
      <c r="N14" s="171"/>
      <c r="O14" s="171"/>
      <c r="P14" s="171"/>
      <c r="Q14" s="171"/>
      <c r="R14" s="171">
        <v>1</v>
      </c>
      <c r="S14" s="171"/>
      <c r="T14" s="171"/>
      <c r="U14" s="171"/>
      <c r="V14" s="171"/>
      <c r="W14" s="171"/>
      <c r="X14" s="171"/>
      <c r="Y14" s="171"/>
      <c r="Z14" s="171"/>
      <c r="AA14" s="171"/>
      <c r="AB14" s="171"/>
      <c r="AC14" s="171"/>
      <c r="AD14" s="171"/>
      <c r="AE14" s="171"/>
      <c r="AF14" s="171"/>
      <c r="AG14" s="171"/>
      <c r="AH14" s="22"/>
      <c r="AI14" s="171"/>
      <c r="AJ14" s="22">
        <f t="shared" si="3"/>
        <v>7</v>
      </c>
      <c r="AK14" s="22">
        <f t="shared" si="4"/>
        <v>7</v>
      </c>
    </row>
    <row r="15" spans="1:37" ht="15.75" customHeight="1">
      <c r="A15" s="167" t="s">
        <v>52</v>
      </c>
      <c r="B15" s="167" t="s">
        <v>2056</v>
      </c>
      <c r="C15" s="22" t="s">
        <v>51</v>
      </c>
      <c r="D15" s="168">
        <v>1</v>
      </c>
      <c r="E15" s="169" t="b">
        <v>1</v>
      </c>
      <c r="F15" s="170" t="s">
        <v>1974</v>
      </c>
      <c r="G15" s="171">
        <v>1</v>
      </c>
      <c r="H15" s="171">
        <v>1</v>
      </c>
      <c r="I15" s="171">
        <v>1</v>
      </c>
      <c r="J15" s="171">
        <v>1</v>
      </c>
      <c r="K15" s="171">
        <v>1</v>
      </c>
      <c r="L15" s="171"/>
      <c r="M15" s="171"/>
      <c r="N15" s="171"/>
      <c r="O15" s="171"/>
      <c r="P15" s="171"/>
      <c r="Q15" s="171"/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1"/>
      <c r="AC15" s="171"/>
      <c r="AD15" s="171"/>
      <c r="AE15" s="171"/>
      <c r="AF15" s="171"/>
      <c r="AG15" s="171"/>
      <c r="AH15" s="22"/>
      <c r="AI15" s="171"/>
      <c r="AJ15" s="22">
        <f t="shared" si="3"/>
        <v>5</v>
      </c>
      <c r="AK15" s="22">
        <f t="shared" si="4"/>
        <v>5</v>
      </c>
    </row>
    <row r="16" spans="1:37" ht="15.75" customHeight="1">
      <c r="A16" s="167" t="s">
        <v>1208</v>
      </c>
      <c r="B16" s="167" t="s">
        <v>2055</v>
      </c>
      <c r="C16" s="22" t="s">
        <v>1207</v>
      </c>
      <c r="D16" s="168">
        <v>1</v>
      </c>
      <c r="E16" s="169" t="b">
        <v>1</v>
      </c>
      <c r="F16" s="170" t="s">
        <v>1961</v>
      </c>
      <c r="G16" s="171">
        <v>1</v>
      </c>
      <c r="H16" s="171">
        <v>1</v>
      </c>
      <c r="I16" s="171">
        <v>1</v>
      </c>
      <c r="J16" s="171"/>
      <c r="K16" s="171">
        <v>1</v>
      </c>
      <c r="L16" s="171">
        <v>1</v>
      </c>
      <c r="M16" s="171"/>
      <c r="N16" s="171"/>
      <c r="O16" s="171">
        <v>1</v>
      </c>
      <c r="P16" s="171"/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1"/>
      <c r="AC16" s="171"/>
      <c r="AD16" s="171"/>
      <c r="AE16" s="171"/>
      <c r="AF16" s="171"/>
      <c r="AG16" s="171"/>
      <c r="AH16" s="22"/>
      <c r="AI16" s="171"/>
      <c r="AJ16" s="22">
        <f t="shared" si="3"/>
        <v>6</v>
      </c>
      <c r="AK16" s="22">
        <f t="shared" si="4"/>
        <v>6</v>
      </c>
    </row>
    <row r="17" spans="1:37" ht="15.75" customHeight="1">
      <c r="A17" s="167" t="s">
        <v>1210</v>
      </c>
      <c r="B17" s="167" t="s">
        <v>2055</v>
      </c>
      <c r="C17" s="22" t="s">
        <v>1209</v>
      </c>
      <c r="D17" s="168">
        <v>1</v>
      </c>
      <c r="E17" s="169" t="b">
        <v>1</v>
      </c>
      <c r="F17" s="170" t="s">
        <v>1773</v>
      </c>
      <c r="G17" s="171">
        <v>1</v>
      </c>
      <c r="H17" s="171">
        <v>1</v>
      </c>
      <c r="I17" s="171">
        <v>1</v>
      </c>
      <c r="J17" s="171"/>
      <c r="K17" s="171">
        <v>1</v>
      </c>
      <c r="L17" s="171"/>
      <c r="M17" s="171"/>
      <c r="N17" s="171"/>
      <c r="O17" s="171">
        <v>1</v>
      </c>
      <c r="P17" s="171"/>
      <c r="Q17" s="171"/>
      <c r="R17" s="171"/>
      <c r="S17" s="171"/>
      <c r="T17" s="171"/>
      <c r="U17" s="171"/>
      <c r="V17" s="171"/>
      <c r="W17" s="171"/>
      <c r="X17" s="171"/>
      <c r="Y17" s="171">
        <v>1</v>
      </c>
      <c r="Z17" s="171"/>
      <c r="AA17" s="171"/>
      <c r="AB17" s="171"/>
      <c r="AC17" s="171"/>
      <c r="AD17" s="171"/>
      <c r="AE17" s="171"/>
      <c r="AF17" s="171"/>
      <c r="AG17" s="171">
        <v>1</v>
      </c>
      <c r="AH17" s="22"/>
      <c r="AI17" s="171" t="s">
        <v>1612</v>
      </c>
      <c r="AJ17" s="22">
        <f t="shared" si="3"/>
        <v>7</v>
      </c>
      <c r="AK17" s="22">
        <f t="shared" si="4"/>
        <v>7</v>
      </c>
    </row>
    <row r="18" spans="1:37" ht="15.75" customHeight="1">
      <c r="A18" s="167" t="s">
        <v>1212</v>
      </c>
      <c r="B18" s="167" t="s">
        <v>2055</v>
      </c>
      <c r="C18" s="22" t="s">
        <v>1211</v>
      </c>
      <c r="D18" s="168">
        <v>1</v>
      </c>
      <c r="E18" s="169" t="b">
        <v>1</v>
      </c>
      <c r="F18" s="170" t="s">
        <v>1962</v>
      </c>
      <c r="G18" s="171">
        <v>1</v>
      </c>
      <c r="H18" s="171">
        <v>1</v>
      </c>
      <c r="I18" s="171">
        <v>1</v>
      </c>
      <c r="J18" s="171"/>
      <c r="K18" s="171">
        <v>1</v>
      </c>
      <c r="L18" s="171">
        <v>1</v>
      </c>
      <c r="M18" s="171"/>
      <c r="N18" s="171"/>
      <c r="O18" s="171">
        <v>1</v>
      </c>
      <c r="P18" s="171"/>
      <c r="Q18" s="171"/>
      <c r="R18" s="171"/>
      <c r="S18" s="171"/>
      <c r="T18" s="171"/>
      <c r="U18" s="171"/>
      <c r="V18" s="171"/>
      <c r="W18" s="171"/>
      <c r="X18" s="171"/>
      <c r="Y18" s="171"/>
      <c r="Z18" s="171"/>
      <c r="AA18" s="171"/>
      <c r="AB18" s="171"/>
      <c r="AC18" s="171"/>
      <c r="AD18" s="171"/>
      <c r="AE18" s="171"/>
      <c r="AF18" s="171"/>
      <c r="AG18" s="171"/>
      <c r="AH18" s="22"/>
      <c r="AI18" s="171"/>
      <c r="AJ18" s="22">
        <f t="shared" si="3"/>
        <v>6</v>
      </c>
      <c r="AK18" s="22">
        <f t="shared" si="4"/>
        <v>6</v>
      </c>
    </row>
    <row r="19" spans="1:37" ht="15.75" customHeight="1">
      <c r="A19" s="167" t="s">
        <v>55</v>
      </c>
      <c r="B19" s="167" t="s">
        <v>2056</v>
      </c>
      <c r="C19" s="22" t="s">
        <v>54</v>
      </c>
      <c r="D19" s="168">
        <v>1</v>
      </c>
      <c r="E19" s="169" t="b">
        <v>1</v>
      </c>
      <c r="F19" s="170" t="s">
        <v>1808</v>
      </c>
      <c r="G19" s="171">
        <v>1</v>
      </c>
      <c r="H19" s="171">
        <v>1</v>
      </c>
      <c r="I19" s="171">
        <v>1</v>
      </c>
      <c r="J19" s="171">
        <v>1</v>
      </c>
      <c r="K19" s="171">
        <v>1</v>
      </c>
      <c r="L19" s="171"/>
      <c r="M19" s="171"/>
      <c r="N19" s="171">
        <v>1</v>
      </c>
      <c r="O19" s="171"/>
      <c r="P19" s="171"/>
      <c r="Q19" s="171"/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1"/>
      <c r="AC19" s="171"/>
      <c r="AD19" s="171"/>
      <c r="AE19" s="171"/>
      <c r="AF19" s="171"/>
      <c r="AG19" s="171"/>
      <c r="AH19" s="22"/>
      <c r="AI19" s="171"/>
      <c r="AJ19" s="22">
        <f t="shared" si="3"/>
        <v>6</v>
      </c>
      <c r="AK19" s="22">
        <f t="shared" si="4"/>
        <v>6</v>
      </c>
    </row>
    <row r="20" spans="1:37" ht="15.75" customHeight="1">
      <c r="A20" s="167" t="s">
        <v>57</v>
      </c>
      <c r="B20" s="167" t="s">
        <v>2056</v>
      </c>
      <c r="C20" s="22" t="s">
        <v>56</v>
      </c>
      <c r="D20" s="168">
        <v>1</v>
      </c>
      <c r="E20" s="169" t="b">
        <v>1</v>
      </c>
      <c r="F20" s="170" t="s">
        <v>1797</v>
      </c>
      <c r="G20" s="171">
        <v>1</v>
      </c>
      <c r="H20" s="171">
        <v>1</v>
      </c>
      <c r="I20" s="171">
        <v>1</v>
      </c>
      <c r="J20" s="171">
        <v>1</v>
      </c>
      <c r="K20" s="171">
        <v>1</v>
      </c>
      <c r="L20" s="171"/>
      <c r="M20" s="171"/>
      <c r="N20" s="171"/>
      <c r="O20" s="171"/>
      <c r="P20" s="171"/>
      <c r="Q20" s="171"/>
      <c r="R20" s="171"/>
      <c r="S20" s="171"/>
      <c r="T20" s="171">
        <v>1</v>
      </c>
      <c r="U20" s="171"/>
      <c r="V20" s="171"/>
      <c r="W20" s="171"/>
      <c r="X20" s="171"/>
      <c r="Y20" s="171"/>
      <c r="Z20" s="171"/>
      <c r="AA20" s="171"/>
      <c r="AB20" s="171"/>
      <c r="AC20" s="171"/>
      <c r="AD20" s="171"/>
      <c r="AE20" s="171"/>
      <c r="AF20" s="171"/>
      <c r="AG20" s="171"/>
      <c r="AH20" s="22"/>
      <c r="AI20" s="171" t="s">
        <v>1798</v>
      </c>
      <c r="AJ20" s="22">
        <f t="shared" si="3"/>
        <v>6</v>
      </c>
      <c r="AK20" s="22">
        <f t="shared" si="4"/>
        <v>6</v>
      </c>
    </row>
    <row r="21" spans="1:37" ht="15.75" customHeight="1">
      <c r="A21" s="167" t="s">
        <v>59</v>
      </c>
      <c r="B21" s="167" t="s">
        <v>2056</v>
      </c>
      <c r="C21" s="22" t="s">
        <v>58</v>
      </c>
      <c r="D21" s="168">
        <v>1</v>
      </c>
      <c r="E21" s="169" t="b">
        <v>1</v>
      </c>
      <c r="F21" s="170" t="s">
        <v>1809</v>
      </c>
      <c r="G21" s="171">
        <v>1</v>
      </c>
      <c r="H21" s="171">
        <v>1</v>
      </c>
      <c r="I21" s="171">
        <v>1</v>
      </c>
      <c r="J21" s="171">
        <v>1</v>
      </c>
      <c r="K21" s="171">
        <v>1</v>
      </c>
      <c r="L21" s="171"/>
      <c r="M21" s="171"/>
      <c r="N21" s="171"/>
      <c r="O21" s="171"/>
      <c r="P21" s="171"/>
      <c r="Q21" s="171"/>
      <c r="R21" s="171"/>
      <c r="S21" s="171"/>
      <c r="T21" s="171"/>
      <c r="U21" s="171"/>
      <c r="V21" s="171"/>
      <c r="W21" s="171"/>
      <c r="X21" s="171"/>
      <c r="Y21" s="171"/>
      <c r="Z21" s="171"/>
      <c r="AA21" s="171"/>
      <c r="AB21" s="171"/>
      <c r="AC21" s="171"/>
      <c r="AD21" s="171"/>
      <c r="AE21" s="171"/>
      <c r="AF21" s="171"/>
      <c r="AG21" s="171">
        <v>1</v>
      </c>
      <c r="AH21" s="22"/>
      <c r="AI21" s="171" t="s">
        <v>1810</v>
      </c>
      <c r="AJ21" s="22">
        <f t="shared" si="3"/>
        <v>6</v>
      </c>
      <c r="AK21" s="22">
        <f t="shared" si="4"/>
        <v>6</v>
      </c>
    </row>
    <row r="22" spans="1:37" ht="15.75" customHeight="1">
      <c r="A22" s="167" t="s">
        <v>61</v>
      </c>
      <c r="B22" s="167" t="s">
        <v>2056</v>
      </c>
      <c r="C22" s="22" t="s">
        <v>60</v>
      </c>
      <c r="D22" s="168">
        <v>1</v>
      </c>
      <c r="E22" s="169" t="b">
        <v>1</v>
      </c>
      <c r="F22" s="170" t="s">
        <v>1811</v>
      </c>
      <c r="G22" s="171">
        <v>1</v>
      </c>
      <c r="H22" s="171">
        <v>1</v>
      </c>
      <c r="I22" s="171">
        <v>1</v>
      </c>
      <c r="J22" s="171">
        <v>1</v>
      </c>
      <c r="K22" s="171">
        <v>1</v>
      </c>
      <c r="L22" s="171"/>
      <c r="M22" s="171">
        <v>1</v>
      </c>
      <c r="N22" s="171"/>
      <c r="O22" s="171"/>
      <c r="P22" s="171"/>
      <c r="Q22" s="171"/>
      <c r="R22" s="171"/>
      <c r="S22" s="171"/>
      <c r="T22" s="171"/>
      <c r="U22" s="171"/>
      <c r="V22" s="171"/>
      <c r="W22" s="171"/>
      <c r="X22" s="171"/>
      <c r="Y22" s="171"/>
      <c r="Z22" s="171"/>
      <c r="AA22" s="171"/>
      <c r="AB22" s="171"/>
      <c r="AC22" s="171"/>
      <c r="AD22" s="171"/>
      <c r="AE22" s="171"/>
      <c r="AF22" s="171"/>
      <c r="AG22" s="171"/>
      <c r="AH22" s="22"/>
      <c r="AI22" s="171"/>
      <c r="AJ22" s="22">
        <f t="shared" si="3"/>
        <v>6</v>
      </c>
      <c r="AK22" s="22">
        <f t="shared" si="4"/>
        <v>6</v>
      </c>
    </row>
    <row r="23" spans="1:37" ht="15.75" customHeight="1">
      <c r="A23" s="167" t="s">
        <v>63</v>
      </c>
      <c r="B23" s="167" t="s">
        <v>2056</v>
      </c>
      <c r="C23" s="22" t="s">
        <v>62</v>
      </c>
      <c r="D23" s="168">
        <v>1</v>
      </c>
      <c r="E23" s="169" t="b">
        <v>1</v>
      </c>
      <c r="F23" s="170" t="s">
        <v>1633</v>
      </c>
      <c r="G23" s="171">
        <v>1</v>
      </c>
      <c r="H23" s="171">
        <v>1</v>
      </c>
      <c r="I23" s="171">
        <v>1</v>
      </c>
      <c r="J23" s="171">
        <v>1</v>
      </c>
      <c r="K23" s="171">
        <v>1</v>
      </c>
      <c r="L23" s="171"/>
      <c r="M23" s="171">
        <v>1</v>
      </c>
      <c r="N23" s="171">
        <v>1</v>
      </c>
      <c r="O23" s="171"/>
      <c r="P23" s="171"/>
      <c r="Q23" s="171"/>
      <c r="R23" s="171"/>
      <c r="S23" s="171"/>
      <c r="T23" s="171"/>
      <c r="U23" s="171"/>
      <c r="V23" s="171"/>
      <c r="W23" s="171"/>
      <c r="X23" s="171"/>
      <c r="Y23" s="171"/>
      <c r="Z23" s="171"/>
      <c r="AA23" s="171"/>
      <c r="AB23" s="171"/>
      <c r="AC23" s="171"/>
      <c r="AD23" s="171"/>
      <c r="AE23" s="171"/>
      <c r="AF23" s="171"/>
      <c r="AG23" s="171"/>
      <c r="AH23" s="22"/>
      <c r="AI23" s="171"/>
      <c r="AJ23" s="22">
        <f t="shared" si="3"/>
        <v>7</v>
      </c>
      <c r="AK23" s="22">
        <f t="shared" si="4"/>
        <v>7</v>
      </c>
    </row>
    <row r="24" spans="1:37" ht="15.75" customHeight="1">
      <c r="A24" s="167" t="s">
        <v>1177</v>
      </c>
      <c r="B24" s="167" t="s">
        <v>2055</v>
      </c>
      <c r="C24" s="22" t="s">
        <v>1176</v>
      </c>
      <c r="D24" s="168">
        <v>1</v>
      </c>
      <c r="E24" s="169" t="b">
        <v>1</v>
      </c>
      <c r="F24" s="170" t="s">
        <v>1769</v>
      </c>
      <c r="G24" s="171">
        <v>1</v>
      </c>
      <c r="H24" s="171">
        <v>1</v>
      </c>
      <c r="I24" s="171">
        <v>1</v>
      </c>
      <c r="J24" s="171">
        <v>1</v>
      </c>
      <c r="K24" s="171">
        <v>1</v>
      </c>
      <c r="L24" s="171"/>
      <c r="M24" s="171"/>
      <c r="N24" s="171"/>
      <c r="O24" s="171">
        <v>1</v>
      </c>
      <c r="P24" s="171"/>
      <c r="Q24" s="171"/>
      <c r="R24" s="171"/>
      <c r="S24" s="171"/>
      <c r="T24" s="171"/>
      <c r="U24" s="171"/>
      <c r="V24" s="171"/>
      <c r="W24" s="171"/>
      <c r="X24" s="171"/>
      <c r="Y24" s="171">
        <v>1</v>
      </c>
      <c r="Z24" s="171"/>
      <c r="AA24" s="171"/>
      <c r="AB24" s="171"/>
      <c r="AC24" s="171"/>
      <c r="AD24" s="171"/>
      <c r="AE24" s="171"/>
      <c r="AF24" s="171"/>
      <c r="AG24" s="171"/>
      <c r="AH24" s="22"/>
      <c r="AI24" s="171"/>
      <c r="AJ24" s="22">
        <f t="shared" si="3"/>
        <v>7</v>
      </c>
      <c r="AK24" s="22">
        <f t="shared" si="4"/>
        <v>7</v>
      </c>
    </row>
    <row r="25" spans="1:37" ht="15.75" customHeight="1">
      <c r="A25" s="167" t="s">
        <v>65</v>
      </c>
      <c r="B25" s="167" t="s">
        <v>2056</v>
      </c>
      <c r="C25" s="22" t="s">
        <v>64</v>
      </c>
      <c r="D25" s="168">
        <v>1</v>
      </c>
      <c r="E25" s="169" t="b">
        <v>1</v>
      </c>
      <c r="F25" s="170" t="s">
        <v>1503</v>
      </c>
      <c r="G25" s="171">
        <v>1</v>
      </c>
      <c r="H25" s="171">
        <v>1</v>
      </c>
      <c r="I25" s="171">
        <v>1</v>
      </c>
      <c r="J25" s="171">
        <v>1</v>
      </c>
      <c r="K25" s="171">
        <v>1</v>
      </c>
      <c r="L25" s="171">
        <v>1</v>
      </c>
      <c r="M25" s="171"/>
      <c r="N25" s="171">
        <v>1</v>
      </c>
      <c r="O25" s="171"/>
      <c r="P25" s="171"/>
      <c r="Q25" s="171"/>
      <c r="R25" s="171"/>
      <c r="S25" s="171"/>
      <c r="T25" s="171"/>
      <c r="U25" s="171"/>
      <c r="V25" s="171"/>
      <c r="W25" s="171"/>
      <c r="X25" s="171"/>
      <c r="Y25" s="171"/>
      <c r="Z25" s="171"/>
      <c r="AA25" s="171"/>
      <c r="AB25" s="171"/>
      <c r="AC25" s="171"/>
      <c r="AD25" s="171">
        <v>1</v>
      </c>
      <c r="AE25" s="171"/>
      <c r="AF25" s="171"/>
      <c r="AG25" s="171"/>
      <c r="AH25" s="22"/>
      <c r="AI25" s="171"/>
      <c r="AJ25" s="22">
        <f t="shared" si="3"/>
        <v>8</v>
      </c>
      <c r="AK25" s="22">
        <f t="shared" si="4"/>
        <v>8</v>
      </c>
    </row>
    <row r="26" spans="1:37" ht="15.75" customHeight="1">
      <c r="A26" s="167" t="s">
        <v>1297</v>
      </c>
      <c r="B26" s="167" t="s">
        <v>2054</v>
      </c>
      <c r="C26" s="22" t="s">
        <v>1296</v>
      </c>
      <c r="D26" s="168">
        <v>1</v>
      </c>
      <c r="E26" s="169" t="b">
        <v>1</v>
      </c>
      <c r="F26" s="170" t="s">
        <v>1614</v>
      </c>
      <c r="G26" s="171">
        <v>1</v>
      </c>
      <c r="H26" s="171">
        <v>1</v>
      </c>
      <c r="I26" s="171">
        <v>1</v>
      </c>
      <c r="J26" s="171">
        <v>1</v>
      </c>
      <c r="K26" s="171">
        <v>1</v>
      </c>
      <c r="L26" s="171"/>
      <c r="M26" s="171"/>
      <c r="N26" s="171"/>
      <c r="O26" s="171"/>
      <c r="P26" s="171"/>
      <c r="Q26" s="171"/>
      <c r="R26" s="171">
        <v>1</v>
      </c>
      <c r="S26" s="171"/>
      <c r="T26" s="171"/>
      <c r="U26" s="171"/>
      <c r="V26" s="171"/>
      <c r="W26" s="171"/>
      <c r="X26" s="171"/>
      <c r="Y26" s="171"/>
      <c r="Z26" s="171"/>
      <c r="AA26" s="171"/>
      <c r="AB26" s="171"/>
      <c r="AC26" s="171"/>
      <c r="AD26" s="171">
        <v>1</v>
      </c>
      <c r="AE26" s="171">
        <v>1</v>
      </c>
      <c r="AF26" s="171"/>
      <c r="AG26" s="171"/>
      <c r="AH26" s="22"/>
      <c r="AI26" s="171"/>
      <c r="AJ26" s="22">
        <f t="shared" si="3"/>
        <v>8</v>
      </c>
      <c r="AK26" s="22">
        <f t="shared" si="4"/>
        <v>8</v>
      </c>
    </row>
    <row r="27" spans="1:37" ht="15.75" customHeight="1">
      <c r="A27" s="167" t="s">
        <v>67</v>
      </c>
      <c r="B27" s="167" t="s">
        <v>2056</v>
      </c>
      <c r="C27" s="22" t="s">
        <v>66</v>
      </c>
      <c r="D27" s="168">
        <v>1</v>
      </c>
      <c r="E27" s="169" t="b">
        <v>1</v>
      </c>
      <c r="F27" s="170" t="s">
        <v>1504</v>
      </c>
      <c r="G27" s="179">
        <v>1</v>
      </c>
      <c r="H27" s="179">
        <v>1</v>
      </c>
      <c r="I27" s="171">
        <v>1</v>
      </c>
      <c r="J27" s="171">
        <v>1</v>
      </c>
      <c r="K27" s="171">
        <v>1</v>
      </c>
      <c r="L27" s="171">
        <v>1</v>
      </c>
      <c r="M27" s="171">
        <v>1</v>
      </c>
      <c r="N27" s="171"/>
      <c r="O27" s="171"/>
      <c r="P27" s="171"/>
      <c r="Q27" s="179"/>
      <c r="R27" s="171"/>
      <c r="S27" s="171"/>
      <c r="T27" s="171"/>
      <c r="U27" s="171"/>
      <c r="V27" s="171"/>
      <c r="W27" s="171">
        <v>1</v>
      </c>
      <c r="X27" s="171"/>
      <c r="Y27" s="171"/>
      <c r="Z27" s="171"/>
      <c r="AA27" s="171"/>
      <c r="AB27" s="171"/>
      <c r="AC27" s="171"/>
      <c r="AD27" s="171"/>
      <c r="AE27" s="171"/>
      <c r="AF27" s="171"/>
      <c r="AG27" s="171"/>
      <c r="AH27" s="22"/>
      <c r="AI27" s="171"/>
      <c r="AJ27" s="22">
        <f t="shared" si="3"/>
        <v>8</v>
      </c>
      <c r="AK27" s="22">
        <f t="shared" si="4"/>
        <v>8</v>
      </c>
    </row>
    <row r="28" spans="1:37" ht="15.75" customHeight="1">
      <c r="A28" s="167" t="s">
        <v>70</v>
      </c>
      <c r="B28" s="167" t="s">
        <v>2056</v>
      </c>
      <c r="C28" s="22" t="s">
        <v>69</v>
      </c>
      <c r="D28" s="168">
        <v>1</v>
      </c>
      <c r="E28" s="169" t="b">
        <v>1</v>
      </c>
      <c r="F28" s="174" t="s">
        <v>1505</v>
      </c>
      <c r="G28" s="178">
        <v>1</v>
      </c>
      <c r="H28" s="178">
        <v>1</v>
      </c>
      <c r="I28" s="178">
        <v>1</v>
      </c>
      <c r="J28" s="178">
        <v>1</v>
      </c>
      <c r="K28" s="178">
        <v>1</v>
      </c>
      <c r="L28" s="178">
        <v>1</v>
      </c>
      <c r="M28" s="178"/>
      <c r="N28" s="178"/>
      <c r="O28" s="178"/>
      <c r="P28" s="178"/>
      <c r="Q28" s="178"/>
      <c r="R28" s="178"/>
      <c r="S28" s="178">
        <v>1</v>
      </c>
      <c r="T28" s="178"/>
      <c r="U28" s="178"/>
      <c r="V28" s="178"/>
      <c r="W28" s="178"/>
      <c r="X28" s="178"/>
      <c r="Y28" s="178"/>
      <c r="Z28" s="178"/>
      <c r="AA28" s="178"/>
      <c r="AB28" s="178">
        <v>1</v>
      </c>
      <c r="AC28" s="178"/>
      <c r="AD28" s="178"/>
      <c r="AE28" s="178"/>
      <c r="AF28" s="178"/>
      <c r="AG28" s="178"/>
      <c r="AH28" s="22"/>
      <c r="AI28" s="171"/>
      <c r="AJ28" s="22">
        <f t="shared" si="3"/>
        <v>8</v>
      </c>
      <c r="AK28" s="22">
        <f t="shared" si="4"/>
        <v>8</v>
      </c>
    </row>
    <row r="29" spans="1:37" ht="15.75" customHeight="1">
      <c r="A29" s="167" t="s">
        <v>73</v>
      </c>
      <c r="B29" s="167" t="s">
        <v>2056</v>
      </c>
      <c r="C29" s="22" t="s">
        <v>72</v>
      </c>
      <c r="D29" s="168">
        <v>1</v>
      </c>
      <c r="E29" s="169" t="b">
        <v>1</v>
      </c>
      <c r="F29" s="170" t="s">
        <v>1505</v>
      </c>
      <c r="G29" s="178">
        <v>1</v>
      </c>
      <c r="H29" s="178">
        <v>1</v>
      </c>
      <c r="I29" s="178">
        <v>1</v>
      </c>
      <c r="J29" s="178">
        <v>1</v>
      </c>
      <c r="K29" s="178">
        <v>1</v>
      </c>
      <c r="L29" s="178"/>
      <c r="M29" s="178"/>
      <c r="N29" s="178"/>
      <c r="O29" s="178"/>
      <c r="P29" s="178"/>
      <c r="Q29" s="178"/>
      <c r="R29" s="178"/>
      <c r="S29" s="178">
        <v>1</v>
      </c>
      <c r="T29" s="178"/>
      <c r="U29" s="178"/>
      <c r="V29" s="178"/>
      <c r="W29" s="178"/>
      <c r="X29" s="178"/>
      <c r="Y29" s="178"/>
      <c r="Z29" s="178"/>
      <c r="AA29" s="178"/>
      <c r="AB29" s="178">
        <v>1</v>
      </c>
      <c r="AC29" s="178"/>
      <c r="AD29" s="178"/>
      <c r="AE29" s="178">
        <v>1</v>
      </c>
      <c r="AF29" s="178"/>
      <c r="AG29" s="178"/>
      <c r="AH29" s="22"/>
      <c r="AI29" s="176" t="s">
        <v>1506</v>
      </c>
      <c r="AJ29" s="22">
        <f t="shared" si="3"/>
        <v>8</v>
      </c>
      <c r="AK29" s="22">
        <f t="shared" si="4"/>
        <v>8</v>
      </c>
    </row>
    <row r="30" spans="1:37" ht="15.75" customHeight="1">
      <c r="A30" s="167" t="s">
        <v>75</v>
      </c>
      <c r="B30" s="167" t="s">
        <v>2056</v>
      </c>
      <c r="C30" s="22" t="s">
        <v>74</v>
      </c>
      <c r="D30" s="168">
        <v>1</v>
      </c>
      <c r="E30" s="169" t="b">
        <v>1</v>
      </c>
      <c r="F30" s="170" t="s">
        <v>1812</v>
      </c>
      <c r="G30" s="171">
        <v>1</v>
      </c>
      <c r="H30" s="171">
        <v>1</v>
      </c>
      <c r="I30" s="171">
        <v>1</v>
      </c>
      <c r="J30" s="171">
        <v>1</v>
      </c>
      <c r="K30" s="171">
        <v>1</v>
      </c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71"/>
      <c r="W30" s="171"/>
      <c r="X30" s="171"/>
      <c r="Y30" s="171"/>
      <c r="Z30" s="171"/>
      <c r="AA30" s="171">
        <v>1</v>
      </c>
      <c r="AB30" s="171"/>
      <c r="AC30" s="171"/>
      <c r="AD30" s="171"/>
      <c r="AE30" s="171"/>
      <c r="AF30" s="171"/>
      <c r="AG30" s="171"/>
      <c r="AH30" s="22"/>
      <c r="AI30" s="171"/>
      <c r="AJ30" s="22">
        <f t="shared" si="3"/>
        <v>6</v>
      </c>
      <c r="AK30" s="22">
        <f t="shared" si="4"/>
        <v>6</v>
      </c>
    </row>
    <row r="31" spans="1:37" ht="15.75" customHeight="1">
      <c r="A31" s="167" t="s">
        <v>77</v>
      </c>
      <c r="B31" s="167" t="s">
        <v>2056</v>
      </c>
      <c r="C31" s="22" t="s">
        <v>76</v>
      </c>
      <c r="D31" s="168">
        <v>1</v>
      </c>
      <c r="E31" s="169" t="b">
        <v>1</v>
      </c>
      <c r="F31" s="174" t="s">
        <v>1634</v>
      </c>
      <c r="G31" s="171">
        <v>1</v>
      </c>
      <c r="H31" s="171">
        <v>1</v>
      </c>
      <c r="I31" s="171">
        <v>1</v>
      </c>
      <c r="J31" s="171">
        <v>1</v>
      </c>
      <c r="K31" s="171">
        <v>1</v>
      </c>
      <c r="L31" s="171"/>
      <c r="M31" s="171"/>
      <c r="N31" s="171"/>
      <c r="O31" s="171"/>
      <c r="P31" s="171"/>
      <c r="Q31" s="171">
        <v>1</v>
      </c>
      <c r="R31" s="171"/>
      <c r="S31" s="171"/>
      <c r="T31" s="171"/>
      <c r="U31" s="171"/>
      <c r="V31" s="171"/>
      <c r="W31" s="171"/>
      <c r="X31" s="171"/>
      <c r="Y31" s="171"/>
      <c r="Z31" s="171"/>
      <c r="AA31" s="171"/>
      <c r="AB31" s="171"/>
      <c r="AC31" s="171"/>
      <c r="AD31" s="171"/>
      <c r="AE31" s="171"/>
      <c r="AF31" s="171"/>
      <c r="AG31" s="171">
        <v>1</v>
      </c>
      <c r="AH31" s="22"/>
      <c r="AI31" s="171" t="s">
        <v>1635</v>
      </c>
      <c r="AJ31" s="22">
        <f t="shared" si="3"/>
        <v>7</v>
      </c>
      <c r="AK31" s="22">
        <f t="shared" si="4"/>
        <v>7</v>
      </c>
    </row>
    <row r="32" spans="1:37" ht="15.75" customHeight="1">
      <c r="A32" s="167" t="s">
        <v>80</v>
      </c>
      <c r="B32" s="167" t="s">
        <v>2056</v>
      </c>
      <c r="C32" s="22" t="s">
        <v>79</v>
      </c>
      <c r="D32" s="168">
        <v>1</v>
      </c>
      <c r="E32" s="169" t="b">
        <v>1</v>
      </c>
      <c r="F32" s="174" t="s">
        <v>1799</v>
      </c>
      <c r="G32" s="171">
        <v>1</v>
      </c>
      <c r="H32" s="171">
        <v>1</v>
      </c>
      <c r="I32" s="171">
        <v>1</v>
      </c>
      <c r="J32" s="171">
        <v>1</v>
      </c>
      <c r="K32" s="171">
        <v>1</v>
      </c>
      <c r="L32" s="171"/>
      <c r="M32" s="171"/>
      <c r="N32" s="171"/>
      <c r="O32" s="171"/>
      <c r="P32" s="171"/>
      <c r="Q32" s="171"/>
      <c r="R32" s="171"/>
      <c r="S32" s="171"/>
      <c r="T32" s="171">
        <v>1</v>
      </c>
      <c r="U32" s="171"/>
      <c r="V32" s="171"/>
      <c r="W32" s="171"/>
      <c r="X32" s="171"/>
      <c r="Y32" s="171"/>
      <c r="Z32" s="171"/>
      <c r="AA32" s="171"/>
      <c r="AB32" s="171"/>
      <c r="AC32" s="171"/>
      <c r="AD32" s="171"/>
      <c r="AE32" s="171"/>
      <c r="AF32" s="171"/>
      <c r="AG32" s="171"/>
      <c r="AH32" s="22"/>
      <c r="AI32" s="171" t="s">
        <v>1796</v>
      </c>
      <c r="AJ32" s="22">
        <f t="shared" si="3"/>
        <v>6</v>
      </c>
      <c r="AK32" s="22">
        <f t="shared" si="4"/>
        <v>6</v>
      </c>
    </row>
    <row r="33" spans="1:37" ht="15.75" customHeight="1">
      <c r="A33" s="167" t="s">
        <v>82</v>
      </c>
      <c r="B33" s="167" t="s">
        <v>2056</v>
      </c>
      <c r="C33" s="22" t="s">
        <v>81</v>
      </c>
      <c r="D33" s="168">
        <v>1</v>
      </c>
      <c r="E33" s="169" t="b">
        <v>1</v>
      </c>
      <c r="F33" s="170" t="s">
        <v>1975</v>
      </c>
      <c r="G33" s="171">
        <v>1</v>
      </c>
      <c r="H33" s="171">
        <v>1</v>
      </c>
      <c r="I33" s="171">
        <v>1</v>
      </c>
      <c r="J33" s="171">
        <v>1</v>
      </c>
      <c r="K33" s="171">
        <v>1</v>
      </c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1"/>
      <c r="Z33" s="171"/>
      <c r="AA33" s="171"/>
      <c r="AB33" s="171"/>
      <c r="AC33" s="171"/>
      <c r="AD33" s="171"/>
      <c r="AE33" s="171"/>
      <c r="AF33" s="171"/>
      <c r="AG33" s="171"/>
      <c r="AH33" s="22"/>
      <c r="AI33" s="171"/>
      <c r="AJ33" s="22">
        <f t="shared" si="3"/>
        <v>5</v>
      </c>
      <c r="AK33" s="22">
        <f t="shared" si="4"/>
        <v>5</v>
      </c>
    </row>
    <row r="34" spans="1:37" ht="15.75" customHeight="1">
      <c r="A34" s="167" t="s">
        <v>84</v>
      </c>
      <c r="B34" s="167" t="s">
        <v>2056</v>
      </c>
      <c r="C34" s="22" t="s">
        <v>83</v>
      </c>
      <c r="D34" s="168">
        <v>1</v>
      </c>
      <c r="E34" s="169" t="b">
        <v>1</v>
      </c>
      <c r="F34" s="170" t="s">
        <v>1430</v>
      </c>
      <c r="G34" s="171">
        <v>1</v>
      </c>
      <c r="H34" s="171">
        <v>1</v>
      </c>
      <c r="I34" s="171">
        <v>1</v>
      </c>
      <c r="J34" s="171">
        <v>1</v>
      </c>
      <c r="K34" s="171">
        <v>1</v>
      </c>
      <c r="L34" s="171">
        <v>3</v>
      </c>
      <c r="M34" s="171">
        <v>1</v>
      </c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1"/>
      <c r="Z34" s="171"/>
      <c r="AA34" s="171"/>
      <c r="AB34" s="171"/>
      <c r="AC34" s="171"/>
      <c r="AD34" s="171"/>
      <c r="AE34" s="171"/>
      <c r="AF34" s="171"/>
      <c r="AG34" s="171"/>
      <c r="AH34" s="22"/>
      <c r="AI34" s="171"/>
      <c r="AJ34" s="22">
        <f t="shared" si="3"/>
        <v>7</v>
      </c>
      <c r="AK34" s="22">
        <f t="shared" si="4"/>
        <v>9</v>
      </c>
    </row>
    <row r="35" spans="1:37" ht="15.75" customHeight="1">
      <c r="A35" s="167" t="s">
        <v>1214</v>
      </c>
      <c r="B35" s="167" t="s">
        <v>2055</v>
      </c>
      <c r="C35" s="22" t="s">
        <v>1213</v>
      </c>
      <c r="D35" s="168">
        <v>1</v>
      </c>
      <c r="E35" s="169" t="b">
        <v>1</v>
      </c>
      <c r="F35" s="170" t="s">
        <v>1600</v>
      </c>
      <c r="G35" s="171">
        <v>1</v>
      </c>
      <c r="H35" s="171">
        <v>1</v>
      </c>
      <c r="I35" s="171">
        <v>1</v>
      </c>
      <c r="J35" s="171">
        <v>1</v>
      </c>
      <c r="K35" s="171">
        <v>1</v>
      </c>
      <c r="L35" s="171">
        <v>1</v>
      </c>
      <c r="M35" s="171"/>
      <c r="N35" s="171"/>
      <c r="O35" s="171">
        <v>1</v>
      </c>
      <c r="P35" s="171"/>
      <c r="Q35" s="171"/>
      <c r="R35" s="171"/>
      <c r="S35" s="171"/>
      <c r="T35" s="171"/>
      <c r="U35" s="171"/>
      <c r="V35" s="171"/>
      <c r="W35" s="171"/>
      <c r="X35" s="171"/>
      <c r="Y35" s="171"/>
      <c r="Z35" s="171"/>
      <c r="AA35" s="171"/>
      <c r="AB35" s="171"/>
      <c r="AC35" s="171"/>
      <c r="AD35" s="171"/>
      <c r="AE35" s="171"/>
      <c r="AF35" s="171"/>
      <c r="AG35" s="171">
        <v>1</v>
      </c>
      <c r="AH35" s="22"/>
      <c r="AI35" s="171" t="s">
        <v>1601</v>
      </c>
      <c r="AJ35" s="22">
        <f t="shared" si="3"/>
        <v>8</v>
      </c>
      <c r="AK35" s="22">
        <f t="shared" si="4"/>
        <v>8</v>
      </c>
    </row>
    <row r="36" spans="1:37" ht="15.75" customHeight="1">
      <c r="A36" s="167" t="s">
        <v>87</v>
      </c>
      <c r="B36" s="167" t="s">
        <v>2056</v>
      </c>
      <c r="C36" s="22" t="s">
        <v>86</v>
      </c>
      <c r="D36" s="168">
        <v>1</v>
      </c>
      <c r="E36" s="169" t="b">
        <v>1</v>
      </c>
      <c r="F36" s="174" t="s">
        <v>1431</v>
      </c>
      <c r="G36" s="171">
        <v>1</v>
      </c>
      <c r="H36" s="171">
        <v>1</v>
      </c>
      <c r="I36" s="171">
        <v>1</v>
      </c>
      <c r="J36" s="171">
        <v>1</v>
      </c>
      <c r="K36" s="171">
        <v>1</v>
      </c>
      <c r="L36" s="171">
        <v>1</v>
      </c>
      <c r="M36" s="171">
        <v>1</v>
      </c>
      <c r="N36" s="171">
        <v>1</v>
      </c>
      <c r="O36" s="171"/>
      <c r="P36" s="171"/>
      <c r="Q36" s="171"/>
      <c r="R36" s="171"/>
      <c r="S36" s="171"/>
      <c r="T36" s="171"/>
      <c r="U36" s="171">
        <v>1</v>
      </c>
      <c r="V36" s="171"/>
      <c r="W36" s="171"/>
      <c r="X36" s="171"/>
      <c r="Y36" s="171"/>
      <c r="Z36" s="171"/>
      <c r="AA36" s="171"/>
      <c r="AB36" s="171"/>
      <c r="AC36" s="171"/>
      <c r="AD36" s="171"/>
      <c r="AE36" s="171"/>
      <c r="AF36" s="171"/>
      <c r="AG36" s="171"/>
      <c r="AH36" s="22"/>
      <c r="AI36" s="171"/>
      <c r="AJ36" s="22">
        <f t="shared" si="3"/>
        <v>9</v>
      </c>
      <c r="AK36" s="22">
        <f t="shared" si="4"/>
        <v>9</v>
      </c>
    </row>
    <row r="37" spans="1:37" ht="15.75" customHeight="1">
      <c r="A37" s="167" t="s">
        <v>89</v>
      </c>
      <c r="B37" s="167" t="s">
        <v>2056</v>
      </c>
      <c r="C37" s="22" t="s">
        <v>88</v>
      </c>
      <c r="D37" s="168">
        <v>1</v>
      </c>
      <c r="E37" s="169" t="b">
        <v>1</v>
      </c>
      <c r="F37" s="170" t="s">
        <v>1507</v>
      </c>
      <c r="G37" s="171">
        <v>1</v>
      </c>
      <c r="H37" s="171">
        <v>1</v>
      </c>
      <c r="I37" s="171">
        <v>1</v>
      </c>
      <c r="J37" s="171">
        <v>1</v>
      </c>
      <c r="K37" s="171">
        <v>1</v>
      </c>
      <c r="L37" s="171">
        <v>2</v>
      </c>
      <c r="M37" s="171"/>
      <c r="N37" s="171">
        <v>1</v>
      </c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1"/>
      <c r="AC37" s="171"/>
      <c r="AD37" s="171"/>
      <c r="AE37" s="171"/>
      <c r="AF37" s="171"/>
      <c r="AG37" s="171"/>
      <c r="AH37" s="22"/>
      <c r="AI37" s="171"/>
      <c r="AJ37" s="22">
        <f t="shared" si="3"/>
        <v>7</v>
      </c>
      <c r="AK37" s="22">
        <f t="shared" si="4"/>
        <v>8</v>
      </c>
    </row>
    <row r="38" spans="1:37" ht="15.75" customHeight="1">
      <c r="A38" s="167" t="s">
        <v>91</v>
      </c>
      <c r="B38" s="167" t="s">
        <v>2056</v>
      </c>
      <c r="C38" s="22" t="s">
        <v>90</v>
      </c>
      <c r="D38" s="168">
        <v>1</v>
      </c>
      <c r="E38" s="169" t="b">
        <v>1</v>
      </c>
      <c r="F38" s="174" t="s">
        <v>1976</v>
      </c>
      <c r="G38" s="171">
        <v>1</v>
      </c>
      <c r="H38" s="171">
        <v>1</v>
      </c>
      <c r="I38" s="171">
        <v>1</v>
      </c>
      <c r="J38" s="171">
        <v>1</v>
      </c>
      <c r="K38" s="171">
        <v>1</v>
      </c>
      <c r="L38" s="171"/>
      <c r="M38" s="171"/>
      <c r="N38" s="171"/>
      <c r="O38" s="171"/>
      <c r="P38" s="171"/>
      <c r="Q38" s="171"/>
      <c r="R38" s="171"/>
      <c r="S38" s="171"/>
      <c r="T38" s="171"/>
      <c r="U38" s="171"/>
      <c r="V38" s="171"/>
      <c r="W38" s="171"/>
      <c r="X38" s="171"/>
      <c r="Y38" s="171"/>
      <c r="Z38" s="171"/>
      <c r="AA38" s="171"/>
      <c r="AB38" s="171"/>
      <c r="AC38" s="171"/>
      <c r="AD38" s="171"/>
      <c r="AE38" s="171"/>
      <c r="AF38" s="171"/>
      <c r="AG38" s="171"/>
      <c r="AH38" s="22"/>
      <c r="AI38" s="171"/>
      <c r="AJ38" s="22">
        <f t="shared" si="3"/>
        <v>5</v>
      </c>
      <c r="AK38" s="22">
        <f t="shared" si="4"/>
        <v>5</v>
      </c>
    </row>
    <row r="39" spans="1:37" ht="15.75" customHeight="1">
      <c r="A39" s="167" t="s">
        <v>93</v>
      </c>
      <c r="B39" s="167" t="s">
        <v>2056</v>
      </c>
      <c r="C39" s="22" t="s">
        <v>92</v>
      </c>
      <c r="D39" s="168">
        <v>1</v>
      </c>
      <c r="E39" s="169" t="b">
        <v>1</v>
      </c>
      <c r="F39" s="170" t="s">
        <v>1636</v>
      </c>
      <c r="G39" s="171">
        <v>1</v>
      </c>
      <c r="H39" s="171">
        <v>1</v>
      </c>
      <c r="I39" s="171">
        <v>1</v>
      </c>
      <c r="J39" s="171">
        <v>1</v>
      </c>
      <c r="K39" s="171">
        <v>1</v>
      </c>
      <c r="L39" s="171">
        <v>1</v>
      </c>
      <c r="M39" s="171">
        <v>1</v>
      </c>
      <c r="N39" s="171"/>
      <c r="O39" s="171"/>
      <c r="P39" s="171"/>
      <c r="Q39" s="171"/>
      <c r="R39" s="171"/>
      <c r="S39" s="171"/>
      <c r="T39" s="171"/>
      <c r="U39" s="171"/>
      <c r="V39" s="171"/>
      <c r="W39" s="171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22"/>
      <c r="AI39" s="171"/>
      <c r="AJ39" s="22">
        <f t="shared" si="3"/>
        <v>7</v>
      </c>
      <c r="AK39" s="22">
        <f t="shared" si="4"/>
        <v>7</v>
      </c>
    </row>
    <row r="40" spans="1:37" ht="15.75" customHeight="1">
      <c r="A40" s="167" t="s">
        <v>95</v>
      </c>
      <c r="B40" s="167" t="s">
        <v>2056</v>
      </c>
      <c r="C40" s="22" t="s">
        <v>94</v>
      </c>
      <c r="D40" s="168">
        <v>1</v>
      </c>
      <c r="E40" s="169" t="b">
        <v>1</v>
      </c>
      <c r="F40" s="170" t="s">
        <v>1508</v>
      </c>
      <c r="G40" s="171">
        <v>1</v>
      </c>
      <c r="H40" s="171">
        <v>1</v>
      </c>
      <c r="I40" s="171">
        <v>1</v>
      </c>
      <c r="J40" s="171">
        <v>1</v>
      </c>
      <c r="K40" s="171">
        <v>1</v>
      </c>
      <c r="L40" s="171">
        <v>3</v>
      </c>
      <c r="M40" s="171"/>
      <c r="N40" s="171"/>
      <c r="O40" s="171"/>
      <c r="P40" s="171"/>
      <c r="Q40" s="171"/>
      <c r="R40" s="171"/>
      <c r="S40" s="171"/>
      <c r="T40" s="171"/>
      <c r="U40" s="171"/>
      <c r="V40" s="171"/>
      <c r="W40" s="171"/>
      <c r="X40" s="171"/>
      <c r="Y40" s="171"/>
      <c r="Z40" s="171"/>
      <c r="AA40" s="171"/>
      <c r="AB40" s="171"/>
      <c r="AC40" s="171"/>
      <c r="AD40" s="171"/>
      <c r="AE40" s="171"/>
      <c r="AF40" s="171"/>
      <c r="AG40" s="171"/>
      <c r="AH40" s="22"/>
      <c r="AI40" s="171"/>
      <c r="AJ40" s="22">
        <f t="shared" si="3"/>
        <v>6</v>
      </c>
      <c r="AK40" s="22">
        <f t="shared" si="4"/>
        <v>8</v>
      </c>
    </row>
    <row r="41" spans="1:37" ht="15.75" customHeight="1">
      <c r="A41" s="167" t="s">
        <v>1180</v>
      </c>
      <c r="B41" s="167" t="s">
        <v>2055</v>
      </c>
      <c r="C41" s="22" t="s">
        <v>1179</v>
      </c>
      <c r="D41" s="168">
        <v>1</v>
      </c>
      <c r="E41" s="169" t="b">
        <v>1</v>
      </c>
      <c r="F41" s="170" t="s">
        <v>1593</v>
      </c>
      <c r="G41" s="171">
        <v>1</v>
      </c>
      <c r="H41" s="171">
        <v>1</v>
      </c>
      <c r="I41" s="171">
        <v>1</v>
      </c>
      <c r="J41" s="171">
        <v>1</v>
      </c>
      <c r="K41" s="171">
        <v>1</v>
      </c>
      <c r="L41" s="171">
        <v>1</v>
      </c>
      <c r="M41" s="171"/>
      <c r="N41" s="171"/>
      <c r="O41" s="171">
        <v>1</v>
      </c>
      <c r="P41" s="171"/>
      <c r="Q41" s="171"/>
      <c r="R41" s="171"/>
      <c r="S41" s="171"/>
      <c r="T41" s="171"/>
      <c r="U41" s="171"/>
      <c r="V41" s="171"/>
      <c r="W41" s="171"/>
      <c r="X41" s="171"/>
      <c r="Y41" s="171"/>
      <c r="Z41" s="171">
        <v>1</v>
      </c>
      <c r="AA41" s="171"/>
      <c r="AB41" s="171"/>
      <c r="AC41" s="171"/>
      <c r="AD41" s="171"/>
      <c r="AE41" s="171"/>
      <c r="AF41" s="171"/>
      <c r="AG41" s="171"/>
      <c r="AH41" s="22"/>
      <c r="AI41" s="171"/>
      <c r="AJ41" s="22">
        <f t="shared" si="3"/>
        <v>8</v>
      </c>
      <c r="AK41" s="22">
        <f t="shared" si="4"/>
        <v>8</v>
      </c>
    </row>
    <row r="42" spans="1:37" ht="15.75" customHeight="1">
      <c r="A42" s="167" t="s">
        <v>97</v>
      </c>
      <c r="B42" s="167" t="s">
        <v>2056</v>
      </c>
      <c r="C42" s="22" t="s">
        <v>96</v>
      </c>
      <c r="D42" s="168">
        <v>1</v>
      </c>
      <c r="E42" s="169" t="b">
        <v>1</v>
      </c>
      <c r="F42" s="170" t="s">
        <v>1395</v>
      </c>
      <c r="G42" s="171">
        <v>1</v>
      </c>
      <c r="H42" s="171">
        <v>1</v>
      </c>
      <c r="I42" s="171">
        <v>1</v>
      </c>
      <c r="J42" s="171">
        <v>1</v>
      </c>
      <c r="K42" s="171">
        <v>1</v>
      </c>
      <c r="L42" s="171">
        <v>4</v>
      </c>
      <c r="M42" s="171"/>
      <c r="N42" s="171">
        <v>1</v>
      </c>
      <c r="O42" s="171"/>
      <c r="P42" s="171"/>
      <c r="Q42" s="171"/>
      <c r="R42" s="171"/>
      <c r="S42" s="171"/>
      <c r="T42" s="171"/>
      <c r="U42" s="171"/>
      <c r="V42" s="171"/>
      <c r="W42" s="171"/>
      <c r="X42" s="171"/>
      <c r="Y42" s="171"/>
      <c r="Z42" s="171"/>
      <c r="AA42" s="171"/>
      <c r="AB42" s="171"/>
      <c r="AC42" s="171"/>
      <c r="AD42" s="171"/>
      <c r="AE42" s="171"/>
      <c r="AF42" s="171"/>
      <c r="AG42" s="171">
        <v>1</v>
      </c>
      <c r="AH42" s="22"/>
      <c r="AI42" s="171" t="s">
        <v>1396</v>
      </c>
      <c r="AJ42" s="22">
        <f t="shared" si="3"/>
        <v>8</v>
      </c>
      <c r="AK42" s="22">
        <f t="shared" si="4"/>
        <v>11</v>
      </c>
    </row>
    <row r="43" spans="1:37" ht="15.75" customHeight="1">
      <c r="A43" s="167" t="s">
        <v>100</v>
      </c>
      <c r="B43" s="167" t="s">
        <v>2056</v>
      </c>
      <c r="C43" s="22" t="s">
        <v>99</v>
      </c>
      <c r="D43" s="168">
        <v>1</v>
      </c>
      <c r="E43" s="169" t="b">
        <v>1</v>
      </c>
      <c r="F43" s="170" t="s">
        <v>1509</v>
      </c>
      <c r="G43" s="171">
        <v>1</v>
      </c>
      <c r="H43" s="171">
        <v>1</v>
      </c>
      <c r="I43" s="171">
        <v>1</v>
      </c>
      <c r="J43" s="171">
        <v>1</v>
      </c>
      <c r="K43" s="171">
        <v>1</v>
      </c>
      <c r="L43" s="171"/>
      <c r="M43" s="171"/>
      <c r="N43" s="171">
        <v>1</v>
      </c>
      <c r="O43" s="171"/>
      <c r="P43" s="171"/>
      <c r="Q43" s="171"/>
      <c r="R43" s="171"/>
      <c r="S43" s="171">
        <v>1</v>
      </c>
      <c r="T43" s="171"/>
      <c r="U43" s="171"/>
      <c r="V43" s="171"/>
      <c r="W43" s="171"/>
      <c r="X43" s="171"/>
      <c r="Y43" s="171"/>
      <c r="Z43" s="171"/>
      <c r="AA43" s="171"/>
      <c r="AB43" s="171"/>
      <c r="AC43" s="171"/>
      <c r="AD43" s="171"/>
      <c r="AE43" s="171"/>
      <c r="AF43" s="171"/>
      <c r="AG43" s="171">
        <v>1</v>
      </c>
      <c r="AH43" s="22"/>
      <c r="AI43" s="171" t="s">
        <v>1413</v>
      </c>
      <c r="AJ43" s="22">
        <f t="shared" si="3"/>
        <v>8</v>
      </c>
      <c r="AK43" s="22">
        <f t="shared" si="4"/>
        <v>8</v>
      </c>
    </row>
    <row r="44" spans="1:37" ht="15.75" customHeight="1">
      <c r="A44" s="167" t="s">
        <v>102</v>
      </c>
      <c r="B44" s="167" t="s">
        <v>2056</v>
      </c>
      <c r="C44" s="22" t="s">
        <v>101</v>
      </c>
      <c r="D44" s="168">
        <v>1</v>
      </c>
      <c r="E44" s="169" t="b">
        <v>1</v>
      </c>
      <c r="F44" s="170" t="s">
        <v>1404</v>
      </c>
      <c r="G44" s="171">
        <v>1</v>
      </c>
      <c r="H44" s="171">
        <v>1</v>
      </c>
      <c r="I44" s="171">
        <v>1</v>
      </c>
      <c r="J44" s="171">
        <v>1</v>
      </c>
      <c r="K44" s="171">
        <v>1</v>
      </c>
      <c r="L44" s="171">
        <v>3</v>
      </c>
      <c r="M44" s="171"/>
      <c r="N44" s="171"/>
      <c r="O44" s="171"/>
      <c r="P44" s="171"/>
      <c r="Q44" s="171"/>
      <c r="R44" s="171"/>
      <c r="S44" s="171"/>
      <c r="T44" s="171"/>
      <c r="U44" s="171"/>
      <c r="V44" s="171">
        <v>1</v>
      </c>
      <c r="W44" s="171"/>
      <c r="X44" s="171"/>
      <c r="Y44" s="171"/>
      <c r="Z44" s="171"/>
      <c r="AA44" s="171">
        <v>1</v>
      </c>
      <c r="AB44" s="171"/>
      <c r="AC44" s="171"/>
      <c r="AD44" s="171"/>
      <c r="AE44" s="171"/>
      <c r="AF44" s="171"/>
      <c r="AG44" s="171"/>
      <c r="AH44" s="22"/>
      <c r="AI44" s="175"/>
      <c r="AJ44" s="22">
        <f t="shared" si="3"/>
        <v>8</v>
      </c>
      <c r="AK44" s="22">
        <f t="shared" si="4"/>
        <v>10</v>
      </c>
    </row>
    <row r="45" spans="1:37" ht="15.75" customHeight="1">
      <c r="A45" s="167" t="s">
        <v>104</v>
      </c>
      <c r="B45" s="167" t="s">
        <v>2056</v>
      </c>
      <c r="C45" s="22" t="s">
        <v>103</v>
      </c>
      <c r="D45" s="168">
        <v>1</v>
      </c>
      <c r="E45" s="169" t="b">
        <v>1</v>
      </c>
      <c r="F45" s="170" t="s">
        <v>1977</v>
      </c>
      <c r="G45" s="171">
        <v>1</v>
      </c>
      <c r="H45" s="171">
        <v>1</v>
      </c>
      <c r="I45" s="171">
        <v>1</v>
      </c>
      <c r="J45" s="171">
        <v>1</v>
      </c>
      <c r="K45" s="171">
        <v>1</v>
      </c>
      <c r="L45" s="171"/>
      <c r="M45" s="171"/>
      <c r="N45" s="171"/>
      <c r="O45" s="171"/>
      <c r="P45" s="171"/>
      <c r="Q45" s="171"/>
      <c r="R45" s="171"/>
      <c r="S45" s="171"/>
      <c r="T45" s="171"/>
      <c r="U45" s="171"/>
      <c r="V45" s="171"/>
      <c r="W45" s="171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22"/>
      <c r="AI45" s="171"/>
      <c r="AJ45" s="22">
        <f t="shared" si="3"/>
        <v>5</v>
      </c>
      <c r="AK45" s="22">
        <f t="shared" si="4"/>
        <v>5</v>
      </c>
    </row>
    <row r="46" spans="1:37" ht="15.75" customHeight="1">
      <c r="A46" s="167" t="s">
        <v>106</v>
      </c>
      <c r="B46" s="167" t="s">
        <v>2056</v>
      </c>
      <c r="C46" s="22" t="s">
        <v>105</v>
      </c>
      <c r="D46" s="168">
        <v>1</v>
      </c>
      <c r="E46" s="169" t="b">
        <v>1</v>
      </c>
      <c r="F46" s="170" t="s">
        <v>1813</v>
      </c>
      <c r="G46" s="171">
        <v>1</v>
      </c>
      <c r="H46" s="171">
        <v>1</v>
      </c>
      <c r="I46" s="171">
        <v>1</v>
      </c>
      <c r="J46" s="171">
        <v>1</v>
      </c>
      <c r="K46" s="171">
        <v>1</v>
      </c>
      <c r="L46" s="171"/>
      <c r="M46" s="171"/>
      <c r="N46" s="171">
        <v>1</v>
      </c>
      <c r="O46" s="171"/>
      <c r="P46" s="171"/>
      <c r="Q46" s="171"/>
      <c r="R46" s="171"/>
      <c r="S46" s="171"/>
      <c r="T46" s="171"/>
      <c r="U46" s="171"/>
      <c r="V46" s="171"/>
      <c r="W46" s="171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22"/>
      <c r="AI46" s="171"/>
      <c r="AJ46" s="22">
        <f t="shared" si="3"/>
        <v>6</v>
      </c>
      <c r="AK46" s="22">
        <f t="shared" si="4"/>
        <v>6</v>
      </c>
    </row>
    <row r="47" spans="1:37" ht="15.75" customHeight="1">
      <c r="A47" s="167" t="s">
        <v>108</v>
      </c>
      <c r="B47" s="167" t="s">
        <v>2056</v>
      </c>
      <c r="C47" s="22" t="s">
        <v>107</v>
      </c>
      <c r="D47" s="168">
        <v>1</v>
      </c>
      <c r="E47" s="169" t="b">
        <v>1</v>
      </c>
      <c r="F47" s="170" t="s">
        <v>1814</v>
      </c>
      <c r="G47" s="171">
        <v>1</v>
      </c>
      <c r="H47" s="171">
        <v>1</v>
      </c>
      <c r="I47" s="171">
        <v>1</v>
      </c>
      <c r="J47" s="171">
        <v>1</v>
      </c>
      <c r="K47" s="171">
        <v>1</v>
      </c>
      <c r="L47" s="171"/>
      <c r="M47" s="171"/>
      <c r="N47" s="171"/>
      <c r="O47" s="171"/>
      <c r="P47" s="171"/>
      <c r="Q47" s="171"/>
      <c r="R47" s="171"/>
      <c r="S47" s="171"/>
      <c r="T47" s="171"/>
      <c r="U47" s="171"/>
      <c r="V47" s="171"/>
      <c r="W47" s="171"/>
      <c r="X47" s="171"/>
      <c r="Y47" s="171"/>
      <c r="Z47" s="171"/>
      <c r="AA47" s="171"/>
      <c r="AB47" s="171"/>
      <c r="AC47" s="171"/>
      <c r="AD47" s="171"/>
      <c r="AE47" s="171"/>
      <c r="AF47" s="171"/>
      <c r="AG47" s="171">
        <v>1</v>
      </c>
      <c r="AH47" s="22"/>
      <c r="AI47" s="171" t="s">
        <v>1610</v>
      </c>
      <c r="AJ47" s="22">
        <f t="shared" si="3"/>
        <v>6</v>
      </c>
      <c r="AK47" s="22">
        <f t="shared" si="4"/>
        <v>6</v>
      </c>
    </row>
    <row r="48" spans="1:37" ht="15.75" customHeight="1">
      <c r="A48" s="167" t="s">
        <v>110</v>
      </c>
      <c r="B48" s="167" t="s">
        <v>2056</v>
      </c>
      <c r="C48" s="22" t="s">
        <v>109</v>
      </c>
      <c r="D48" s="168">
        <v>1</v>
      </c>
      <c r="E48" s="169" t="b">
        <v>1</v>
      </c>
      <c r="F48" s="170" t="s">
        <v>1815</v>
      </c>
      <c r="G48" s="171">
        <v>1</v>
      </c>
      <c r="H48" s="171">
        <v>1</v>
      </c>
      <c r="I48" s="171">
        <v>1</v>
      </c>
      <c r="J48" s="171">
        <v>1</v>
      </c>
      <c r="K48" s="171">
        <v>1</v>
      </c>
      <c r="L48" s="171">
        <v>1</v>
      </c>
      <c r="M48" s="171"/>
      <c r="N48" s="171"/>
      <c r="O48" s="171"/>
      <c r="P48" s="171"/>
      <c r="Q48" s="171"/>
      <c r="R48" s="171"/>
      <c r="S48" s="171"/>
      <c r="T48" s="171"/>
      <c r="U48" s="171"/>
      <c r="V48" s="171"/>
      <c r="W48" s="171"/>
      <c r="X48" s="171"/>
      <c r="Y48" s="171"/>
      <c r="Z48" s="171"/>
      <c r="AA48" s="171"/>
      <c r="AB48" s="171"/>
      <c r="AC48" s="171"/>
      <c r="AD48" s="171"/>
      <c r="AE48" s="171"/>
      <c r="AF48" s="171"/>
      <c r="AG48" s="171"/>
      <c r="AH48" s="22"/>
      <c r="AI48" s="171"/>
      <c r="AJ48" s="22">
        <f t="shared" si="3"/>
        <v>6</v>
      </c>
      <c r="AK48" s="22">
        <f t="shared" si="4"/>
        <v>6</v>
      </c>
    </row>
    <row r="49" spans="1:37" ht="15.75" customHeight="1">
      <c r="A49" s="167" t="s">
        <v>112</v>
      </c>
      <c r="B49" s="167" t="s">
        <v>2056</v>
      </c>
      <c r="C49" s="22" t="s">
        <v>111</v>
      </c>
      <c r="D49" s="168">
        <v>1</v>
      </c>
      <c r="E49" s="169" t="b">
        <v>1</v>
      </c>
      <c r="F49" s="170" t="s">
        <v>1637</v>
      </c>
      <c r="G49" s="171">
        <v>1</v>
      </c>
      <c r="H49" s="171">
        <v>1</v>
      </c>
      <c r="I49" s="171">
        <v>1</v>
      </c>
      <c r="J49" s="171">
        <v>1</v>
      </c>
      <c r="K49" s="171">
        <v>1</v>
      </c>
      <c r="L49" s="171">
        <v>1</v>
      </c>
      <c r="M49" s="171"/>
      <c r="N49" s="171"/>
      <c r="O49" s="171"/>
      <c r="P49" s="171"/>
      <c r="Q49" s="171">
        <v>1</v>
      </c>
      <c r="R49" s="171"/>
      <c r="S49" s="171"/>
      <c r="T49" s="171"/>
      <c r="U49" s="171"/>
      <c r="V49" s="171"/>
      <c r="W49" s="171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22"/>
      <c r="AI49" s="171"/>
      <c r="AJ49" s="22">
        <f t="shared" si="3"/>
        <v>7</v>
      </c>
      <c r="AK49" s="22">
        <f t="shared" si="4"/>
        <v>7</v>
      </c>
    </row>
    <row r="50" spans="1:37" ht="15.75" customHeight="1">
      <c r="A50" s="167" t="s">
        <v>114</v>
      </c>
      <c r="B50" s="167" t="s">
        <v>2056</v>
      </c>
      <c r="C50" s="22" t="s">
        <v>113</v>
      </c>
      <c r="D50" s="168">
        <v>1</v>
      </c>
      <c r="E50" s="169" t="b">
        <v>1</v>
      </c>
      <c r="F50" s="170" t="s">
        <v>1510</v>
      </c>
      <c r="G50" s="171">
        <v>1</v>
      </c>
      <c r="H50" s="171">
        <v>1</v>
      </c>
      <c r="I50" s="171">
        <v>1</v>
      </c>
      <c r="J50" s="171">
        <v>1</v>
      </c>
      <c r="K50" s="171">
        <v>1</v>
      </c>
      <c r="L50" s="171">
        <v>3</v>
      </c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22"/>
      <c r="AI50" s="171"/>
      <c r="AJ50" s="22">
        <f t="shared" si="3"/>
        <v>6</v>
      </c>
      <c r="AK50" s="22">
        <f t="shared" si="4"/>
        <v>8</v>
      </c>
    </row>
    <row r="51" spans="1:37" ht="15.75" customHeight="1">
      <c r="A51" s="167" t="s">
        <v>116</v>
      </c>
      <c r="B51" s="167" t="s">
        <v>2056</v>
      </c>
      <c r="C51" s="22" t="s">
        <v>115</v>
      </c>
      <c r="D51" s="168">
        <v>1</v>
      </c>
      <c r="E51" s="169" t="b">
        <v>1</v>
      </c>
      <c r="F51" s="170" t="s">
        <v>1816</v>
      </c>
      <c r="G51" s="171">
        <v>1</v>
      </c>
      <c r="H51" s="171">
        <v>1</v>
      </c>
      <c r="I51" s="171">
        <v>1</v>
      </c>
      <c r="J51" s="171">
        <v>1</v>
      </c>
      <c r="K51" s="171">
        <v>1</v>
      </c>
      <c r="L51" s="171"/>
      <c r="M51" s="171">
        <v>1</v>
      </c>
      <c r="N51" s="171"/>
      <c r="O51" s="171"/>
      <c r="P51" s="171"/>
      <c r="Q51" s="171"/>
      <c r="R51" s="171"/>
      <c r="S51" s="171"/>
      <c r="T51" s="171"/>
      <c r="U51" s="171"/>
      <c r="V51" s="171"/>
      <c r="W51" s="171"/>
      <c r="X51" s="171"/>
      <c r="Y51" s="171"/>
      <c r="Z51" s="171"/>
      <c r="AA51" s="171"/>
      <c r="AB51" s="171"/>
      <c r="AC51" s="171"/>
      <c r="AD51" s="171"/>
      <c r="AE51" s="171"/>
      <c r="AF51" s="171"/>
      <c r="AG51" s="171"/>
      <c r="AH51" s="22"/>
      <c r="AI51" s="171"/>
      <c r="AJ51" s="22">
        <f t="shared" si="3"/>
        <v>6</v>
      </c>
      <c r="AK51" s="22">
        <f t="shared" si="4"/>
        <v>6</v>
      </c>
    </row>
    <row r="52" spans="1:37" ht="15.75" customHeight="1">
      <c r="A52" s="167" t="s">
        <v>118</v>
      </c>
      <c r="B52" s="167" t="s">
        <v>2056</v>
      </c>
      <c r="C52" s="22" t="s">
        <v>117</v>
      </c>
      <c r="D52" s="168">
        <v>1</v>
      </c>
      <c r="E52" s="169" t="b">
        <v>1</v>
      </c>
      <c r="F52" s="170" t="s">
        <v>1817</v>
      </c>
      <c r="G52" s="171">
        <v>1</v>
      </c>
      <c r="H52" s="171">
        <v>1</v>
      </c>
      <c r="I52" s="171">
        <v>1</v>
      </c>
      <c r="J52" s="171">
        <v>1</v>
      </c>
      <c r="K52" s="171">
        <v>1</v>
      </c>
      <c r="L52" s="171">
        <v>1</v>
      </c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22"/>
      <c r="AI52" s="171"/>
      <c r="AJ52" s="22">
        <f t="shared" si="3"/>
        <v>6</v>
      </c>
      <c r="AK52" s="22">
        <f t="shared" si="4"/>
        <v>6</v>
      </c>
    </row>
    <row r="53" spans="1:37" ht="15.75" customHeight="1">
      <c r="A53" s="167" t="s">
        <v>120</v>
      </c>
      <c r="B53" s="167" t="s">
        <v>2056</v>
      </c>
      <c r="C53" s="22" t="s">
        <v>119</v>
      </c>
      <c r="D53" s="168">
        <v>1</v>
      </c>
      <c r="E53" s="169" t="b">
        <v>1</v>
      </c>
      <c r="F53" s="170" t="s">
        <v>1511</v>
      </c>
      <c r="G53" s="171">
        <v>1</v>
      </c>
      <c r="H53" s="171">
        <v>1</v>
      </c>
      <c r="I53" s="171">
        <v>1</v>
      </c>
      <c r="J53" s="171">
        <v>1</v>
      </c>
      <c r="K53" s="171">
        <v>1</v>
      </c>
      <c r="L53" s="171">
        <v>2</v>
      </c>
      <c r="M53" s="171"/>
      <c r="N53" s="171"/>
      <c r="O53" s="171"/>
      <c r="P53" s="171"/>
      <c r="Q53" s="171"/>
      <c r="R53" s="171"/>
      <c r="S53" s="171"/>
      <c r="T53" s="171"/>
      <c r="U53" s="171"/>
      <c r="V53" s="171"/>
      <c r="W53" s="171"/>
      <c r="X53" s="171"/>
      <c r="Y53" s="171"/>
      <c r="Z53" s="171"/>
      <c r="AA53" s="171"/>
      <c r="AB53" s="171"/>
      <c r="AC53" s="171"/>
      <c r="AD53" s="171"/>
      <c r="AE53" s="171"/>
      <c r="AF53" s="171"/>
      <c r="AG53" s="171">
        <v>1</v>
      </c>
      <c r="AH53" s="22"/>
      <c r="AI53" s="171" t="s">
        <v>1512</v>
      </c>
      <c r="AJ53" s="22">
        <f t="shared" si="3"/>
        <v>7</v>
      </c>
      <c r="AK53" s="22">
        <f t="shared" si="4"/>
        <v>8</v>
      </c>
    </row>
    <row r="54" spans="1:37" ht="15.75" customHeight="1">
      <c r="A54" s="167" t="s">
        <v>122</v>
      </c>
      <c r="B54" s="167" t="s">
        <v>2056</v>
      </c>
      <c r="C54" s="22" t="s">
        <v>121</v>
      </c>
      <c r="D54" s="168">
        <v>1</v>
      </c>
      <c r="E54" s="169" t="b">
        <v>1</v>
      </c>
      <c r="F54" s="170" t="s">
        <v>1513</v>
      </c>
      <c r="G54" s="171">
        <v>1</v>
      </c>
      <c r="H54" s="171">
        <v>1</v>
      </c>
      <c r="I54" s="171">
        <v>1</v>
      </c>
      <c r="J54" s="171">
        <v>1</v>
      </c>
      <c r="K54" s="171">
        <v>1</v>
      </c>
      <c r="L54" s="171">
        <v>2</v>
      </c>
      <c r="M54" s="171"/>
      <c r="N54" s="171"/>
      <c r="O54" s="171"/>
      <c r="P54" s="171"/>
      <c r="Q54" s="171"/>
      <c r="R54" s="171"/>
      <c r="S54" s="171"/>
      <c r="T54" s="171"/>
      <c r="U54" s="171"/>
      <c r="V54" s="171"/>
      <c r="W54" s="171"/>
      <c r="X54" s="171"/>
      <c r="Y54" s="171"/>
      <c r="Z54" s="171"/>
      <c r="AA54" s="171"/>
      <c r="AB54" s="171"/>
      <c r="AC54" s="171"/>
      <c r="AD54" s="171"/>
      <c r="AE54" s="171">
        <v>1</v>
      </c>
      <c r="AF54" s="171"/>
      <c r="AG54" s="171"/>
      <c r="AH54" s="22"/>
      <c r="AI54" s="171"/>
      <c r="AJ54" s="22">
        <f t="shared" si="3"/>
        <v>7</v>
      </c>
      <c r="AK54" s="22">
        <f t="shared" si="4"/>
        <v>8</v>
      </c>
    </row>
    <row r="55" spans="1:37" ht="15.75" customHeight="1">
      <c r="A55" s="167" t="s">
        <v>124</v>
      </c>
      <c r="B55" s="167" t="s">
        <v>2056</v>
      </c>
      <c r="C55" s="22" t="s">
        <v>123</v>
      </c>
      <c r="D55" s="168">
        <v>1</v>
      </c>
      <c r="E55" s="169" t="b">
        <v>1</v>
      </c>
      <c r="F55" s="170" t="s">
        <v>1818</v>
      </c>
      <c r="G55" s="178">
        <v>1</v>
      </c>
      <c r="H55" s="171">
        <v>1</v>
      </c>
      <c r="I55" s="171">
        <v>1</v>
      </c>
      <c r="J55" s="171">
        <v>1</v>
      </c>
      <c r="K55" s="171">
        <v>1</v>
      </c>
      <c r="L55" s="171">
        <v>1</v>
      </c>
      <c r="M55" s="171"/>
      <c r="N55" s="171"/>
      <c r="O55" s="171"/>
      <c r="P55" s="171"/>
      <c r="Q55" s="171"/>
      <c r="R55" s="171"/>
      <c r="S55" s="171"/>
      <c r="T55" s="171"/>
      <c r="U55" s="171"/>
      <c r="V55" s="171"/>
      <c r="W55" s="171"/>
      <c r="X55" s="171"/>
      <c r="Y55" s="171"/>
      <c r="Z55" s="171"/>
      <c r="AA55" s="171"/>
      <c r="AB55" s="171"/>
      <c r="AC55" s="171"/>
      <c r="AD55" s="171"/>
      <c r="AE55" s="171"/>
      <c r="AF55" s="171"/>
      <c r="AG55" s="171"/>
      <c r="AH55" s="22"/>
      <c r="AI55" s="171"/>
      <c r="AJ55" s="22">
        <f t="shared" si="3"/>
        <v>6</v>
      </c>
      <c r="AK55" s="22">
        <f t="shared" si="4"/>
        <v>6</v>
      </c>
    </row>
    <row r="56" spans="1:37" ht="15.75" customHeight="1">
      <c r="A56" s="167" t="s">
        <v>126</v>
      </c>
      <c r="B56" s="167" t="s">
        <v>2056</v>
      </c>
      <c r="C56" s="22" t="s">
        <v>125</v>
      </c>
      <c r="D56" s="168">
        <v>1</v>
      </c>
      <c r="E56" s="169" t="b">
        <v>1</v>
      </c>
      <c r="F56" s="170" t="s">
        <v>1819</v>
      </c>
      <c r="G56" s="171">
        <v>1</v>
      </c>
      <c r="H56" s="171">
        <v>1</v>
      </c>
      <c r="I56" s="171">
        <v>1</v>
      </c>
      <c r="J56" s="171">
        <v>1</v>
      </c>
      <c r="K56" s="171">
        <v>1</v>
      </c>
      <c r="L56" s="171"/>
      <c r="M56" s="171">
        <v>1</v>
      </c>
      <c r="N56" s="171"/>
      <c r="O56" s="171"/>
      <c r="P56" s="171"/>
      <c r="Q56" s="171"/>
      <c r="R56" s="171"/>
      <c r="S56" s="171"/>
      <c r="T56" s="171"/>
      <c r="U56" s="171"/>
      <c r="V56" s="171"/>
      <c r="W56" s="171"/>
      <c r="X56" s="171"/>
      <c r="Y56" s="171"/>
      <c r="Z56" s="171"/>
      <c r="AA56" s="171"/>
      <c r="AB56" s="171"/>
      <c r="AC56" s="171"/>
      <c r="AD56" s="171"/>
      <c r="AE56" s="171"/>
      <c r="AF56" s="171"/>
      <c r="AG56" s="171"/>
      <c r="AH56" s="22"/>
      <c r="AI56" s="171"/>
      <c r="AJ56" s="22">
        <f t="shared" si="3"/>
        <v>6</v>
      </c>
      <c r="AK56" s="22">
        <f t="shared" si="4"/>
        <v>6</v>
      </c>
    </row>
    <row r="57" spans="1:37" ht="15.75" customHeight="1">
      <c r="A57" s="167" t="s">
        <v>128</v>
      </c>
      <c r="B57" s="167" t="s">
        <v>2056</v>
      </c>
      <c r="C57" s="22" t="s">
        <v>127</v>
      </c>
      <c r="D57" s="168">
        <v>1</v>
      </c>
      <c r="E57" s="169" t="b">
        <v>1</v>
      </c>
      <c r="F57" s="174" t="s">
        <v>1820</v>
      </c>
      <c r="G57" s="171">
        <v>1</v>
      </c>
      <c r="H57" s="171">
        <v>1</v>
      </c>
      <c r="I57" s="171">
        <v>1</v>
      </c>
      <c r="J57" s="171">
        <v>1</v>
      </c>
      <c r="K57" s="171">
        <v>1</v>
      </c>
      <c r="L57" s="171"/>
      <c r="M57" s="171"/>
      <c r="N57" s="171"/>
      <c r="O57" s="171"/>
      <c r="P57" s="171"/>
      <c r="Q57" s="171"/>
      <c r="R57" s="171"/>
      <c r="S57" s="171"/>
      <c r="T57" s="171"/>
      <c r="U57" s="171"/>
      <c r="V57" s="171"/>
      <c r="W57" s="171"/>
      <c r="X57" s="171"/>
      <c r="Y57" s="171"/>
      <c r="Z57" s="171"/>
      <c r="AA57" s="171"/>
      <c r="AB57" s="171"/>
      <c r="AC57" s="171"/>
      <c r="AD57" s="171"/>
      <c r="AE57" s="171"/>
      <c r="AF57" s="171"/>
      <c r="AG57" s="171">
        <v>1</v>
      </c>
      <c r="AH57" s="22"/>
      <c r="AI57" s="171" t="s">
        <v>1714</v>
      </c>
      <c r="AJ57" s="22">
        <f t="shared" si="3"/>
        <v>6</v>
      </c>
      <c r="AK57" s="22">
        <f t="shared" si="4"/>
        <v>6</v>
      </c>
    </row>
    <row r="58" spans="1:37" ht="15.75" customHeight="1">
      <c r="A58" s="167" t="s">
        <v>131</v>
      </c>
      <c r="B58" s="167" t="s">
        <v>2056</v>
      </c>
      <c r="C58" s="22" t="s">
        <v>130</v>
      </c>
      <c r="D58" s="168">
        <v>1</v>
      </c>
      <c r="E58" s="169" t="b">
        <v>1</v>
      </c>
      <c r="F58" s="170" t="s">
        <v>1432</v>
      </c>
      <c r="G58" s="171">
        <v>1</v>
      </c>
      <c r="H58" s="171">
        <v>1</v>
      </c>
      <c r="I58" s="171">
        <v>1</v>
      </c>
      <c r="J58" s="171">
        <v>1</v>
      </c>
      <c r="K58" s="171">
        <v>1</v>
      </c>
      <c r="L58" s="171">
        <v>3</v>
      </c>
      <c r="M58" s="171">
        <v>1</v>
      </c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1"/>
      <c r="AB58" s="171"/>
      <c r="AC58" s="171"/>
      <c r="AD58" s="171"/>
      <c r="AE58" s="171"/>
      <c r="AF58" s="171"/>
      <c r="AG58" s="171"/>
      <c r="AH58" s="22"/>
      <c r="AI58" s="171"/>
      <c r="AJ58" s="22">
        <f t="shared" si="3"/>
        <v>7</v>
      </c>
      <c r="AK58" s="22">
        <f t="shared" si="4"/>
        <v>9</v>
      </c>
    </row>
    <row r="59" spans="1:37" ht="15.75" customHeight="1">
      <c r="A59" s="167" t="s">
        <v>133</v>
      </c>
      <c r="B59" s="167" t="s">
        <v>2056</v>
      </c>
      <c r="C59" s="22" t="s">
        <v>132</v>
      </c>
      <c r="D59" s="168">
        <v>1</v>
      </c>
      <c r="E59" s="169" t="b">
        <v>1</v>
      </c>
      <c r="F59" s="170" t="s">
        <v>1978</v>
      </c>
      <c r="G59" s="171">
        <v>1</v>
      </c>
      <c r="H59" s="171">
        <v>1</v>
      </c>
      <c r="I59" s="171">
        <v>1</v>
      </c>
      <c r="J59" s="171">
        <v>1</v>
      </c>
      <c r="K59" s="171">
        <v>1</v>
      </c>
      <c r="L59" s="171"/>
      <c r="M59" s="171"/>
      <c r="N59" s="171"/>
      <c r="O59" s="171"/>
      <c r="P59" s="171"/>
      <c r="Q59" s="171"/>
      <c r="R59" s="171"/>
      <c r="S59" s="171"/>
      <c r="T59" s="171"/>
      <c r="U59" s="171"/>
      <c r="V59" s="171"/>
      <c r="W59" s="171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22"/>
      <c r="AI59" s="171"/>
      <c r="AJ59" s="22">
        <f t="shared" si="3"/>
        <v>5</v>
      </c>
      <c r="AK59" s="22">
        <f t="shared" si="4"/>
        <v>5</v>
      </c>
    </row>
    <row r="60" spans="1:37" ht="15.75" customHeight="1">
      <c r="A60" s="167" t="s">
        <v>135</v>
      </c>
      <c r="B60" s="167" t="s">
        <v>2056</v>
      </c>
      <c r="C60" s="22" t="s">
        <v>134</v>
      </c>
      <c r="D60" s="168">
        <v>1</v>
      </c>
      <c r="E60" s="169" t="b">
        <v>1</v>
      </c>
      <c r="F60" s="170" t="s">
        <v>1514</v>
      </c>
      <c r="G60" s="171">
        <v>1</v>
      </c>
      <c r="H60" s="171">
        <v>1</v>
      </c>
      <c r="I60" s="171">
        <v>1</v>
      </c>
      <c r="J60" s="171">
        <v>1</v>
      </c>
      <c r="K60" s="171">
        <v>1</v>
      </c>
      <c r="L60" s="171">
        <v>1</v>
      </c>
      <c r="M60" s="171"/>
      <c r="N60" s="171">
        <v>1</v>
      </c>
      <c r="O60" s="171"/>
      <c r="P60" s="171"/>
      <c r="Q60" s="171"/>
      <c r="R60" s="171"/>
      <c r="S60" s="171"/>
      <c r="T60" s="171"/>
      <c r="U60" s="171"/>
      <c r="V60" s="171"/>
      <c r="W60" s="171"/>
      <c r="X60" s="171">
        <v>1</v>
      </c>
      <c r="Y60" s="171"/>
      <c r="Z60" s="171"/>
      <c r="AA60" s="171"/>
      <c r="AB60" s="171"/>
      <c r="AC60" s="171"/>
      <c r="AD60" s="171"/>
      <c r="AE60" s="171"/>
      <c r="AF60" s="171"/>
      <c r="AG60" s="171"/>
      <c r="AH60" s="22"/>
      <c r="AI60" s="171"/>
      <c r="AJ60" s="22">
        <f t="shared" si="3"/>
        <v>8</v>
      </c>
      <c r="AK60" s="22">
        <f t="shared" si="4"/>
        <v>8</v>
      </c>
    </row>
    <row r="61" spans="1:37" ht="15.75" customHeight="1">
      <c r="A61" s="167" t="s">
        <v>137</v>
      </c>
      <c r="B61" s="167" t="s">
        <v>2056</v>
      </c>
      <c r="C61" s="22" t="s">
        <v>136</v>
      </c>
      <c r="D61" s="168">
        <v>1</v>
      </c>
      <c r="E61" s="169" t="b">
        <v>1</v>
      </c>
      <c r="F61" s="170" t="s">
        <v>1638</v>
      </c>
      <c r="G61" s="171">
        <v>1</v>
      </c>
      <c r="H61" s="171">
        <v>1</v>
      </c>
      <c r="I61" s="171">
        <v>1</v>
      </c>
      <c r="J61" s="171">
        <v>1</v>
      </c>
      <c r="K61" s="171">
        <v>1</v>
      </c>
      <c r="L61" s="171">
        <v>1</v>
      </c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1"/>
      <c r="AD61" s="171"/>
      <c r="AE61" s="171"/>
      <c r="AF61" s="171"/>
      <c r="AG61" s="171">
        <v>1</v>
      </c>
      <c r="AH61" s="22"/>
      <c r="AI61" s="171" t="s">
        <v>1413</v>
      </c>
      <c r="AJ61" s="22">
        <f t="shared" si="3"/>
        <v>7</v>
      </c>
      <c r="AK61" s="22">
        <f t="shared" si="4"/>
        <v>7</v>
      </c>
    </row>
    <row r="62" spans="1:37" ht="15.75" customHeight="1">
      <c r="A62" s="167" t="s">
        <v>1299</v>
      </c>
      <c r="B62" s="167" t="s">
        <v>2054</v>
      </c>
      <c r="C62" s="22" t="s">
        <v>1298</v>
      </c>
      <c r="D62" s="168">
        <v>1</v>
      </c>
      <c r="E62" s="169" t="b">
        <v>1</v>
      </c>
      <c r="F62" s="170" t="s">
        <v>1615</v>
      </c>
      <c r="G62" s="171">
        <v>1</v>
      </c>
      <c r="H62" s="171">
        <v>1</v>
      </c>
      <c r="I62" s="171">
        <v>1</v>
      </c>
      <c r="J62" s="171">
        <v>1</v>
      </c>
      <c r="K62" s="171"/>
      <c r="L62" s="171">
        <v>1</v>
      </c>
      <c r="M62" s="171">
        <v>1</v>
      </c>
      <c r="N62" s="171"/>
      <c r="O62" s="171"/>
      <c r="P62" s="171"/>
      <c r="Q62" s="171"/>
      <c r="R62" s="171">
        <v>1</v>
      </c>
      <c r="S62" s="171"/>
      <c r="T62" s="171"/>
      <c r="U62" s="171"/>
      <c r="V62" s="171"/>
      <c r="W62" s="171"/>
      <c r="X62" s="171"/>
      <c r="Y62" s="171"/>
      <c r="Z62" s="171"/>
      <c r="AA62" s="171"/>
      <c r="AB62" s="171"/>
      <c r="AC62" s="171">
        <v>1</v>
      </c>
      <c r="AD62" s="171"/>
      <c r="AE62" s="171"/>
      <c r="AF62" s="171"/>
      <c r="AG62" s="171"/>
      <c r="AH62" s="22"/>
      <c r="AI62" s="171"/>
      <c r="AJ62" s="22">
        <f t="shared" si="3"/>
        <v>8</v>
      </c>
      <c r="AK62" s="22">
        <f t="shared" si="4"/>
        <v>8</v>
      </c>
    </row>
    <row r="63" spans="1:37" ht="15.75" customHeight="1">
      <c r="A63" s="167" t="s">
        <v>139</v>
      </c>
      <c r="B63" s="167" t="s">
        <v>2056</v>
      </c>
      <c r="C63" s="22" t="s">
        <v>138</v>
      </c>
      <c r="D63" s="168">
        <v>1</v>
      </c>
      <c r="E63" s="169" t="b">
        <v>1</v>
      </c>
      <c r="F63" s="170" t="s">
        <v>1821</v>
      </c>
      <c r="G63" s="171">
        <v>1</v>
      </c>
      <c r="H63" s="171">
        <v>1</v>
      </c>
      <c r="I63" s="171">
        <v>1</v>
      </c>
      <c r="J63" s="171">
        <v>1</v>
      </c>
      <c r="K63" s="171">
        <v>1</v>
      </c>
      <c r="L63" s="171"/>
      <c r="M63" s="171"/>
      <c r="N63" s="171">
        <v>1</v>
      </c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  <c r="AA63" s="171"/>
      <c r="AB63" s="171"/>
      <c r="AC63" s="171"/>
      <c r="AD63" s="171"/>
      <c r="AE63" s="171"/>
      <c r="AF63" s="171"/>
      <c r="AG63" s="171"/>
      <c r="AH63" s="22"/>
      <c r="AI63" s="171"/>
      <c r="AJ63" s="22">
        <f t="shared" si="3"/>
        <v>6</v>
      </c>
      <c r="AK63" s="22">
        <f t="shared" si="4"/>
        <v>6</v>
      </c>
    </row>
    <row r="64" spans="1:37" ht="15.75" customHeight="1">
      <c r="A64" s="167" t="s">
        <v>141</v>
      </c>
      <c r="B64" s="167" t="s">
        <v>2056</v>
      </c>
      <c r="C64" s="22" t="s">
        <v>140</v>
      </c>
      <c r="D64" s="168">
        <v>1</v>
      </c>
      <c r="E64" s="169" t="b">
        <v>1</v>
      </c>
      <c r="F64" s="170" t="s">
        <v>1979</v>
      </c>
      <c r="G64" s="171">
        <v>1</v>
      </c>
      <c r="H64" s="171">
        <v>1</v>
      </c>
      <c r="I64" s="171">
        <v>1</v>
      </c>
      <c r="J64" s="171">
        <v>1</v>
      </c>
      <c r="K64" s="171">
        <v>1</v>
      </c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  <c r="AA64" s="171"/>
      <c r="AB64" s="171"/>
      <c r="AC64" s="171"/>
      <c r="AD64" s="171"/>
      <c r="AE64" s="171"/>
      <c r="AF64" s="171"/>
      <c r="AG64" s="171"/>
      <c r="AH64" s="22"/>
      <c r="AI64" s="171"/>
      <c r="AJ64" s="22">
        <f t="shared" si="3"/>
        <v>5</v>
      </c>
      <c r="AK64" s="22">
        <f t="shared" si="4"/>
        <v>5</v>
      </c>
    </row>
    <row r="65" spans="1:37" ht="15.75" customHeight="1">
      <c r="A65" s="167" t="s">
        <v>143</v>
      </c>
      <c r="B65" s="167" t="s">
        <v>2056</v>
      </c>
      <c r="C65" s="22" t="s">
        <v>142</v>
      </c>
      <c r="D65" s="168">
        <v>1</v>
      </c>
      <c r="E65" s="169" t="b">
        <v>1</v>
      </c>
      <c r="F65" s="170" t="s">
        <v>1822</v>
      </c>
      <c r="G65" s="171">
        <v>1</v>
      </c>
      <c r="H65" s="171">
        <v>1</v>
      </c>
      <c r="I65" s="171">
        <v>1</v>
      </c>
      <c r="J65" s="171">
        <v>1</v>
      </c>
      <c r="K65" s="171">
        <v>1</v>
      </c>
      <c r="L65" s="171"/>
      <c r="M65" s="171"/>
      <c r="N65" s="171"/>
      <c r="O65" s="171"/>
      <c r="P65" s="171">
        <v>1</v>
      </c>
      <c r="Q65" s="171"/>
      <c r="R65" s="171"/>
      <c r="S65" s="171"/>
      <c r="T65" s="171"/>
      <c r="U65" s="171"/>
      <c r="V65" s="171"/>
      <c r="W65" s="171"/>
      <c r="X65" s="171"/>
      <c r="Y65" s="171"/>
      <c r="Z65" s="171"/>
      <c r="AA65" s="171"/>
      <c r="AB65" s="171"/>
      <c r="AC65" s="171"/>
      <c r="AD65" s="171"/>
      <c r="AE65" s="171"/>
      <c r="AF65" s="171"/>
      <c r="AG65" s="171"/>
      <c r="AH65" s="22"/>
      <c r="AI65" s="171"/>
      <c r="AJ65" s="22">
        <f t="shared" si="3"/>
        <v>6</v>
      </c>
      <c r="AK65" s="22">
        <f t="shared" si="4"/>
        <v>6</v>
      </c>
    </row>
    <row r="66" spans="1:37" ht="15.75" customHeight="1">
      <c r="A66" s="167" t="s">
        <v>145</v>
      </c>
      <c r="B66" s="167" t="s">
        <v>2056</v>
      </c>
      <c r="C66" s="22" t="s">
        <v>144</v>
      </c>
      <c r="D66" s="168">
        <v>1</v>
      </c>
      <c r="E66" s="169" t="b">
        <v>1</v>
      </c>
      <c r="F66" s="170" t="s">
        <v>1980</v>
      </c>
      <c r="G66" s="171">
        <v>1</v>
      </c>
      <c r="H66" s="171">
        <v>1</v>
      </c>
      <c r="I66" s="171">
        <v>1</v>
      </c>
      <c r="J66" s="171">
        <v>1</v>
      </c>
      <c r="K66" s="171">
        <v>1</v>
      </c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  <c r="AA66" s="171"/>
      <c r="AB66" s="171"/>
      <c r="AC66" s="171"/>
      <c r="AD66" s="171"/>
      <c r="AE66" s="171"/>
      <c r="AF66" s="171"/>
      <c r="AG66" s="171"/>
      <c r="AH66" s="22"/>
      <c r="AI66" s="171"/>
      <c r="AJ66" s="22">
        <f t="shared" si="3"/>
        <v>5</v>
      </c>
      <c r="AK66" s="22">
        <f t="shared" si="4"/>
        <v>5</v>
      </c>
    </row>
    <row r="67" spans="1:37" ht="15.75" customHeight="1">
      <c r="A67" s="167" t="s">
        <v>147</v>
      </c>
      <c r="B67" s="167" t="s">
        <v>2056</v>
      </c>
      <c r="C67" s="22" t="s">
        <v>146</v>
      </c>
      <c r="D67" s="168">
        <v>1</v>
      </c>
      <c r="E67" s="169" t="b">
        <v>1</v>
      </c>
      <c r="F67" s="174" t="s">
        <v>1515</v>
      </c>
      <c r="G67" s="171">
        <v>1</v>
      </c>
      <c r="H67" s="171">
        <v>1</v>
      </c>
      <c r="I67" s="171">
        <v>1</v>
      </c>
      <c r="J67" s="171">
        <v>1</v>
      </c>
      <c r="K67" s="171">
        <v>1</v>
      </c>
      <c r="L67" s="171">
        <v>2</v>
      </c>
      <c r="M67" s="171">
        <v>1</v>
      </c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  <c r="AA67" s="171"/>
      <c r="AB67" s="171"/>
      <c r="AC67" s="171"/>
      <c r="AD67" s="171"/>
      <c r="AE67" s="171"/>
      <c r="AF67" s="171"/>
      <c r="AG67" s="171"/>
      <c r="AH67" s="22"/>
      <c r="AI67" s="171"/>
      <c r="AJ67" s="22">
        <f t="shared" si="3"/>
        <v>7</v>
      </c>
      <c r="AK67" s="22">
        <f t="shared" si="4"/>
        <v>8</v>
      </c>
    </row>
    <row r="68" spans="1:37" ht="15.75" customHeight="1">
      <c r="A68" s="167" t="s">
        <v>149</v>
      </c>
      <c r="B68" s="167" t="s">
        <v>2056</v>
      </c>
      <c r="C68" s="22" t="s">
        <v>148</v>
      </c>
      <c r="D68" s="168">
        <v>1</v>
      </c>
      <c r="E68" s="169" t="b">
        <v>1</v>
      </c>
      <c r="F68" s="170" t="s">
        <v>1639</v>
      </c>
      <c r="G68" s="171">
        <v>1</v>
      </c>
      <c r="H68" s="171">
        <v>1</v>
      </c>
      <c r="I68" s="171">
        <v>1</v>
      </c>
      <c r="J68" s="171">
        <v>1</v>
      </c>
      <c r="K68" s="171">
        <v>1</v>
      </c>
      <c r="L68" s="171">
        <v>1</v>
      </c>
      <c r="M68" s="171">
        <v>1</v>
      </c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  <c r="AA68" s="171"/>
      <c r="AB68" s="171"/>
      <c r="AC68" s="171"/>
      <c r="AD68" s="171"/>
      <c r="AE68" s="171"/>
      <c r="AF68" s="171"/>
      <c r="AG68" s="171"/>
      <c r="AH68" s="22"/>
      <c r="AI68" s="171"/>
      <c r="AJ68" s="22">
        <f t="shared" si="3"/>
        <v>7</v>
      </c>
      <c r="AK68" s="22">
        <f t="shared" si="4"/>
        <v>7</v>
      </c>
    </row>
    <row r="69" spans="1:37" ht="15.75" customHeight="1">
      <c r="A69" s="167" t="s">
        <v>151</v>
      </c>
      <c r="B69" s="167" t="s">
        <v>2056</v>
      </c>
      <c r="C69" s="22" t="s">
        <v>150</v>
      </c>
      <c r="D69" s="168">
        <v>1</v>
      </c>
      <c r="E69" s="169" t="b">
        <v>1</v>
      </c>
      <c r="F69" s="170" t="s">
        <v>1823</v>
      </c>
      <c r="G69" s="171">
        <v>1</v>
      </c>
      <c r="H69" s="171">
        <v>1</v>
      </c>
      <c r="I69" s="171">
        <v>1</v>
      </c>
      <c r="J69" s="171">
        <v>1</v>
      </c>
      <c r="K69" s="171">
        <v>1</v>
      </c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  <c r="AA69" s="171"/>
      <c r="AB69" s="171">
        <v>1</v>
      </c>
      <c r="AC69" s="171"/>
      <c r="AD69" s="171"/>
      <c r="AE69" s="171"/>
      <c r="AF69" s="171"/>
      <c r="AG69" s="171"/>
      <c r="AH69" s="22"/>
      <c r="AI69" s="171"/>
      <c r="AJ69" s="22">
        <f t="shared" si="3"/>
        <v>6</v>
      </c>
      <c r="AK69" s="22">
        <f t="shared" si="4"/>
        <v>6</v>
      </c>
    </row>
    <row r="70" spans="1:37" ht="15.75" customHeight="1">
      <c r="A70" s="167" t="s">
        <v>153</v>
      </c>
      <c r="B70" s="167" t="s">
        <v>2056</v>
      </c>
      <c r="C70" s="22" t="s">
        <v>152</v>
      </c>
      <c r="D70" s="168">
        <v>1</v>
      </c>
      <c r="E70" s="169" t="b">
        <v>1</v>
      </c>
      <c r="F70" s="170" t="s">
        <v>1824</v>
      </c>
      <c r="G70" s="171">
        <v>1</v>
      </c>
      <c r="H70" s="171">
        <v>1</v>
      </c>
      <c r="I70" s="171">
        <v>1</v>
      </c>
      <c r="J70" s="171">
        <v>1</v>
      </c>
      <c r="K70" s="171">
        <v>1</v>
      </c>
      <c r="L70" s="171"/>
      <c r="M70" s="171">
        <v>1</v>
      </c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  <c r="AA70" s="171"/>
      <c r="AB70" s="171"/>
      <c r="AC70" s="171"/>
      <c r="AD70" s="171"/>
      <c r="AE70" s="171"/>
      <c r="AF70" s="171"/>
      <c r="AG70" s="171"/>
      <c r="AH70" s="22"/>
      <c r="AI70" s="171"/>
      <c r="AJ70" s="22">
        <f t="shared" si="3"/>
        <v>6</v>
      </c>
      <c r="AK70" s="22">
        <f t="shared" si="4"/>
        <v>6</v>
      </c>
    </row>
    <row r="71" spans="1:37" ht="15.75" customHeight="1">
      <c r="A71" s="167" t="s">
        <v>155</v>
      </c>
      <c r="B71" s="167" t="s">
        <v>2056</v>
      </c>
      <c r="C71" s="22" t="s">
        <v>154</v>
      </c>
      <c r="D71" s="168">
        <v>1</v>
      </c>
      <c r="E71" s="169" t="b">
        <v>1</v>
      </c>
      <c r="F71" s="174" t="s">
        <v>1640</v>
      </c>
      <c r="G71" s="178">
        <v>1</v>
      </c>
      <c r="H71" s="178">
        <v>1</v>
      </c>
      <c r="I71" s="178">
        <v>1</v>
      </c>
      <c r="J71" s="178">
        <v>1</v>
      </c>
      <c r="K71" s="178">
        <v>1</v>
      </c>
      <c r="L71" s="178"/>
      <c r="M71" s="178"/>
      <c r="N71" s="178"/>
      <c r="O71" s="178"/>
      <c r="P71" s="178"/>
      <c r="Q71" s="178"/>
      <c r="R71" s="178"/>
      <c r="S71" s="178"/>
      <c r="T71" s="178"/>
      <c r="U71" s="178"/>
      <c r="V71" s="178"/>
      <c r="W71" s="178"/>
      <c r="X71" s="178"/>
      <c r="Y71" s="178"/>
      <c r="Z71" s="178"/>
      <c r="AA71" s="178"/>
      <c r="AB71" s="178">
        <v>1</v>
      </c>
      <c r="AC71" s="178"/>
      <c r="AD71" s="178"/>
      <c r="AE71" s="178"/>
      <c r="AF71" s="178"/>
      <c r="AG71" s="178">
        <v>1</v>
      </c>
      <c r="AH71" s="22"/>
      <c r="AI71" s="171" t="s">
        <v>1641</v>
      </c>
      <c r="AJ71" s="22">
        <f t="shared" si="3"/>
        <v>7</v>
      </c>
      <c r="AK71" s="22">
        <f t="shared" si="4"/>
        <v>7</v>
      </c>
    </row>
    <row r="72" spans="1:37" ht="15.75" customHeight="1">
      <c r="A72" s="167" t="s">
        <v>157</v>
      </c>
      <c r="B72" s="167" t="s">
        <v>2056</v>
      </c>
      <c r="C72" s="22" t="s">
        <v>156</v>
      </c>
      <c r="D72" s="168">
        <v>1</v>
      </c>
      <c r="E72" s="169" t="b">
        <v>1</v>
      </c>
      <c r="F72" s="170" t="s">
        <v>1437</v>
      </c>
      <c r="G72" s="171">
        <v>1</v>
      </c>
      <c r="H72" s="171">
        <v>1</v>
      </c>
      <c r="I72" s="171">
        <v>1</v>
      </c>
      <c r="J72" s="171">
        <v>1</v>
      </c>
      <c r="K72" s="171">
        <v>1</v>
      </c>
      <c r="L72" s="171">
        <v>1</v>
      </c>
      <c r="M72" s="171"/>
      <c r="N72" s="171">
        <v>1</v>
      </c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  <c r="AA72" s="171"/>
      <c r="AB72" s="171"/>
      <c r="AC72" s="171"/>
      <c r="AD72" s="171"/>
      <c r="AE72" s="171"/>
      <c r="AF72" s="171"/>
      <c r="AG72" s="171"/>
      <c r="AH72" s="22"/>
      <c r="AI72" s="171"/>
      <c r="AJ72" s="22">
        <f t="shared" si="3"/>
        <v>7</v>
      </c>
      <c r="AK72" s="22">
        <f t="shared" si="4"/>
        <v>7</v>
      </c>
    </row>
    <row r="73" spans="1:37" ht="15.75" customHeight="1">
      <c r="A73" s="167" t="s">
        <v>159</v>
      </c>
      <c r="B73" s="167" t="s">
        <v>2056</v>
      </c>
      <c r="C73" s="22" t="s">
        <v>158</v>
      </c>
      <c r="D73" s="168">
        <v>1</v>
      </c>
      <c r="E73" s="169" t="b">
        <v>1</v>
      </c>
      <c r="F73" s="170" t="s">
        <v>1437</v>
      </c>
      <c r="G73" s="171">
        <v>1</v>
      </c>
      <c r="H73" s="171">
        <v>1</v>
      </c>
      <c r="I73" s="171">
        <v>1</v>
      </c>
      <c r="J73" s="171">
        <v>1</v>
      </c>
      <c r="K73" s="171">
        <v>1</v>
      </c>
      <c r="L73" s="171"/>
      <c r="M73" s="171"/>
      <c r="N73" s="171">
        <v>1</v>
      </c>
      <c r="O73" s="171"/>
      <c r="P73" s="171"/>
      <c r="Q73" s="171"/>
      <c r="R73" s="171"/>
      <c r="S73" s="171"/>
      <c r="T73" s="171"/>
      <c r="U73" s="171"/>
      <c r="V73" s="171"/>
      <c r="W73" s="171">
        <v>1</v>
      </c>
      <c r="X73" s="171"/>
      <c r="Y73" s="171"/>
      <c r="Z73" s="171"/>
      <c r="AA73" s="171"/>
      <c r="AB73" s="171"/>
      <c r="AC73" s="171"/>
      <c r="AD73" s="171"/>
      <c r="AE73" s="171"/>
      <c r="AF73" s="171"/>
      <c r="AG73" s="171"/>
      <c r="AH73" s="22"/>
      <c r="AI73" s="171"/>
      <c r="AJ73" s="22">
        <f t="shared" si="3"/>
        <v>7</v>
      </c>
      <c r="AK73" s="22">
        <f t="shared" si="4"/>
        <v>7</v>
      </c>
    </row>
    <row r="74" spans="1:37" ht="15.75" customHeight="1">
      <c r="A74" s="167" t="s">
        <v>161</v>
      </c>
      <c r="B74" s="167" t="s">
        <v>2056</v>
      </c>
      <c r="C74" s="22" t="s">
        <v>160</v>
      </c>
      <c r="D74" s="168">
        <v>1</v>
      </c>
      <c r="E74" s="169" t="b">
        <v>1</v>
      </c>
      <c r="F74" s="170" t="s">
        <v>1642</v>
      </c>
      <c r="G74" s="171">
        <v>1</v>
      </c>
      <c r="H74" s="171">
        <v>1</v>
      </c>
      <c r="I74" s="171">
        <v>1</v>
      </c>
      <c r="J74" s="171">
        <v>1</v>
      </c>
      <c r="K74" s="171">
        <v>1</v>
      </c>
      <c r="L74" s="171">
        <v>1</v>
      </c>
      <c r="M74" s="171"/>
      <c r="N74" s="171"/>
      <c r="O74" s="171"/>
      <c r="P74" s="171">
        <v>1</v>
      </c>
      <c r="Q74" s="171"/>
      <c r="R74" s="171"/>
      <c r="S74" s="171"/>
      <c r="T74" s="171"/>
      <c r="U74" s="171"/>
      <c r="V74" s="171"/>
      <c r="W74" s="171"/>
      <c r="X74" s="171"/>
      <c r="Y74" s="171"/>
      <c r="Z74" s="171"/>
      <c r="AA74" s="171"/>
      <c r="AB74" s="171"/>
      <c r="AC74" s="171"/>
      <c r="AD74" s="171"/>
      <c r="AE74" s="171"/>
      <c r="AF74" s="171"/>
      <c r="AG74" s="171"/>
      <c r="AH74" s="22"/>
      <c r="AI74" s="171"/>
      <c r="AJ74" s="22">
        <f t="shared" si="3"/>
        <v>7</v>
      </c>
      <c r="AK74" s="22">
        <f t="shared" si="4"/>
        <v>7</v>
      </c>
    </row>
    <row r="75" spans="1:37" ht="15.75" customHeight="1">
      <c r="A75" s="167" t="s">
        <v>163</v>
      </c>
      <c r="B75" s="167" t="s">
        <v>2056</v>
      </c>
      <c r="C75" s="22" t="s">
        <v>162</v>
      </c>
      <c r="D75" s="168">
        <v>1</v>
      </c>
      <c r="E75" s="169" t="b">
        <v>1</v>
      </c>
      <c r="F75" s="170" t="s">
        <v>1405</v>
      </c>
      <c r="G75" s="171">
        <v>1</v>
      </c>
      <c r="H75" s="171">
        <v>1</v>
      </c>
      <c r="I75" s="171">
        <v>1</v>
      </c>
      <c r="J75" s="171">
        <v>1</v>
      </c>
      <c r="K75" s="171">
        <v>1</v>
      </c>
      <c r="L75" s="171">
        <v>3</v>
      </c>
      <c r="M75" s="171"/>
      <c r="N75" s="171">
        <v>1</v>
      </c>
      <c r="O75" s="171"/>
      <c r="P75" s="171"/>
      <c r="Q75" s="171"/>
      <c r="R75" s="171"/>
      <c r="S75" s="171">
        <v>1</v>
      </c>
      <c r="T75" s="171"/>
      <c r="U75" s="171"/>
      <c r="V75" s="171"/>
      <c r="W75" s="171"/>
      <c r="X75" s="171"/>
      <c r="Y75" s="171"/>
      <c r="Z75" s="171"/>
      <c r="AA75" s="171"/>
      <c r="AB75" s="171"/>
      <c r="AC75" s="171"/>
      <c r="AD75" s="171"/>
      <c r="AE75" s="171"/>
      <c r="AF75" s="171"/>
      <c r="AG75" s="171"/>
      <c r="AH75" s="22"/>
      <c r="AI75" s="171"/>
      <c r="AJ75" s="22">
        <f t="shared" si="3"/>
        <v>8</v>
      </c>
      <c r="AK75" s="22">
        <f t="shared" si="4"/>
        <v>10</v>
      </c>
    </row>
    <row r="76" spans="1:37" ht="15.75" customHeight="1">
      <c r="A76" s="167" t="s">
        <v>165</v>
      </c>
      <c r="B76" s="167" t="s">
        <v>2056</v>
      </c>
      <c r="C76" s="22" t="s">
        <v>164</v>
      </c>
      <c r="D76" s="168">
        <v>1</v>
      </c>
      <c r="E76" s="169" t="b">
        <v>1</v>
      </c>
      <c r="F76" s="170" t="s">
        <v>1405</v>
      </c>
      <c r="G76" s="171">
        <v>1</v>
      </c>
      <c r="H76" s="171">
        <v>1</v>
      </c>
      <c r="I76" s="171">
        <v>1</v>
      </c>
      <c r="J76" s="171">
        <v>1</v>
      </c>
      <c r="K76" s="171">
        <v>1</v>
      </c>
      <c r="L76" s="171">
        <v>1</v>
      </c>
      <c r="M76" s="171">
        <v>1</v>
      </c>
      <c r="N76" s="171"/>
      <c r="O76" s="171"/>
      <c r="P76" s="171"/>
      <c r="Q76" s="171"/>
      <c r="R76" s="171"/>
      <c r="S76" s="171">
        <v>1</v>
      </c>
      <c r="T76" s="171"/>
      <c r="U76" s="171"/>
      <c r="V76" s="171"/>
      <c r="W76" s="171"/>
      <c r="X76" s="171"/>
      <c r="Y76" s="171"/>
      <c r="Z76" s="171"/>
      <c r="AA76" s="171"/>
      <c r="AB76" s="171"/>
      <c r="AC76" s="171"/>
      <c r="AD76" s="171"/>
      <c r="AE76" s="171"/>
      <c r="AF76" s="171"/>
      <c r="AG76" s="171">
        <v>1</v>
      </c>
      <c r="AH76" s="22"/>
      <c r="AI76" s="171" t="s">
        <v>1433</v>
      </c>
      <c r="AJ76" s="22">
        <f t="shared" si="3"/>
        <v>9</v>
      </c>
      <c r="AK76" s="22">
        <f t="shared" si="4"/>
        <v>9</v>
      </c>
    </row>
    <row r="77" spans="1:37" ht="15.75" customHeight="1">
      <c r="A77" s="167" t="s">
        <v>167</v>
      </c>
      <c r="B77" s="167" t="s">
        <v>2056</v>
      </c>
      <c r="C77" s="22" t="s">
        <v>166</v>
      </c>
      <c r="D77" s="168">
        <v>1</v>
      </c>
      <c r="E77" s="169" t="b">
        <v>1</v>
      </c>
      <c r="F77" s="170" t="s">
        <v>1405</v>
      </c>
      <c r="G77" s="171">
        <v>1</v>
      </c>
      <c r="H77" s="171">
        <v>1</v>
      </c>
      <c r="I77" s="171">
        <v>1</v>
      </c>
      <c r="J77" s="171">
        <v>1</v>
      </c>
      <c r="K77" s="171">
        <v>1</v>
      </c>
      <c r="L77" s="171">
        <v>3</v>
      </c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22"/>
      <c r="AI77" s="171"/>
      <c r="AJ77" s="22">
        <f t="shared" si="3"/>
        <v>6</v>
      </c>
      <c r="AK77" s="22">
        <f t="shared" si="4"/>
        <v>8</v>
      </c>
    </row>
    <row r="78" spans="1:37" ht="15.75" customHeight="1">
      <c r="A78" s="167" t="s">
        <v>169</v>
      </c>
      <c r="B78" s="167" t="s">
        <v>2056</v>
      </c>
      <c r="C78" s="22" t="s">
        <v>168</v>
      </c>
      <c r="D78" s="168">
        <v>1</v>
      </c>
      <c r="E78" s="169" t="b">
        <v>1</v>
      </c>
      <c r="F78" s="170" t="s">
        <v>1825</v>
      </c>
      <c r="G78" s="171">
        <v>1</v>
      </c>
      <c r="H78" s="171">
        <v>1</v>
      </c>
      <c r="I78" s="171">
        <v>1</v>
      </c>
      <c r="J78" s="171">
        <v>1</v>
      </c>
      <c r="K78" s="171">
        <v>1</v>
      </c>
      <c r="L78" s="171">
        <v>1</v>
      </c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22"/>
      <c r="AI78" s="171"/>
      <c r="AJ78" s="22">
        <f t="shared" si="3"/>
        <v>6</v>
      </c>
      <c r="AK78" s="22">
        <f t="shared" si="4"/>
        <v>6</v>
      </c>
    </row>
    <row r="79" spans="1:37" ht="15.75" customHeight="1">
      <c r="A79" s="167" t="s">
        <v>1301</v>
      </c>
      <c r="B79" s="167" t="s">
        <v>2054</v>
      </c>
      <c r="C79" s="22" t="s">
        <v>1300</v>
      </c>
      <c r="D79" s="168">
        <v>1</v>
      </c>
      <c r="E79" s="169" t="b">
        <v>1</v>
      </c>
      <c r="F79" s="170" t="s">
        <v>1616</v>
      </c>
      <c r="G79" s="171">
        <v>1</v>
      </c>
      <c r="H79" s="171">
        <v>1</v>
      </c>
      <c r="I79" s="171">
        <v>1</v>
      </c>
      <c r="J79" s="171">
        <v>1</v>
      </c>
      <c r="K79" s="171">
        <v>1</v>
      </c>
      <c r="L79" s="171"/>
      <c r="M79" s="171"/>
      <c r="N79" s="171"/>
      <c r="O79" s="171"/>
      <c r="P79" s="171"/>
      <c r="Q79" s="171"/>
      <c r="R79" s="171">
        <v>1</v>
      </c>
      <c r="S79" s="171"/>
      <c r="T79" s="171"/>
      <c r="U79" s="171"/>
      <c r="V79" s="171"/>
      <c r="W79" s="171"/>
      <c r="X79" s="171">
        <v>1</v>
      </c>
      <c r="Y79" s="171"/>
      <c r="Z79" s="171"/>
      <c r="AA79" s="171"/>
      <c r="AB79" s="171"/>
      <c r="AC79" s="171"/>
      <c r="AD79" s="171"/>
      <c r="AE79" s="171"/>
      <c r="AF79" s="171"/>
      <c r="AG79" s="171">
        <v>1</v>
      </c>
      <c r="AH79" s="22"/>
      <c r="AI79" s="171" t="s">
        <v>1617</v>
      </c>
      <c r="AJ79" s="22">
        <f t="shared" si="3"/>
        <v>8</v>
      </c>
      <c r="AK79" s="22">
        <f t="shared" si="4"/>
        <v>8</v>
      </c>
    </row>
    <row r="80" spans="1:37" ht="15.75" customHeight="1">
      <c r="A80" s="167" t="s">
        <v>171</v>
      </c>
      <c r="B80" s="167" t="s">
        <v>2056</v>
      </c>
      <c r="C80" s="22" t="s">
        <v>170</v>
      </c>
      <c r="D80" s="168">
        <v>1</v>
      </c>
      <c r="E80" s="169" t="b">
        <v>1</v>
      </c>
      <c r="F80" s="170" t="s">
        <v>1434</v>
      </c>
      <c r="G80" s="171">
        <v>1</v>
      </c>
      <c r="H80" s="171">
        <v>1</v>
      </c>
      <c r="I80" s="171">
        <v>1</v>
      </c>
      <c r="J80" s="171">
        <v>1</v>
      </c>
      <c r="K80" s="171">
        <v>1</v>
      </c>
      <c r="L80" s="171">
        <v>3</v>
      </c>
      <c r="M80" s="171">
        <v>1</v>
      </c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  <c r="AA80" s="171"/>
      <c r="AB80" s="171"/>
      <c r="AC80" s="171"/>
      <c r="AD80" s="171"/>
      <c r="AE80" s="171"/>
      <c r="AF80" s="171"/>
      <c r="AG80" s="171"/>
      <c r="AH80" s="22"/>
      <c r="AI80" s="171"/>
      <c r="AJ80" s="22">
        <f t="shared" si="3"/>
        <v>7</v>
      </c>
      <c r="AK80" s="22">
        <f t="shared" si="4"/>
        <v>9</v>
      </c>
    </row>
    <row r="81" spans="1:37" ht="15.75" customHeight="1">
      <c r="A81" s="167" t="s">
        <v>173</v>
      </c>
      <c r="B81" s="167" t="s">
        <v>2056</v>
      </c>
      <c r="C81" s="22" t="s">
        <v>172</v>
      </c>
      <c r="D81" s="168">
        <v>1</v>
      </c>
      <c r="E81" s="169" t="b">
        <v>1</v>
      </c>
      <c r="F81" s="170" t="s">
        <v>1826</v>
      </c>
      <c r="G81" s="171">
        <v>1</v>
      </c>
      <c r="H81" s="171">
        <v>1</v>
      </c>
      <c r="I81" s="171">
        <v>1</v>
      </c>
      <c r="J81" s="171">
        <v>1</v>
      </c>
      <c r="K81" s="171">
        <v>1</v>
      </c>
      <c r="L81" s="171"/>
      <c r="M81" s="171">
        <v>1</v>
      </c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  <c r="AA81" s="171"/>
      <c r="AB81" s="171"/>
      <c r="AC81" s="171"/>
      <c r="AD81" s="171"/>
      <c r="AE81" s="171"/>
      <c r="AF81" s="171"/>
      <c r="AG81" s="171"/>
      <c r="AH81" s="22"/>
      <c r="AI81" s="171"/>
      <c r="AJ81" s="22">
        <f t="shared" si="3"/>
        <v>6</v>
      </c>
      <c r="AK81" s="22">
        <f t="shared" si="4"/>
        <v>6</v>
      </c>
    </row>
    <row r="82" spans="1:37" ht="15.75" customHeight="1">
      <c r="A82" s="167" t="s">
        <v>175</v>
      </c>
      <c r="B82" s="167" t="s">
        <v>2056</v>
      </c>
      <c r="C82" s="22" t="s">
        <v>174</v>
      </c>
      <c r="D82" s="168">
        <v>1</v>
      </c>
      <c r="E82" s="169" t="b">
        <v>1</v>
      </c>
      <c r="F82" s="170" t="s">
        <v>1643</v>
      </c>
      <c r="G82" s="171">
        <v>1</v>
      </c>
      <c r="H82" s="171">
        <v>1</v>
      </c>
      <c r="I82" s="171">
        <v>1</v>
      </c>
      <c r="J82" s="171">
        <v>1</v>
      </c>
      <c r="K82" s="171">
        <v>1</v>
      </c>
      <c r="L82" s="171">
        <v>1</v>
      </c>
      <c r="M82" s="171">
        <v>1</v>
      </c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  <c r="AA82" s="171"/>
      <c r="AB82" s="171"/>
      <c r="AC82" s="171"/>
      <c r="AD82" s="171"/>
      <c r="AE82" s="171"/>
      <c r="AF82" s="171"/>
      <c r="AG82" s="171"/>
      <c r="AH82" s="22"/>
      <c r="AI82" s="171"/>
      <c r="AJ82" s="22">
        <f t="shared" si="3"/>
        <v>7</v>
      </c>
      <c r="AK82" s="22">
        <f t="shared" si="4"/>
        <v>7</v>
      </c>
    </row>
    <row r="83" spans="1:37" ht="15.75" customHeight="1">
      <c r="A83" s="167" t="s">
        <v>177</v>
      </c>
      <c r="B83" s="167" t="s">
        <v>2056</v>
      </c>
      <c r="C83" s="22" t="s">
        <v>176</v>
      </c>
      <c r="D83" s="168">
        <v>1</v>
      </c>
      <c r="E83" s="169" t="b">
        <v>1</v>
      </c>
      <c r="F83" s="170" t="s">
        <v>1827</v>
      </c>
      <c r="G83" s="171">
        <v>1</v>
      </c>
      <c r="H83" s="171">
        <v>1</v>
      </c>
      <c r="I83" s="171">
        <v>1</v>
      </c>
      <c r="J83" s="171">
        <v>1</v>
      </c>
      <c r="K83" s="171">
        <v>1</v>
      </c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  <c r="AA83" s="171"/>
      <c r="AB83" s="171">
        <v>1</v>
      </c>
      <c r="AC83" s="171"/>
      <c r="AD83" s="171"/>
      <c r="AE83" s="171"/>
      <c r="AF83" s="171"/>
      <c r="AG83" s="171"/>
      <c r="AH83" s="22"/>
      <c r="AI83" s="171"/>
      <c r="AJ83" s="22">
        <f t="shared" si="3"/>
        <v>6</v>
      </c>
      <c r="AK83" s="22">
        <f t="shared" si="4"/>
        <v>6</v>
      </c>
    </row>
    <row r="84" spans="1:37" ht="15.75" customHeight="1">
      <c r="A84" s="167" t="s">
        <v>1303</v>
      </c>
      <c r="B84" s="167" t="s">
        <v>2054</v>
      </c>
      <c r="C84" s="22" t="s">
        <v>1302</v>
      </c>
      <c r="D84" s="168">
        <v>1</v>
      </c>
      <c r="E84" s="169" t="b">
        <v>1</v>
      </c>
      <c r="F84" s="170" t="s">
        <v>1787</v>
      </c>
      <c r="G84" s="171">
        <v>1</v>
      </c>
      <c r="H84" s="171">
        <v>1</v>
      </c>
      <c r="I84" s="171">
        <v>1</v>
      </c>
      <c r="J84" s="171">
        <v>1</v>
      </c>
      <c r="K84" s="171">
        <v>1</v>
      </c>
      <c r="L84" s="171">
        <v>1</v>
      </c>
      <c r="M84" s="171"/>
      <c r="N84" s="171"/>
      <c r="O84" s="171"/>
      <c r="P84" s="171"/>
      <c r="Q84" s="171"/>
      <c r="R84" s="171">
        <v>1</v>
      </c>
      <c r="S84" s="171"/>
      <c r="T84" s="171"/>
      <c r="U84" s="171"/>
      <c r="V84" s="171"/>
      <c r="W84" s="171"/>
      <c r="X84" s="171"/>
      <c r="Y84" s="171"/>
      <c r="Z84" s="171"/>
      <c r="AA84" s="171"/>
      <c r="AB84" s="171"/>
      <c r="AC84" s="171"/>
      <c r="AD84" s="171"/>
      <c r="AE84" s="171"/>
      <c r="AF84" s="171"/>
      <c r="AG84" s="171"/>
      <c r="AH84" s="22"/>
      <c r="AI84" s="171"/>
      <c r="AJ84" s="22">
        <f t="shared" si="3"/>
        <v>7</v>
      </c>
      <c r="AK84" s="22">
        <f t="shared" si="4"/>
        <v>7</v>
      </c>
    </row>
    <row r="85" spans="1:37" ht="15.75" customHeight="1">
      <c r="A85" s="167" t="s">
        <v>179</v>
      </c>
      <c r="B85" s="167" t="s">
        <v>2056</v>
      </c>
      <c r="C85" s="22" t="s">
        <v>178</v>
      </c>
      <c r="D85" s="168">
        <v>1</v>
      </c>
      <c r="E85" s="169" t="b">
        <v>1</v>
      </c>
      <c r="F85" s="170" t="s">
        <v>1644</v>
      </c>
      <c r="G85" s="171">
        <v>1</v>
      </c>
      <c r="H85" s="171">
        <v>1</v>
      </c>
      <c r="I85" s="171">
        <v>1</v>
      </c>
      <c r="J85" s="171">
        <v>1</v>
      </c>
      <c r="K85" s="171">
        <v>1</v>
      </c>
      <c r="L85" s="171">
        <v>1</v>
      </c>
      <c r="M85" s="171">
        <v>1</v>
      </c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  <c r="AA85" s="171"/>
      <c r="AB85" s="171"/>
      <c r="AC85" s="171"/>
      <c r="AD85" s="171"/>
      <c r="AE85" s="171"/>
      <c r="AF85" s="171"/>
      <c r="AG85" s="171"/>
      <c r="AH85" s="22"/>
      <c r="AI85" s="171"/>
      <c r="AJ85" s="22">
        <f t="shared" si="3"/>
        <v>7</v>
      </c>
      <c r="AK85" s="22">
        <f t="shared" si="4"/>
        <v>7</v>
      </c>
    </row>
    <row r="86" spans="1:37" ht="15.75" customHeight="1">
      <c r="A86" s="167" t="s">
        <v>181</v>
      </c>
      <c r="B86" s="167" t="s">
        <v>2056</v>
      </c>
      <c r="C86" s="22" t="s">
        <v>180</v>
      </c>
      <c r="D86" s="168">
        <v>1</v>
      </c>
      <c r="E86" s="169" t="b">
        <v>1</v>
      </c>
      <c r="F86" s="170" t="s">
        <v>1516</v>
      </c>
      <c r="G86" s="171">
        <v>1</v>
      </c>
      <c r="H86" s="171">
        <v>1</v>
      </c>
      <c r="I86" s="171">
        <v>1</v>
      </c>
      <c r="J86" s="171">
        <v>1</v>
      </c>
      <c r="K86" s="171">
        <v>1</v>
      </c>
      <c r="L86" s="171">
        <v>1</v>
      </c>
      <c r="M86" s="171"/>
      <c r="N86" s="171">
        <v>1</v>
      </c>
      <c r="O86" s="171"/>
      <c r="P86" s="171"/>
      <c r="Q86" s="171"/>
      <c r="R86" s="171"/>
      <c r="S86" s="171">
        <v>1</v>
      </c>
      <c r="T86" s="171"/>
      <c r="U86" s="171"/>
      <c r="V86" s="171"/>
      <c r="W86" s="171"/>
      <c r="X86" s="171"/>
      <c r="Y86" s="171"/>
      <c r="Z86" s="171"/>
      <c r="AA86" s="171"/>
      <c r="AB86" s="171"/>
      <c r="AC86" s="171"/>
      <c r="AD86" s="171"/>
      <c r="AE86" s="171"/>
      <c r="AF86" s="171"/>
      <c r="AG86" s="171"/>
      <c r="AH86" s="22"/>
      <c r="AI86" s="171"/>
      <c r="AJ86" s="22">
        <f t="shared" si="3"/>
        <v>8</v>
      </c>
      <c r="AK86" s="22">
        <f t="shared" si="4"/>
        <v>8</v>
      </c>
    </row>
    <row r="87" spans="1:37" ht="15.75" customHeight="1">
      <c r="A87" s="167" t="s">
        <v>183</v>
      </c>
      <c r="B87" s="167" t="s">
        <v>2056</v>
      </c>
      <c r="C87" s="22" t="s">
        <v>182</v>
      </c>
      <c r="D87" s="168">
        <v>1</v>
      </c>
      <c r="E87" s="169" t="b">
        <v>1</v>
      </c>
      <c r="F87" s="170" t="s">
        <v>1675</v>
      </c>
      <c r="G87" s="171">
        <v>1</v>
      </c>
      <c r="H87" s="171">
        <v>1</v>
      </c>
      <c r="I87" s="171">
        <v>1</v>
      </c>
      <c r="J87" s="171">
        <v>1</v>
      </c>
      <c r="K87" s="171">
        <v>1</v>
      </c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  <c r="AA87" s="171"/>
      <c r="AB87" s="171"/>
      <c r="AC87" s="171"/>
      <c r="AD87" s="171"/>
      <c r="AE87" s="171"/>
      <c r="AF87" s="171"/>
      <c r="AG87" s="171"/>
      <c r="AH87" s="22"/>
      <c r="AI87" s="171"/>
      <c r="AJ87" s="22">
        <f t="shared" si="3"/>
        <v>5</v>
      </c>
      <c r="AK87" s="22">
        <f t="shared" si="4"/>
        <v>5</v>
      </c>
    </row>
    <row r="88" spans="1:37" ht="15.75" customHeight="1">
      <c r="A88" s="167" t="s">
        <v>185</v>
      </c>
      <c r="B88" s="167" t="s">
        <v>2056</v>
      </c>
      <c r="C88" s="22" t="s">
        <v>184</v>
      </c>
      <c r="D88" s="168">
        <v>1</v>
      </c>
      <c r="E88" s="169" t="b">
        <v>1</v>
      </c>
      <c r="F88" s="174" t="s">
        <v>1828</v>
      </c>
      <c r="G88" s="171">
        <v>1</v>
      </c>
      <c r="H88" s="171">
        <v>1</v>
      </c>
      <c r="I88" s="171">
        <v>1</v>
      </c>
      <c r="J88" s="171">
        <v>1</v>
      </c>
      <c r="K88" s="171"/>
      <c r="L88" s="171">
        <v>1</v>
      </c>
      <c r="M88" s="171"/>
      <c r="N88" s="171">
        <v>1</v>
      </c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  <c r="AA88" s="171"/>
      <c r="AB88" s="171"/>
      <c r="AC88" s="171"/>
      <c r="AD88" s="171"/>
      <c r="AE88" s="171"/>
      <c r="AF88" s="171"/>
      <c r="AG88" s="171"/>
      <c r="AH88" s="22"/>
      <c r="AI88" s="171"/>
      <c r="AJ88" s="22">
        <f t="shared" si="3"/>
        <v>6</v>
      </c>
      <c r="AK88" s="22">
        <f t="shared" si="4"/>
        <v>6</v>
      </c>
    </row>
    <row r="89" spans="1:37" ht="15.75" customHeight="1">
      <c r="A89" s="167" t="s">
        <v>187</v>
      </c>
      <c r="B89" s="167" t="s">
        <v>2056</v>
      </c>
      <c r="C89" s="22" t="s">
        <v>186</v>
      </c>
      <c r="D89" s="168">
        <v>1</v>
      </c>
      <c r="E89" s="169" t="b">
        <v>1</v>
      </c>
      <c r="F89" s="170" t="s">
        <v>1517</v>
      </c>
      <c r="G89" s="171">
        <v>1</v>
      </c>
      <c r="H89" s="171">
        <v>1</v>
      </c>
      <c r="I89" s="171">
        <v>1</v>
      </c>
      <c r="J89" s="171">
        <v>1</v>
      </c>
      <c r="K89" s="171">
        <v>1</v>
      </c>
      <c r="L89" s="171">
        <v>1</v>
      </c>
      <c r="M89" s="171"/>
      <c r="N89" s="171">
        <v>1</v>
      </c>
      <c r="O89" s="171"/>
      <c r="P89" s="171"/>
      <c r="Q89" s="171"/>
      <c r="R89" s="171"/>
      <c r="S89" s="171"/>
      <c r="T89" s="171"/>
      <c r="U89" s="171"/>
      <c r="V89" s="171"/>
      <c r="W89" s="171"/>
      <c r="X89" s="171">
        <v>1</v>
      </c>
      <c r="Y89" s="171"/>
      <c r="Z89" s="171"/>
      <c r="AA89" s="171"/>
      <c r="AB89" s="171"/>
      <c r="AC89" s="171"/>
      <c r="AD89" s="171"/>
      <c r="AE89" s="171"/>
      <c r="AF89" s="171"/>
      <c r="AG89" s="171"/>
      <c r="AH89" s="22"/>
      <c r="AI89" s="171"/>
      <c r="AJ89" s="22">
        <f t="shared" si="3"/>
        <v>8</v>
      </c>
      <c r="AK89" s="22">
        <f t="shared" si="4"/>
        <v>8</v>
      </c>
    </row>
    <row r="90" spans="1:37" ht="15.75" customHeight="1">
      <c r="A90" s="167" t="s">
        <v>189</v>
      </c>
      <c r="B90" s="167" t="s">
        <v>2056</v>
      </c>
      <c r="C90" s="22" t="s">
        <v>188</v>
      </c>
      <c r="D90" s="168">
        <v>1</v>
      </c>
      <c r="E90" s="169" t="b">
        <v>1</v>
      </c>
      <c r="F90" s="170" t="s">
        <v>1829</v>
      </c>
      <c r="G90" s="171">
        <v>1</v>
      </c>
      <c r="H90" s="171">
        <v>1</v>
      </c>
      <c r="I90" s="171">
        <v>1</v>
      </c>
      <c r="J90" s="171">
        <v>1</v>
      </c>
      <c r="K90" s="171">
        <v>1</v>
      </c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  <c r="AA90" s="171">
        <v>1</v>
      </c>
      <c r="AB90" s="171"/>
      <c r="AC90" s="171"/>
      <c r="AD90" s="171"/>
      <c r="AE90" s="171"/>
      <c r="AF90" s="171"/>
      <c r="AG90" s="171"/>
      <c r="AH90" s="22"/>
      <c r="AI90" s="171"/>
      <c r="AJ90" s="22">
        <f t="shared" si="3"/>
        <v>6</v>
      </c>
      <c r="AK90" s="22">
        <f t="shared" si="4"/>
        <v>6</v>
      </c>
    </row>
    <row r="91" spans="1:37" ht="15.75" customHeight="1">
      <c r="A91" s="167" t="s">
        <v>191</v>
      </c>
      <c r="B91" s="167" t="s">
        <v>2056</v>
      </c>
      <c r="C91" s="22" t="s">
        <v>190</v>
      </c>
      <c r="D91" s="168">
        <v>1</v>
      </c>
      <c r="E91" s="169" t="b">
        <v>1</v>
      </c>
      <c r="F91" s="170" t="s">
        <v>1645</v>
      </c>
      <c r="G91" s="171">
        <v>1</v>
      </c>
      <c r="H91" s="171">
        <v>1</v>
      </c>
      <c r="I91" s="171">
        <v>1</v>
      </c>
      <c r="J91" s="171">
        <v>1</v>
      </c>
      <c r="K91" s="171"/>
      <c r="L91" s="171">
        <v>2</v>
      </c>
      <c r="M91" s="171"/>
      <c r="N91" s="171">
        <v>1</v>
      </c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  <c r="AA91" s="171"/>
      <c r="AB91" s="171"/>
      <c r="AC91" s="171"/>
      <c r="AD91" s="171"/>
      <c r="AE91" s="171"/>
      <c r="AF91" s="171"/>
      <c r="AG91" s="171"/>
      <c r="AH91" s="22"/>
      <c r="AI91" s="171"/>
      <c r="AJ91" s="22">
        <f t="shared" si="3"/>
        <v>6</v>
      </c>
      <c r="AK91" s="22">
        <f t="shared" si="4"/>
        <v>7</v>
      </c>
    </row>
    <row r="92" spans="1:37" ht="15.75" customHeight="1">
      <c r="A92" s="167" t="s">
        <v>193</v>
      </c>
      <c r="B92" s="167" t="s">
        <v>2056</v>
      </c>
      <c r="C92" s="22" t="s">
        <v>192</v>
      </c>
      <c r="D92" s="168">
        <v>1</v>
      </c>
      <c r="E92" s="169" t="b">
        <v>1</v>
      </c>
      <c r="F92" s="170" t="s">
        <v>1518</v>
      </c>
      <c r="G92" s="171">
        <v>1</v>
      </c>
      <c r="H92" s="171">
        <v>1</v>
      </c>
      <c r="I92" s="171">
        <v>1</v>
      </c>
      <c r="J92" s="171">
        <v>1</v>
      </c>
      <c r="K92" s="171">
        <v>1</v>
      </c>
      <c r="L92" s="171">
        <v>1</v>
      </c>
      <c r="M92" s="171"/>
      <c r="N92" s="171">
        <v>1</v>
      </c>
      <c r="O92" s="171"/>
      <c r="P92" s="171"/>
      <c r="Q92" s="171">
        <v>1</v>
      </c>
      <c r="R92" s="171"/>
      <c r="S92" s="171"/>
      <c r="T92" s="171"/>
      <c r="U92" s="171"/>
      <c r="V92" s="171"/>
      <c r="W92" s="171"/>
      <c r="X92" s="171"/>
      <c r="Y92" s="171"/>
      <c r="Z92" s="171"/>
      <c r="AA92" s="171"/>
      <c r="AB92" s="171"/>
      <c r="AC92" s="171"/>
      <c r="AD92" s="171"/>
      <c r="AE92" s="171"/>
      <c r="AF92" s="171"/>
      <c r="AG92" s="171"/>
      <c r="AH92" s="22"/>
      <c r="AI92" s="171"/>
      <c r="AJ92" s="22">
        <f t="shared" si="3"/>
        <v>8</v>
      </c>
      <c r="AK92" s="22">
        <f t="shared" si="4"/>
        <v>8</v>
      </c>
    </row>
    <row r="93" spans="1:37" ht="15.75" customHeight="1">
      <c r="A93" s="167" t="s">
        <v>195</v>
      </c>
      <c r="B93" s="167" t="s">
        <v>2056</v>
      </c>
      <c r="C93" s="22" t="s">
        <v>194</v>
      </c>
      <c r="D93" s="168">
        <v>1</v>
      </c>
      <c r="E93" s="169" t="b">
        <v>1</v>
      </c>
      <c r="F93" s="170" t="s">
        <v>1830</v>
      </c>
      <c r="G93" s="171">
        <v>1</v>
      </c>
      <c r="H93" s="171">
        <v>1</v>
      </c>
      <c r="I93" s="171">
        <v>1</v>
      </c>
      <c r="J93" s="171">
        <v>1</v>
      </c>
      <c r="K93" s="171">
        <v>1</v>
      </c>
      <c r="L93" s="171"/>
      <c r="M93" s="171"/>
      <c r="N93" s="171">
        <v>1</v>
      </c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  <c r="AA93" s="171"/>
      <c r="AB93" s="171"/>
      <c r="AC93" s="171"/>
      <c r="AD93" s="171"/>
      <c r="AE93" s="171"/>
      <c r="AF93" s="171"/>
      <c r="AG93" s="171"/>
      <c r="AH93" s="22"/>
      <c r="AI93" s="171"/>
      <c r="AJ93" s="22">
        <f t="shared" si="3"/>
        <v>6</v>
      </c>
      <c r="AK93" s="22">
        <f t="shared" si="4"/>
        <v>6</v>
      </c>
    </row>
    <row r="94" spans="1:37" ht="15.75" customHeight="1">
      <c r="A94" s="167" t="s">
        <v>197</v>
      </c>
      <c r="B94" s="167" t="s">
        <v>2056</v>
      </c>
      <c r="C94" s="22" t="s">
        <v>196</v>
      </c>
      <c r="D94" s="168">
        <v>1</v>
      </c>
      <c r="E94" s="169" t="b">
        <v>1</v>
      </c>
      <c r="F94" s="170" t="s">
        <v>1831</v>
      </c>
      <c r="G94" s="179">
        <v>1</v>
      </c>
      <c r="H94" s="179">
        <v>1</v>
      </c>
      <c r="I94" s="171">
        <v>1</v>
      </c>
      <c r="J94" s="179">
        <v>1</v>
      </c>
      <c r="K94" s="171">
        <v>1</v>
      </c>
      <c r="L94" s="171"/>
      <c r="M94" s="171"/>
      <c r="N94" s="171">
        <v>1</v>
      </c>
      <c r="O94" s="171"/>
      <c r="P94" s="171"/>
      <c r="Q94" s="179"/>
      <c r="R94" s="171"/>
      <c r="S94" s="171"/>
      <c r="T94" s="171"/>
      <c r="U94" s="171"/>
      <c r="V94" s="171"/>
      <c r="W94" s="171"/>
      <c r="X94" s="171"/>
      <c r="Y94" s="171"/>
      <c r="Z94" s="171"/>
      <c r="AA94" s="171"/>
      <c r="AB94" s="171"/>
      <c r="AC94" s="171"/>
      <c r="AD94" s="171"/>
      <c r="AE94" s="171"/>
      <c r="AF94" s="171"/>
      <c r="AG94" s="171"/>
      <c r="AH94" s="22"/>
      <c r="AI94" s="171"/>
      <c r="AJ94" s="22">
        <f t="shared" si="3"/>
        <v>6</v>
      </c>
      <c r="AK94" s="22">
        <f t="shared" si="4"/>
        <v>6</v>
      </c>
    </row>
    <row r="95" spans="1:37" ht="15.75" customHeight="1">
      <c r="A95" s="167" t="s">
        <v>199</v>
      </c>
      <c r="B95" s="167" t="s">
        <v>2056</v>
      </c>
      <c r="C95" s="22" t="s">
        <v>198</v>
      </c>
      <c r="D95" s="168">
        <v>1</v>
      </c>
      <c r="E95" s="169" t="b">
        <v>1</v>
      </c>
      <c r="F95" s="170" t="s">
        <v>1981</v>
      </c>
      <c r="G95" s="171">
        <v>1</v>
      </c>
      <c r="H95" s="171">
        <v>1</v>
      </c>
      <c r="I95" s="171">
        <v>1</v>
      </c>
      <c r="J95" s="171">
        <v>1</v>
      </c>
      <c r="K95" s="171">
        <v>1</v>
      </c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  <c r="AA95" s="171"/>
      <c r="AB95" s="171"/>
      <c r="AC95" s="171"/>
      <c r="AD95" s="171"/>
      <c r="AE95" s="171"/>
      <c r="AF95" s="171"/>
      <c r="AG95" s="171"/>
      <c r="AH95" s="22"/>
      <c r="AI95" s="171"/>
      <c r="AJ95" s="22">
        <f t="shared" si="3"/>
        <v>5</v>
      </c>
      <c r="AK95" s="22">
        <f t="shared" si="4"/>
        <v>5</v>
      </c>
    </row>
    <row r="96" spans="1:37" ht="15.75" customHeight="1">
      <c r="A96" s="167" t="s">
        <v>201</v>
      </c>
      <c r="B96" s="167" t="s">
        <v>2056</v>
      </c>
      <c r="C96" s="22" t="s">
        <v>200</v>
      </c>
      <c r="D96" s="168">
        <v>1</v>
      </c>
      <c r="E96" s="169" t="b">
        <v>1</v>
      </c>
      <c r="F96" s="170" t="s">
        <v>1832</v>
      </c>
      <c r="G96" s="171">
        <v>1</v>
      </c>
      <c r="H96" s="171">
        <v>1</v>
      </c>
      <c r="I96" s="171">
        <v>1</v>
      </c>
      <c r="J96" s="171">
        <v>1</v>
      </c>
      <c r="K96" s="171">
        <v>1</v>
      </c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  <c r="AA96" s="171"/>
      <c r="AB96" s="171"/>
      <c r="AC96" s="171"/>
      <c r="AD96" s="171">
        <v>1</v>
      </c>
      <c r="AE96" s="171"/>
      <c r="AF96" s="171"/>
      <c r="AG96" s="171"/>
      <c r="AH96" s="22"/>
      <c r="AI96" s="171"/>
      <c r="AJ96" s="22">
        <f t="shared" si="3"/>
        <v>6</v>
      </c>
      <c r="AK96" s="22">
        <f t="shared" si="4"/>
        <v>6</v>
      </c>
    </row>
    <row r="97" spans="1:37" ht="15.75" customHeight="1">
      <c r="A97" s="167" t="s">
        <v>203</v>
      </c>
      <c r="B97" s="167" t="s">
        <v>2056</v>
      </c>
      <c r="C97" s="22" t="s">
        <v>202</v>
      </c>
      <c r="D97" s="168">
        <v>1</v>
      </c>
      <c r="E97" s="169" t="b">
        <v>1</v>
      </c>
      <c r="F97" s="170" t="s">
        <v>1646</v>
      </c>
      <c r="G97" s="171">
        <v>1</v>
      </c>
      <c r="H97" s="171">
        <v>1</v>
      </c>
      <c r="I97" s="171">
        <v>1</v>
      </c>
      <c r="J97" s="171">
        <v>1</v>
      </c>
      <c r="K97" s="171">
        <v>1</v>
      </c>
      <c r="L97" s="171">
        <v>1</v>
      </c>
      <c r="M97" s="171">
        <v>1</v>
      </c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  <c r="AA97" s="171"/>
      <c r="AB97" s="171"/>
      <c r="AC97" s="171"/>
      <c r="AD97" s="171"/>
      <c r="AE97" s="171"/>
      <c r="AF97" s="171"/>
      <c r="AG97" s="171"/>
      <c r="AH97" s="22"/>
      <c r="AI97" s="171"/>
      <c r="AJ97" s="22">
        <f t="shared" si="3"/>
        <v>7</v>
      </c>
      <c r="AK97" s="22">
        <f t="shared" si="4"/>
        <v>7</v>
      </c>
    </row>
    <row r="98" spans="1:37" ht="15.75" customHeight="1">
      <c r="A98" s="167" t="s">
        <v>205</v>
      </c>
      <c r="B98" s="167" t="s">
        <v>2056</v>
      </c>
      <c r="C98" s="22" t="s">
        <v>204</v>
      </c>
      <c r="D98" s="168">
        <v>1</v>
      </c>
      <c r="E98" s="169" t="b">
        <v>1</v>
      </c>
      <c r="F98" s="170" t="s">
        <v>1647</v>
      </c>
      <c r="G98" s="171">
        <v>1</v>
      </c>
      <c r="H98" s="171">
        <v>1</v>
      </c>
      <c r="I98" s="171">
        <v>1</v>
      </c>
      <c r="J98" s="171">
        <v>1</v>
      </c>
      <c r="K98" s="171">
        <v>1</v>
      </c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>
        <v>1</v>
      </c>
      <c r="W98" s="171"/>
      <c r="X98" s="171"/>
      <c r="Y98" s="171"/>
      <c r="Z98" s="171"/>
      <c r="AA98" s="171"/>
      <c r="AB98" s="171"/>
      <c r="AC98" s="171"/>
      <c r="AD98" s="171"/>
      <c r="AE98" s="171"/>
      <c r="AF98" s="171"/>
      <c r="AG98" s="171">
        <v>1</v>
      </c>
      <c r="AH98" s="22"/>
      <c r="AI98" s="171" t="s">
        <v>1648</v>
      </c>
      <c r="AJ98" s="22">
        <f t="shared" si="3"/>
        <v>7</v>
      </c>
      <c r="AK98" s="22">
        <f t="shared" si="4"/>
        <v>7</v>
      </c>
    </row>
    <row r="99" spans="1:37" ht="15.75" customHeight="1">
      <c r="A99" s="167" t="s">
        <v>207</v>
      </c>
      <c r="B99" s="167" t="s">
        <v>2056</v>
      </c>
      <c r="C99" s="22" t="s">
        <v>206</v>
      </c>
      <c r="D99" s="168">
        <v>1</v>
      </c>
      <c r="E99" s="169" t="b">
        <v>1</v>
      </c>
      <c r="F99" s="170" t="s">
        <v>1649</v>
      </c>
      <c r="G99" s="171">
        <v>1</v>
      </c>
      <c r="H99" s="171">
        <v>1</v>
      </c>
      <c r="I99" s="171">
        <v>1</v>
      </c>
      <c r="J99" s="171">
        <v>1</v>
      </c>
      <c r="K99" s="171">
        <v>1</v>
      </c>
      <c r="L99" s="171">
        <v>1</v>
      </c>
      <c r="M99" s="171">
        <v>1</v>
      </c>
      <c r="N99" s="171"/>
      <c r="O99" s="171"/>
      <c r="P99" s="171"/>
      <c r="Q99" s="171"/>
      <c r="R99" s="171"/>
      <c r="S99" s="171"/>
      <c r="T99" s="171"/>
      <c r="U99" s="171"/>
      <c r="V99" s="171"/>
      <c r="W99" s="171"/>
      <c r="X99" s="171"/>
      <c r="Y99" s="171"/>
      <c r="Z99" s="171"/>
      <c r="AA99" s="171"/>
      <c r="AB99" s="171"/>
      <c r="AC99" s="171"/>
      <c r="AD99" s="171"/>
      <c r="AE99" s="171"/>
      <c r="AF99" s="171"/>
      <c r="AG99" s="171"/>
      <c r="AH99" s="22"/>
      <c r="AI99" s="171"/>
      <c r="AJ99" s="22">
        <f t="shared" si="3"/>
        <v>7</v>
      </c>
      <c r="AK99" s="22">
        <f t="shared" si="4"/>
        <v>7</v>
      </c>
    </row>
    <row r="100" spans="1:37" ht="15.75" customHeight="1">
      <c r="A100" s="167" t="s">
        <v>209</v>
      </c>
      <c r="B100" s="167" t="s">
        <v>2056</v>
      </c>
      <c r="C100" s="22" t="s">
        <v>208</v>
      </c>
      <c r="D100" s="168">
        <v>1</v>
      </c>
      <c r="E100" s="169" t="b">
        <v>1</v>
      </c>
      <c r="F100" s="170" t="s">
        <v>1833</v>
      </c>
      <c r="G100" s="171">
        <v>1</v>
      </c>
      <c r="H100" s="171">
        <v>1</v>
      </c>
      <c r="I100" s="171">
        <v>1</v>
      </c>
      <c r="J100" s="171">
        <v>1</v>
      </c>
      <c r="K100" s="171">
        <v>1</v>
      </c>
      <c r="L100" s="171">
        <v>1</v>
      </c>
      <c r="M100" s="171"/>
      <c r="N100" s="171"/>
      <c r="O100" s="171"/>
      <c r="P100" s="171"/>
      <c r="Q100" s="171"/>
      <c r="R100" s="171"/>
      <c r="S100" s="171"/>
      <c r="T100" s="171"/>
      <c r="U100" s="171"/>
      <c r="V100" s="171"/>
      <c r="W100" s="171"/>
      <c r="X100" s="171"/>
      <c r="Y100" s="171"/>
      <c r="Z100" s="171"/>
      <c r="AA100" s="171"/>
      <c r="AB100" s="171"/>
      <c r="AC100" s="171"/>
      <c r="AD100" s="171"/>
      <c r="AE100" s="171"/>
      <c r="AF100" s="171"/>
      <c r="AG100" s="171"/>
      <c r="AH100" s="22"/>
      <c r="AI100" s="171"/>
      <c r="AJ100" s="22">
        <f t="shared" si="3"/>
        <v>6</v>
      </c>
      <c r="AK100" s="22">
        <f t="shared" si="4"/>
        <v>6</v>
      </c>
    </row>
    <row r="101" spans="1:37" ht="15.75" customHeight="1">
      <c r="A101" s="167" t="s">
        <v>211</v>
      </c>
      <c r="B101" s="167" t="s">
        <v>2056</v>
      </c>
      <c r="C101" s="22" t="s">
        <v>210</v>
      </c>
      <c r="D101" s="168">
        <v>1</v>
      </c>
      <c r="E101" s="169" t="b">
        <v>1</v>
      </c>
      <c r="F101" s="170" t="s">
        <v>1519</v>
      </c>
      <c r="G101" s="171">
        <v>1</v>
      </c>
      <c r="H101" s="171">
        <v>1</v>
      </c>
      <c r="I101" s="171">
        <v>1</v>
      </c>
      <c r="J101" s="171">
        <v>1</v>
      </c>
      <c r="K101" s="171">
        <v>1</v>
      </c>
      <c r="L101" s="171">
        <v>3</v>
      </c>
      <c r="M101" s="171"/>
      <c r="N101" s="171"/>
      <c r="O101" s="171"/>
      <c r="P101" s="171"/>
      <c r="Q101" s="171"/>
      <c r="R101" s="171"/>
      <c r="S101" s="171"/>
      <c r="T101" s="171"/>
      <c r="U101" s="171"/>
      <c r="V101" s="171"/>
      <c r="W101" s="171"/>
      <c r="X101" s="171"/>
      <c r="Y101" s="171"/>
      <c r="Z101" s="171"/>
      <c r="AA101" s="171"/>
      <c r="AB101" s="171"/>
      <c r="AC101" s="171"/>
      <c r="AD101" s="171"/>
      <c r="AE101" s="171"/>
      <c r="AF101" s="171"/>
      <c r="AG101" s="171"/>
      <c r="AH101" s="22"/>
      <c r="AI101" s="171"/>
      <c r="AJ101" s="22">
        <f t="shared" si="3"/>
        <v>6</v>
      </c>
      <c r="AK101" s="22">
        <f t="shared" si="4"/>
        <v>8</v>
      </c>
    </row>
    <row r="102" spans="1:37" ht="15.75" customHeight="1">
      <c r="A102" s="167" t="s">
        <v>213</v>
      </c>
      <c r="B102" s="167" t="s">
        <v>2056</v>
      </c>
      <c r="C102" s="22" t="s">
        <v>212</v>
      </c>
      <c r="D102" s="168">
        <v>1</v>
      </c>
      <c r="E102" s="169" t="b">
        <v>1</v>
      </c>
      <c r="F102" s="170" t="s">
        <v>1834</v>
      </c>
      <c r="G102" s="171">
        <v>1</v>
      </c>
      <c r="H102" s="171">
        <v>1</v>
      </c>
      <c r="I102" s="171">
        <v>1</v>
      </c>
      <c r="J102" s="171">
        <v>1</v>
      </c>
      <c r="K102" s="171">
        <v>1</v>
      </c>
      <c r="L102" s="171"/>
      <c r="M102" s="171">
        <v>1</v>
      </c>
      <c r="N102" s="171"/>
      <c r="O102" s="171"/>
      <c r="P102" s="171"/>
      <c r="Q102" s="171"/>
      <c r="R102" s="171"/>
      <c r="S102" s="171"/>
      <c r="T102" s="171"/>
      <c r="U102" s="171"/>
      <c r="V102" s="171"/>
      <c r="W102" s="171"/>
      <c r="X102" s="171"/>
      <c r="Y102" s="171"/>
      <c r="Z102" s="171"/>
      <c r="AA102" s="171"/>
      <c r="AB102" s="171"/>
      <c r="AC102" s="171"/>
      <c r="AD102" s="171"/>
      <c r="AE102" s="171"/>
      <c r="AF102" s="171"/>
      <c r="AG102" s="171"/>
      <c r="AH102" s="22"/>
      <c r="AI102" s="171"/>
      <c r="AJ102" s="22">
        <f t="shared" si="3"/>
        <v>6</v>
      </c>
      <c r="AK102" s="22">
        <f t="shared" si="4"/>
        <v>6</v>
      </c>
    </row>
    <row r="103" spans="1:37" ht="15.75" customHeight="1">
      <c r="A103" s="167" t="s">
        <v>215</v>
      </c>
      <c r="B103" s="167" t="s">
        <v>2056</v>
      </c>
      <c r="C103" s="22" t="s">
        <v>214</v>
      </c>
      <c r="D103" s="168">
        <v>1</v>
      </c>
      <c r="E103" s="169" t="b">
        <v>1</v>
      </c>
      <c r="F103" s="174" t="s">
        <v>1520</v>
      </c>
      <c r="G103" s="171">
        <v>1</v>
      </c>
      <c r="H103" s="171">
        <v>1</v>
      </c>
      <c r="I103" s="171">
        <v>1</v>
      </c>
      <c r="J103" s="171">
        <v>1</v>
      </c>
      <c r="K103" s="171">
        <v>1</v>
      </c>
      <c r="L103" s="171">
        <v>2</v>
      </c>
      <c r="M103" s="171">
        <v>1</v>
      </c>
      <c r="N103" s="171"/>
      <c r="O103" s="171"/>
      <c r="P103" s="171"/>
      <c r="Q103" s="171"/>
      <c r="R103" s="171"/>
      <c r="S103" s="171"/>
      <c r="T103" s="171"/>
      <c r="U103" s="171"/>
      <c r="V103" s="171"/>
      <c r="W103" s="171"/>
      <c r="X103" s="171"/>
      <c r="Y103" s="171"/>
      <c r="Z103" s="171"/>
      <c r="AA103" s="171"/>
      <c r="AB103" s="171"/>
      <c r="AC103" s="171"/>
      <c r="AD103" s="171"/>
      <c r="AE103" s="171"/>
      <c r="AF103" s="171"/>
      <c r="AG103" s="171"/>
      <c r="AH103" s="22"/>
      <c r="AI103" s="171"/>
      <c r="AJ103" s="22">
        <f t="shared" si="3"/>
        <v>7</v>
      </c>
      <c r="AK103" s="22">
        <f t="shared" si="4"/>
        <v>8</v>
      </c>
    </row>
    <row r="104" spans="1:37" ht="15.75" customHeight="1">
      <c r="A104" s="167" t="s">
        <v>217</v>
      </c>
      <c r="B104" s="167" t="s">
        <v>2056</v>
      </c>
      <c r="C104" s="22" t="s">
        <v>216</v>
      </c>
      <c r="D104" s="168">
        <v>1</v>
      </c>
      <c r="E104" s="169" t="b">
        <v>1</v>
      </c>
      <c r="F104" s="170" t="s">
        <v>1435</v>
      </c>
      <c r="G104" s="171">
        <v>1</v>
      </c>
      <c r="H104" s="171">
        <v>1</v>
      </c>
      <c r="I104" s="171">
        <v>1</v>
      </c>
      <c r="J104" s="171">
        <v>1</v>
      </c>
      <c r="K104" s="171">
        <v>1</v>
      </c>
      <c r="L104" s="171">
        <v>1</v>
      </c>
      <c r="M104" s="171">
        <v>1</v>
      </c>
      <c r="N104" s="171"/>
      <c r="O104" s="171"/>
      <c r="P104" s="171"/>
      <c r="Q104" s="171"/>
      <c r="R104" s="171"/>
      <c r="S104" s="171"/>
      <c r="T104" s="171"/>
      <c r="U104" s="171"/>
      <c r="V104" s="171"/>
      <c r="W104" s="171"/>
      <c r="X104" s="171"/>
      <c r="Y104" s="171"/>
      <c r="Z104" s="171"/>
      <c r="AA104" s="171"/>
      <c r="AB104" s="171">
        <v>1</v>
      </c>
      <c r="AC104" s="171">
        <v>1</v>
      </c>
      <c r="AD104" s="171"/>
      <c r="AE104" s="171"/>
      <c r="AF104" s="171"/>
      <c r="AG104" s="171"/>
      <c r="AH104" s="22"/>
      <c r="AI104" s="171"/>
      <c r="AJ104" s="22">
        <f t="shared" si="3"/>
        <v>9</v>
      </c>
      <c r="AK104" s="22">
        <f t="shared" si="4"/>
        <v>9</v>
      </c>
    </row>
    <row r="105" spans="1:37" ht="15.75" customHeight="1">
      <c r="A105" s="167" t="s">
        <v>219</v>
      </c>
      <c r="B105" s="167" t="s">
        <v>2056</v>
      </c>
      <c r="C105" s="22" t="s">
        <v>218</v>
      </c>
      <c r="D105" s="168">
        <v>1</v>
      </c>
      <c r="E105" s="169" t="b">
        <v>1</v>
      </c>
      <c r="F105" s="174" t="s">
        <v>1521</v>
      </c>
      <c r="G105" s="171">
        <v>1</v>
      </c>
      <c r="H105" s="171">
        <v>1</v>
      </c>
      <c r="I105" s="171">
        <v>1</v>
      </c>
      <c r="J105" s="171">
        <v>1</v>
      </c>
      <c r="K105" s="171">
        <v>1</v>
      </c>
      <c r="L105" s="171">
        <v>1</v>
      </c>
      <c r="M105" s="171"/>
      <c r="N105" s="171"/>
      <c r="O105" s="171"/>
      <c r="P105" s="171"/>
      <c r="Q105" s="171"/>
      <c r="R105" s="171"/>
      <c r="S105" s="171"/>
      <c r="T105" s="171"/>
      <c r="U105" s="171">
        <v>1</v>
      </c>
      <c r="V105" s="171"/>
      <c r="W105" s="171"/>
      <c r="X105" s="171"/>
      <c r="Y105" s="171"/>
      <c r="Z105" s="171"/>
      <c r="AA105" s="171"/>
      <c r="AB105" s="171"/>
      <c r="AC105" s="171">
        <v>1</v>
      </c>
      <c r="AD105" s="171"/>
      <c r="AE105" s="171"/>
      <c r="AF105" s="171"/>
      <c r="AG105" s="171"/>
      <c r="AH105" s="22"/>
      <c r="AI105" s="171"/>
      <c r="AJ105" s="22">
        <f t="shared" si="3"/>
        <v>8</v>
      </c>
      <c r="AK105" s="22">
        <f t="shared" si="4"/>
        <v>8</v>
      </c>
    </row>
    <row r="106" spans="1:37" ht="15.75" customHeight="1">
      <c r="A106" s="167" t="s">
        <v>1305</v>
      </c>
      <c r="B106" s="167" t="s">
        <v>2054</v>
      </c>
      <c r="C106" s="22" t="s">
        <v>1304</v>
      </c>
      <c r="D106" s="168">
        <v>1</v>
      </c>
      <c r="E106" s="169" t="b">
        <v>1</v>
      </c>
      <c r="F106" s="170" t="s">
        <v>1618</v>
      </c>
      <c r="G106" s="171">
        <v>1</v>
      </c>
      <c r="H106" s="171">
        <v>1</v>
      </c>
      <c r="I106" s="171">
        <v>1</v>
      </c>
      <c r="J106" s="171">
        <v>1</v>
      </c>
      <c r="K106" s="171">
        <v>1</v>
      </c>
      <c r="L106" s="171"/>
      <c r="M106" s="171">
        <v>1</v>
      </c>
      <c r="N106" s="171"/>
      <c r="O106" s="171"/>
      <c r="P106" s="171"/>
      <c r="Q106" s="171"/>
      <c r="R106" s="171">
        <v>1</v>
      </c>
      <c r="S106" s="171"/>
      <c r="T106" s="171"/>
      <c r="U106" s="171"/>
      <c r="V106" s="171"/>
      <c r="W106" s="171"/>
      <c r="X106" s="171"/>
      <c r="Y106" s="171"/>
      <c r="Z106" s="171"/>
      <c r="AA106" s="171"/>
      <c r="AB106" s="171"/>
      <c r="AC106" s="171"/>
      <c r="AD106" s="171"/>
      <c r="AE106" s="171"/>
      <c r="AF106" s="171"/>
      <c r="AG106" s="171">
        <v>1</v>
      </c>
      <c r="AH106" s="22"/>
      <c r="AI106" s="171" t="s">
        <v>1619</v>
      </c>
      <c r="AJ106" s="22">
        <f t="shared" si="3"/>
        <v>8</v>
      </c>
      <c r="AK106" s="22">
        <f t="shared" si="4"/>
        <v>8</v>
      </c>
    </row>
    <row r="107" spans="1:37" ht="15.75" customHeight="1">
      <c r="A107" s="167" t="s">
        <v>1307</v>
      </c>
      <c r="B107" s="167" t="s">
        <v>2054</v>
      </c>
      <c r="C107" s="22" t="s">
        <v>1306</v>
      </c>
      <c r="D107" s="168">
        <v>1</v>
      </c>
      <c r="E107" s="169" t="b">
        <v>1</v>
      </c>
      <c r="F107" s="170" t="s">
        <v>1793</v>
      </c>
      <c r="G107" s="171">
        <v>1</v>
      </c>
      <c r="H107" s="171">
        <v>1</v>
      </c>
      <c r="I107" s="171">
        <v>1</v>
      </c>
      <c r="J107" s="171">
        <v>1</v>
      </c>
      <c r="K107" s="171">
        <v>1</v>
      </c>
      <c r="L107" s="171"/>
      <c r="M107" s="171"/>
      <c r="N107" s="171"/>
      <c r="O107" s="171"/>
      <c r="P107" s="171"/>
      <c r="Q107" s="171"/>
      <c r="R107" s="171">
        <v>1</v>
      </c>
      <c r="S107" s="171"/>
      <c r="T107" s="171"/>
      <c r="U107" s="171"/>
      <c r="V107" s="171"/>
      <c r="W107" s="171"/>
      <c r="X107" s="171"/>
      <c r="Y107" s="171"/>
      <c r="Z107" s="171"/>
      <c r="AA107" s="171"/>
      <c r="AB107" s="171"/>
      <c r="AC107" s="171"/>
      <c r="AD107" s="171"/>
      <c r="AE107" s="171"/>
      <c r="AF107" s="171"/>
      <c r="AG107" s="171"/>
      <c r="AH107" s="22"/>
      <c r="AI107" s="171"/>
      <c r="AJ107" s="22">
        <f t="shared" si="3"/>
        <v>6</v>
      </c>
      <c r="AK107" s="22">
        <f t="shared" si="4"/>
        <v>6</v>
      </c>
    </row>
    <row r="108" spans="1:37" ht="15.75" customHeight="1">
      <c r="A108" s="167" t="s">
        <v>1216</v>
      </c>
      <c r="B108" s="167" t="s">
        <v>2055</v>
      </c>
      <c r="C108" s="22" t="s">
        <v>1215</v>
      </c>
      <c r="D108" s="168">
        <v>1</v>
      </c>
      <c r="E108" s="169" t="b">
        <v>1</v>
      </c>
      <c r="F108" s="170" t="s">
        <v>1774</v>
      </c>
      <c r="G108" s="171">
        <v>1</v>
      </c>
      <c r="H108" s="171">
        <v>1</v>
      </c>
      <c r="I108" s="171">
        <v>1</v>
      </c>
      <c r="J108" s="171">
        <v>1</v>
      </c>
      <c r="K108" s="171">
        <v>1</v>
      </c>
      <c r="L108" s="171"/>
      <c r="M108" s="171"/>
      <c r="N108" s="171"/>
      <c r="O108" s="171">
        <v>1</v>
      </c>
      <c r="P108" s="171"/>
      <c r="Q108" s="171"/>
      <c r="R108" s="171"/>
      <c r="S108" s="171"/>
      <c r="T108" s="171"/>
      <c r="U108" s="171"/>
      <c r="V108" s="171"/>
      <c r="W108" s="171"/>
      <c r="X108" s="171"/>
      <c r="Y108" s="171">
        <v>1</v>
      </c>
      <c r="Z108" s="171"/>
      <c r="AA108" s="171"/>
      <c r="AB108" s="171"/>
      <c r="AC108" s="171"/>
      <c r="AD108" s="171"/>
      <c r="AE108" s="171"/>
      <c r="AF108" s="171"/>
      <c r="AG108" s="171"/>
      <c r="AH108" s="22"/>
      <c r="AI108" s="171"/>
      <c r="AJ108" s="22">
        <f t="shared" si="3"/>
        <v>7</v>
      </c>
      <c r="AK108" s="22">
        <f t="shared" si="4"/>
        <v>7</v>
      </c>
    </row>
    <row r="109" spans="1:37" ht="15.75" customHeight="1">
      <c r="A109" s="167" t="s">
        <v>221</v>
      </c>
      <c r="B109" s="167" t="s">
        <v>2056</v>
      </c>
      <c r="C109" s="22" t="s">
        <v>220</v>
      </c>
      <c r="D109" s="168">
        <v>1</v>
      </c>
      <c r="E109" s="169" t="b">
        <v>1</v>
      </c>
      <c r="F109" s="174" t="s">
        <v>1650</v>
      </c>
      <c r="G109" s="171">
        <v>1</v>
      </c>
      <c r="H109" s="171">
        <v>1</v>
      </c>
      <c r="I109" s="171">
        <v>1</v>
      </c>
      <c r="J109" s="171">
        <v>1</v>
      </c>
      <c r="K109" s="171">
        <v>1</v>
      </c>
      <c r="L109" s="171"/>
      <c r="M109" s="171"/>
      <c r="N109" s="171">
        <v>1</v>
      </c>
      <c r="O109" s="171"/>
      <c r="P109" s="171"/>
      <c r="Q109" s="171"/>
      <c r="R109" s="171"/>
      <c r="S109" s="171">
        <v>1</v>
      </c>
      <c r="T109" s="171"/>
      <c r="U109" s="171"/>
      <c r="V109" s="171"/>
      <c r="W109" s="171"/>
      <c r="X109" s="171"/>
      <c r="Y109" s="171"/>
      <c r="Z109" s="171"/>
      <c r="AA109" s="171"/>
      <c r="AB109" s="171"/>
      <c r="AC109" s="171"/>
      <c r="AD109" s="171"/>
      <c r="AE109" s="171"/>
      <c r="AF109" s="171"/>
      <c r="AG109" s="171"/>
      <c r="AH109" s="22"/>
      <c r="AI109" s="171"/>
      <c r="AJ109" s="22">
        <f t="shared" si="3"/>
        <v>7</v>
      </c>
      <c r="AK109" s="22">
        <f t="shared" si="4"/>
        <v>7</v>
      </c>
    </row>
    <row r="110" spans="1:37" ht="15.75" customHeight="1">
      <c r="A110" s="167" t="s">
        <v>223</v>
      </c>
      <c r="B110" s="167" t="s">
        <v>2056</v>
      </c>
      <c r="C110" s="22" t="s">
        <v>222</v>
      </c>
      <c r="D110" s="168">
        <v>1</v>
      </c>
      <c r="E110" s="169" t="b">
        <v>1</v>
      </c>
      <c r="F110" s="170" t="s">
        <v>1460</v>
      </c>
      <c r="G110" s="171">
        <v>1</v>
      </c>
      <c r="H110" s="171">
        <v>1</v>
      </c>
      <c r="I110" s="171">
        <v>1</v>
      </c>
      <c r="J110" s="171">
        <v>1</v>
      </c>
      <c r="K110" s="171">
        <v>1</v>
      </c>
      <c r="L110" s="171"/>
      <c r="M110" s="171"/>
      <c r="N110" s="171"/>
      <c r="O110" s="171"/>
      <c r="P110" s="171"/>
      <c r="Q110" s="171"/>
      <c r="R110" s="171"/>
      <c r="S110" s="171"/>
      <c r="T110" s="171"/>
      <c r="U110" s="171"/>
      <c r="V110" s="171"/>
      <c r="W110" s="171"/>
      <c r="X110" s="171"/>
      <c r="Y110" s="171"/>
      <c r="Z110" s="171"/>
      <c r="AA110" s="171"/>
      <c r="AB110" s="171"/>
      <c r="AC110" s="171"/>
      <c r="AD110" s="171"/>
      <c r="AE110" s="171">
        <v>1</v>
      </c>
      <c r="AF110" s="171">
        <v>1</v>
      </c>
      <c r="AG110" s="171"/>
      <c r="AH110" s="22"/>
      <c r="AI110" s="171"/>
      <c r="AJ110" s="22">
        <f t="shared" si="3"/>
        <v>7</v>
      </c>
      <c r="AK110" s="22">
        <f t="shared" si="4"/>
        <v>7</v>
      </c>
    </row>
    <row r="111" spans="1:37" ht="15.75" customHeight="1">
      <c r="A111" s="167" t="s">
        <v>225</v>
      </c>
      <c r="B111" s="167" t="s">
        <v>2056</v>
      </c>
      <c r="C111" s="22" t="s">
        <v>224</v>
      </c>
      <c r="D111" s="168">
        <v>1</v>
      </c>
      <c r="E111" s="169" t="b">
        <v>1</v>
      </c>
      <c r="F111" s="174" t="s">
        <v>1651</v>
      </c>
      <c r="G111" s="171">
        <v>1</v>
      </c>
      <c r="H111" s="171">
        <v>1</v>
      </c>
      <c r="I111" s="171">
        <v>1</v>
      </c>
      <c r="J111" s="171">
        <v>1</v>
      </c>
      <c r="K111" s="171"/>
      <c r="L111" s="171">
        <v>1</v>
      </c>
      <c r="M111" s="171">
        <v>1</v>
      </c>
      <c r="N111" s="171"/>
      <c r="O111" s="171"/>
      <c r="P111" s="171"/>
      <c r="Q111" s="171"/>
      <c r="R111" s="171"/>
      <c r="S111" s="171"/>
      <c r="T111" s="171"/>
      <c r="U111" s="171"/>
      <c r="V111" s="171"/>
      <c r="W111" s="171"/>
      <c r="X111" s="171"/>
      <c r="Y111" s="171"/>
      <c r="Z111" s="171"/>
      <c r="AA111" s="171"/>
      <c r="AB111" s="171"/>
      <c r="AC111" s="171"/>
      <c r="AD111" s="171"/>
      <c r="AE111" s="171"/>
      <c r="AF111" s="171"/>
      <c r="AG111" s="171">
        <v>1</v>
      </c>
      <c r="AH111" s="22"/>
      <c r="AI111" s="171" t="s">
        <v>1652</v>
      </c>
      <c r="AJ111" s="22">
        <f t="shared" si="3"/>
        <v>7</v>
      </c>
      <c r="AK111" s="22">
        <f t="shared" si="4"/>
        <v>7</v>
      </c>
    </row>
    <row r="112" spans="1:37" ht="15.75" customHeight="1">
      <c r="A112" s="167" t="s">
        <v>227</v>
      </c>
      <c r="B112" s="167" t="s">
        <v>2056</v>
      </c>
      <c r="C112" s="22" t="s">
        <v>226</v>
      </c>
      <c r="D112" s="168">
        <v>1</v>
      </c>
      <c r="E112" s="169" t="b">
        <v>1</v>
      </c>
      <c r="F112" s="170" t="s">
        <v>1982</v>
      </c>
      <c r="G112" s="171">
        <v>1</v>
      </c>
      <c r="H112" s="171">
        <v>1</v>
      </c>
      <c r="I112" s="171">
        <v>1</v>
      </c>
      <c r="J112" s="171">
        <v>1</v>
      </c>
      <c r="K112" s="171">
        <v>1</v>
      </c>
      <c r="L112" s="171"/>
      <c r="M112" s="171"/>
      <c r="N112" s="171"/>
      <c r="O112" s="171"/>
      <c r="P112" s="171"/>
      <c r="Q112" s="171"/>
      <c r="R112" s="171"/>
      <c r="S112" s="171"/>
      <c r="T112" s="171"/>
      <c r="U112" s="171"/>
      <c r="V112" s="171"/>
      <c r="W112" s="171"/>
      <c r="X112" s="171"/>
      <c r="Y112" s="171"/>
      <c r="Z112" s="171"/>
      <c r="AA112" s="171"/>
      <c r="AB112" s="171"/>
      <c r="AC112" s="171"/>
      <c r="AD112" s="171"/>
      <c r="AE112" s="171"/>
      <c r="AF112" s="171"/>
      <c r="AG112" s="171"/>
      <c r="AH112" s="22"/>
      <c r="AI112" s="171"/>
      <c r="AJ112" s="22">
        <f t="shared" si="3"/>
        <v>5</v>
      </c>
      <c r="AK112" s="22">
        <f t="shared" si="4"/>
        <v>5</v>
      </c>
    </row>
    <row r="113" spans="1:37" ht="15.75" customHeight="1">
      <c r="A113" s="167" t="s">
        <v>229</v>
      </c>
      <c r="B113" s="167" t="s">
        <v>2056</v>
      </c>
      <c r="C113" s="22" t="s">
        <v>228</v>
      </c>
      <c r="D113" s="168">
        <v>1</v>
      </c>
      <c r="E113" s="169" t="b">
        <v>1</v>
      </c>
      <c r="F113" s="170" t="s">
        <v>1835</v>
      </c>
      <c r="G113" s="171">
        <v>1</v>
      </c>
      <c r="H113" s="171">
        <v>1</v>
      </c>
      <c r="I113" s="171">
        <v>1</v>
      </c>
      <c r="J113" s="171">
        <v>1</v>
      </c>
      <c r="K113" s="171">
        <v>1</v>
      </c>
      <c r="L113" s="171"/>
      <c r="M113" s="171"/>
      <c r="N113" s="171">
        <v>1</v>
      </c>
      <c r="O113" s="171"/>
      <c r="P113" s="171"/>
      <c r="Q113" s="171"/>
      <c r="R113" s="171"/>
      <c r="S113" s="171"/>
      <c r="T113" s="171"/>
      <c r="U113" s="171"/>
      <c r="V113" s="171"/>
      <c r="W113" s="171"/>
      <c r="X113" s="171"/>
      <c r="Y113" s="171"/>
      <c r="Z113" s="171"/>
      <c r="AA113" s="171"/>
      <c r="AB113" s="171"/>
      <c r="AC113" s="171"/>
      <c r="AD113" s="171"/>
      <c r="AE113" s="171"/>
      <c r="AF113" s="171"/>
      <c r="AG113" s="171"/>
      <c r="AH113" s="22"/>
      <c r="AI113" s="171"/>
      <c r="AJ113" s="22">
        <f t="shared" si="3"/>
        <v>6</v>
      </c>
      <c r="AK113" s="22">
        <f t="shared" si="4"/>
        <v>6</v>
      </c>
    </row>
    <row r="114" spans="1:37" ht="15.75" customHeight="1">
      <c r="A114" s="167" t="s">
        <v>1309</v>
      </c>
      <c r="B114" s="167" t="s">
        <v>2054</v>
      </c>
      <c r="C114" s="22" t="s">
        <v>1308</v>
      </c>
      <c r="D114" s="168">
        <v>1</v>
      </c>
      <c r="E114" s="169" t="b">
        <v>1</v>
      </c>
      <c r="F114" s="178" t="s">
        <v>1788</v>
      </c>
      <c r="G114" s="171">
        <v>1</v>
      </c>
      <c r="H114" s="171">
        <v>1</v>
      </c>
      <c r="I114" s="171">
        <v>1</v>
      </c>
      <c r="J114" s="171">
        <v>1</v>
      </c>
      <c r="K114" s="171">
        <v>1</v>
      </c>
      <c r="L114" s="171"/>
      <c r="M114" s="171"/>
      <c r="N114" s="171"/>
      <c r="O114" s="171"/>
      <c r="P114" s="171"/>
      <c r="Q114" s="171">
        <v>1</v>
      </c>
      <c r="R114" s="171">
        <v>1</v>
      </c>
      <c r="S114" s="171"/>
      <c r="T114" s="171"/>
      <c r="U114" s="171"/>
      <c r="V114" s="171"/>
      <c r="W114" s="171"/>
      <c r="X114" s="171"/>
      <c r="Y114" s="171"/>
      <c r="Z114" s="171"/>
      <c r="AA114" s="171"/>
      <c r="AB114" s="171"/>
      <c r="AC114" s="171"/>
      <c r="AD114" s="171"/>
      <c r="AE114" s="171"/>
      <c r="AF114" s="171"/>
      <c r="AG114" s="171"/>
      <c r="AH114" s="22"/>
      <c r="AI114" s="171"/>
      <c r="AJ114" s="22">
        <f t="shared" si="3"/>
        <v>7</v>
      </c>
      <c r="AK114" s="22">
        <f t="shared" si="4"/>
        <v>7</v>
      </c>
    </row>
    <row r="115" spans="1:37" ht="15.75" customHeight="1">
      <c r="A115" s="167" t="s">
        <v>1311</v>
      </c>
      <c r="B115" s="167" t="s">
        <v>2054</v>
      </c>
      <c r="C115" s="22" t="s">
        <v>1310</v>
      </c>
      <c r="D115" s="168">
        <v>1</v>
      </c>
      <c r="E115" s="169" t="b">
        <v>1</v>
      </c>
      <c r="F115" s="174" t="s">
        <v>1969</v>
      </c>
      <c r="G115" s="171">
        <v>1</v>
      </c>
      <c r="H115" s="171">
        <v>1</v>
      </c>
      <c r="I115" s="171">
        <v>1</v>
      </c>
      <c r="J115" s="171">
        <v>1</v>
      </c>
      <c r="K115" s="171">
        <v>1</v>
      </c>
      <c r="L115" s="171"/>
      <c r="M115" s="171"/>
      <c r="N115" s="171"/>
      <c r="O115" s="171"/>
      <c r="P115" s="171"/>
      <c r="Q115" s="171"/>
      <c r="R115" s="171">
        <v>1</v>
      </c>
      <c r="S115" s="171"/>
      <c r="T115" s="171"/>
      <c r="U115" s="171"/>
      <c r="V115" s="171"/>
      <c r="W115" s="171"/>
      <c r="X115" s="171"/>
      <c r="Y115" s="171"/>
      <c r="Z115" s="171"/>
      <c r="AA115" s="171"/>
      <c r="AB115" s="171"/>
      <c r="AC115" s="171"/>
      <c r="AD115" s="171"/>
      <c r="AE115" s="171"/>
      <c r="AF115" s="171"/>
      <c r="AG115" s="171"/>
      <c r="AH115" s="22"/>
      <c r="AI115" s="171"/>
      <c r="AJ115" s="22">
        <f t="shared" si="3"/>
        <v>6</v>
      </c>
      <c r="AK115" s="22">
        <f t="shared" si="4"/>
        <v>6</v>
      </c>
    </row>
    <row r="116" spans="1:37" ht="15.75" customHeight="1">
      <c r="A116" s="167" t="s">
        <v>1313</v>
      </c>
      <c r="B116" s="167" t="s">
        <v>2054</v>
      </c>
      <c r="C116" s="22" t="s">
        <v>1312</v>
      </c>
      <c r="D116" s="168">
        <v>1</v>
      </c>
      <c r="E116" s="169" t="b">
        <v>1</v>
      </c>
      <c r="F116" s="174" t="s">
        <v>1970</v>
      </c>
      <c r="G116" s="171">
        <v>1</v>
      </c>
      <c r="H116" s="171">
        <v>1</v>
      </c>
      <c r="I116" s="171">
        <v>1</v>
      </c>
      <c r="J116" s="171">
        <v>1</v>
      </c>
      <c r="K116" s="171">
        <v>1</v>
      </c>
      <c r="L116" s="171"/>
      <c r="M116" s="171"/>
      <c r="N116" s="171"/>
      <c r="O116" s="171"/>
      <c r="P116" s="171"/>
      <c r="Q116" s="171"/>
      <c r="R116" s="171">
        <v>1</v>
      </c>
      <c r="S116" s="171"/>
      <c r="T116" s="171"/>
      <c r="U116" s="171"/>
      <c r="V116" s="171"/>
      <c r="W116" s="171"/>
      <c r="X116" s="171"/>
      <c r="Y116" s="171"/>
      <c r="Z116" s="171"/>
      <c r="AA116" s="171"/>
      <c r="AB116" s="171"/>
      <c r="AC116" s="171"/>
      <c r="AD116" s="171"/>
      <c r="AE116" s="171"/>
      <c r="AF116" s="171"/>
      <c r="AG116" s="171"/>
      <c r="AH116" s="22"/>
      <c r="AI116" s="171"/>
      <c r="AJ116" s="22">
        <f t="shared" si="3"/>
        <v>6</v>
      </c>
      <c r="AK116" s="22">
        <f t="shared" si="4"/>
        <v>6</v>
      </c>
    </row>
    <row r="117" spans="1:37" ht="15.75" customHeight="1">
      <c r="A117" s="167" t="s">
        <v>1315</v>
      </c>
      <c r="B117" s="167" t="s">
        <v>2054</v>
      </c>
      <c r="C117" s="22" t="s">
        <v>1314</v>
      </c>
      <c r="D117" s="168">
        <v>1</v>
      </c>
      <c r="E117" s="169" t="b">
        <v>1</v>
      </c>
      <c r="F117" s="174" t="s">
        <v>1482</v>
      </c>
      <c r="G117" s="171">
        <v>1</v>
      </c>
      <c r="H117" s="171">
        <v>1</v>
      </c>
      <c r="I117" s="171">
        <v>1</v>
      </c>
      <c r="J117" s="171">
        <v>1</v>
      </c>
      <c r="K117" s="171">
        <v>1</v>
      </c>
      <c r="L117" s="171">
        <v>1</v>
      </c>
      <c r="M117" s="171"/>
      <c r="N117" s="171"/>
      <c r="O117" s="171"/>
      <c r="P117" s="171">
        <v>1</v>
      </c>
      <c r="Q117" s="171"/>
      <c r="R117" s="171">
        <v>1</v>
      </c>
      <c r="S117" s="171"/>
      <c r="T117" s="171"/>
      <c r="U117" s="171"/>
      <c r="V117" s="171"/>
      <c r="W117" s="171"/>
      <c r="X117" s="171"/>
      <c r="Y117" s="171"/>
      <c r="Z117" s="171"/>
      <c r="AA117" s="171"/>
      <c r="AB117" s="171"/>
      <c r="AC117" s="171"/>
      <c r="AD117" s="171"/>
      <c r="AE117" s="171"/>
      <c r="AF117" s="171"/>
      <c r="AG117" s="171">
        <v>1</v>
      </c>
      <c r="AH117" s="22"/>
      <c r="AI117" s="171" t="s">
        <v>1483</v>
      </c>
      <c r="AJ117" s="22">
        <f t="shared" si="3"/>
        <v>9</v>
      </c>
      <c r="AK117" s="22">
        <f t="shared" si="4"/>
        <v>9</v>
      </c>
    </row>
    <row r="118" spans="1:37" ht="15.75" customHeight="1">
      <c r="A118" s="167" t="s">
        <v>231</v>
      </c>
      <c r="B118" s="167" t="s">
        <v>2056</v>
      </c>
      <c r="C118" s="22" t="s">
        <v>230</v>
      </c>
      <c r="D118" s="168">
        <v>1</v>
      </c>
      <c r="E118" s="169" t="b">
        <v>1</v>
      </c>
      <c r="F118" s="174" t="s">
        <v>1522</v>
      </c>
      <c r="G118" s="171">
        <v>1</v>
      </c>
      <c r="H118" s="171">
        <v>1</v>
      </c>
      <c r="I118" s="171">
        <v>1</v>
      </c>
      <c r="J118" s="171">
        <v>1</v>
      </c>
      <c r="K118" s="171">
        <v>1</v>
      </c>
      <c r="L118" s="171">
        <v>2</v>
      </c>
      <c r="M118" s="171"/>
      <c r="N118" s="171">
        <v>1</v>
      </c>
      <c r="O118" s="171"/>
      <c r="P118" s="171"/>
      <c r="Q118" s="171"/>
      <c r="R118" s="171"/>
      <c r="S118" s="171"/>
      <c r="T118" s="171"/>
      <c r="U118" s="171"/>
      <c r="V118" s="171"/>
      <c r="W118" s="171"/>
      <c r="X118" s="171"/>
      <c r="Y118" s="171"/>
      <c r="Z118" s="171"/>
      <c r="AA118" s="171"/>
      <c r="AB118" s="171"/>
      <c r="AC118" s="171"/>
      <c r="AD118" s="171"/>
      <c r="AE118" s="171"/>
      <c r="AF118" s="171"/>
      <c r="AG118" s="171"/>
      <c r="AH118" s="22"/>
      <c r="AI118" s="171"/>
      <c r="AJ118" s="22">
        <f t="shared" si="3"/>
        <v>7</v>
      </c>
      <c r="AK118" s="22">
        <f t="shared" si="4"/>
        <v>8</v>
      </c>
    </row>
    <row r="119" spans="1:37" ht="15.75" customHeight="1">
      <c r="A119" s="167" t="s">
        <v>233</v>
      </c>
      <c r="B119" s="167" t="s">
        <v>2056</v>
      </c>
      <c r="C119" s="22" t="s">
        <v>232</v>
      </c>
      <c r="D119" s="168">
        <v>1</v>
      </c>
      <c r="E119" s="169" t="b">
        <v>1</v>
      </c>
      <c r="F119" s="170" t="s">
        <v>1523</v>
      </c>
      <c r="G119" s="171">
        <v>1</v>
      </c>
      <c r="H119" s="171">
        <v>1</v>
      </c>
      <c r="I119" s="171">
        <v>1</v>
      </c>
      <c r="J119" s="171">
        <v>1</v>
      </c>
      <c r="K119" s="171">
        <v>1</v>
      </c>
      <c r="L119" s="171"/>
      <c r="M119" s="171">
        <v>1</v>
      </c>
      <c r="N119" s="171">
        <v>1</v>
      </c>
      <c r="O119" s="171"/>
      <c r="P119" s="171"/>
      <c r="Q119" s="171"/>
      <c r="R119" s="171"/>
      <c r="S119" s="171"/>
      <c r="T119" s="171"/>
      <c r="U119" s="171"/>
      <c r="V119" s="171"/>
      <c r="W119" s="171">
        <v>1</v>
      </c>
      <c r="X119" s="171"/>
      <c r="Y119" s="171"/>
      <c r="Z119" s="171"/>
      <c r="AA119" s="171"/>
      <c r="AB119" s="171"/>
      <c r="AC119" s="171"/>
      <c r="AD119" s="171"/>
      <c r="AE119" s="171"/>
      <c r="AF119" s="171"/>
      <c r="AG119" s="171"/>
      <c r="AH119" s="22"/>
      <c r="AI119" s="171"/>
      <c r="AJ119" s="22">
        <f t="shared" si="3"/>
        <v>8</v>
      </c>
      <c r="AK119" s="22">
        <f t="shared" si="4"/>
        <v>8</v>
      </c>
    </row>
    <row r="120" spans="1:37" ht="15.75" customHeight="1">
      <c r="A120" s="167" t="s">
        <v>235</v>
      </c>
      <c r="B120" s="167" t="s">
        <v>2056</v>
      </c>
      <c r="C120" s="22" t="s">
        <v>234</v>
      </c>
      <c r="D120" s="168">
        <v>1</v>
      </c>
      <c r="E120" s="169" t="b">
        <v>1</v>
      </c>
      <c r="F120" s="170" t="s">
        <v>1983</v>
      </c>
      <c r="G120" s="171">
        <v>1</v>
      </c>
      <c r="H120" s="171">
        <v>1</v>
      </c>
      <c r="I120" s="171">
        <v>1</v>
      </c>
      <c r="J120" s="171">
        <v>1</v>
      </c>
      <c r="K120" s="171">
        <v>1</v>
      </c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  <c r="AA120" s="171"/>
      <c r="AB120" s="171"/>
      <c r="AC120" s="171"/>
      <c r="AD120" s="171"/>
      <c r="AE120" s="171"/>
      <c r="AF120" s="171"/>
      <c r="AG120" s="171"/>
      <c r="AH120" s="22"/>
      <c r="AI120" s="171"/>
      <c r="AJ120" s="22">
        <f t="shared" si="3"/>
        <v>5</v>
      </c>
      <c r="AK120" s="22">
        <f t="shared" si="4"/>
        <v>5</v>
      </c>
    </row>
    <row r="121" spans="1:37" ht="15.75" customHeight="1">
      <c r="A121" s="167" t="s">
        <v>1182</v>
      </c>
      <c r="B121" s="167" t="s">
        <v>2055</v>
      </c>
      <c r="C121" s="22" t="s">
        <v>1181</v>
      </c>
      <c r="D121" s="168">
        <v>1</v>
      </c>
      <c r="E121" s="169" t="b">
        <v>1</v>
      </c>
      <c r="F121" s="170" t="s">
        <v>1594</v>
      </c>
      <c r="G121" s="171">
        <v>1</v>
      </c>
      <c r="H121" s="171">
        <v>1</v>
      </c>
      <c r="I121" s="171">
        <v>1</v>
      </c>
      <c r="J121" s="171">
        <v>1</v>
      </c>
      <c r="K121" s="171">
        <v>1</v>
      </c>
      <c r="L121" s="171"/>
      <c r="M121" s="171"/>
      <c r="N121" s="171">
        <v>1</v>
      </c>
      <c r="O121" s="171">
        <v>1</v>
      </c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  <c r="AA121" s="171"/>
      <c r="AB121" s="171"/>
      <c r="AC121" s="171"/>
      <c r="AD121" s="171"/>
      <c r="AE121" s="171">
        <v>1</v>
      </c>
      <c r="AF121" s="171"/>
      <c r="AG121" s="171"/>
      <c r="AH121" s="22"/>
      <c r="AI121" s="171"/>
      <c r="AJ121" s="22">
        <f t="shared" si="3"/>
        <v>8</v>
      </c>
      <c r="AK121" s="22">
        <f t="shared" si="4"/>
        <v>8</v>
      </c>
    </row>
    <row r="122" spans="1:37" ht="15.75" customHeight="1">
      <c r="A122" s="167" t="s">
        <v>237</v>
      </c>
      <c r="B122" s="167" t="s">
        <v>2056</v>
      </c>
      <c r="C122" s="22" t="s">
        <v>236</v>
      </c>
      <c r="D122" s="168">
        <v>1</v>
      </c>
      <c r="E122" s="169" t="b">
        <v>1</v>
      </c>
      <c r="F122" s="170" t="s">
        <v>1836</v>
      </c>
      <c r="G122" s="171">
        <v>1</v>
      </c>
      <c r="H122" s="171">
        <v>1</v>
      </c>
      <c r="I122" s="171">
        <v>1</v>
      </c>
      <c r="J122" s="171">
        <v>1</v>
      </c>
      <c r="K122" s="171">
        <v>1</v>
      </c>
      <c r="L122" s="171">
        <v>1</v>
      </c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  <c r="AA122" s="171"/>
      <c r="AB122" s="171"/>
      <c r="AC122" s="171"/>
      <c r="AD122" s="171"/>
      <c r="AE122" s="171"/>
      <c r="AF122" s="171"/>
      <c r="AG122" s="171"/>
      <c r="AH122" s="22"/>
      <c r="AI122" s="171"/>
      <c r="AJ122" s="22">
        <f t="shared" si="3"/>
        <v>6</v>
      </c>
      <c r="AK122" s="22">
        <f t="shared" si="4"/>
        <v>6</v>
      </c>
    </row>
    <row r="123" spans="1:37" ht="15.75" customHeight="1">
      <c r="A123" s="167" t="s">
        <v>239</v>
      </c>
      <c r="B123" s="167" t="s">
        <v>2056</v>
      </c>
      <c r="C123" s="22" t="s">
        <v>238</v>
      </c>
      <c r="D123" s="168">
        <v>1</v>
      </c>
      <c r="E123" s="169" t="b">
        <v>1</v>
      </c>
      <c r="F123" s="170" t="s">
        <v>1653</v>
      </c>
      <c r="G123" s="171">
        <v>1</v>
      </c>
      <c r="H123" s="171">
        <v>1</v>
      </c>
      <c r="I123" s="171">
        <v>1</v>
      </c>
      <c r="J123" s="171">
        <v>1</v>
      </c>
      <c r="K123" s="171">
        <v>1</v>
      </c>
      <c r="L123" s="171">
        <v>2</v>
      </c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  <c r="AA123" s="171"/>
      <c r="AB123" s="171"/>
      <c r="AC123" s="171"/>
      <c r="AD123" s="171"/>
      <c r="AE123" s="171"/>
      <c r="AF123" s="171"/>
      <c r="AG123" s="171"/>
      <c r="AH123" s="22"/>
      <c r="AI123" s="171"/>
      <c r="AJ123" s="22">
        <f t="shared" si="3"/>
        <v>6</v>
      </c>
      <c r="AK123" s="22">
        <f t="shared" si="4"/>
        <v>7</v>
      </c>
    </row>
    <row r="124" spans="1:37" ht="15.75" customHeight="1">
      <c r="A124" s="167" t="s">
        <v>1317</v>
      </c>
      <c r="B124" s="167" t="s">
        <v>2054</v>
      </c>
      <c r="C124" s="22" t="s">
        <v>1316</v>
      </c>
      <c r="D124" s="168">
        <v>1</v>
      </c>
      <c r="E124" s="169" t="b">
        <v>1</v>
      </c>
      <c r="F124" s="170" t="s">
        <v>1789</v>
      </c>
      <c r="G124" s="171">
        <v>1</v>
      </c>
      <c r="H124" s="171">
        <v>1</v>
      </c>
      <c r="I124" s="171">
        <v>1</v>
      </c>
      <c r="J124" s="171">
        <v>1</v>
      </c>
      <c r="K124" s="171">
        <v>1</v>
      </c>
      <c r="L124" s="171"/>
      <c r="M124" s="171">
        <v>1</v>
      </c>
      <c r="N124" s="171"/>
      <c r="O124" s="171"/>
      <c r="P124" s="171"/>
      <c r="Q124" s="171"/>
      <c r="R124" s="171">
        <v>1</v>
      </c>
      <c r="S124" s="171"/>
      <c r="T124" s="171"/>
      <c r="U124" s="171"/>
      <c r="V124" s="171"/>
      <c r="W124" s="171"/>
      <c r="X124" s="171"/>
      <c r="Y124" s="171"/>
      <c r="Z124" s="171"/>
      <c r="AA124" s="171"/>
      <c r="AB124" s="171"/>
      <c r="AC124" s="171"/>
      <c r="AD124" s="171"/>
      <c r="AE124" s="171"/>
      <c r="AF124" s="171"/>
      <c r="AG124" s="171"/>
      <c r="AH124" s="22"/>
      <c r="AI124" s="171"/>
      <c r="AJ124" s="22">
        <f t="shared" si="3"/>
        <v>7</v>
      </c>
      <c r="AK124" s="22">
        <f t="shared" si="4"/>
        <v>7</v>
      </c>
    </row>
    <row r="125" spans="1:37" ht="15.75" customHeight="1">
      <c r="A125" s="167" t="s">
        <v>241</v>
      </c>
      <c r="B125" s="167" t="s">
        <v>2056</v>
      </c>
      <c r="C125" s="22" t="s">
        <v>240</v>
      </c>
      <c r="D125" s="168">
        <v>1</v>
      </c>
      <c r="E125" s="169" t="b">
        <v>1</v>
      </c>
      <c r="F125" s="170" t="s">
        <v>1524</v>
      </c>
      <c r="G125" s="171">
        <v>1</v>
      </c>
      <c r="H125" s="171">
        <v>1</v>
      </c>
      <c r="I125" s="171">
        <v>1</v>
      </c>
      <c r="J125" s="171">
        <v>1</v>
      </c>
      <c r="K125" s="171">
        <v>1</v>
      </c>
      <c r="L125" s="171"/>
      <c r="M125" s="171">
        <v>1</v>
      </c>
      <c r="N125" s="171">
        <v>1</v>
      </c>
      <c r="O125" s="171"/>
      <c r="P125" s="171"/>
      <c r="Q125" s="171"/>
      <c r="R125" s="171"/>
      <c r="S125" s="171"/>
      <c r="T125" s="171"/>
      <c r="U125" s="171"/>
      <c r="V125" s="171"/>
      <c r="W125" s="171">
        <v>1</v>
      </c>
      <c r="X125" s="171"/>
      <c r="Y125" s="171"/>
      <c r="Z125" s="171"/>
      <c r="AA125" s="171"/>
      <c r="AB125" s="171"/>
      <c r="AC125" s="171"/>
      <c r="AD125" s="171"/>
      <c r="AE125" s="171"/>
      <c r="AF125" s="171"/>
      <c r="AG125" s="171"/>
      <c r="AH125" s="22"/>
      <c r="AI125" s="171"/>
      <c r="AJ125" s="22">
        <f t="shared" si="3"/>
        <v>8</v>
      </c>
      <c r="AK125" s="22">
        <f t="shared" si="4"/>
        <v>8</v>
      </c>
    </row>
    <row r="126" spans="1:37" ht="15.75" customHeight="1">
      <c r="A126" s="167" t="s">
        <v>243</v>
      </c>
      <c r="B126" s="167" t="s">
        <v>2056</v>
      </c>
      <c r="C126" s="22" t="s">
        <v>242</v>
      </c>
      <c r="D126" s="168">
        <v>1</v>
      </c>
      <c r="E126" s="169" t="b">
        <v>1</v>
      </c>
      <c r="F126" s="170" t="s">
        <v>1654</v>
      </c>
      <c r="G126" s="171">
        <v>1</v>
      </c>
      <c r="H126" s="171">
        <v>1</v>
      </c>
      <c r="I126" s="171">
        <v>1</v>
      </c>
      <c r="J126" s="171">
        <v>1</v>
      </c>
      <c r="K126" s="171">
        <v>1</v>
      </c>
      <c r="L126" s="171">
        <v>1</v>
      </c>
      <c r="M126" s="171">
        <v>1</v>
      </c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  <c r="AA126" s="171"/>
      <c r="AB126" s="171"/>
      <c r="AC126" s="171"/>
      <c r="AD126" s="171"/>
      <c r="AE126" s="171"/>
      <c r="AF126" s="171"/>
      <c r="AG126" s="171"/>
      <c r="AH126" s="22"/>
      <c r="AI126" s="171"/>
      <c r="AJ126" s="22">
        <f t="shared" si="3"/>
        <v>7</v>
      </c>
      <c r="AK126" s="22">
        <f t="shared" si="4"/>
        <v>7</v>
      </c>
    </row>
    <row r="127" spans="1:37" ht="15.75" customHeight="1">
      <c r="A127" s="167" t="s">
        <v>245</v>
      </c>
      <c r="B127" s="167" t="s">
        <v>2056</v>
      </c>
      <c r="C127" s="22" t="s">
        <v>244</v>
      </c>
      <c r="D127" s="168">
        <v>1</v>
      </c>
      <c r="E127" s="169" t="b">
        <v>1</v>
      </c>
      <c r="F127" s="170" t="s">
        <v>1436</v>
      </c>
      <c r="G127" s="171">
        <v>1</v>
      </c>
      <c r="H127" s="171">
        <v>1</v>
      </c>
      <c r="I127" s="171">
        <v>1</v>
      </c>
      <c r="J127" s="171">
        <v>1</v>
      </c>
      <c r="K127" s="171">
        <v>1</v>
      </c>
      <c r="L127" s="171">
        <v>2</v>
      </c>
      <c r="M127" s="171">
        <v>1</v>
      </c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>
        <v>1</v>
      </c>
      <c r="Y127" s="171"/>
      <c r="Z127" s="171"/>
      <c r="AA127" s="171"/>
      <c r="AB127" s="171"/>
      <c r="AC127" s="171"/>
      <c r="AD127" s="171"/>
      <c r="AE127" s="171"/>
      <c r="AF127" s="171"/>
      <c r="AG127" s="171"/>
      <c r="AH127" s="22"/>
      <c r="AI127" s="171"/>
      <c r="AJ127" s="22">
        <f t="shared" si="3"/>
        <v>8</v>
      </c>
      <c r="AK127" s="22">
        <f t="shared" si="4"/>
        <v>9</v>
      </c>
    </row>
    <row r="128" spans="1:37" ht="15.75" customHeight="1">
      <c r="A128" s="167" t="s">
        <v>247</v>
      </c>
      <c r="B128" s="167" t="s">
        <v>2056</v>
      </c>
      <c r="C128" s="22" t="s">
        <v>246</v>
      </c>
      <c r="D128" s="168">
        <v>1</v>
      </c>
      <c r="E128" s="169" t="b">
        <v>1</v>
      </c>
      <c r="F128" s="174" t="s">
        <v>1655</v>
      </c>
      <c r="G128" s="171">
        <v>1</v>
      </c>
      <c r="H128" s="171">
        <v>1</v>
      </c>
      <c r="I128" s="171">
        <v>1</v>
      </c>
      <c r="J128" s="171">
        <v>1</v>
      </c>
      <c r="K128" s="171">
        <v>1</v>
      </c>
      <c r="L128" s="171"/>
      <c r="M128" s="171">
        <v>1</v>
      </c>
      <c r="N128" s="171"/>
      <c r="O128" s="171"/>
      <c r="P128" s="171">
        <v>1</v>
      </c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  <c r="AA128" s="171"/>
      <c r="AB128" s="171"/>
      <c r="AC128" s="171"/>
      <c r="AD128" s="171"/>
      <c r="AE128" s="171"/>
      <c r="AF128" s="171"/>
      <c r="AG128" s="171"/>
      <c r="AH128" s="22"/>
      <c r="AI128" s="171"/>
      <c r="AJ128" s="22">
        <f t="shared" si="3"/>
        <v>7</v>
      </c>
      <c r="AK128" s="22">
        <f t="shared" si="4"/>
        <v>7</v>
      </c>
    </row>
    <row r="129" spans="1:37" ht="15.75" customHeight="1">
      <c r="A129" s="167" t="s">
        <v>249</v>
      </c>
      <c r="B129" s="167" t="s">
        <v>2056</v>
      </c>
      <c r="C129" s="22" t="s">
        <v>248</v>
      </c>
      <c r="D129" s="168">
        <v>1</v>
      </c>
      <c r="E129" s="169" t="b">
        <v>1</v>
      </c>
      <c r="F129" s="174" t="s">
        <v>1984</v>
      </c>
      <c r="G129" s="171">
        <v>1</v>
      </c>
      <c r="H129" s="171">
        <v>1</v>
      </c>
      <c r="I129" s="171">
        <v>1</v>
      </c>
      <c r="J129" s="171">
        <v>1</v>
      </c>
      <c r="K129" s="171"/>
      <c r="L129" s="171">
        <v>1</v>
      </c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  <c r="AA129" s="171"/>
      <c r="AB129" s="171"/>
      <c r="AC129" s="171"/>
      <c r="AD129" s="171"/>
      <c r="AE129" s="171"/>
      <c r="AF129" s="171"/>
      <c r="AG129" s="171"/>
      <c r="AH129" s="22"/>
      <c r="AI129" s="171"/>
      <c r="AJ129" s="22">
        <f t="shared" si="3"/>
        <v>5</v>
      </c>
      <c r="AK129" s="22">
        <f t="shared" si="4"/>
        <v>5</v>
      </c>
    </row>
    <row r="130" spans="1:37" ht="15.75" customHeight="1">
      <c r="A130" s="167" t="s">
        <v>251</v>
      </c>
      <c r="B130" s="167" t="s">
        <v>2056</v>
      </c>
      <c r="C130" s="22" t="s">
        <v>250</v>
      </c>
      <c r="D130" s="168">
        <v>1</v>
      </c>
      <c r="E130" s="169" t="b">
        <v>1</v>
      </c>
      <c r="F130" s="174" t="s">
        <v>1656</v>
      </c>
      <c r="G130" s="171">
        <v>1</v>
      </c>
      <c r="H130" s="171">
        <v>1</v>
      </c>
      <c r="I130" s="171">
        <v>1</v>
      </c>
      <c r="J130" s="171">
        <v>1</v>
      </c>
      <c r="K130" s="171">
        <v>1</v>
      </c>
      <c r="L130" s="171"/>
      <c r="M130" s="171">
        <v>1</v>
      </c>
      <c r="N130" s="171"/>
      <c r="O130" s="171"/>
      <c r="P130" s="171">
        <v>1</v>
      </c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  <c r="AA130" s="171"/>
      <c r="AB130" s="171"/>
      <c r="AC130" s="171"/>
      <c r="AD130" s="171"/>
      <c r="AE130" s="171"/>
      <c r="AF130" s="171"/>
      <c r="AG130" s="171"/>
      <c r="AH130" s="22"/>
      <c r="AI130" s="171"/>
      <c r="AJ130" s="22">
        <f t="shared" si="3"/>
        <v>7</v>
      </c>
      <c r="AK130" s="22">
        <f t="shared" si="4"/>
        <v>7</v>
      </c>
    </row>
    <row r="131" spans="1:37" ht="15.75" customHeight="1">
      <c r="A131" s="167" t="s">
        <v>253</v>
      </c>
      <c r="B131" s="167" t="s">
        <v>2056</v>
      </c>
      <c r="C131" s="22" t="s">
        <v>252</v>
      </c>
      <c r="D131" s="168">
        <v>1</v>
      </c>
      <c r="E131" s="169" t="b">
        <v>1</v>
      </c>
      <c r="F131" s="170" t="s">
        <v>1985</v>
      </c>
      <c r="G131" s="171">
        <v>1</v>
      </c>
      <c r="H131" s="171">
        <v>1</v>
      </c>
      <c r="I131" s="171">
        <v>1</v>
      </c>
      <c r="J131" s="171">
        <v>1</v>
      </c>
      <c r="K131" s="171">
        <v>1</v>
      </c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  <c r="AA131" s="171"/>
      <c r="AB131" s="171"/>
      <c r="AC131" s="171"/>
      <c r="AD131" s="171"/>
      <c r="AE131" s="171"/>
      <c r="AF131" s="171"/>
      <c r="AG131" s="171"/>
      <c r="AH131" s="22"/>
      <c r="AI131" s="171"/>
      <c r="AJ131" s="22">
        <f t="shared" si="3"/>
        <v>5</v>
      </c>
      <c r="AK131" s="22">
        <f t="shared" si="4"/>
        <v>5</v>
      </c>
    </row>
    <row r="132" spans="1:37" ht="15.75" customHeight="1">
      <c r="A132" s="167" t="s">
        <v>255</v>
      </c>
      <c r="B132" s="167" t="s">
        <v>2056</v>
      </c>
      <c r="C132" s="22" t="s">
        <v>254</v>
      </c>
      <c r="D132" s="168">
        <v>1</v>
      </c>
      <c r="E132" s="169" t="b">
        <v>1</v>
      </c>
      <c r="F132" s="170" t="s">
        <v>1837</v>
      </c>
      <c r="G132" s="171">
        <v>1</v>
      </c>
      <c r="H132" s="171">
        <v>1</v>
      </c>
      <c r="I132" s="171">
        <v>1</v>
      </c>
      <c r="J132" s="171">
        <v>1</v>
      </c>
      <c r="K132" s="171">
        <v>1</v>
      </c>
      <c r="L132" s="171">
        <v>1</v>
      </c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  <c r="AA132" s="171"/>
      <c r="AB132" s="171"/>
      <c r="AC132" s="171"/>
      <c r="AD132" s="171"/>
      <c r="AE132" s="171"/>
      <c r="AF132" s="171"/>
      <c r="AG132" s="171"/>
      <c r="AH132" s="22"/>
      <c r="AI132" s="171"/>
      <c r="AJ132" s="22">
        <f t="shared" si="3"/>
        <v>6</v>
      </c>
      <c r="AK132" s="22">
        <f t="shared" si="4"/>
        <v>6</v>
      </c>
    </row>
    <row r="133" spans="1:37" ht="15.75" customHeight="1">
      <c r="A133" s="167" t="s">
        <v>257</v>
      </c>
      <c r="B133" s="167" t="s">
        <v>2056</v>
      </c>
      <c r="C133" s="22" t="s">
        <v>256</v>
      </c>
      <c r="D133" s="168">
        <v>1</v>
      </c>
      <c r="E133" s="169" t="b">
        <v>1</v>
      </c>
      <c r="F133" s="170" t="s">
        <v>1625</v>
      </c>
      <c r="G133" s="171">
        <v>1</v>
      </c>
      <c r="H133" s="171">
        <v>1</v>
      </c>
      <c r="I133" s="171">
        <v>1</v>
      </c>
      <c r="J133" s="171">
        <v>1</v>
      </c>
      <c r="K133" s="171">
        <v>1</v>
      </c>
      <c r="L133" s="171"/>
      <c r="M133" s="171">
        <v>1</v>
      </c>
      <c r="N133" s="171"/>
      <c r="O133" s="171"/>
      <c r="P133" s="171"/>
      <c r="Q133" s="171"/>
      <c r="R133" s="171"/>
      <c r="S133" s="171"/>
      <c r="T133" s="171">
        <v>1</v>
      </c>
      <c r="U133" s="171"/>
      <c r="V133" s="171"/>
      <c r="W133" s="171"/>
      <c r="X133" s="171"/>
      <c r="Y133" s="171"/>
      <c r="Z133" s="171"/>
      <c r="AA133" s="171"/>
      <c r="AB133" s="171"/>
      <c r="AC133" s="171"/>
      <c r="AD133" s="171"/>
      <c r="AE133" s="171"/>
      <c r="AF133" s="171"/>
      <c r="AG133" s="171"/>
      <c r="AH133" s="22"/>
      <c r="AI133" s="171"/>
      <c r="AJ133" s="22">
        <f t="shared" si="3"/>
        <v>7</v>
      </c>
      <c r="AK133" s="22">
        <f t="shared" si="4"/>
        <v>7</v>
      </c>
    </row>
    <row r="134" spans="1:37" ht="15.75" customHeight="1">
      <c r="A134" s="167" t="s">
        <v>259</v>
      </c>
      <c r="B134" s="167" t="s">
        <v>2056</v>
      </c>
      <c r="C134" s="22" t="s">
        <v>258</v>
      </c>
      <c r="D134" s="168">
        <v>1</v>
      </c>
      <c r="E134" s="169" t="b">
        <v>1</v>
      </c>
      <c r="F134" s="170" t="s">
        <v>1838</v>
      </c>
      <c r="G134" s="171">
        <v>1</v>
      </c>
      <c r="H134" s="171">
        <v>1</v>
      </c>
      <c r="I134" s="171">
        <v>1</v>
      </c>
      <c r="J134" s="171">
        <v>1</v>
      </c>
      <c r="K134" s="171">
        <v>1</v>
      </c>
      <c r="L134" s="171">
        <v>1</v>
      </c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  <c r="AB134" s="171"/>
      <c r="AC134" s="171"/>
      <c r="AD134" s="171"/>
      <c r="AE134" s="171"/>
      <c r="AF134" s="171"/>
      <c r="AG134" s="171"/>
      <c r="AH134" s="22"/>
      <c r="AI134" s="171"/>
      <c r="AJ134" s="22">
        <f t="shared" si="3"/>
        <v>6</v>
      </c>
      <c r="AK134" s="22">
        <f t="shared" si="4"/>
        <v>6</v>
      </c>
    </row>
    <row r="135" spans="1:37" ht="15.75" customHeight="1">
      <c r="A135" s="167" t="s">
        <v>261</v>
      </c>
      <c r="B135" s="167" t="s">
        <v>2056</v>
      </c>
      <c r="C135" s="22" t="s">
        <v>260</v>
      </c>
      <c r="D135" s="168">
        <v>1</v>
      </c>
      <c r="E135" s="169" t="b">
        <v>1</v>
      </c>
      <c r="F135" s="170" t="s">
        <v>1839</v>
      </c>
      <c r="G135" s="171">
        <v>1</v>
      </c>
      <c r="H135" s="171">
        <v>1</v>
      </c>
      <c r="I135" s="171">
        <v>1</v>
      </c>
      <c r="J135" s="171">
        <v>1</v>
      </c>
      <c r="K135" s="171">
        <v>1</v>
      </c>
      <c r="L135" s="171">
        <v>1</v>
      </c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  <c r="AB135" s="171"/>
      <c r="AC135" s="171"/>
      <c r="AD135" s="171"/>
      <c r="AE135" s="171"/>
      <c r="AF135" s="171"/>
      <c r="AG135" s="171"/>
      <c r="AH135" s="22"/>
      <c r="AI135" s="171"/>
      <c r="AJ135" s="22">
        <f t="shared" si="3"/>
        <v>6</v>
      </c>
      <c r="AK135" s="22">
        <f t="shared" si="4"/>
        <v>6</v>
      </c>
    </row>
    <row r="136" spans="1:37" ht="15.75" customHeight="1">
      <c r="A136" s="167" t="s">
        <v>263</v>
      </c>
      <c r="B136" s="167" t="s">
        <v>2056</v>
      </c>
      <c r="C136" s="22" t="s">
        <v>262</v>
      </c>
      <c r="D136" s="168">
        <v>1</v>
      </c>
      <c r="E136" s="169" t="b">
        <v>1</v>
      </c>
      <c r="F136" s="170" t="s">
        <v>1840</v>
      </c>
      <c r="G136" s="171">
        <v>1</v>
      </c>
      <c r="H136" s="171">
        <v>1</v>
      </c>
      <c r="I136" s="171">
        <v>1</v>
      </c>
      <c r="J136" s="171">
        <v>1</v>
      </c>
      <c r="K136" s="171">
        <v>1</v>
      </c>
      <c r="L136" s="171">
        <v>1</v>
      </c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  <c r="AD136" s="171"/>
      <c r="AE136" s="171"/>
      <c r="AF136" s="171"/>
      <c r="AG136" s="171"/>
      <c r="AH136" s="22"/>
      <c r="AI136" s="171"/>
      <c r="AJ136" s="22">
        <f t="shared" si="3"/>
        <v>6</v>
      </c>
      <c r="AK136" s="22">
        <f t="shared" si="4"/>
        <v>6</v>
      </c>
    </row>
    <row r="137" spans="1:37" ht="15.75" customHeight="1">
      <c r="A137" s="167" t="s">
        <v>265</v>
      </c>
      <c r="B137" s="167" t="s">
        <v>2056</v>
      </c>
      <c r="C137" s="22" t="s">
        <v>264</v>
      </c>
      <c r="D137" s="168">
        <v>1</v>
      </c>
      <c r="E137" s="169" t="b">
        <v>1</v>
      </c>
      <c r="F137" s="170" t="s">
        <v>1657</v>
      </c>
      <c r="G137" s="171">
        <v>1</v>
      </c>
      <c r="H137" s="171">
        <v>1</v>
      </c>
      <c r="I137" s="171">
        <v>1</v>
      </c>
      <c r="J137" s="171">
        <v>1</v>
      </c>
      <c r="K137" s="171">
        <v>1</v>
      </c>
      <c r="L137" s="171">
        <v>1</v>
      </c>
      <c r="M137" s="171"/>
      <c r="N137" s="171"/>
      <c r="O137" s="171"/>
      <c r="P137" s="171"/>
      <c r="Q137" s="171"/>
      <c r="R137" s="171"/>
      <c r="S137" s="171"/>
      <c r="T137" s="171"/>
      <c r="U137" s="171">
        <v>1</v>
      </c>
      <c r="V137" s="171"/>
      <c r="W137" s="171"/>
      <c r="X137" s="171"/>
      <c r="Y137" s="171"/>
      <c r="Z137" s="171"/>
      <c r="AA137" s="171"/>
      <c r="AB137" s="171"/>
      <c r="AC137" s="171"/>
      <c r="AD137" s="171"/>
      <c r="AE137" s="171"/>
      <c r="AF137" s="171"/>
      <c r="AG137" s="171"/>
      <c r="AH137" s="22"/>
      <c r="AI137" s="171"/>
      <c r="AJ137" s="22">
        <f t="shared" si="3"/>
        <v>7</v>
      </c>
      <c r="AK137" s="22">
        <f t="shared" si="4"/>
        <v>7</v>
      </c>
    </row>
    <row r="138" spans="1:37" ht="15.75" customHeight="1">
      <c r="A138" s="167" t="s">
        <v>268</v>
      </c>
      <c r="B138" s="167" t="s">
        <v>2056</v>
      </c>
      <c r="C138" s="22" t="s">
        <v>267</v>
      </c>
      <c r="D138" s="168">
        <v>1</v>
      </c>
      <c r="E138" s="169" t="b">
        <v>1</v>
      </c>
      <c r="F138" s="170" t="s">
        <v>1986</v>
      </c>
      <c r="G138" s="171"/>
      <c r="H138" s="171"/>
      <c r="I138" s="171"/>
      <c r="J138" s="171">
        <v>1</v>
      </c>
      <c r="K138" s="171"/>
      <c r="L138" s="171"/>
      <c r="M138" s="171"/>
      <c r="N138" s="171"/>
      <c r="O138" s="171"/>
      <c r="P138" s="171"/>
      <c r="Q138" s="171">
        <v>1</v>
      </c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  <c r="AD138" s="171"/>
      <c r="AE138" s="171"/>
      <c r="AF138" s="171"/>
      <c r="AG138" s="171">
        <v>3</v>
      </c>
      <c r="AH138" s="22"/>
      <c r="AI138" s="171" t="s">
        <v>1987</v>
      </c>
      <c r="AJ138" s="22">
        <f t="shared" si="3"/>
        <v>3</v>
      </c>
      <c r="AK138" s="22">
        <f t="shared" si="4"/>
        <v>5</v>
      </c>
    </row>
    <row r="139" spans="1:37" ht="15.75" customHeight="1">
      <c r="A139" s="167" t="s">
        <v>270</v>
      </c>
      <c r="B139" s="167" t="s">
        <v>2056</v>
      </c>
      <c r="C139" s="22" t="s">
        <v>269</v>
      </c>
      <c r="D139" s="168">
        <v>1</v>
      </c>
      <c r="E139" s="169" t="b">
        <v>1</v>
      </c>
      <c r="F139" s="170" t="s">
        <v>1437</v>
      </c>
      <c r="G139" s="171">
        <v>1</v>
      </c>
      <c r="H139" s="171">
        <v>1</v>
      </c>
      <c r="I139" s="171">
        <v>1</v>
      </c>
      <c r="J139" s="171">
        <v>1</v>
      </c>
      <c r="K139" s="171">
        <v>1</v>
      </c>
      <c r="L139" s="171">
        <v>1</v>
      </c>
      <c r="M139" s="171"/>
      <c r="N139" s="171">
        <v>1</v>
      </c>
      <c r="O139" s="171"/>
      <c r="P139" s="171"/>
      <c r="Q139" s="171"/>
      <c r="R139" s="171"/>
      <c r="S139" s="171"/>
      <c r="T139" s="171"/>
      <c r="U139" s="171"/>
      <c r="V139" s="171">
        <v>1</v>
      </c>
      <c r="W139" s="171"/>
      <c r="X139" s="171"/>
      <c r="Y139" s="171"/>
      <c r="Z139" s="171"/>
      <c r="AA139" s="171"/>
      <c r="AB139" s="171"/>
      <c r="AC139" s="171"/>
      <c r="AD139" s="171"/>
      <c r="AE139" s="171"/>
      <c r="AF139" s="171"/>
      <c r="AG139" s="171">
        <v>1</v>
      </c>
      <c r="AH139" s="22"/>
      <c r="AI139" s="171" t="s">
        <v>1396</v>
      </c>
      <c r="AJ139" s="22">
        <f t="shared" si="3"/>
        <v>9</v>
      </c>
      <c r="AK139" s="22">
        <f t="shared" si="4"/>
        <v>9</v>
      </c>
    </row>
    <row r="140" spans="1:37" ht="15.75" customHeight="1">
      <c r="A140" s="167" t="s">
        <v>272</v>
      </c>
      <c r="B140" s="167" t="s">
        <v>2056</v>
      </c>
      <c r="C140" s="22" t="s">
        <v>271</v>
      </c>
      <c r="D140" s="168">
        <v>1</v>
      </c>
      <c r="E140" s="169" t="b">
        <v>1</v>
      </c>
      <c r="F140" s="170" t="s">
        <v>1397</v>
      </c>
      <c r="G140" s="171">
        <v>1</v>
      </c>
      <c r="H140" s="171">
        <v>1</v>
      </c>
      <c r="I140" s="171">
        <v>1</v>
      </c>
      <c r="J140" s="171">
        <v>1</v>
      </c>
      <c r="K140" s="171">
        <v>1</v>
      </c>
      <c r="L140" s="171">
        <v>3</v>
      </c>
      <c r="M140" s="171">
        <v>1</v>
      </c>
      <c r="N140" s="171">
        <v>1</v>
      </c>
      <c r="O140" s="171"/>
      <c r="P140" s="171"/>
      <c r="Q140" s="171"/>
      <c r="R140" s="171"/>
      <c r="S140" s="171"/>
      <c r="T140" s="171"/>
      <c r="U140" s="171">
        <v>1</v>
      </c>
      <c r="V140" s="171"/>
      <c r="W140" s="171"/>
      <c r="X140" s="171"/>
      <c r="Y140" s="171"/>
      <c r="Z140" s="171"/>
      <c r="AA140" s="171"/>
      <c r="AB140" s="171"/>
      <c r="AC140" s="171"/>
      <c r="AD140" s="171"/>
      <c r="AE140" s="171"/>
      <c r="AF140" s="171"/>
      <c r="AG140" s="171"/>
      <c r="AH140" s="22"/>
      <c r="AI140" s="171"/>
      <c r="AJ140" s="22">
        <f t="shared" si="3"/>
        <v>9</v>
      </c>
      <c r="AK140" s="22">
        <f t="shared" si="4"/>
        <v>11</v>
      </c>
    </row>
    <row r="141" spans="1:37" ht="15.75" customHeight="1">
      <c r="A141" s="167" t="s">
        <v>274</v>
      </c>
      <c r="B141" s="167" t="s">
        <v>2056</v>
      </c>
      <c r="C141" s="22" t="s">
        <v>273</v>
      </c>
      <c r="D141" s="168">
        <v>1</v>
      </c>
      <c r="E141" s="169" t="b">
        <v>1</v>
      </c>
      <c r="F141" s="170" t="s">
        <v>1841</v>
      </c>
      <c r="G141" s="171">
        <v>1</v>
      </c>
      <c r="H141" s="171">
        <v>1</v>
      </c>
      <c r="I141" s="171">
        <v>1</v>
      </c>
      <c r="J141" s="171">
        <v>1</v>
      </c>
      <c r="K141" s="171">
        <v>1</v>
      </c>
      <c r="L141" s="171"/>
      <c r="M141" s="171"/>
      <c r="N141" s="171">
        <v>1</v>
      </c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  <c r="AD141" s="171"/>
      <c r="AE141" s="171"/>
      <c r="AF141" s="171"/>
      <c r="AG141" s="171"/>
      <c r="AH141" s="22"/>
      <c r="AI141" s="171"/>
      <c r="AJ141" s="22">
        <f t="shared" si="3"/>
        <v>6</v>
      </c>
      <c r="AK141" s="22">
        <f t="shared" si="4"/>
        <v>6</v>
      </c>
    </row>
    <row r="142" spans="1:37" ht="15.75" customHeight="1">
      <c r="A142" s="167" t="s">
        <v>276</v>
      </c>
      <c r="B142" s="167" t="s">
        <v>2056</v>
      </c>
      <c r="C142" s="22" t="s">
        <v>275</v>
      </c>
      <c r="D142" s="168">
        <v>1</v>
      </c>
      <c r="E142" s="169" t="b">
        <v>1</v>
      </c>
      <c r="F142" s="174" t="s">
        <v>1438</v>
      </c>
      <c r="G142" s="177">
        <v>1</v>
      </c>
      <c r="H142" s="177">
        <v>1</v>
      </c>
      <c r="I142" s="178">
        <v>1</v>
      </c>
      <c r="J142" s="178">
        <v>1</v>
      </c>
      <c r="K142" s="178">
        <v>1</v>
      </c>
      <c r="L142" s="178">
        <v>1</v>
      </c>
      <c r="M142" s="178"/>
      <c r="N142" s="178"/>
      <c r="O142" s="178"/>
      <c r="P142" s="178">
        <v>1</v>
      </c>
      <c r="Q142" s="178"/>
      <c r="R142" s="178"/>
      <c r="S142" s="178"/>
      <c r="T142" s="178"/>
      <c r="U142" s="178"/>
      <c r="V142" s="178">
        <v>1</v>
      </c>
      <c r="W142" s="178"/>
      <c r="X142" s="178"/>
      <c r="Y142" s="178"/>
      <c r="Z142" s="178"/>
      <c r="AA142" s="178"/>
      <c r="AB142" s="178"/>
      <c r="AC142" s="178"/>
      <c r="AD142" s="178">
        <v>1</v>
      </c>
      <c r="AE142" s="178"/>
      <c r="AF142" s="178"/>
      <c r="AG142" s="178"/>
      <c r="AH142" s="22"/>
      <c r="AI142" s="171"/>
      <c r="AJ142" s="22">
        <f t="shared" si="3"/>
        <v>9</v>
      </c>
      <c r="AK142" s="22">
        <f t="shared" si="4"/>
        <v>9</v>
      </c>
    </row>
    <row r="143" spans="1:37" ht="15.75" customHeight="1">
      <c r="A143" s="167" t="s">
        <v>278</v>
      </c>
      <c r="B143" s="167" t="s">
        <v>2056</v>
      </c>
      <c r="C143" s="22" t="s">
        <v>277</v>
      </c>
      <c r="D143" s="168">
        <v>1</v>
      </c>
      <c r="E143" s="169" t="b">
        <v>1</v>
      </c>
      <c r="F143" s="170" t="s">
        <v>1658</v>
      </c>
      <c r="G143" s="171">
        <v>1</v>
      </c>
      <c r="H143" s="171">
        <v>1</v>
      </c>
      <c r="I143" s="171">
        <v>1</v>
      </c>
      <c r="J143" s="171">
        <v>1</v>
      </c>
      <c r="K143" s="171">
        <v>1</v>
      </c>
      <c r="L143" s="171">
        <v>1</v>
      </c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  <c r="AD143" s="171"/>
      <c r="AE143" s="171"/>
      <c r="AF143" s="171"/>
      <c r="AG143" s="171">
        <v>1</v>
      </c>
      <c r="AH143" s="22"/>
      <c r="AI143" s="171" t="s">
        <v>1659</v>
      </c>
      <c r="AJ143" s="22">
        <f t="shared" si="3"/>
        <v>7</v>
      </c>
      <c r="AK143" s="22">
        <f t="shared" si="4"/>
        <v>7</v>
      </c>
    </row>
    <row r="144" spans="1:37" ht="15.75" customHeight="1">
      <c r="A144" s="167" t="s">
        <v>1319</v>
      </c>
      <c r="B144" s="167" t="s">
        <v>2054</v>
      </c>
      <c r="C144" s="22" t="s">
        <v>1318</v>
      </c>
      <c r="D144" s="168">
        <v>1</v>
      </c>
      <c r="E144" s="169" t="b">
        <v>1</v>
      </c>
      <c r="F144" s="174" t="s">
        <v>1790</v>
      </c>
      <c r="G144" s="171">
        <v>1</v>
      </c>
      <c r="H144" s="171">
        <v>1</v>
      </c>
      <c r="I144" s="171">
        <v>1</v>
      </c>
      <c r="J144" s="171">
        <v>1</v>
      </c>
      <c r="K144" s="171">
        <v>1</v>
      </c>
      <c r="L144" s="171">
        <v>1</v>
      </c>
      <c r="M144" s="171"/>
      <c r="N144" s="171"/>
      <c r="O144" s="171"/>
      <c r="P144" s="171"/>
      <c r="Q144" s="171"/>
      <c r="R144" s="171">
        <v>1</v>
      </c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  <c r="AD144" s="171"/>
      <c r="AE144" s="171"/>
      <c r="AF144" s="171"/>
      <c r="AG144" s="171"/>
      <c r="AH144" s="22"/>
      <c r="AI144" s="171"/>
      <c r="AJ144" s="22">
        <f t="shared" si="3"/>
        <v>7</v>
      </c>
      <c r="AK144" s="22">
        <f t="shared" si="4"/>
        <v>7</v>
      </c>
    </row>
    <row r="145" spans="1:37" ht="15.75" customHeight="1">
      <c r="A145" s="167" t="s">
        <v>1321</v>
      </c>
      <c r="B145" s="167" t="s">
        <v>2054</v>
      </c>
      <c r="C145" s="22" t="s">
        <v>1320</v>
      </c>
      <c r="D145" s="168">
        <v>1</v>
      </c>
      <c r="E145" s="169" t="b">
        <v>1</v>
      </c>
      <c r="F145" s="174" t="s">
        <v>1971</v>
      </c>
      <c r="G145" s="171">
        <v>1</v>
      </c>
      <c r="H145" s="171">
        <v>1</v>
      </c>
      <c r="I145" s="171">
        <v>1</v>
      </c>
      <c r="J145" s="171">
        <v>1</v>
      </c>
      <c r="K145" s="171">
        <v>1</v>
      </c>
      <c r="L145" s="171"/>
      <c r="M145" s="171"/>
      <c r="N145" s="171"/>
      <c r="O145" s="171"/>
      <c r="P145" s="171"/>
      <c r="Q145" s="171"/>
      <c r="R145" s="171">
        <v>1</v>
      </c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  <c r="AD145" s="171"/>
      <c r="AE145" s="171"/>
      <c r="AF145" s="171"/>
      <c r="AG145" s="171"/>
      <c r="AH145" s="22"/>
      <c r="AI145" s="171"/>
      <c r="AJ145" s="22">
        <f t="shared" si="3"/>
        <v>6</v>
      </c>
      <c r="AK145" s="22">
        <f t="shared" si="4"/>
        <v>6</v>
      </c>
    </row>
    <row r="146" spans="1:37" ht="15.75" customHeight="1">
      <c r="A146" s="167" t="s">
        <v>1218</v>
      </c>
      <c r="B146" s="167" t="s">
        <v>2055</v>
      </c>
      <c r="C146" s="22" t="s">
        <v>1217</v>
      </c>
      <c r="D146" s="168">
        <v>1</v>
      </c>
      <c r="E146" s="169" t="b">
        <v>1</v>
      </c>
      <c r="F146" s="170" t="s">
        <v>1602</v>
      </c>
      <c r="G146" s="171">
        <v>1</v>
      </c>
      <c r="H146" s="171">
        <v>1</v>
      </c>
      <c r="I146" s="171">
        <v>1</v>
      </c>
      <c r="J146" s="171">
        <v>1</v>
      </c>
      <c r="K146" s="171">
        <v>1</v>
      </c>
      <c r="L146" s="171"/>
      <c r="M146" s="171"/>
      <c r="N146" s="171"/>
      <c r="O146" s="171">
        <v>1</v>
      </c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>
        <v>1</v>
      </c>
      <c r="AA146" s="171"/>
      <c r="AB146" s="171"/>
      <c r="AC146" s="171">
        <v>1</v>
      </c>
      <c r="AD146" s="171"/>
      <c r="AE146" s="171"/>
      <c r="AF146" s="171"/>
      <c r="AG146" s="171"/>
      <c r="AH146" s="22"/>
      <c r="AI146" s="171"/>
      <c r="AJ146" s="22">
        <f t="shared" si="3"/>
        <v>8</v>
      </c>
      <c r="AK146" s="22">
        <f t="shared" si="4"/>
        <v>8</v>
      </c>
    </row>
    <row r="147" spans="1:37" ht="15.75" customHeight="1">
      <c r="A147" s="167" t="s">
        <v>280</v>
      </c>
      <c r="B147" s="167" t="s">
        <v>2056</v>
      </c>
      <c r="C147" s="22" t="s">
        <v>279</v>
      </c>
      <c r="D147" s="168">
        <v>1</v>
      </c>
      <c r="E147" s="169" t="b">
        <v>1</v>
      </c>
      <c r="F147" s="170" t="s">
        <v>1842</v>
      </c>
      <c r="G147" s="171">
        <v>1</v>
      </c>
      <c r="H147" s="171">
        <v>1</v>
      </c>
      <c r="I147" s="171">
        <v>1</v>
      </c>
      <c r="J147" s="171">
        <v>1</v>
      </c>
      <c r="K147" s="171">
        <v>1</v>
      </c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  <c r="AD147" s="171">
        <v>1</v>
      </c>
      <c r="AE147" s="171"/>
      <c r="AF147" s="171"/>
      <c r="AG147" s="171"/>
      <c r="AH147" s="22"/>
      <c r="AI147" s="171"/>
      <c r="AJ147" s="22">
        <f t="shared" si="3"/>
        <v>6</v>
      </c>
      <c r="AK147" s="22">
        <f t="shared" si="4"/>
        <v>6</v>
      </c>
    </row>
    <row r="148" spans="1:37" ht="15.75" customHeight="1">
      <c r="A148" s="167" t="s">
        <v>282</v>
      </c>
      <c r="B148" s="167" t="s">
        <v>2056</v>
      </c>
      <c r="C148" s="22" t="s">
        <v>281</v>
      </c>
      <c r="D148" s="168">
        <v>1</v>
      </c>
      <c r="E148" s="169" t="b">
        <v>1</v>
      </c>
      <c r="F148" s="170" t="s">
        <v>1843</v>
      </c>
      <c r="G148" s="171">
        <v>1</v>
      </c>
      <c r="H148" s="171">
        <v>1</v>
      </c>
      <c r="I148" s="171">
        <v>1</v>
      </c>
      <c r="J148" s="171">
        <v>1</v>
      </c>
      <c r="K148" s="171">
        <v>1</v>
      </c>
      <c r="L148" s="171"/>
      <c r="M148" s="171"/>
      <c r="N148" s="171"/>
      <c r="O148" s="171"/>
      <c r="P148" s="171"/>
      <c r="Q148" s="171"/>
      <c r="R148" s="171"/>
      <c r="S148" s="171">
        <v>1</v>
      </c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  <c r="AD148" s="171"/>
      <c r="AE148" s="171"/>
      <c r="AF148" s="171"/>
      <c r="AG148" s="171"/>
      <c r="AH148" s="22"/>
      <c r="AI148" s="171"/>
      <c r="AJ148" s="22">
        <f t="shared" si="3"/>
        <v>6</v>
      </c>
      <c r="AK148" s="22">
        <f t="shared" si="4"/>
        <v>6</v>
      </c>
    </row>
    <row r="149" spans="1:37" ht="15.75" customHeight="1">
      <c r="A149" s="167" t="s">
        <v>284</v>
      </c>
      <c r="B149" s="167" t="s">
        <v>2056</v>
      </c>
      <c r="C149" s="22" t="s">
        <v>283</v>
      </c>
      <c r="D149" s="168">
        <v>1</v>
      </c>
      <c r="E149" s="169" t="b">
        <v>1</v>
      </c>
      <c r="F149" s="174" t="s">
        <v>1660</v>
      </c>
      <c r="G149" s="171">
        <v>1</v>
      </c>
      <c r="H149" s="171">
        <v>1</v>
      </c>
      <c r="I149" s="171">
        <v>1</v>
      </c>
      <c r="J149" s="171">
        <v>1</v>
      </c>
      <c r="K149" s="171">
        <v>1</v>
      </c>
      <c r="L149" s="171">
        <v>1</v>
      </c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  <c r="AD149" s="171"/>
      <c r="AE149" s="171"/>
      <c r="AF149" s="171"/>
      <c r="AG149" s="171">
        <v>1</v>
      </c>
      <c r="AH149" s="22"/>
      <c r="AI149" s="171" t="s">
        <v>1619</v>
      </c>
      <c r="AJ149" s="22">
        <f t="shared" si="3"/>
        <v>7</v>
      </c>
      <c r="AK149" s="22">
        <f t="shared" si="4"/>
        <v>7</v>
      </c>
    </row>
    <row r="150" spans="1:37" ht="15.75" customHeight="1">
      <c r="A150" s="167" t="s">
        <v>286</v>
      </c>
      <c r="B150" s="167" t="s">
        <v>2056</v>
      </c>
      <c r="C150" s="22" t="s">
        <v>285</v>
      </c>
      <c r="D150" s="168">
        <v>1</v>
      </c>
      <c r="E150" s="169" t="b">
        <v>1</v>
      </c>
      <c r="F150" s="170" t="s">
        <v>1844</v>
      </c>
      <c r="G150" s="171">
        <v>1</v>
      </c>
      <c r="H150" s="171">
        <v>1</v>
      </c>
      <c r="I150" s="171">
        <v>1</v>
      </c>
      <c r="J150" s="171">
        <v>1</v>
      </c>
      <c r="K150" s="171">
        <v>1</v>
      </c>
      <c r="L150" s="171">
        <v>1</v>
      </c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  <c r="AD150" s="171"/>
      <c r="AE150" s="171"/>
      <c r="AF150" s="171"/>
      <c r="AG150" s="171"/>
      <c r="AH150" s="22"/>
      <c r="AI150" s="171"/>
      <c r="AJ150" s="22">
        <f t="shared" si="3"/>
        <v>6</v>
      </c>
      <c r="AK150" s="22">
        <f t="shared" si="4"/>
        <v>6</v>
      </c>
    </row>
    <row r="151" spans="1:37" ht="15.75" customHeight="1">
      <c r="A151" s="167" t="s">
        <v>288</v>
      </c>
      <c r="B151" s="167" t="s">
        <v>2056</v>
      </c>
      <c r="C151" s="22" t="s">
        <v>287</v>
      </c>
      <c r="D151" s="168">
        <v>1</v>
      </c>
      <c r="E151" s="169" t="b">
        <v>1</v>
      </c>
      <c r="F151" s="170" t="s">
        <v>1661</v>
      </c>
      <c r="G151" s="171">
        <v>1</v>
      </c>
      <c r="H151" s="171">
        <v>1</v>
      </c>
      <c r="I151" s="171">
        <v>1</v>
      </c>
      <c r="J151" s="171">
        <v>1</v>
      </c>
      <c r="K151" s="171">
        <v>1</v>
      </c>
      <c r="L151" s="171"/>
      <c r="M151" s="171">
        <v>1</v>
      </c>
      <c r="N151" s="171"/>
      <c r="O151" s="171"/>
      <c r="P151" s="171"/>
      <c r="Q151" s="171">
        <v>1</v>
      </c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  <c r="AD151" s="171"/>
      <c r="AE151" s="171"/>
      <c r="AF151" s="171"/>
      <c r="AG151" s="171"/>
      <c r="AH151" s="22"/>
      <c r="AI151" s="171"/>
      <c r="AJ151" s="22">
        <f t="shared" si="3"/>
        <v>7</v>
      </c>
      <c r="AK151" s="22">
        <f t="shared" si="4"/>
        <v>7</v>
      </c>
    </row>
    <row r="152" spans="1:37" ht="15.75" customHeight="1">
      <c r="A152" s="167" t="s">
        <v>290</v>
      </c>
      <c r="B152" s="167" t="s">
        <v>2056</v>
      </c>
      <c r="C152" s="22" t="s">
        <v>289</v>
      </c>
      <c r="D152" s="168">
        <v>1</v>
      </c>
      <c r="E152" s="169" t="b">
        <v>1</v>
      </c>
      <c r="F152" s="170" t="s">
        <v>1845</v>
      </c>
      <c r="G152" s="171">
        <v>1</v>
      </c>
      <c r="H152" s="171">
        <v>1</v>
      </c>
      <c r="I152" s="171">
        <v>1</v>
      </c>
      <c r="J152" s="171">
        <v>1</v>
      </c>
      <c r="K152" s="171">
        <v>1</v>
      </c>
      <c r="L152" s="171">
        <v>1</v>
      </c>
      <c r="M152" s="171"/>
      <c r="N152" s="171"/>
      <c r="O152" s="171"/>
      <c r="P152" s="171"/>
      <c r="Q152" s="171"/>
      <c r="R152" s="171"/>
      <c r="S152" s="171"/>
      <c r="T152" s="171"/>
      <c r="U152" s="171"/>
      <c r="V152" s="171"/>
      <c r="W152" s="171"/>
      <c r="X152" s="171"/>
      <c r="Y152" s="171"/>
      <c r="Z152" s="171"/>
      <c r="AA152" s="171"/>
      <c r="AB152" s="171"/>
      <c r="AC152" s="171"/>
      <c r="AD152" s="171"/>
      <c r="AE152" s="171"/>
      <c r="AF152" s="171"/>
      <c r="AG152" s="171"/>
      <c r="AH152" s="22"/>
      <c r="AI152" s="171"/>
      <c r="AJ152" s="22">
        <f t="shared" si="3"/>
        <v>6</v>
      </c>
      <c r="AK152" s="22">
        <f t="shared" si="4"/>
        <v>6</v>
      </c>
    </row>
    <row r="153" spans="1:37" ht="15.75" customHeight="1">
      <c r="A153" s="167" t="s">
        <v>292</v>
      </c>
      <c r="B153" s="167" t="s">
        <v>2056</v>
      </c>
      <c r="C153" s="22" t="s">
        <v>291</v>
      </c>
      <c r="D153" s="168">
        <v>1</v>
      </c>
      <c r="E153" s="169" t="b">
        <v>1</v>
      </c>
      <c r="F153" s="170" t="s">
        <v>1439</v>
      </c>
      <c r="G153" s="171">
        <v>1</v>
      </c>
      <c r="H153" s="171">
        <v>1</v>
      </c>
      <c r="I153" s="171">
        <v>1</v>
      </c>
      <c r="J153" s="171">
        <v>1</v>
      </c>
      <c r="K153" s="171">
        <v>1</v>
      </c>
      <c r="L153" s="171">
        <v>2</v>
      </c>
      <c r="M153" s="171">
        <v>1</v>
      </c>
      <c r="N153" s="171">
        <v>1</v>
      </c>
      <c r="O153" s="171"/>
      <c r="P153" s="171"/>
      <c r="Q153" s="171"/>
      <c r="R153" s="171"/>
      <c r="S153" s="171"/>
      <c r="T153" s="171"/>
      <c r="U153" s="171"/>
      <c r="V153" s="171"/>
      <c r="W153" s="171"/>
      <c r="X153" s="171"/>
      <c r="Y153" s="171"/>
      <c r="Z153" s="171"/>
      <c r="AA153" s="171"/>
      <c r="AB153" s="171"/>
      <c r="AC153" s="171"/>
      <c r="AD153" s="171"/>
      <c r="AE153" s="171"/>
      <c r="AF153" s="171"/>
      <c r="AG153" s="171"/>
      <c r="AH153" s="22"/>
      <c r="AI153" s="171"/>
      <c r="AJ153" s="22">
        <f t="shared" si="3"/>
        <v>8</v>
      </c>
      <c r="AK153" s="22">
        <f t="shared" si="4"/>
        <v>9</v>
      </c>
    </row>
    <row r="154" spans="1:37" ht="15.75" customHeight="1">
      <c r="A154" s="167" t="s">
        <v>1220</v>
      </c>
      <c r="B154" s="167" t="s">
        <v>2055</v>
      </c>
      <c r="C154" s="22" t="s">
        <v>1219</v>
      </c>
      <c r="D154" s="168">
        <v>1</v>
      </c>
      <c r="E154" s="169" t="b">
        <v>1</v>
      </c>
      <c r="F154" s="170" t="s">
        <v>1603</v>
      </c>
      <c r="G154" s="171">
        <v>1</v>
      </c>
      <c r="H154" s="171">
        <v>1</v>
      </c>
      <c r="I154" s="171">
        <v>1</v>
      </c>
      <c r="J154" s="171">
        <v>1</v>
      </c>
      <c r="K154" s="171">
        <v>1</v>
      </c>
      <c r="L154" s="171"/>
      <c r="M154" s="171"/>
      <c r="N154" s="171"/>
      <c r="O154" s="171">
        <v>1</v>
      </c>
      <c r="P154" s="171"/>
      <c r="Q154" s="171"/>
      <c r="R154" s="171"/>
      <c r="S154" s="171"/>
      <c r="T154" s="171"/>
      <c r="U154" s="171"/>
      <c r="V154" s="171"/>
      <c r="W154" s="171"/>
      <c r="X154" s="171"/>
      <c r="Y154" s="171">
        <v>1</v>
      </c>
      <c r="Z154" s="171"/>
      <c r="AA154" s="171"/>
      <c r="AB154" s="171"/>
      <c r="AC154" s="171"/>
      <c r="AD154" s="171"/>
      <c r="AE154" s="171"/>
      <c r="AF154" s="171"/>
      <c r="AG154" s="171">
        <v>1</v>
      </c>
      <c r="AH154" s="22"/>
      <c r="AI154" s="171" t="s">
        <v>1604</v>
      </c>
      <c r="AJ154" s="22">
        <f t="shared" si="3"/>
        <v>8</v>
      </c>
      <c r="AK154" s="22">
        <f t="shared" si="4"/>
        <v>8</v>
      </c>
    </row>
    <row r="155" spans="1:37" ht="15.75" customHeight="1">
      <c r="A155" s="167" t="s">
        <v>294</v>
      </c>
      <c r="B155" s="167" t="s">
        <v>2056</v>
      </c>
      <c r="C155" s="22" t="s">
        <v>293</v>
      </c>
      <c r="D155" s="168">
        <v>1</v>
      </c>
      <c r="E155" s="169" t="b">
        <v>1</v>
      </c>
      <c r="F155" s="170" t="s">
        <v>1525</v>
      </c>
      <c r="G155" s="171">
        <v>1</v>
      </c>
      <c r="H155" s="171">
        <v>1</v>
      </c>
      <c r="I155" s="171">
        <v>1</v>
      </c>
      <c r="J155" s="171">
        <v>1</v>
      </c>
      <c r="K155" s="171">
        <v>1</v>
      </c>
      <c r="L155" s="171">
        <v>2</v>
      </c>
      <c r="M155" s="171"/>
      <c r="N155" s="171">
        <v>1</v>
      </c>
      <c r="O155" s="171"/>
      <c r="P155" s="171"/>
      <c r="Q155" s="171"/>
      <c r="R155" s="171"/>
      <c r="S155" s="171"/>
      <c r="T155" s="171"/>
      <c r="U155" s="171"/>
      <c r="V155" s="171"/>
      <c r="W155" s="171"/>
      <c r="X155" s="171"/>
      <c r="Y155" s="171"/>
      <c r="Z155" s="171"/>
      <c r="AA155" s="171"/>
      <c r="AB155" s="171"/>
      <c r="AC155" s="171"/>
      <c r="AD155" s="171"/>
      <c r="AE155" s="171"/>
      <c r="AF155" s="171"/>
      <c r="AG155" s="171"/>
      <c r="AH155" s="22"/>
      <c r="AI155" s="171"/>
      <c r="AJ155" s="22">
        <f t="shared" si="3"/>
        <v>7</v>
      </c>
      <c r="AK155" s="22">
        <f t="shared" si="4"/>
        <v>8</v>
      </c>
    </row>
    <row r="156" spans="1:37" ht="15.75" customHeight="1">
      <c r="A156" s="167" t="s">
        <v>296</v>
      </c>
      <c r="B156" s="167" t="s">
        <v>2056</v>
      </c>
      <c r="C156" s="22" t="s">
        <v>295</v>
      </c>
      <c r="D156" s="168">
        <v>1</v>
      </c>
      <c r="E156" s="169" t="b">
        <v>1</v>
      </c>
      <c r="F156" s="174" t="s">
        <v>1526</v>
      </c>
      <c r="G156" s="171">
        <v>1</v>
      </c>
      <c r="H156" s="171">
        <v>1</v>
      </c>
      <c r="I156" s="171">
        <v>1</v>
      </c>
      <c r="J156" s="171">
        <v>1</v>
      </c>
      <c r="K156" s="171">
        <v>1</v>
      </c>
      <c r="L156" s="171"/>
      <c r="M156" s="171">
        <v>1</v>
      </c>
      <c r="N156" s="171"/>
      <c r="O156" s="171"/>
      <c r="P156" s="171">
        <v>1</v>
      </c>
      <c r="Q156" s="171">
        <v>1</v>
      </c>
      <c r="R156" s="171"/>
      <c r="S156" s="171"/>
      <c r="T156" s="171"/>
      <c r="U156" s="171"/>
      <c r="V156" s="171"/>
      <c r="W156" s="171"/>
      <c r="X156" s="171"/>
      <c r="Y156" s="171"/>
      <c r="Z156" s="171"/>
      <c r="AA156" s="171"/>
      <c r="AB156" s="171"/>
      <c r="AC156" s="171"/>
      <c r="AD156" s="171"/>
      <c r="AE156" s="171"/>
      <c r="AF156" s="171"/>
      <c r="AG156" s="171"/>
      <c r="AH156" s="22"/>
      <c r="AI156" s="171"/>
      <c r="AJ156" s="22">
        <f t="shared" si="3"/>
        <v>8</v>
      </c>
      <c r="AK156" s="22">
        <f t="shared" si="4"/>
        <v>8</v>
      </c>
    </row>
    <row r="157" spans="1:37" ht="15.75" customHeight="1">
      <c r="A157" s="167" t="s">
        <v>298</v>
      </c>
      <c r="B157" s="167" t="s">
        <v>2056</v>
      </c>
      <c r="C157" s="22" t="s">
        <v>297</v>
      </c>
      <c r="D157" s="168">
        <v>1</v>
      </c>
      <c r="E157" s="169" t="b">
        <v>1</v>
      </c>
      <c r="F157" s="170" t="s">
        <v>1488</v>
      </c>
      <c r="G157" s="171">
        <v>1</v>
      </c>
      <c r="H157" s="171">
        <v>1</v>
      </c>
      <c r="I157" s="171">
        <v>1</v>
      </c>
      <c r="J157" s="171">
        <v>1</v>
      </c>
      <c r="K157" s="171">
        <v>1</v>
      </c>
      <c r="L157" s="171"/>
      <c r="M157" s="171">
        <v>1</v>
      </c>
      <c r="N157" s="171"/>
      <c r="O157" s="171"/>
      <c r="P157" s="171"/>
      <c r="Q157" s="171"/>
      <c r="R157" s="171"/>
      <c r="S157" s="171"/>
      <c r="T157" s="171">
        <v>1</v>
      </c>
      <c r="U157" s="171"/>
      <c r="V157" s="171"/>
      <c r="W157" s="171"/>
      <c r="X157" s="171">
        <v>1</v>
      </c>
      <c r="Y157" s="171"/>
      <c r="Z157" s="171"/>
      <c r="AA157" s="171"/>
      <c r="AB157" s="171"/>
      <c r="AC157" s="171"/>
      <c r="AD157" s="171"/>
      <c r="AE157" s="171"/>
      <c r="AF157" s="171"/>
      <c r="AG157" s="171"/>
      <c r="AH157" s="22"/>
      <c r="AI157" s="171" t="s">
        <v>1489</v>
      </c>
      <c r="AJ157" s="22">
        <f t="shared" si="3"/>
        <v>8</v>
      </c>
      <c r="AK157" s="22">
        <f t="shared" si="4"/>
        <v>8</v>
      </c>
    </row>
    <row r="158" spans="1:37" ht="15.75" customHeight="1">
      <c r="A158" s="167" t="s">
        <v>300</v>
      </c>
      <c r="B158" s="167" t="s">
        <v>2056</v>
      </c>
      <c r="C158" s="22" t="s">
        <v>299</v>
      </c>
      <c r="D158" s="168">
        <v>1</v>
      </c>
      <c r="E158" s="169" t="b">
        <v>1</v>
      </c>
      <c r="F158" s="170" t="s">
        <v>1527</v>
      </c>
      <c r="G158" s="171">
        <v>1</v>
      </c>
      <c r="H158" s="171">
        <v>1</v>
      </c>
      <c r="I158" s="171">
        <v>1</v>
      </c>
      <c r="J158" s="171">
        <v>1</v>
      </c>
      <c r="K158" s="171">
        <v>1</v>
      </c>
      <c r="L158" s="171"/>
      <c r="M158" s="171"/>
      <c r="N158" s="171"/>
      <c r="O158" s="171"/>
      <c r="P158" s="171"/>
      <c r="Q158" s="171"/>
      <c r="R158" s="171"/>
      <c r="S158" s="171"/>
      <c r="T158" s="171"/>
      <c r="U158" s="171"/>
      <c r="V158" s="171"/>
      <c r="W158" s="171"/>
      <c r="X158" s="171"/>
      <c r="Y158" s="171"/>
      <c r="Z158" s="171"/>
      <c r="AA158" s="171"/>
      <c r="AB158" s="171"/>
      <c r="AC158" s="171"/>
      <c r="AD158" s="171"/>
      <c r="AE158" s="171"/>
      <c r="AF158" s="171"/>
      <c r="AG158" s="171"/>
      <c r="AH158" s="22"/>
      <c r="AI158" s="171"/>
      <c r="AJ158" s="22">
        <f t="shared" si="3"/>
        <v>5</v>
      </c>
      <c r="AK158" s="22">
        <f t="shared" si="4"/>
        <v>5</v>
      </c>
    </row>
    <row r="159" spans="1:37" ht="15.75" customHeight="1">
      <c r="A159" s="167" t="s">
        <v>302</v>
      </c>
      <c r="B159" s="167" t="s">
        <v>2056</v>
      </c>
      <c r="C159" s="22" t="s">
        <v>301</v>
      </c>
      <c r="D159" s="168">
        <v>1</v>
      </c>
      <c r="E159" s="169" t="b">
        <v>1</v>
      </c>
      <c r="F159" s="170" t="s">
        <v>1527</v>
      </c>
      <c r="G159" s="171">
        <v>1</v>
      </c>
      <c r="H159" s="171">
        <v>1</v>
      </c>
      <c r="I159" s="171">
        <v>1</v>
      </c>
      <c r="J159" s="171">
        <v>1</v>
      </c>
      <c r="K159" s="171">
        <v>1</v>
      </c>
      <c r="L159" s="171">
        <v>1</v>
      </c>
      <c r="M159" s="171">
        <v>1</v>
      </c>
      <c r="N159" s="171"/>
      <c r="O159" s="171"/>
      <c r="P159" s="171"/>
      <c r="Q159" s="171"/>
      <c r="R159" s="171"/>
      <c r="S159" s="171"/>
      <c r="T159" s="171"/>
      <c r="U159" s="171"/>
      <c r="V159" s="171"/>
      <c r="W159" s="171"/>
      <c r="X159" s="171"/>
      <c r="Y159" s="171"/>
      <c r="Z159" s="171"/>
      <c r="AA159" s="171"/>
      <c r="AB159" s="171"/>
      <c r="AC159" s="171"/>
      <c r="AD159" s="171"/>
      <c r="AE159" s="171"/>
      <c r="AF159" s="171"/>
      <c r="AG159" s="171"/>
      <c r="AH159" s="22"/>
      <c r="AI159" s="171"/>
      <c r="AJ159" s="22">
        <f t="shared" si="3"/>
        <v>7</v>
      </c>
      <c r="AK159" s="22">
        <f t="shared" si="4"/>
        <v>7</v>
      </c>
    </row>
    <row r="160" spans="1:37" ht="15.75" customHeight="1">
      <c r="A160" s="167" t="s">
        <v>304</v>
      </c>
      <c r="B160" s="167" t="s">
        <v>2056</v>
      </c>
      <c r="C160" s="22" t="s">
        <v>303</v>
      </c>
      <c r="D160" s="168">
        <v>1</v>
      </c>
      <c r="E160" s="169" t="b">
        <v>1</v>
      </c>
      <c r="F160" s="170" t="s">
        <v>1527</v>
      </c>
      <c r="G160" s="171">
        <v>1</v>
      </c>
      <c r="H160" s="171">
        <v>1</v>
      </c>
      <c r="I160" s="171">
        <v>1</v>
      </c>
      <c r="J160" s="171">
        <v>1</v>
      </c>
      <c r="K160" s="171">
        <v>1</v>
      </c>
      <c r="L160" s="171"/>
      <c r="M160" s="171">
        <v>1</v>
      </c>
      <c r="N160" s="171"/>
      <c r="O160" s="171"/>
      <c r="P160" s="171"/>
      <c r="Q160" s="171">
        <v>1</v>
      </c>
      <c r="R160" s="171"/>
      <c r="S160" s="171"/>
      <c r="T160" s="171"/>
      <c r="U160" s="171"/>
      <c r="V160" s="171"/>
      <c r="W160" s="171"/>
      <c r="X160" s="171"/>
      <c r="Y160" s="171"/>
      <c r="Z160" s="171"/>
      <c r="AA160" s="171"/>
      <c r="AB160" s="171"/>
      <c r="AC160" s="171"/>
      <c r="AD160" s="171"/>
      <c r="AE160" s="171"/>
      <c r="AF160" s="171"/>
      <c r="AG160" s="171">
        <v>1</v>
      </c>
      <c r="AH160" s="22"/>
      <c r="AI160" s="171" t="s">
        <v>1528</v>
      </c>
      <c r="AJ160" s="22">
        <f t="shared" si="3"/>
        <v>8</v>
      </c>
      <c r="AK160" s="22">
        <f t="shared" si="4"/>
        <v>8</v>
      </c>
    </row>
    <row r="161" spans="1:37" ht="15.75" customHeight="1">
      <c r="A161" s="167" t="s">
        <v>1222</v>
      </c>
      <c r="B161" s="167" t="s">
        <v>2055</v>
      </c>
      <c r="C161" s="22" t="s">
        <v>1221</v>
      </c>
      <c r="D161" s="168">
        <v>1</v>
      </c>
      <c r="E161" s="169" t="b">
        <v>1</v>
      </c>
      <c r="F161" s="170" t="s">
        <v>1963</v>
      </c>
      <c r="G161" s="171">
        <v>1</v>
      </c>
      <c r="H161" s="171">
        <v>1</v>
      </c>
      <c r="I161" s="171">
        <v>1</v>
      </c>
      <c r="J161" s="171">
        <v>1</v>
      </c>
      <c r="K161" s="171">
        <v>1</v>
      </c>
      <c r="L161" s="171"/>
      <c r="M161" s="171"/>
      <c r="N161" s="171"/>
      <c r="O161" s="171">
        <v>1</v>
      </c>
      <c r="P161" s="171"/>
      <c r="Q161" s="171"/>
      <c r="R161" s="171"/>
      <c r="S161" s="171"/>
      <c r="T161" s="171"/>
      <c r="U161" s="171"/>
      <c r="V161" s="171"/>
      <c r="W161" s="171"/>
      <c r="X161" s="171"/>
      <c r="Y161" s="171"/>
      <c r="Z161" s="171"/>
      <c r="AA161" s="171"/>
      <c r="AB161" s="171"/>
      <c r="AC161" s="171"/>
      <c r="AD161" s="171"/>
      <c r="AE161" s="171"/>
      <c r="AF161" s="171"/>
      <c r="AG161" s="171"/>
      <c r="AH161" s="22"/>
      <c r="AI161" s="171"/>
      <c r="AJ161" s="22">
        <f t="shared" si="3"/>
        <v>6</v>
      </c>
      <c r="AK161" s="22">
        <f t="shared" si="4"/>
        <v>6</v>
      </c>
    </row>
    <row r="162" spans="1:37" ht="15.75" customHeight="1">
      <c r="A162" s="167" t="s">
        <v>306</v>
      </c>
      <c r="B162" s="167" t="s">
        <v>2056</v>
      </c>
      <c r="C162" s="22" t="s">
        <v>305</v>
      </c>
      <c r="D162" s="168">
        <v>1</v>
      </c>
      <c r="E162" s="169" t="b">
        <v>1</v>
      </c>
      <c r="F162" s="170" t="s">
        <v>1846</v>
      </c>
      <c r="G162" s="171">
        <v>1</v>
      </c>
      <c r="H162" s="171">
        <v>1</v>
      </c>
      <c r="I162" s="171">
        <v>1</v>
      </c>
      <c r="J162" s="171">
        <v>1</v>
      </c>
      <c r="K162" s="171">
        <v>1</v>
      </c>
      <c r="L162" s="171">
        <v>1</v>
      </c>
      <c r="M162" s="171"/>
      <c r="N162" s="171"/>
      <c r="O162" s="171"/>
      <c r="P162" s="171"/>
      <c r="Q162" s="171"/>
      <c r="R162" s="171"/>
      <c r="S162" s="171"/>
      <c r="T162" s="171"/>
      <c r="U162" s="171"/>
      <c r="V162" s="171"/>
      <c r="W162" s="171"/>
      <c r="X162" s="171"/>
      <c r="Y162" s="171"/>
      <c r="Z162" s="171"/>
      <c r="AA162" s="171"/>
      <c r="AB162" s="171"/>
      <c r="AC162" s="171"/>
      <c r="AD162" s="171"/>
      <c r="AE162" s="171"/>
      <c r="AF162" s="171"/>
      <c r="AG162" s="171"/>
      <c r="AH162" s="22"/>
      <c r="AI162" s="171"/>
      <c r="AJ162" s="22">
        <f t="shared" si="3"/>
        <v>6</v>
      </c>
      <c r="AK162" s="22">
        <f t="shared" si="4"/>
        <v>6</v>
      </c>
    </row>
    <row r="163" spans="1:37" ht="15.75" customHeight="1">
      <c r="A163" s="167" t="s">
        <v>308</v>
      </c>
      <c r="B163" s="167" t="s">
        <v>2056</v>
      </c>
      <c r="C163" s="22" t="s">
        <v>307</v>
      </c>
      <c r="D163" s="168">
        <v>1</v>
      </c>
      <c r="E163" s="169" t="b">
        <v>1</v>
      </c>
      <c r="F163" s="170" t="s">
        <v>1988</v>
      </c>
      <c r="G163" s="171">
        <v>1</v>
      </c>
      <c r="H163" s="171">
        <v>1</v>
      </c>
      <c r="I163" s="171">
        <v>1</v>
      </c>
      <c r="J163" s="171">
        <v>1</v>
      </c>
      <c r="K163" s="171">
        <v>1</v>
      </c>
      <c r="L163" s="171"/>
      <c r="M163" s="171"/>
      <c r="N163" s="171"/>
      <c r="O163" s="171"/>
      <c r="P163" s="171"/>
      <c r="Q163" s="171"/>
      <c r="R163" s="171"/>
      <c r="S163" s="171"/>
      <c r="T163" s="171"/>
      <c r="U163" s="171"/>
      <c r="V163" s="171"/>
      <c r="W163" s="171"/>
      <c r="X163" s="171"/>
      <c r="Y163" s="171"/>
      <c r="Z163" s="171"/>
      <c r="AA163" s="171"/>
      <c r="AB163" s="171"/>
      <c r="AC163" s="171"/>
      <c r="AD163" s="171"/>
      <c r="AE163" s="171"/>
      <c r="AF163" s="171"/>
      <c r="AG163" s="171"/>
      <c r="AH163" s="22"/>
      <c r="AI163" s="171"/>
      <c r="AJ163" s="22">
        <f t="shared" si="3"/>
        <v>5</v>
      </c>
      <c r="AK163" s="22">
        <f t="shared" si="4"/>
        <v>5</v>
      </c>
    </row>
    <row r="164" spans="1:37" ht="15.75" customHeight="1">
      <c r="A164" s="167" t="s">
        <v>310</v>
      </c>
      <c r="B164" s="167" t="s">
        <v>2056</v>
      </c>
      <c r="C164" s="22" t="s">
        <v>309</v>
      </c>
      <c r="D164" s="168">
        <v>1</v>
      </c>
      <c r="E164" s="169" t="b">
        <v>1</v>
      </c>
      <c r="F164" s="174" t="s">
        <v>1989</v>
      </c>
      <c r="G164" s="171">
        <v>1</v>
      </c>
      <c r="H164" s="171">
        <v>1</v>
      </c>
      <c r="I164" s="171">
        <v>1</v>
      </c>
      <c r="J164" s="171">
        <v>1</v>
      </c>
      <c r="K164" s="171">
        <v>1</v>
      </c>
      <c r="L164" s="171"/>
      <c r="M164" s="171"/>
      <c r="N164" s="171"/>
      <c r="O164" s="171"/>
      <c r="P164" s="171"/>
      <c r="Q164" s="171"/>
      <c r="R164" s="171"/>
      <c r="S164" s="171"/>
      <c r="T164" s="171"/>
      <c r="U164" s="171"/>
      <c r="V164" s="171"/>
      <c r="W164" s="171"/>
      <c r="X164" s="171"/>
      <c r="Y164" s="171"/>
      <c r="Z164" s="171"/>
      <c r="AA164" s="171"/>
      <c r="AB164" s="171"/>
      <c r="AC164" s="171"/>
      <c r="AD164" s="171"/>
      <c r="AE164" s="171"/>
      <c r="AF164" s="171"/>
      <c r="AG164" s="171"/>
      <c r="AH164" s="22"/>
      <c r="AI164" s="171"/>
      <c r="AJ164" s="22">
        <f t="shared" si="3"/>
        <v>5</v>
      </c>
      <c r="AK164" s="22">
        <f t="shared" si="4"/>
        <v>5</v>
      </c>
    </row>
    <row r="165" spans="1:37" ht="15.75" customHeight="1">
      <c r="A165" s="167" t="s">
        <v>312</v>
      </c>
      <c r="B165" s="167" t="s">
        <v>2056</v>
      </c>
      <c r="C165" s="22" t="s">
        <v>311</v>
      </c>
      <c r="D165" s="168">
        <v>1</v>
      </c>
      <c r="E165" s="169" t="b">
        <v>1</v>
      </c>
      <c r="F165" s="170" t="s">
        <v>1581</v>
      </c>
      <c r="G165" s="171">
        <v>1</v>
      </c>
      <c r="H165" s="171">
        <v>1</v>
      </c>
      <c r="I165" s="171">
        <v>1</v>
      </c>
      <c r="J165" s="171">
        <v>1</v>
      </c>
      <c r="K165" s="171">
        <v>1</v>
      </c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22"/>
      <c r="AI165" s="171"/>
      <c r="AJ165" s="22">
        <f t="shared" si="3"/>
        <v>5</v>
      </c>
      <c r="AK165" s="22">
        <f t="shared" si="4"/>
        <v>5</v>
      </c>
    </row>
    <row r="166" spans="1:37" ht="15.75" customHeight="1">
      <c r="A166" s="167" t="s">
        <v>314</v>
      </c>
      <c r="B166" s="167" t="s">
        <v>2056</v>
      </c>
      <c r="C166" s="22" t="s">
        <v>313</v>
      </c>
      <c r="D166" s="168">
        <v>1</v>
      </c>
      <c r="E166" s="169" t="b">
        <v>1</v>
      </c>
      <c r="F166" s="170" t="s">
        <v>1662</v>
      </c>
      <c r="G166" s="171">
        <v>1</v>
      </c>
      <c r="H166" s="171">
        <v>1</v>
      </c>
      <c r="I166" s="171">
        <v>1</v>
      </c>
      <c r="J166" s="171">
        <v>1</v>
      </c>
      <c r="K166" s="171">
        <v>1</v>
      </c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  <c r="AA166" s="171"/>
      <c r="AB166" s="171"/>
      <c r="AC166" s="171"/>
      <c r="AD166" s="171"/>
      <c r="AE166" s="171"/>
      <c r="AF166" s="171"/>
      <c r="AG166" s="171"/>
      <c r="AH166" s="22"/>
      <c r="AI166" s="171"/>
      <c r="AJ166" s="22">
        <f t="shared" si="3"/>
        <v>5</v>
      </c>
      <c r="AK166" s="22">
        <f t="shared" si="4"/>
        <v>5</v>
      </c>
    </row>
    <row r="167" spans="1:37" ht="15.75" customHeight="1">
      <c r="A167" s="167" t="s">
        <v>316</v>
      </c>
      <c r="B167" s="167" t="s">
        <v>2056</v>
      </c>
      <c r="C167" s="22" t="s">
        <v>315</v>
      </c>
      <c r="D167" s="168">
        <v>1</v>
      </c>
      <c r="E167" s="169" t="b">
        <v>1</v>
      </c>
      <c r="F167" s="170" t="s">
        <v>1662</v>
      </c>
      <c r="G167" s="171">
        <v>1</v>
      </c>
      <c r="H167" s="171">
        <v>1</v>
      </c>
      <c r="I167" s="171">
        <v>1</v>
      </c>
      <c r="J167" s="171">
        <v>1</v>
      </c>
      <c r="K167" s="171">
        <v>1</v>
      </c>
      <c r="L167" s="171">
        <v>1</v>
      </c>
      <c r="M167" s="171">
        <v>1</v>
      </c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  <c r="AA167" s="171"/>
      <c r="AB167" s="171"/>
      <c r="AC167" s="171"/>
      <c r="AD167" s="171"/>
      <c r="AE167" s="171"/>
      <c r="AF167" s="171"/>
      <c r="AG167" s="171"/>
      <c r="AH167" s="22"/>
      <c r="AI167" s="171"/>
      <c r="AJ167" s="22">
        <f t="shared" si="3"/>
        <v>7</v>
      </c>
      <c r="AK167" s="22">
        <f t="shared" si="4"/>
        <v>7</v>
      </c>
    </row>
    <row r="168" spans="1:37" ht="15.75" customHeight="1">
      <c r="A168" s="167" t="s">
        <v>318</v>
      </c>
      <c r="B168" s="167" t="s">
        <v>2056</v>
      </c>
      <c r="C168" s="22" t="s">
        <v>317</v>
      </c>
      <c r="D168" s="168">
        <v>1</v>
      </c>
      <c r="E168" s="169" t="b">
        <v>1</v>
      </c>
      <c r="F168" s="170" t="s">
        <v>1663</v>
      </c>
      <c r="G168" s="171">
        <v>1</v>
      </c>
      <c r="H168" s="171">
        <v>1</v>
      </c>
      <c r="I168" s="171">
        <v>1</v>
      </c>
      <c r="J168" s="171">
        <v>1</v>
      </c>
      <c r="K168" s="171">
        <v>1</v>
      </c>
      <c r="L168" s="171">
        <v>1</v>
      </c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  <c r="AA168" s="171"/>
      <c r="AB168" s="171"/>
      <c r="AC168" s="171"/>
      <c r="AD168" s="171"/>
      <c r="AE168" s="171"/>
      <c r="AF168" s="171"/>
      <c r="AG168" s="171">
        <v>1</v>
      </c>
      <c r="AH168" s="22"/>
      <c r="AI168" s="171" t="s">
        <v>1664</v>
      </c>
      <c r="AJ168" s="22">
        <f t="shared" si="3"/>
        <v>7</v>
      </c>
      <c r="AK168" s="22">
        <f t="shared" si="4"/>
        <v>7</v>
      </c>
    </row>
    <row r="169" spans="1:37" ht="15.75" customHeight="1">
      <c r="A169" s="167" t="s">
        <v>320</v>
      </c>
      <c r="B169" s="167" t="s">
        <v>2056</v>
      </c>
      <c r="C169" s="22" t="s">
        <v>319</v>
      </c>
      <c r="D169" s="168">
        <v>1</v>
      </c>
      <c r="E169" s="169" t="b">
        <v>1</v>
      </c>
      <c r="F169" s="170" t="s">
        <v>1843</v>
      </c>
      <c r="G169" s="171">
        <v>1</v>
      </c>
      <c r="H169" s="171">
        <v>1</v>
      </c>
      <c r="I169" s="171">
        <v>1</v>
      </c>
      <c r="J169" s="171">
        <v>1</v>
      </c>
      <c r="K169" s="171">
        <v>1</v>
      </c>
      <c r="L169" s="171">
        <v>1</v>
      </c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  <c r="AA169" s="171"/>
      <c r="AB169" s="171"/>
      <c r="AC169" s="171"/>
      <c r="AD169" s="171"/>
      <c r="AE169" s="171"/>
      <c r="AF169" s="171"/>
      <c r="AG169" s="171"/>
      <c r="AH169" s="22"/>
      <c r="AI169" s="171"/>
      <c r="AJ169" s="22">
        <f t="shared" si="3"/>
        <v>6</v>
      </c>
      <c r="AK169" s="22">
        <f t="shared" si="4"/>
        <v>6</v>
      </c>
    </row>
    <row r="170" spans="1:37" ht="15.75" customHeight="1">
      <c r="A170" s="167" t="s">
        <v>322</v>
      </c>
      <c r="B170" s="167" t="s">
        <v>2056</v>
      </c>
      <c r="C170" s="22" t="s">
        <v>321</v>
      </c>
      <c r="D170" s="168">
        <v>1</v>
      </c>
      <c r="E170" s="169" t="b">
        <v>1</v>
      </c>
      <c r="F170" s="170" t="s">
        <v>1847</v>
      </c>
      <c r="G170" s="171">
        <v>1</v>
      </c>
      <c r="H170" s="171">
        <v>1</v>
      </c>
      <c r="I170" s="171">
        <v>1</v>
      </c>
      <c r="J170" s="171">
        <v>1</v>
      </c>
      <c r="K170" s="171">
        <v>1</v>
      </c>
      <c r="L170" s="171"/>
      <c r="M170" s="171"/>
      <c r="N170" s="171">
        <v>1</v>
      </c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  <c r="AA170" s="171"/>
      <c r="AB170" s="171"/>
      <c r="AC170" s="171"/>
      <c r="AD170" s="171"/>
      <c r="AE170" s="171"/>
      <c r="AF170" s="171"/>
      <c r="AG170" s="171"/>
      <c r="AH170" s="22"/>
      <c r="AI170" s="171"/>
      <c r="AJ170" s="22">
        <f t="shared" si="3"/>
        <v>6</v>
      </c>
      <c r="AK170" s="22">
        <f t="shared" si="4"/>
        <v>6</v>
      </c>
    </row>
    <row r="171" spans="1:37" ht="15.75" customHeight="1">
      <c r="A171" s="167" t="s">
        <v>324</v>
      </c>
      <c r="B171" s="167" t="s">
        <v>2056</v>
      </c>
      <c r="C171" s="22" t="s">
        <v>323</v>
      </c>
      <c r="D171" s="168">
        <v>1</v>
      </c>
      <c r="E171" s="169" t="b">
        <v>1</v>
      </c>
      <c r="F171" s="170" t="s">
        <v>1665</v>
      </c>
      <c r="G171" s="171">
        <v>1</v>
      </c>
      <c r="H171" s="171">
        <v>1</v>
      </c>
      <c r="I171" s="171">
        <v>1</v>
      </c>
      <c r="J171" s="171">
        <v>1</v>
      </c>
      <c r="K171" s="171">
        <v>1</v>
      </c>
      <c r="L171" s="171"/>
      <c r="M171" s="171">
        <v>1</v>
      </c>
      <c r="N171" s="171"/>
      <c r="O171" s="171"/>
      <c r="P171" s="171"/>
      <c r="Q171" s="171"/>
      <c r="R171" s="171"/>
      <c r="S171" s="171">
        <v>1</v>
      </c>
      <c r="T171" s="171"/>
      <c r="U171" s="171"/>
      <c r="V171" s="171"/>
      <c r="W171" s="171"/>
      <c r="X171" s="171"/>
      <c r="Y171" s="171"/>
      <c r="Z171" s="171"/>
      <c r="AA171" s="171"/>
      <c r="AB171" s="171"/>
      <c r="AC171" s="171"/>
      <c r="AD171" s="171"/>
      <c r="AE171" s="171"/>
      <c r="AF171" s="171"/>
      <c r="AG171" s="171"/>
      <c r="AH171" s="22"/>
      <c r="AI171" s="171"/>
      <c r="AJ171" s="22">
        <f t="shared" si="3"/>
        <v>7</v>
      </c>
      <c r="AK171" s="22">
        <f t="shared" si="4"/>
        <v>7</v>
      </c>
    </row>
    <row r="172" spans="1:37" ht="15.75" customHeight="1">
      <c r="A172" s="167" t="s">
        <v>326</v>
      </c>
      <c r="B172" s="167" t="s">
        <v>2056</v>
      </c>
      <c r="C172" s="22" t="s">
        <v>325</v>
      </c>
      <c r="D172" s="168">
        <v>1</v>
      </c>
      <c r="E172" s="169" t="b">
        <v>1</v>
      </c>
      <c r="F172" s="170" t="s">
        <v>1848</v>
      </c>
      <c r="G172" s="171">
        <v>1</v>
      </c>
      <c r="H172" s="171">
        <v>1</v>
      </c>
      <c r="I172" s="171">
        <v>1</v>
      </c>
      <c r="J172" s="171">
        <v>1</v>
      </c>
      <c r="K172" s="171">
        <v>1</v>
      </c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  <c r="AA172" s="171"/>
      <c r="AB172" s="171"/>
      <c r="AC172" s="171"/>
      <c r="AD172" s="171">
        <v>1</v>
      </c>
      <c r="AE172" s="171"/>
      <c r="AF172" s="171"/>
      <c r="AG172" s="171"/>
      <c r="AH172" s="22"/>
      <c r="AI172" s="171"/>
      <c r="AJ172" s="22">
        <f t="shared" si="3"/>
        <v>6</v>
      </c>
      <c r="AK172" s="22">
        <f t="shared" si="4"/>
        <v>6</v>
      </c>
    </row>
    <row r="173" spans="1:37" ht="15.75" customHeight="1">
      <c r="A173" s="167" t="s">
        <v>328</v>
      </c>
      <c r="B173" s="167" t="s">
        <v>2056</v>
      </c>
      <c r="C173" s="22" t="s">
        <v>327</v>
      </c>
      <c r="D173" s="168">
        <v>1</v>
      </c>
      <c r="E173" s="169" t="b">
        <v>1</v>
      </c>
      <c r="F173" s="170" t="s">
        <v>1440</v>
      </c>
      <c r="G173" s="178">
        <v>1</v>
      </c>
      <c r="H173" s="178">
        <v>1</v>
      </c>
      <c r="I173" s="178">
        <v>1</v>
      </c>
      <c r="J173" s="178">
        <v>1</v>
      </c>
      <c r="K173" s="178"/>
      <c r="L173" s="178"/>
      <c r="M173" s="178"/>
      <c r="N173" s="178">
        <v>1</v>
      </c>
      <c r="O173" s="178"/>
      <c r="P173" s="178"/>
      <c r="Q173" s="178">
        <v>1</v>
      </c>
      <c r="R173" s="178"/>
      <c r="S173" s="178">
        <v>1</v>
      </c>
      <c r="T173" s="178"/>
      <c r="U173" s="178"/>
      <c r="V173" s="178"/>
      <c r="W173" s="178"/>
      <c r="X173" s="178"/>
      <c r="Y173" s="178"/>
      <c r="Z173" s="178"/>
      <c r="AA173" s="178">
        <v>1</v>
      </c>
      <c r="AB173" s="178"/>
      <c r="AC173" s="178"/>
      <c r="AD173" s="178"/>
      <c r="AE173" s="178"/>
      <c r="AF173" s="178"/>
      <c r="AG173" s="178">
        <v>1</v>
      </c>
      <c r="AH173" s="22"/>
      <c r="AI173" s="171" t="s">
        <v>1441</v>
      </c>
      <c r="AJ173" s="22">
        <f t="shared" si="3"/>
        <v>9</v>
      </c>
      <c r="AK173" s="22">
        <f t="shared" si="4"/>
        <v>9</v>
      </c>
    </row>
    <row r="174" spans="1:37" ht="15.75" customHeight="1">
      <c r="A174" s="167" t="s">
        <v>330</v>
      </c>
      <c r="B174" s="167" t="s">
        <v>2056</v>
      </c>
      <c r="C174" s="22" t="s">
        <v>329</v>
      </c>
      <c r="D174" s="168">
        <v>1</v>
      </c>
      <c r="E174" s="169" t="b">
        <v>1</v>
      </c>
      <c r="F174" s="170" t="s">
        <v>1990</v>
      </c>
      <c r="G174" s="171">
        <v>1</v>
      </c>
      <c r="H174" s="171">
        <v>1</v>
      </c>
      <c r="I174" s="171">
        <v>1</v>
      </c>
      <c r="J174" s="171">
        <v>1</v>
      </c>
      <c r="K174" s="171">
        <v>1</v>
      </c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  <c r="AA174" s="171"/>
      <c r="AB174" s="171"/>
      <c r="AC174" s="171"/>
      <c r="AD174" s="171"/>
      <c r="AE174" s="171"/>
      <c r="AF174" s="171"/>
      <c r="AG174" s="171"/>
      <c r="AH174" s="22"/>
      <c r="AI174" s="171"/>
      <c r="AJ174" s="22">
        <f t="shared" si="3"/>
        <v>5</v>
      </c>
      <c r="AK174" s="22">
        <f t="shared" si="4"/>
        <v>5</v>
      </c>
    </row>
    <row r="175" spans="1:37" ht="15.75" customHeight="1">
      <c r="A175" s="167" t="s">
        <v>332</v>
      </c>
      <c r="B175" s="167" t="s">
        <v>2056</v>
      </c>
      <c r="C175" s="22" t="s">
        <v>331</v>
      </c>
      <c r="D175" s="168">
        <v>1</v>
      </c>
      <c r="E175" s="169" t="b">
        <v>1</v>
      </c>
      <c r="F175" s="170" t="s">
        <v>1398</v>
      </c>
      <c r="G175" s="171">
        <v>1</v>
      </c>
      <c r="H175" s="171">
        <v>1</v>
      </c>
      <c r="I175" s="171">
        <v>1</v>
      </c>
      <c r="J175" s="171">
        <v>1</v>
      </c>
      <c r="K175" s="171">
        <v>1</v>
      </c>
      <c r="L175" s="171">
        <v>3</v>
      </c>
      <c r="M175" s="171">
        <v>1</v>
      </c>
      <c r="N175" s="171"/>
      <c r="O175" s="171"/>
      <c r="P175" s="171">
        <v>1</v>
      </c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  <c r="AA175" s="171"/>
      <c r="AB175" s="171">
        <v>1</v>
      </c>
      <c r="AC175" s="171"/>
      <c r="AD175" s="171"/>
      <c r="AE175" s="171"/>
      <c r="AF175" s="171"/>
      <c r="AG175" s="171"/>
      <c r="AH175" s="22"/>
      <c r="AI175" s="171"/>
      <c r="AJ175" s="22">
        <f t="shared" si="3"/>
        <v>9</v>
      </c>
      <c r="AK175" s="22">
        <f t="shared" si="4"/>
        <v>11</v>
      </c>
    </row>
    <row r="176" spans="1:37" ht="15.75" customHeight="1">
      <c r="A176" s="167" t="s">
        <v>334</v>
      </c>
      <c r="B176" s="167" t="s">
        <v>2056</v>
      </c>
      <c r="C176" s="22" t="s">
        <v>333</v>
      </c>
      <c r="D176" s="168">
        <v>1</v>
      </c>
      <c r="E176" s="169" t="b">
        <v>1</v>
      </c>
      <c r="F176" s="170" t="s">
        <v>1849</v>
      </c>
      <c r="G176" s="171">
        <v>1</v>
      </c>
      <c r="H176" s="171">
        <v>1</v>
      </c>
      <c r="I176" s="171">
        <v>1</v>
      </c>
      <c r="J176" s="171">
        <v>1</v>
      </c>
      <c r="K176" s="171">
        <v>1</v>
      </c>
      <c r="L176" s="171"/>
      <c r="M176" s="171"/>
      <c r="N176" s="171">
        <v>1</v>
      </c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  <c r="AA176" s="171"/>
      <c r="AB176" s="171"/>
      <c r="AC176" s="171"/>
      <c r="AD176" s="171"/>
      <c r="AE176" s="171"/>
      <c r="AF176" s="171"/>
      <c r="AG176" s="171"/>
      <c r="AH176" s="22"/>
      <c r="AI176" s="171"/>
      <c r="AJ176" s="22">
        <f t="shared" si="3"/>
        <v>6</v>
      </c>
      <c r="AK176" s="22">
        <f t="shared" si="4"/>
        <v>6</v>
      </c>
    </row>
    <row r="177" spans="1:37" ht="15.75" customHeight="1">
      <c r="A177" s="167" t="s">
        <v>336</v>
      </c>
      <c r="B177" s="167" t="s">
        <v>2056</v>
      </c>
      <c r="C177" s="22" t="s">
        <v>335</v>
      </c>
      <c r="D177" s="168">
        <v>1</v>
      </c>
      <c r="E177" s="169" t="b">
        <v>1</v>
      </c>
      <c r="F177" s="174" t="s">
        <v>1529</v>
      </c>
      <c r="G177" s="171">
        <v>1</v>
      </c>
      <c r="H177" s="171">
        <v>1</v>
      </c>
      <c r="I177" s="171">
        <v>1</v>
      </c>
      <c r="J177" s="171">
        <v>1</v>
      </c>
      <c r="K177" s="171">
        <v>1</v>
      </c>
      <c r="L177" s="171">
        <v>2</v>
      </c>
      <c r="M177" s="171">
        <v>1</v>
      </c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  <c r="AA177" s="171"/>
      <c r="AB177" s="171"/>
      <c r="AC177" s="171"/>
      <c r="AD177" s="171"/>
      <c r="AE177" s="171"/>
      <c r="AF177" s="171"/>
      <c r="AG177" s="171"/>
      <c r="AH177" s="22"/>
      <c r="AI177" s="171"/>
      <c r="AJ177" s="22">
        <f t="shared" si="3"/>
        <v>7</v>
      </c>
      <c r="AK177" s="22">
        <f t="shared" si="4"/>
        <v>8</v>
      </c>
    </row>
    <row r="178" spans="1:37" ht="15.75" customHeight="1">
      <c r="A178" s="167" t="s">
        <v>338</v>
      </c>
      <c r="B178" s="167" t="s">
        <v>2056</v>
      </c>
      <c r="C178" s="22" t="s">
        <v>337</v>
      </c>
      <c r="D178" s="168">
        <v>1</v>
      </c>
      <c r="E178" s="169" t="b">
        <v>1</v>
      </c>
      <c r="F178" s="170" t="s">
        <v>1850</v>
      </c>
      <c r="G178" s="171">
        <v>1</v>
      </c>
      <c r="H178" s="171">
        <v>1</v>
      </c>
      <c r="I178" s="171">
        <v>1</v>
      </c>
      <c r="J178" s="171">
        <v>1</v>
      </c>
      <c r="K178" s="171">
        <v>1</v>
      </c>
      <c r="L178" s="171">
        <v>1</v>
      </c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  <c r="AA178" s="171"/>
      <c r="AB178" s="171"/>
      <c r="AC178" s="171"/>
      <c r="AD178" s="171"/>
      <c r="AE178" s="171"/>
      <c r="AF178" s="171"/>
      <c r="AG178" s="171"/>
      <c r="AH178" s="22"/>
      <c r="AI178" s="171"/>
      <c r="AJ178" s="22">
        <f t="shared" si="3"/>
        <v>6</v>
      </c>
      <c r="AK178" s="22">
        <f t="shared" si="4"/>
        <v>6</v>
      </c>
    </row>
    <row r="179" spans="1:37" ht="15.75" customHeight="1">
      <c r="A179" s="167" t="s">
        <v>1224</v>
      </c>
      <c r="B179" s="167" t="s">
        <v>2055</v>
      </c>
      <c r="C179" s="22" t="s">
        <v>1223</v>
      </c>
      <c r="D179" s="168">
        <v>1</v>
      </c>
      <c r="E179" s="169" t="b">
        <v>1</v>
      </c>
      <c r="F179" s="170" t="s">
        <v>1775</v>
      </c>
      <c r="G179" s="171">
        <v>1</v>
      </c>
      <c r="H179" s="171">
        <v>1</v>
      </c>
      <c r="I179" s="171">
        <v>1</v>
      </c>
      <c r="J179" s="171">
        <v>1</v>
      </c>
      <c r="K179" s="171">
        <v>1</v>
      </c>
      <c r="L179" s="171"/>
      <c r="M179" s="171"/>
      <c r="N179" s="171"/>
      <c r="O179" s="171">
        <v>1</v>
      </c>
      <c r="P179" s="171">
        <v>1</v>
      </c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  <c r="AA179" s="171"/>
      <c r="AB179" s="171"/>
      <c r="AC179" s="171"/>
      <c r="AD179" s="171"/>
      <c r="AE179" s="171"/>
      <c r="AF179" s="171"/>
      <c r="AG179" s="171"/>
      <c r="AH179" s="22"/>
      <c r="AI179" s="171"/>
      <c r="AJ179" s="22">
        <f t="shared" si="3"/>
        <v>7</v>
      </c>
      <c r="AK179" s="22">
        <f t="shared" si="4"/>
        <v>7</v>
      </c>
    </row>
    <row r="180" spans="1:37" ht="15.75" customHeight="1">
      <c r="A180" s="167" t="s">
        <v>1226</v>
      </c>
      <c r="B180" s="167" t="s">
        <v>2055</v>
      </c>
      <c r="C180" s="22" t="s">
        <v>1225</v>
      </c>
      <c r="D180" s="168">
        <v>1</v>
      </c>
      <c r="E180" s="169" t="b">
        <v>1</v>
      </c>
      <c r="F180" s="170" t="s">
        <v>1776</v>
      </c>
      <c r="G180" s="171">
        <v>1</v>
      </c>
      <c r="H180" s="171">
        <v>1</v>
      </c>
      <c r="I180" s="171">
        <v>1</v>
      </c>
      <c r="J180" s="171">
        <v>1</v>
      </c>
      <c r="K180" s="171">
        <v>1</v>
      </c>
      <c r="L180" s="171"/>
      <c r="M180" s="171"/>
      <c r="N180" s="171"/>
      <c r="O180" s="171">
        <v>1</v>
      </c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>
        <v>1</v>
      </c>
      <c r="AA180" s="171"/>
      <c r="AB180" s="171"/>
      <c r="AC180" s="171"/>
      <c r="AD180" s="171"/>
      <c r="AE180" s="171"/>
      <c r="AF180" s="171"/>
      <c r="AG180" s="171"/>
      <c r="AH180" s="22"/>
      <c r="AI180" s="171"/>
      <c r="AJ180" s="22">
        <f t="shared" si="3"/>
        <v>7</v>
      </c>
      <c r="AK180" s="22">
        <f t="shared" si="4"/>
        <v>7</v>
      </c>
    </row>
    <row r="181" spans="1:37" ht="15.75" customHeight="1">
      <c r="A181" s="167" t="s">
        <v>1228</v>
      </c>
      <c r="B181" s="167" t="s">
        <v>2055</v>
      </c>
      <c r="C181" s="22" t="s">
        <v>1227</v>
      </c>
      <c r="D181" s="168">
        <v>1</v>
      </c>
      <c r="E181" s="169" t="b">
        <v>1</v>
      </c>
      <c r="F181" s="170" t="s">
        <v>1424</v>
      </c>
      <c r="G181" s="171">
        <v>1</v>
      </c>
      <c r="H181" s="171">
        <v>1</v>
      </c>
      <c r="I181" s="171">
        <v>1</v>
      </c>
      <c r="J181" s="171"/>
      <c r="K181" s="171">
        <v>1</v>
      </c>
      <c r="L181" s="171">
        <v>1</v>
      </c>
      <c r="M181" s="171">
        <v>1</v>
      </c>
      <c r="N181" s="171"/>
      <c r="O181" s="171">
        <v>1</v>
      </c>
      <c r="P181" s="171"/>
      <c r="Q181" s="171">
        <v>1</v>
      </c>
      <c r="R181" s="171"/>
      <c r="S181" s="171"/>
      <c r="T181" s="171"/>
      <c r="U181" s="171"/>
      <c r="V181" s="171"/>
      <c r="W181" s="171"/>
      <c r="X181" s="171"/>
      <c r="Y181" s="171">
        <v>1</v>
      </c>
      <c r="Z181" s="171">
        <v>1</v>
      </c>
      <c r="AA181" s="171"/>
      <c r="AB181" s="171"/>
      <c r="AC181" s="171"/>
      <c r="AD181" s="171"/>
      <c r="AE181" s="171"/>
      <c r="AF181" s="171"/>
      <c r="AG181" s="171"/>
      <c r="AH181" s="22"/>
      <c r="AI181" s="171"/>
      <c r="AJ181" s="22">
        <f t="shared" si="3"/>
        <v>10</v>
      </c>
      <c r="AK181" s="22">
        <f t="shared" si="4"/>
        <v>10</v>
      </c>
    </row>
    <row r="182" spans="1:37" ht="15.75" customHeight="1">
      <c r="A182" s="167" t="s">
        <v>1230</v>
      </c>
      <c r="B182" s="167" t="s">
        <v>2055</v>
      </c>
      <c r="C182" s="22" t="s">
        <v>1229</v>
      </c>
      <c r="D182" s="168">
        <v>1</v>
      </c>
      <c r="E182" s="169" t="b">
        <v>1</v>
      </c>
      <c r="F182" s="170" t="s">
        <v>1475</v>
      </c>
      <c r="G182" s="171">
        <v>1</v>
      </c>
      <c r="H182" s="171">
        <v>1</v>
      </c>
      <c r="I182" s="171">
        <v>1</v>
      </c>
      <c r="J182" s="171">
        <v>1</v>
      </c>
      <c r="K182" s="171">
        <v>1</v>
      </c>
      <c r="L182" s="171">
        <v>2</v>
      </c>
      <c r="M182" s="171"/>
      <c r="N182" s="171"/>
      <c r="O182" s="171">
        <v>1</v>
      </c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>
        <v>1</v>
      </c>
      <c r="AA182" s="171"/>
      <c r="AB182" s="171"/>
      <c r="AC182" s="171"/>
      <c r="AD182" s="171"/>
      <c r="AE182" s="171"/>
      <c r="AF182" s="171"/>
      <c r="AG182" s="171"/>
      <c r="AH182" s="22"/>
      <c r="AI182" s="171"/>
      <c r="AJ182" s="22">
        <f t="shared" si="3"/>
        <v>8</v>
      </c>
      <c r="AK182" s="22">
        <f t="shared" si="4"/>
        <v>9</v>
      </c>
    </row>
    <row r="183" spans="1:37" ht="15.75" customHeight="1">
      <c r="A183" s="167" t="s">
        <v>340</v>
      </c>
      <c r="B183" s="167" t="s">
        <v>2056</v>
      </c>
      <c r="C183" s="22" t="s">
        <v>339</v>
      </c>
      <c r="D183" s="168">
        <v>1</v>
      </c>
      <c r="E183" s="169" t="b">
        <v>1</v>
      </c>
      <c r="F183" s="174" t="s">
        <v>1851</v>
      </c>
      <c r="G183" s="171">
        <v>1</v>
      </c>
      <c r="H183" s="171">
        <v>1</v>
      </c>
      <c r="I183" s="171">
        <v>1</v>
      </c>
      <c r="J183" s="171">
        <v>1</v>
      </c>
      <c r="K183" s="171">
        <v>1</v>
      </c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  <c r="AA183" s="171"/>
      <c r="AB183" s="171">
        <v>1</v>
      </c>
      <c r="AC183" s="171"/>
      <c r="AD183" s="171"/>
      <c r="AE183" s="171"/>
      <c r="AF183" s="171"/>
      <c r="AG183" s="171"/>
      <c r="AH183" s="22"/>
      <c r="AI183" s="171" t="s">
        <v>1506</v>
      </c>
      <c r="AJ183" s="22">
        <f t="shared" si="3"/>
        <v>6</v>
      </c>
      <c r="AK183" s="22">
        <f t="shared" si="4"/>
        <v>6</v>
      </c>
    </row>
    <row r="184" spans="1:37" ht="15.75" customHeight="1">
      <c r="A184" s="167" t="s">
        <v>1323</v>
      </c>
      <c r="B184" s="167" t="s">
        <v>2054</v>
      </c>
      <c r="C184" s="22" t="s">
        <v>1322</v>
      </c>
      <c r="D184" s="168">
        <v>1</v>
      </c>
      <c r="E184" s="169" t="b">
        <v>1</v>
      </c>
      <c r="F184" s="170" t="s">
        <v>1791</v>
      </c>
      <c r="G184" s="171">
        <v>1</v>
      </c>
      <c r="H184" s="171">
        <v>1</v>
      </c>
      <c r="I184" s="171">
        <v>1</v>
      </c>
      <c r="J184" s="171">
        <v>1</v>
      </c>
      <c r="K184" s="171">
        <v>1</v>
      </c>
      <c r="L184" s="171"/>
      <c r="M184" s="171"/>
      <c r="N184" s="171"/>
      <c r="O184" s="171"/>
      <c r="P184" s="171">
        <v>1</v>
      </c>
      <c r="Q184" s="171"/>
      <c r="R184" s="171">
        <v>1</v>
      </c>
      <c r="S184" s="171"/>
      <c r="T184" s="171"/>
      <c r="U184" s="171"/>
      <c r="V184" s="171"/>
      <c r="W184" s="171"/>
      <c r="X184" s="171"/>
      <c r="Y184" s="171"/>
      <c r="Z184" s="171"/>
      <c r="AA184" s="171"/>
      <c r="AB184" s="171"/>
      <c r="AC184" s="171"/>
      <c r="AD184" s="171"/>
      <c r="AE184" s="171"/>
      <c r="AF184" s="171"/>
      <c r="AG184" s="171"/>
      <c r="AH184" s="22"/>
      <c r="AI184" s="171"/>
      <c r="AJ184" s="22">
        <f t="shared" si="3"/>
        <v>7</v>
      </c>
      <c r="AK184" s="22">
        <f t="shared" si="4"/>
        <v>7</v>
      </c>
    </row>
    <row r="185" spans="1:37" ht="15.75" customHeight="1">
      <c r="A185" s="167" t="s">
        <v>342</v>
      </c>
      <c r="B185" s="167" t="s">
        <v>2056</v>
      </c>
      <c r="C185" s="22" t="s">
        <v>341</v>
      </c>
      <c r="D185" s="168">
        <v>1</v>
      </c>
      <c r="E185" s="169" t="b">
        <v>1</v>
      </c>
      <c r="F185" s="170" t="s">
        <v>1530</v>
      </c>
      <c r="G185" s="171">
        <v>1</v>
      </c>
      <c r="H185" s="171">
        <v>1</v>
      </c>
      <c r="I185" s="171">
        <v>1</v>
      </c>
      <c r="J185" s="171">
        <v>1</v>
      </c>
      <c r="K185" s="171">
        <v>1</v>
      </c>
      <c r="L185" s="171">
        <v>1</v>
      </c>
      <c r="M185" s="171">
        <v>1</v>
      </c>
      <c r="N185" s="171">
        <v>1</v>
      </c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  <c r="AA185" s="171"/>
      <c r="AB185" s="171"/>
      <c r="AC185" s="171"/>
      <c r="AD185" s="171"/>
      <c r="AE185" s="171"/>
      <c r="AF185" s="171"/>
      <c r="AG185" s="171"/>
      <c r="AH185" s="22"/>
      <c r="AI185" s="171"/>
      <c r="AJ185" s="22">
        <f t="shared" si="3"/>
        <v>8</v>
      </c>
      <c r="AK185" s="22">
        <f t="shared" si="4"/>
        <v>8</v>
      </c>
    </row>
    <row r="186" spans="1:37" ht="15.75" customHeight="1">
      <c r="A186" s="167" t="s">
        <v>344</v>
      </c>
      <c r="B186" s="167" t="s">
        <v>2056</v>
      </c>
      <c r="C186" s="22" t="s">
        <v>343</v>
      </c>
      <c r="D186" s="168">
        <v>1</v>
      </c>
      <c r="E186" s="169" t="b">
        <v>1</v>
      </c>
      <c r="F186" s="170" t="s">
        <v>1531</v>
      </c>
      <c r="G186" s="171">
        <v>1</v>
      </c>
      <c r="H186" s="171">
        <v>1</v>
      </c>
      <c r="I186" s="171">
        <v>1</v>
      </c>
      <c r="J186" s="171">
        <v>1</v>
      </c>
      <c r="K186" s="171">
        <v>1</v>
      </c>
      <c r="L186" s="171">
        <v>1</v>
      </c>
      <c r="M186" s="171">
        <v>1</v>
      </c>
      <c r="N186" s="171">
        <v>1</v>
      </c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  <c r="AA186" s="171"/>
      <c r="AB186" s="171"/>
      <c r="AC186" s="171"/>
      <c r="AD186" s="171"/>
      <c r="AE186" s="171"/>
      <c r="AF186" s="171"/>
      <c r="AG186" s="171"/>
      <c r="AH186" s="22"/>
      <c r="AI186" s="171"/>
      <c r="AJ186" s="22">
        <f t="shared" si="3"/>
        <v>8</v>
      </c>
      <c r="AK186" s="22">
        <f t="shared" si="4"/>
        <v>8</v>
      </c>
    </row>
    <row r="187" spans="1:37" ht="15.75" customHeight="1">
      <c r="A187" s="167" t="s">
        <v>346</v>
      </c>
      <c r="B187" s="167" t="s">
        <v>2056</v>
      </c>
      <c r="C187" s="22" t="s">
        <v>345</v>
      </c>
      <c r="D187" s="168">
        <v>1</v>
      </c>
      <c r="E187" s="169" t="b">
        <v>1</v>
      </c>
      <c r="F187" s="170" t="s">
        <v>1392</v>
      </c>
      <c r="G187" s="171">
        <v>1</v>
      </c>
      <c r="H187" s="171">
        <v>1</v>
      </c>
      <c r="I187" s="171">
        <v>1</v>
      </c>
      <c r="J187" s="171">
        <v>1</v>
      </c>
      <c r="K187" s="171">
        <v>1</v>
      </c>
      <c r="L187" s="171">
        <v>5</v>
      </c>
      <c r="M187" s="171">
        <v>1</v>
      </c>
      <c r="N187" s="171"/>
      <c r="O187" s="171"/>
      <c r="P187" s="171"/>
      <c r="Q187" s="171"/>
      <c r="R187" s="171"/>
      <c r="S187" s="171"/>
      <c r="T187" s="171"/>
      <c r="U187" s="171">
        <v>1</v>
      </c>
      <c r="V187" s="171"/>
      <c r="W187" s="171"/>
      <c r="X187" s="171"/>
      <c r="Y187" s="171"/>
      <c r="Z187" s="171"/>
      <c r="AA187" s="171"/>
      <c r="AB187" s="171"/>
      <c r="AC187" s="171"/>
      <c r="AD187" s="171"/>
      <c r="AE187" s="171"/>
      <c r="AF187" s="171"/>
      <c r="AG187" s="171"/>
      <c r="AH187" s="22"/>
      <c r="AI187" s="171"/>
      <c r="AJ187" s="22">
        <f t="shared" si="3"/>
        <v>8</v>
      </c>
      <c r="AK187" s="22">
        <f t="shared" si="4"/>
        <v>12</v>
      </c>
    </row>
    <row r="188" spans="1:37" ht="15.75" customHeight="1">
      <c r="A188" s="167" t="s">
        <v>348</v>
      </c>
      <c r="B188" s="167" t="s">
        <v>2056</v>
      </c>
      <c r="C188" s="22" t="s">
        <v>347</v>
      </c>
      <c r="D188" s="168">
        <v>1</v>
      </c>
      <c r="E188" s="169" t="b">
        <v>1</v>
      </c>
      <c r="F188" s="174" t="s">
        <v>1991</v>
      </c>
      <c r="G188" s="171">
        <v>1</v>
      </c>
      <c r="H188" s="171">
        <v>1</v>
      </c>
      <c r="I188" s="171">
        <v>1</v>
      </c>
      <c r="J188" s="171">
        <v>1</v>
      </c>
      <c r="K188" s="171"/>
      <c r="L188" s="171"/>
      <c r="M188" s="171"/>
      <c r="N188" s="171">
        <v>1</v>
      </c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  <c r="AA188" s="171"/>
      <c r="AB188" s="171"/>
      <c r="AC188" s="171"/>
      <c r="AD188" s="171"/>
      <c r="AE188" s="171"/>
      <c r="AF188" s="171"/>
      <c r="AG188" s="171"/>
      <c r="AH188" s="22"/>
      <c r="AI188" s="171"/>
      <c r="AJ188" s="22">
        <f t="shared" si="3"/>
        <v>5</v>
      </c>
      <c r="AK188" s="22">
        <f t="shared" si="4"/>
        <v>5</v>
      </c>
    </row>
    <row r="189" spans="1:37" ht="15.75" customHeight="1">
      <c r="A189" s="167" t="s">
        <v>350</v>
      </c>
      <c r="B189" s="167" t="s">
        <v>2056</v>
      </c>
      <c r="C189" s="22" t="s">
        <v>349</v>
      </c>
      <c r="D189" s="168">
        <v>1</v>
      </c>
      <c r="E189" s="169" t="b">
        <v>1</v>
      </c>
      <c r="F189" s="170" t="s">
        <v>1852</v>
      </c>
      <c r="G189" s="171">
        <v>1</v>
      </c>
      <c r="H189" s="171">
        <v>1</v>
      </c>
      <c r="I189" s="171">
        <v>1</v>
      </c>
      <c r="J189" s="171">
        <v>1</v>
      </c>
      <c r="K189" s="171">
        <v>1</v>
      </c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  <c r="AA189" s="171"/>
      <c r="AB189" s="171"/>
      <c r="AC189" s="171"/>
      <c r="AD189" s="171"/>
      <c r="AE189" s="171"/>
      <c r="AF189" s="171"/>
      <c r="AG189" s="171">
        <v>1</v>
      </c>
      <c r="AH189" s="22"/>
      <c r="AI189" s="171" t="s">
        <v>1853</v>
      </c>
      <c r="AJ189" s="22">
        <f t="shared" si="3"/>
        <v>6</v>
      </c>
      <c r="AK189" s="22">
        <f t="shared" si="4"/>
        <v>6</v>
      </c>
    </row>
    <row r="190" spans="1:37" ht="15.75" customHeight="1">
      <c r="A190" s="167" t="s">
        <v>352</v>
      </c>
      <c r="B190" s="167" t="s">
        <v>2056</v>
      </c>
      <c r="C190" s="22" t="s">
        <v>351</v>
      </c>
      <c r="D190" s="168">
        <v>1</v>
      </c>
      <c r="E190" s="169" t="b">
        <v>1</v>
      </c>
      <c r="F190" s="170" t="s">
        <v>1854</v>
      </c>
      <c r="G190" s="171">
        <v>1</v>
      </c>
      <c r="H190" s="171">
        <v>1</v>
      </c>
      <c r="I190" s="171">
        <v>1</v>
      </c>
      <c r="J190" s="171">
        <v>1</v>
      </c>
      <c r="K190" s="171"/>
      <c r="L190" s="171">
        <v>1</v>
      </c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  <c r="AA190" s="171"/>
      <c r="AB190" s="171">
        <v>1</v>
      </c>
      <c r="AC190" s="171"/>
      <c r="AD190" s="171"/>
      <c r="AE190" s="171"/>
      <c r="AF190" s="171"/>
      <c r="AG190" s="171"/>
      <c r="AH190" s="22"/>
      <c r="AI190" s="171"/>
      <c r="AJ190" s="22">
        <f t="shared" si="3"/>
        <v>6</v>
      </c>
      <c r="AK190" s="22">
        <f t="shared" si="4"/>
        <v>6</v>
      </c>
    </row>
    <row r="191" spans="1:37" ht="15.75" customHeight="1">
      <c r="A191" s="167" t="s">
        <v>354</v>
      </c>
      <c r="B191" s="167" t="s">
        <v>2056</v>
      </c>
      <c r="C191" s="22" t="s">
        <v>353</v>
      </c>
      <c r="D191" s="168">
        <v>1</v>
      </c>
      <c r="E191" s="169" t="b">
        <v>1</v>
      </c>
      <c r="F191" s="170" t="s">
        <v>1532</v>
      </c>
      <c r="G191" s="171">
        <v>1</v>
      </c>
      <c r="H191" s="171">
        <v>1</v>
      </c>
      <c r="I191" s="171">
        <v>1</v>
      </c>
      <c r="J191" s="171">
        <v>1</v>
      </c>
      <c r="K191" s="171">
        <v>1</v>
      </c>
      <c r="L191" s="171">
        <v>3</v>
      </c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  <c r="AA191" s="171"/>
      <c r="AB191" s="171"/>
      <c r="AC191" s="171"/>
      <c r="AD191" s="171"/>
      <c r="AE191" s="171"/>
      <c r="AF191" s="171"/>
      <c r="AG191" s="171"/>
      <c r="AH191" s="22"/>
      <c r="AI191" s="171"/>
      <c r="AJ191" s="22">
        <f t="shared" si="3"/>
        <v>6</v>
      </c>
      <c r="AK191" s="22">
        <f t="shared" si="4"/>
        <v>8</v>
      </c>
    </row>
    <row r="192" spans="1:37" ht="15.75" customHeight="1">
      <c r="A192" s="167" t="s">
        <v>356</v>
      </c>
      <c r="B192" s="167" t="s">
        <v>2056</v>
      </c>
      <c r="C192" s="22" t="s">
        <v>355</v>
      </c>
      <c r="D192" s="168">
        <v>1</v>
      </c>
      <c r="E192" s="169" t="b">
        <v>1</v>
      </c>
      <c r="F192" s="170" t="s">
        <v>1626</v>
      </c>
      <c r="G192" s="171">
        <v>1</v>
      </c>
      <c r="H192" s="171">
        <v>1</v>
      </c>
      <c r="I192" s="171">
        <v>1</v>
      </c>
      <c r="J192" s="171">
        <v>1</v>
      </c>
      <c r="K192" s="171">
        <v>1</v>
      </c>
      <c r="L192" s="171"/>
      <c r="M192" s="171"/>
      <c r="N192" s="171">
        <v>1</v>
      </c>
      <c r="O192" s="171"/>
      <c r="P192" s="171"/>
      <c r="Q192" s="171"/>
      <c r="R192" s="171"/>
      <c r="S192" s="171"/>
      <c r="T192" s="171">
        <v>1</v>
      </c>
      <c r="U192" s="171"/>
      <c r="V192" s="171"/>
      <c r="W192" s="171"/>
      <c r="X192" s="171"/>
      <c r="Y192" s="171"/>
      <c r="Z192" s="171"/>
      <c r="AA192" s="171"/>
      <c r="AB192" s="171"/>
      <c r="AC192" s="171"/>
      <c r="AD192" s="171"/>
      <c r="AE192" s="171"/>
      <c r="AF192" s="171"/>
      <c r="AG192" s="171"/>
      <c r="AH192" s="22"/>
      <c r="AI192" s="171" t="s">
        <v>1429</v>
      </c>
      <c r="AJ192" s="22">
        <f>COUNT(E192:AC192)</f>
        <v>7</v>
      </c>
      <c r="AK192" s="22">
        <f>SUM(E192:AC192)</f>
        <v>7</v>
      </c>
    </row>
    <row r="193" spans="1:37" ht="15.75" customHeight="1">
      <c r="A193" s="167" t="s">
        <v>1232</v>
      </c>
      <c r="B193" s="167" t="s">
        <v>2055</v>
      </c>
      <c r="C193" s="22" t="s">
        <v>1231</v>
      </c>
      <c r="D193" s="168">
        <v>1</v>
      </c>
      <c r="E193" s="169" t="b">
        <v>1</v>
      </c>
      <c r="F193" s="170" t="s">
        <v>1605</v>
      </c>
      <c r="G193" s="171">
        <v>1</v>
      </c>
      <c r="H193" s="171">
        <v>1</v>
      </c>
      <c r="I193" s="171">
        <v>1</v>
      </c>
      <c r="J193" s="171">
        <v>1</v>
      </c>
      <c r="K193" s="171">
        <v>1</v>
      </c>
      <c r="L193" s="171"/>
      <c r="M193" s="171"/>
      <c r="N193" s="171"/>
      <c r="O193" s="171">
        <v>1</v>
      </c>
      <c r="P193" s="171"/>
      <c r="Q193" s="171"/>
      <c r="R193" s="171"/>
      <c r="S193" s="171"/>
      <c r="T193" s="171"/>
      <c r="U193" s="171"/>
      <c r="V193" s="171">
        <v>1</v>
      </c>
      <c r="W193" s="171"/>
      <c r="X193" s="171"/>
      <c r="Y193" s="171"/>
      <c r="Z193" s="171">
        <v>1</v>
      </c>
      <c r="AA193" s="171"/>
      <c r="AB193" s="171"/>
      <c r="AC193" s="171"/>
      <c r="AD193" s="171"/>
      <c r="AE193" s="171"/>
      <c r="AF193" s="171"/>
      <c r="AG193" s="171"/>
      <c r="AH193" s="22"/>
      <c r="AI193" s="171"/>
      <c r="AJ193" s="22">
        <f t="shared" ref="AJ193:AJ447" si="5">COUNT(E193:AG193)</f>
        <v>8</v>
      </c>
      <c r="AK193" s="22">
        <f t="shared" ref="AK193:AK447" si="6">SUM(E193:AG193)</f>
        <v>8</v>
      </c>
    </row>
    <row r="194" spans="1:37" ht="15.75" customHeight="1">
      <c r="A194" s="167" t="s">
        <v>1184</v>
      </c>
      <c r="B194" s="167" t="s">
        <v>2055</v>
      </c>
      <c r="C194" s="22" t="s">
        <v>1183</v>
      </c>
      <c r="D194" s="168">
        <v>1</v>
      </c>
      <c r="E194" s="169" t="b">
        <v>1</v>
      </c>
      <c r="F194" s="170" t="s">
        <v>1471</v>
      </c>
      <c r="G194" s="171">
        <v>1</v>
      </c>
      <c r="H194" s="171">
        <v>1</v>
      </c>
      <c r="I194" s="171">
        <v>1</v>
      </c>
      <c r="J194" s="171">
        <v>1</v>
      </c>
      <c r="K194" s="171">
        <v>1</v>
      </c>
      <c r="L194" s="171"/>
      <c r="M194" s="171"/>
      <c r="N194" s="171"/>
      <c r="O194" s="171">
        <v>1</v>
      </c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>
        <v>1</v>
      </c>
      <c r="AA194" s="171"/>
      <c r="AB194" s="171"/>
      <c r="AC194" s="171"/>
      <c r="AD194" s="171"/>
      <c r="AE194" s="171"/>
      <c r="AF194" s="171">
        <v>1</v>
      </c>
      <c r="AG194" s="171">
        <v>1</v>
      </c>
      <c r="AH194" s="22"/>
      <c r="AI194" s="171" t="s">
        <v>1472</v>
      </c>
      <c r="AJ194" s="22">
        <f t="shared" si="5"/>
        <v>9</v>
      </c>
      <c r="AK194" s="22">
        <f t="shared" si="6"/>
        <v>9</v>
      </c>
    </row>
    <row r="195" spans="1:37" ht="15.75" customHeight="1">
      <c r="A195" s="167" t="s">
        <v>358</v>
      </c>
      <c r="B195" s="167" t="s">
        <v>2056</v>
      </c>
      <c r="C195" s="22" t="s">
        <v>357</v>
      </c>
      <c r="D195" s="168">
        <v>1</v>
      </c>
      <c r="E195" s="169" t="b">
        <v>1</v>
      </c>
      <c r="F195" s="170" t="s">
        <v>1666</v>
      </c>
      <c r="G195" s="171">
        <v>1</v>
      </c>
      <c r="H195" s="171">
        <v>1</v>
      </c>
      <c r="I195" s="171">
        <v>1</v>
      </c>
      <c r="J195" s="171">
        <v>1</v>
      </c>
      <c r="K195" s="171">
        <v>1</v>
      </c>
      <c r="L195" s="171">
        <v>1</v>
      </c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>
        <v>1</v>
      </c>
      <c r="Y195" s="171"/>
      <c r="Z195" s="171"/>
      <c r="AA195" s="171"/>
      <c r="AB195" s="171"/>
      <c r="AC195" s="171"/>
      <c r="AD195" s="171"/>
      <c r="AE195" s="171"/>
      <c r="AF195" s="171"/>
      <c r="AG195" s="171"/>
      <c r="AH195" s="22"/>
      <c r="AI195" s="171"/>
      <c r="AJ195" s="22">
        <f t="shared" si="5"/>
        <v>7</v>
      </c>
      <c r="AK195" s="22">
        <f t="shared" si="6"/>
        <v>7</v>
      </c>
    </row>
    <row r="196" spans="1:37" ht="15.75" customHeight="1">
      <c r="A196" s="167" t="s">
        <v>360</v>
      </c>
      <c r="B196" s="167" t="s">
        <v>2056</v>
      </c>
      <c r="C196" s="22" t="s">
        <v>359</v>
      </c>
      <c r="D196" s="168">
        <v>1</v>
      </c>
      <c r="E196" s="169" t="b">
        <v>1</v>
      </c>
      <c r="F196" s="170" t="s">
        <v>1533</v>
      </c>
      <c r="G196" s="171">
        <v>1</v>
      </c>
      <c r="H196" s="171">
        <v>1</v>
      </c>
      <c r="I196" s="171">
        <v>1</v>
      </c>
      <c r="J196" s="171">
        <v>1</v>
      </c>
      <c r="K196" s="171">
        <v>1</v>
      </c>
      <c r="L196" s="171">
        <v>3</v>
      </c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  <c r="AA196" s="171"/>
      <c r="AB196" s="171"/>
      <c r="AC196" s="171"/>
      <c r="AD196" s="171"/>
      <c r="AE196" s="171"/>
      <c r="AF196" s="171"/>
      <c r="AG196" s="171"/>
      <c r="AH196" s="22"/>
      <c r="AI196" s="171"/>
      <c r="AJ196" s="22">
        <f t="shared" si="5"/>
        <v>6</v>
      </c>
      <c r="AK196" s="22">
        <f t="shared" si="6"/>
        <v>8</v>
      </c>
    </row>
    <row r="197" spans="1:37" ht="15.75" customHeight="1">
      <c r="A197" s="167" t="s">
        <v>362</v>
      </c>
      <c r="B197" s="167" t="s">
        <v>2056</v>
      </c>
      <c r="C197" s="22" t="s">
        <v>361</v>
      </c>
      <c r="D197" s="168">
        <v>1</v>
      </c>
      <c r="E197" s="169" t="b">
        <v>1</v>
      </c>
      <c r="F197" s="170" t="s">
        <v>1855</v>
      </c>
      <c r="G197" s="171">
        <v>1</v>
      </c>
      <c r="H197" s="171">
        <v>1</v>
      </c>
      <c r="I197" s="171">
        <v>1</v>
      </c>
      <c r="J197" s="171">
        <v>1</v>
      </c>
      <c r="K197" s="171">
        <v>1</v>
      </c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  <c r="AA197" s="171"/>
      <c r="AB197" s="171"/>
      <c r="AC197" s="171"/>
      <c r="AD197" s="171"/>
      <c r="AE197" s="171"/>
      <c r="AF197" s="171"/>
      <c r="AG197" s="171">
        <v>1</v>
      </c>
      <c r="AH197" s="22"/>
      <c r="AI197" s="171" t="s">
        <v>1664</v>
      </c>
      <c r="AJ197" s="22">
        <f t="shared" si="5"/>
        <v>6</v>
      </c>
      <c r="AK197" s="22">
        <f t="shared" si="6"/>
        <v>6</v>
      </c>
    </row>
    <row r="198" spans="1:37" ht="15.75" customHeight="1">
      <c r="A198" s="167" t="s">
        <v>364</v>
      </c>
      <c r="B198" s="167" t="s">
        <v>2056</v>
      </c>
      <c r="C198" s="22" t="s">
        <v>363</v>
      </c>
      <c r="D198" s="168">
        <v>1</v>
      </c>
      <c r="E198" s="169" t="b">
        <v>1</v>
      </c>
      <c r="F198" s="170" t="s">
        <v>1534</v>
      </c>
      <c r="G198" s="171">
        <v>1</v>
      </c>
      <c r="H198" s="171">
        <v>1</v>
      </c>
      <c r="I198" s="171">
        <v>1</v>
      </c>
      <c r="J198" s="171">
        <v>1</v>
      </c>
      <c r="K198" s="171">
        <v>1</v>
      </c>
      <c r="L198" s="171">
        <v>3</v>
      </c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  <c r="AA198" s="171"/>
      <c r="AB198" s="171"/>
      <c r="AC198" s="171"/>
      <c r="AD198" s="171"/>
      <c r="AE198" s="171"/>
      <c r="AF198" s="171"/>
      <c r="AG198" s="171"/>
      <c r="AH198" s="22"/>
      <c r="AI198" s="171"/>
      <c r="AJ198" s="22">
        <f t="shared" si="5"/>
        <v>6</v>
      </c>
      <c r="AK198" s="22">
        <f t="shared" si="6"/>
        <v>8</v>
      </c>
    </row>
    <row r="199" spans="1:37" ht="15.75" customHeight="1">
      <c r="A199" s="167" t="s">
        <v>366</v>
      </c>
      <c r="B199" s="167" t="s">
        <v>2056</v>
      </c>
      <c r="C199" s="22" t="s">
        <v>365</v>
      </c>
      <c r="D199" s="168">
        <v>1</v>
      </c>
      <c r="E199" s="169" t="b">
        <v>1</v>
      </c>
      <c r="F199" s="182" t="s">
        <v>1856</v>
      </c>
      <c r="G199" s="171">
        <v>1</v>
      </c>
      <c r="H199" s="171">
        <v>1</v>
      </c>
      <c r="I199" s="171">
        <v>1</v>
      </c>
      <c r="J199" s="171">
        <v>1</v>
      </c>
      <c r="K199" s="171">
        <v>1</v>
      </c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>
        <v>1</v>
      </c>
      <c r="W199" s="171"/>
      <c r="X199" s="171"/>
      <c r="Y199" s="171"/>
      <c r="Z199" s="171"/>
      <c r="AA199" s="171"/>
      <c r="AB199" s="171"/>
      <c r="AC199" s="171"/>
      <c r="AD199" s="171"/>
      <c r="AE199" s="171"/>
      <c r="AF199" s="171"/>
      <c r="AG199" s="171"/>
      <c r="AH199" s="22"/>
      <c r="AI199" s="171"/>
      <c r="AJ199" s="22">
        <f t="shared" si="5"/>
        <v>6</v>
      </c>
      <c r="AK199" s="22">
        <f t="shared" si="6"/>
        <v>6</v>
      </c>
    </row>
    <row r="200" spans="1:37" ht="15.75" customHeight="1">
      <c r="A200" s="167" t="s">
        <v>368</v>
      </c>
      <c r="B200" s="167" t="s">
        <v>2056</v>
      </c>
      <c r="C200" s="22" t="s">
        <v>367</v>
      </c>
      <c r="D200" s="168">
        <v>1</v>
      </c>
      <c r="E200" s="169" t="b">
        <v>1</v>
      </c>
      <c r="F200" s="170" t="s">
        <v>1857</v>
      </c>
      <c r="G200" s="171">
        <v>1</v>
      </c>
      <c r="H200" s="171">
        <v>1</v>
      </c>
      <c r="I200" s="171">
        <v>1</v>
      </c>
      <c r="J200" s="171">
        <v>1</v>
      </c>
      <c r="K200" s="171">
        <v>1</v>
      </c>
      <c r="L200" s="171">
        <v>1</v>
      </c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  <c r="AA200" s="171"/>
      <c r="AB200" s="171"/>
      <c r="AC200" s="171"/>
      <c r="AD200" s="171"/>
      <c r="AE200" s="171"/>
      <c r="AF200" s="171"/>
      <c r="AG200" s="171"/>
      <c r="AH200" s="22"/>
      <c r="AI200" s="171"/>
      <c r="AJ200" s="22">
        <f t="shared" si="5"/>
        <v>6</v>
      </c>
      <c r="AK200" s="22">
        <f t="shared" si="6"/>
        <v>6</v>
      </c>
    </row>
    <row r="201" spans="1:37" ht="15.75" customHeight="1">
      <c r="A201" s="167" t="s">
        <v>1234</v>
      </c>
      <c r="B201" s="167" t="s">
        <v>2055</v>
      </c>
      <c r="C201" s="22" t="s">
        <v>1233</v>
      </c>
      <c r="D201" s="168">
        <v>1</v>
      </c>
      <c r="E201" s="169" t="b">
        <v>1</v>
      </c>
      <c r="F201" s="170" t="s">
        <v>1425</v>
      </c>
      <c r="G201" s="171">
        <v>1</v>
      </c>
      <c r="H201" s="171">
        <v>1</v>
      </c>
      <c r="I201" s="171">
        <v>1</v>
      </c>
      <c r="J201" s="171">
        <v>1</v>
      </c>
      <c r="K201" s="171">
        <v>1</v>
      </c>
      <c r="L201" s="171">
        <v>1</v>
      </c>
      <c r="M201" s="171"/>
      <c r="N201" s="171"/>
      <c r="O201" s="171">
        <v>1</v>
      </c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  <c r="AA201" s="171"/>
      <c r="AB201" s="171"/>
      <c r="AC201" s="171"/>
      <c r="AD201" s="171"/>
      <c r="AE201" s="171"/>
      <c r="AF201" s="171"/>
      <c r="AG201" s="171"/>
      <c r="AH201" s="22"/>
      <c r="AI201" s="171"/>
      <c r="AJ201" s="22">
        <f t="shared" si="5"/>
        <v>7</v>
      </c>
      <c r="AK201" s="22">
        <f t="shared" si="6"/>
        <v>7</v>
      </c>
    </row>
    <row r="202" spans="1:37" ht="15.75" customHeight="1">
      <c r="A202" s="167" t="s">
        <v>1236</v>
      </c>
      <c r="B202" s="167" t="s">
        <v>2055</v>
      </c>
      <c r="C202" s="22" t="s">
        <v>1235</v>
      </c>
      <c r="D202" s="168">
        <v>1</v>
      </c>
      <c r="E202" s="169" t="b">
        <v>1</v>
      </c>
      <c r="F202" s="170" t="s">
        <v>1425</v>
      </c>
      <c r="G202" s="171">
        <v>1</v>
      </c>
      <c r="H202" s="171">
        <v>1</v>
      </c>
      <c r="I202" s="171">
        <v>1</v>
      </c>
      <c r="J202" s="171">
        <v>1</v>
      </c>
      <c r="K202" s="171">
        <v>1</v>
      </c>
      <c r="L202" s="171">
        <v>1</v>
      </c>
      <c r="M202" s="171"/>
      <c r="N202" s="171"/>
      <c r="O202" s="171">
        <v>1</v>
      </c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>
        <v>1</v>
      </c>
      <c r="AA202" s="171"/>
      <c r="AB202" s="171"/>
      <c r="AC202" s="171">
        <v>1</v>
      </c>
      <c r="AD202" s="171"/>
      <c r="AE202" s="171">
        <v>1</v>
      </c>
      <c r="AF202" s="171"/>
      <c r="AG202" s="171"/>
      <c r="AH202" s="22"/>
      <c r="AI202" s="171"/>
      <c r="AJ202" s="22">
        <f t="shared" si="5"/>
        <v>10</v>
      </c>
      <c r="AK202" s="22">
        <f t="shared" si="6"/>
        <v>10</v>
      </c>
    </row>
    <row r="203" spans="1:37" ht="15.75" customHeight="1">
      <c r="A203" s="167" t="s">
        <v>1238</v>
      </c>
      <c r="B203" s="167" t="s">
        <v>2055</v>
      </c>
      <c r="C203" s="22" t="s">
        <v>1237</v>
      </c>
      <c r="D203" s="168">
        <v>1</v>
      </c>
      <c r="E203" s="169" t="b">
        <v>1</v>
      </c>
      <c r="F203" s="170" t="s">
        <v>1425</v>
      </c>
      <c r="G203" s="171">
        <v>1</v>
      </c>
      <c r="H203" s="171">
        <v>1</v>
      </c>
      <c r="I203" s="171">
        <v>1</v>
      </c>
      <c r="J203" s="171">
        <v>1</v>
      </c>
      <c r="K203" s="171">
        <v>1</v>
      </c>
      <c r="L203" s="171">
        <v>2</v>
      </c>
      <c r="M203" s="171"/>
      <c r="N203" s="171"/>
      <c r="O203" s="171">
        <v>1</v>
      </c>
      <c r="P203" s="171"/>
      <c r="Q203" s="171"/>
      <c r="R203" s="171"/>
      <c r="S203" s="171"/>
      <c r="T203" s="171"/>
      <c r="U203" s="171"/>
      <c r="V203" s="171"/>
      <c r="W203" s="171"/>
      <c r="X203" s="171"/>
      <c r="Y203" s="171">
        <v>1</v>
      </c>
      <c r="Z203" s="171">
        <v>1</v>
      </c>
      <c r="AA203" s="171"/>
      <c r="AB203" s="171"/>
      <c r="AC203" s="171"/>
      <c r="AD203" s="171"/>
      <c r="AE203" s="171"/>
      <c r="AF203" s="171"/>
      <c r="AG203" s="171"/>
      <c r="AH203" s="22"/>
      <c r="AI203" s="171"/>
      <c r="AJ203" s="22">
        <f t="shared" si="5"/>
        <v>9</v>
      </c>
      <c r="AK203" s="22">
        <f t="shared" si="6"/>
        <v>10</v>
      </c>
    </row>
    <row r="204" spans="1:37" ht="15.75" customHeight="1">
      <c r="A204" s="167" t="s">
        <v>1240</v>
      </c>
      <c r="B204" s="167" t="s">
        <v>2055</v>
      </c>
      <c r="C204" s="22" t="s">
        <v>1239</v>
      </c>
      <c r="D204" s="168">
        <v>1</v>
      </c>
      <c r="E204" s="169" t="b">
        <v>1</v>
      </c>
      <c r="F204" s="170" t="s">
        <v>1425</v>
      </c>
      <c r="G204" s="171">
        <v>1</v>
      </c>
      <c r="H204" s="171">
        <v>1</v>
      </c>
      <c r="I204" s="171">
        <v>1</v>
      </c>
      <c r="J204" s="171">
        <v>1</v>
      </c>
      <c r="K204" s="171">
        <v>1</v>
      </c>
      <c r="L204" s="171">
        <v>1</v>
      </c>
      <c r="M204" s="171"/>
      <c r="N204" s="171"/>
      <c r="O204" s="171">
        <v>1</v>
      </c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>
        <v>1</v>
      </c>
      <c r="AA204" s="171"/>
      <c r="AB204" s="171"/>
      <c r="AC204" s="171"/>
      <c r="AD204" s="171"/>
      <c r="AE204" s="171"/>
      <c r="AF204" s="171"/>
      <c r="AG204" s="171"/>
      <c r="AH204" s="22"/>
      <c r="AI204" s="171"/>
      <c r="AJ204" s="22">
        <f t="shared" si="5"/>
        <v>8</v>
      </c>
      <c r="AK204" s="22">
        <f t="shared" si="6"/>
        <v>8</v>
      </c>
    </row>
    <row r="205" spans="1:37" ht="15.75" customHeight="1">
      <c r="A205" s="167" t="s">
        <v>1242</v>
      </c>
      <c r="B205" s="167" t="s">
        <v>2055</v>
      </c>
      <c r="C205" s="22" t="s">
        <v>1241</v>
      </c>
      <c r="D205" s="168">
        <v>1</v>
      </c>
      <c r="E205" s="169" t="b">
        <v>1</v>
      </c>
      <c r="F205" s="170" t="s">
        <v>1425</v>
      </c>
      <c r="G205" s="171">
        <v>1</v>
      </c>
      <c r="H205" s="171">
        <v>1</v>
      </c>
      <c r="I205" s="171">
        <v>1</v>
      </c>
      <c r="J205" s="171">
        <v>1</v>
      </c>
      <c r="K205" s="171">
        <v>1</v>
      </c>
      <c r="L205" s="171">
        <v>2</v>
      </c>
      <c r="M205" s="171"/>
      <c r="N205" s="171"/>
      <c r="O205" s="171">
        <v>1</v>
      </c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  <c r="AA205" s="171"/>
      <c r="AB205" s="171"/>
      <c r="AC205" s="171"/>
      <c r="AD205" s="171"/>
      <c r="AE205" s="171"/>
      <c r="AF205" s="171"/>
      <c r="AG205" s="171">
        <v>1</v>
      </c>
      <c r="AH205" s="22"/>
      <c r="AI205" s="171" t="s">
        <v>1476</v>
      </c>
      <c r="AJ205" s="22">
        <f t="shared" si="5"/>
        <v>8</v>
      </c>
      <c r="AK205" s="22">
        <f t="shared" si="6"/>
        <v>9</v>
      </c>
    </row>
    <row r="206" spans="1:37" ht="15.75" customHeight="1">
      <c r="A206" s="167" t="s">
        <v>370</v>
      </c>
      <c r="B206" s="167" t="s">
        <v>2056</v>
      </c>
      <c r="C206" s="22" t="s">
        <v>369</v>
      </c>
      <c r="D206" s="168">
        <v>1</v>
      </c>
      <c r="E206" s="169" t="b">
        <v>1</v>
      </c>
      <c r="F206" s="170" t="s">
        <v>1535</v>
      </c>
      <c r="G206" s="171">
        <v>1</v>
      </c>
      <c r="H206" s="171">
        <v>1</v>
      </c>
      <c r="I206" s="171">
        <v>1</v>
      </c>
      <c r="J206" s="171">
        <v>1</v>
      </c>
      <c r="K206" s="171">
        <v>1</v>
      </c>
      <c r="L206" s="171">
        <v>1</v>
      </c>
      <c r="M206" s="171">
        <v>1</v>
      </c>
      <c r="N206" s="171"/>
      <c r="O206" s="171"/>
      <c r="P206" s="171"/>
      <c r="Q206" s="171"/>
      <c r="R206" s="171"/>
      <c r="S206" s="171"/>
      <c r="T206" s="171"/>
      <c r="U206" s="171"/>
      <c r="V206" s="171"/>
      <c r="W206" s="171">
        <v>1</v>
      </c>
      <c r="X206" s="171"/>
      <c r="Y206" s="171"/>
      <c r="Z206" s="171"/>
      <c r="AA206" s="171"/>
      <c r="AB206" s="171"/>
      <c r="AC206" s="171"/>
      <c r="AD206" s="171"/>
      <c r="AE206" s="171"/>
      <c r="AF206" s="171"/>
      <c r="AG206" s="171"/>
      <c r="AH206" s="22"/>
      <c r="AI206" s="171"/>
      <c r="AJ206" s="22">
        <f t="shared" si="5"/>
        <v>8</v>
      </c>
      <c r="AK206" s="22">
        <f t="shared" si="6"/>
        <v>8</v>
      </c>
    </row>
    <row r="207" spans="1:37" ht="15.75" customHeight="1">
      <c r="A207" s="167" t="s">
        <v>372</v>
      </c>
      <c r="B207" s="167" t="s">
        <v>2056</v>
      </c>
      <c r="C207" s="22" t="s">
        <v>371</v>
      </c>
      <c r="D207" s="168">
        <v>1</v>
      </c>
      <c r="E207" s="169" t="b">
        <v>1</v>
      </c>
      <c r="F207" s="170" t="s">
        <v>1858</v>
      </c>
      <c r="G207" s="171">
        <v>1</v>
      </c>
      <c r="H207" s="171">
        <v>1</v>
      </c>
      <c r="I207" s="171">
        <v>1</v>
      </c>
      <c r="J207" s="171">
        <v>1</v>
      </c>
      <c r="K207" s="171">
        <v>1</v>
      </c>
      <c r="L207" s="171">
        <v>1</v>
      </c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  <c r="AA207" s="171"/>
      <c r="AB207" s="171"/>
      <c r="AC207" s="171"/>
      <c r="AD207" s="171"/>
      <c r="AE207" s="171"/>
      <c r="AF207" s="171"/>
      <c r="AG207" s="171"/>
      <c r="AH207" s="22"/>
      <c r="AI207" s="171"/>
      <c r="AJ207" s="22">
        <f t="shared" si="5"/>
        <v>6</v>
      </c>
      <c r="AK207" s="22">
        <f t="shared" si="6"/>
        <v>6</v>
      </c>
    </row>
    <row r="208" spans="1:37" ht="15.75" customHeight="1">
      <c r="A208" s="167" t="s">
        <v>374</v>
      </c>
      <c r="B208" s="167" t="s">
        <v>2056</v>
      </c>
      <c r="C208" s="22" t="s">
        <v>373</v>
      </c>
      <c r="D208" s="168">
        <v>1</v>
      </c>
      <c r="E208" s="169" t="b">
        <v>1</v>
      </c>
      <c r="F208" s="170" t="s">
        <v>1442</v>
      </c>
      <c r="G208" s="171">
        <v>1</v>
      </c>
      <c r="H208" s="171">
        <v>1</v>
      </c>
      <c r="I208" s="171">
        <v>1</v>
      </c>
      <c r="J208" s="171">
        <v>1</v>
      </c>
      <c r="K208" s="171">
        <v>1</v>
      </c>
      <c r="L208" s="171">
        <v>3</v>
      </c>
      <c r="M208" s="171">
        <v>1</v>
      </c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  <c r="AA208" s="171"/>
      <c r="AB208" s="171"/>
      <c r="AC208" s="171"/>
      <c r="AD208" s="171"/>
      <c r="AE208" s="171"/>
      <c r="AF208" s="171"/>
      <c r="AG208" s="171"/>
      <c r="AH208" s="22"/>
      <c r="AI208" s="171"/>
      <c r="AJ208" s="22">
        <f t="shared" si="5"/>
        <v>7</v>
      </c>
      <c r="AK208" s="22">
        <f t="shared" si="6"/>
        <v>9</v>
      </c>
    </row>
    <row r="209" spans="1:37" ht="15.75" customHeight="1">
      <c r="A209" s="167" t="s">
        <v>376</v>
      </c>
      <c r="B209" s="167" t="s">
        <v>2056</v>
      </c>
      <c r="C209" s="22" t="s">
        <v>375</v>
      </c>
      <c r="D209" s="168">
        <v>1</v>
      </c>
      <c r="E209" s="169" t="b">
        <v>1</v>
      </c>
      <c r="F209" s="174" t="s">
        <v>1443</v>
      </c>
      <c r="G209" s="171">
        <v>1</v>
      </c>
      <c r="H209" s="171">
        <v>1</v>
      </c>
      <c r="I209" s="171">
        <v>1</v>
      </c>
      <c r="J209" s="171">
        <v>1</v>
      </c>
      <c r="K209" s="171">
        <v>1</v>
      </c>
      <c r="L209" s="171">
        <v>2</v>
      </c>
      <c r="M209" s="171"/>
      <c r="N209" s="171">
        <v>1</v>
      </c>
      <c r="O209" s="171"/>
      <c r="P209" s="171"/>
      <c r="Q209" s="171"/>
      <c r="R209" s="171"/>
      <c r="S209" s="171"/>
      <c r="T209" s="171"/>
      <c r="U209" s="171"/>
      <c r="V209" s="171"/>
      <c r="W209" s="171"/>
      <c r="X209" s="171">
        <v>1</v>
      </c>
      <c r="Y209" s="171"/>
      <c r="Z209" s="171"/>
      <c r="AA209" s="171"/>
      <c r="AB209" s="171"/>
      <c r="AC209" s="171"/>
      <c r="AD209" s="171"/>
      <c r="AE209" s="171"/>
      <c r="AF209" s="171"/>
      <c r="AG209" s="171"/>
      <c r="AH209" s="22"/>
      <c r="AI209" s="171"/>
      <c r="AJ209" s="22">
        <f t="shared" si="5"/>
        <v>8</v>
      </c>
      <c r="AK209" s="22">
        <f t="shared" si="6"/>
        <v>9</v>
      </c>
    </row>
    <row r="210" spans="1:37" ht="15.75" customHeight="1">
      <c r="A210" s="167" t="s">
        <v>378</v>
      </c>
      <c r="B210" s="167" t="s">
        <v>2056</v>
      </c>
      <c r="C210" s="22" t="s">
        <v>377</v>
      </c>
      <c r="D210" s="168">
        <v>1</v>
      </c>
      <c r="E210" s="169" t="b">
        <v>1</v>
      </c>
      <c r="F210" s="170" t="s">
        <v>1667</v>
      </c>
      <c r="G210" s="171">
        <v>1</v>
      </c>
      <c r="H210" s="171">
        <v>1</v>
      </c>
      <c r="I210" s="171">
        <v>1</v>
      </c>
      <c r="J210" s="171">
        <v>1</v>
      </c>
      <c r="K210" s="171">
        <v>1</v>
      </c>
      <c r="L210" s="171">
        <v>1</v>
      </c>
      <c r="M210" s="171">
        <v>1</v>
      </c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  <c r="AA210" s="171"/>
      <c r="AB210" s="171"/>
      <c r="AC210" s="171"/>
      <c r="AD210" s="171"/>
      <c r="AE210" s="171"/>
      <c r="AF210" s="171"/>
      <c r="AG210" s="171"/>
      <c r="AH210" s="22"/>
      <c r="AI210" s="171"/>
      <c r="AJ210" s="22">
        <f t="shared" si="5"/>
        <v>7</v>
      </c>
      <c r="AK210" s="22">
        <f t="shared" si="6"/>
        <v>7</v>
      </c>
    </row>
    <row r="211" spans="1:37" ht="15.75" customHeight="1">
      <c r="A211" s="167" t="s">
        <v>380</v>
      </c>
      <c r="B211" s="167" t="s">
        <v>2056</v>
      </c>
      <c r="C211" s="22" t="s">
        <v>379</v>
      </c>
      <c r="D211" s="168">
        <v>1</v>
      </c>
      <c r="E211" s="169" t="b">
        <v>1</v>
      </c>
      <c r="F211" s="170" t="s">
        <v>1859</v>
      </c>
      <c r="G211" s="171">
        <v>1</v>
      </c>
      <c r="H211" s="171">
        <v>1</v>
      </c>
      <c r="I211" s="171">
        <v>1</v>
      </c>
      <c r="J211" s="171">
        <v>1</v>
      </c>
      <c r="K211" s="171"/>
      <c r="L211" s="171">
        <v>1</v>
      </c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  <c r="AA211" s="171"/>
      <c r="AB211" s="171"/>
      <c r="AC211" s="171"/>
      <c r="AD211" s="171"/>
      <c r="AE211" s="171"/>
      <c r="AF211" s="171"/>
      <c r="AG211" s="171">
        <v>1</v>
      </c>
      <c r="AH211" s="22"/>
      <c r="AI211" s="171" t="s">
        <v>1556</v>
      </c>
      <c r="AJ211" s="22">
        <f t="shared" si="5"/>
        <v>6</v>
      </c>
      <c r="AK211" s="22">
        <f t="shared" si="6"/>
        <v>6</v>
      </c>
    </row>
    <row r="212" spans="1:37" ht="15.75" customHeight="1">
      <c r="A212" s="167" t="s">
        <v>382</v>
      </c>
      <c r="B212" s="167" t="s">
        <v>2056</v>
      </c>
      <c r="C212" s="22" t="s">
        <v>381</v>
      </c>
      <c r="D212" s="168">
        <v>1</v>
      </c>
      <c r="E212" s="169" t="b">
        <v>1</v>
      </c>
      <c r="F212" s="170" t="s">
        <v>1668</v>
      </c>
      <c r="G212" s="171">
        <v>1</v>
      </c>
      <c r="H212" s="171">
        <v>1</v>
      </c>
      <c r="I212" s="171">
        <v>1</v>
      </c>
      <c r="J212" s="171">
        <v>1</v>
      </c>
      <c r="K212" s="171">
        <v>1</v>
      </c>
      <c r="L212" s="171"/>
      <c r="M212" s="171"/>
      <c r="N212" s="171">
        <v>1</v>
      </c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  <c r="AA212" s="171"/>
      <c r="AB212" s="171"/>
      <c r="AC212" s="171"/>
      <c r="AD212" s="171"/>
      <c r="AE212" s="171"/>
      <c r="AF212" s="171"/>
      <c r="AG212" s="171">
        <v>1</v>
      </c>
      <c r="AH212" s="22"/>
      <c r="AI212" s="171" t="s">
        <v>1486</v>
      </c>
      <c r="AJ212" s="22">
        <f t="shared" si="5"/>
        <v>7</v>
      </c>
      <c r="AK212" s="22">
        <f t="shared" si="6"/>
        <v>7</v>
      </c>
    </row>
    <row r="213" spans="1:37" ht="15.75" customHeight="1">
      <c r="A213" s="167" t="s">
        <v>384</v>
      </c>
      <c r="B213" s="167" t="s">
        <v>2056</v>
      </c>
      <c r="C213" s="22" t="s">
        <v>383</v>
      </c>
      <c r="D213" s="168">
        <v>1</v>
      </c>
      <c r="E213" s="169" t="b">
        <v>1</v>
      </c>
      <c r="F213" s="170" t="s">
        <v>1860</v>
      </c>
      <c r="G213" s="171">
        <v>1</v>
      </c>
      <c r="H213" s="171">
        <v>1</v>
      </c>
      <c r="I213" s="171">
        <v>1</v>
      </c>
      <c r="J213" s="171">
        <v>1</v>
      </c>
      <c r="K213" s="171">
        <v>1</v>
      </c>
      <c r="L213" s="171">
        <v>1</v>
      </c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  <c r="AA213" s="171"/>
      <c r="AB213" s="171"/>
      <c r="AC213" s="171"/>
      <c r="AD213" s="171"/>
      <c r="AE213" s="171"/>
      <c r="AF213" s="171"/>
      <c r="AG213" s="171"/>
      <c r="AH213" s="22"/>
      <c r="AI213" s="171"/>
      <c r="AJ213" s="22">
        <f t="shared" si="5"/>
        <v>6</v>
      </c>
      <c r="AK213" s="22">
        <f t="shared" si="6"/>
        <v>6</v>
      </c>
    </row>
    <row r="214" spans="1:37" ht="15.75" customHeight="1">
      <c r="A214" s="167" t="s">
        <v>386</v>
      </c>
      <c r="B214" s="167" t="s">
        <v>2056</v>
      </c>
      <c r="C214" s="22" t="s">
        <v>385</v>
      </c>
      <c r="D214" s="168">
        <v>1</v>
      </c>
      <c r="E214" s="169" t="b">
        <v>1</v>
      </c>
      <c r="F214" s="170" t="s">
        <v>1669</v>
      </c>
      <c r="G214" s="171">
        <v>1</v>
      </c>
      <c r="H214" s="171">
        <v>1</v>
      </c>
      <c r="I214" s="171">
        <v>1</v>
      </c>
      <c r="J214" s="171">
        <v>1</v>
      </c>
      <c r="K214" s="171">
        <v>1</v>
      </c>
      <c r="L214" s="171">
        <v>1</v>
      </c>
      <c r="M214" s="171">
        <v>1</v>
      </c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  <c r="AA214" s="171"/>
      <c r="AB214" s="171"/>
      <c r="AC214" s="171"/>
      <c r="AD214" s="171"/>
      <c r="AE214" s="171"/>
      <c r="AF214" s="171"/>
      <c r="AG214" s="171"/>
      <c r="AH214" s="22"/>
      <c r="AI214" s="171"/>
      <c r="AJ214" s="22">
        <f t="shared" si="5"/>
        <v>7</v>
      </c>
      <c r="AK214" s="22">
        <f t="shared" si="6"/>
        <v>7</v>
      </c>
    </row>
    <row r="215" spans="1:37" ht="15.75" customHeight="1">
      <c r="A215" s="167" t="s">
        <v>388</v>
      </c>
      <c r="B215" s="167" t="s">
        <v>2056</v>
      </c>
      <c r="C215" s="22" t="s">
        <v>387</v>
      </c>
      <c r="D215" s="168">
        <v>1</v>
      </c>
      <c r="E215" s="169" t="b">
        <v>1</v>
      </c>
      <c r="F215" s="170" t="s">
        <v>1861</v>
      </c>
      <c r="G215" s="171">
        <v>1</v>
      </c>
      <c r="H215" s="171">
        <v>1</v>
      </c>
      <c r="I215" s="171">
        <v>1</v>
      </c>
      <c r="J215" s="171">
        <v>1</v>
      </c>
      <c r="K215" s="171">
        <v>1</v>
      </c>
      <c r="L215" s="171"/>
      <c r="M215" s="171"/>
      <c r="N215" s="171">
        <v>1</v>
      </c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  <c r="AA215" s="171"/>
      <c r="AB215" s="171"/>
      <c r="AC215" s="171"/>
      <c r="AD215" s="171"/>
      <c r="AE215" s="171"/>
      <c r="AF215" s="171"/>
      <c r="AG215" s="171"/>
      <c r="AH215" s="22"/>
      <c r="AI215" s="171"/>
      <c r="AJ215" s="22">
        <f t="shared" si="5"/>
        <v>6</v>
      </c>
      <c r="AK215" s="22">
        <f t="shared" si="6"/>
        <v>6</v>
      </c>
    </row>
    <row r="216" spans="1:37" ht="15.75" customHeight="1">
      <c r="A216" s="167" t="s">
        <v>390</v>
      </c>
      <c r="B216" s="167" t="s">
        <v>2056</v>
      </c>
      <c r="C216" s="22" t="s">
        <v>389</v>
      </c>
      <c r="D216" s="168">
        <v>1</v>
      </c>
      <c r="E216" s="169" t="b">
        <v>1</v>
      </c>
      <c r="F216" s="170" t="s">
        <v>1670</v>
      </c>
      <c r="G216" s="171">
        <v>1</v>
      </c>
      <c r="H216" s="171">
        <v>1</v>
      </c>
      <c r="I216" s="171">
        <v>1</v>
      </c>
      <c r="J216" s="171">
        <v>1</v>
      </c>
      <c r="K216" s="171">
        <v>1</v>
      </c>
      <c r="L216" s="171">
        <v>2</v>
      </c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  <c r="AA216" s="171"/>
      <c r="AB216" s="171"/>
      <c r="AC216" s="171"/>
      <c r="AD216" s="171"/>
      <c r="AE216" s="171"/>
      <c r="AF216" s="171"/>
      <c r="AG216" s="171"/>
      <c r="AH216" s="22"/>
      <c r="AI216" s="171"/>
      <c r="AJ216" s="22">
        <f t="shared" si="5"/>
        <v>6</v>
      </c>
      <c r="AK216" s="22">
        <f t="shared" si="6"/>
        <v>7</v>
      </c>
    </row>
    <row r="217" spans="1:37" ht="15.75" customHeight="1">
      <c r="A217" s="167" t="s">
        <v>392</v>
      </c>
      <c r="B217" s="167" t="s">
        <v>2056</v>
      </c>
      <c r="C217" s="22" t="s">
        <v>391</v>
      </c>
      <c r="D217" s="168">
        <v>1</v>
      </c>
      <c r="E217" s="169" t="b">
        <v>1</v>
      </c>
      <c r="F217" s="170" t="s">
        <v>1536</v>
      </c>
      <c r="G217" s="171">
        <v>1</v>
      </c>
      <c r="H217" s="171">
        <v>1</v>
      </c>
      <c r="I217" s="171">
        <v>1</v>
      </c>
      <c r="J217" s="171">
        <v>1</v>
      </c>
      <c r="K217" s="171">
        <v>1</v>
      </c>
      <c r="L217" s="171">
        <v>2</v>
      </c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  <c r="AA217" s="171"/>
      <c r="AB217" s="171"/>
      <c r="AC217" s="171"/>
      <c r="AD217" s="171">
        <v>1</v>
      </c>
      <c r="AE217" s="171"/>
      <c r="AF217" s="171"/>
      <c r="AG217" s="171"/>
      <c r="AH217" s="22"/>
      <c r="AI217" s="171"/>
      <c r="AJ217" s="22">
        <f t="shared" si="5"/>
        <v>7</v>
      </c>
      <c r="AK217" s="22">
        <f t="shared" si="6"/>
        <v>8</v>
      </c>
    </row>
    <row r="218" spans="1:37" ht="15.75" customHeight="1">
      <c r="A218" s="167" t="s">
        <v>1244</v>
      </c>
      <c r="B218" s="167" t="s">
        <v>2055</v>
      </c>
      <c r="C218" s="22" t="s">
        <v>1243</v>
      </c>
      <c r="D218" s="168">
        <v>1</v>
      </c>
      <c r="E218" s="169" t="b">
        <v>1</v>
      </c>
      <c r="F218" s="170" t="s">
        <v>1606</v>
      </c>
      <c r="G218" s="171">
        <v>1</v>
      </c>
      <c r="H218" s="171">
        <v>1</v>
      </c>
      <c r="I218" s="171">
        <v>1</v>
      </c>
      <c r="J218" s="171">
        <v>1</v>
      </c>
      <c r="K218" s="171">
        <v>1</v>
      </c>
      <c r="L218" s="171">
        <v>1</v>
      </c>
      <c r="M218" s="171"/>
      <c r="N218" s="171"/>
      <c r="O218" s="171">
        <v>1</v>
      </c>
      <c r="P218" s="171"/>
      <c r="Q218" s="171"/>
      <c r="R218" s="171"/>
      <c r="S218" s="171"/>
      <c r="T218" s="171"/>
      <c r="U218" s="171"/>
      <c r="V218" s="171"/>
      <c r="W218" s="171"/>
      <c r="X218" s="171"/>
      <c r="Y218" s="171">
        <v>1</v>
      </c>
      <c r="Z218" s="171"/>
      <c r="AA218" s="171"/>
      <c r="AB218" s="171"/>
      <c r="AC218" s="171"/>
      <c r="AD218" s="171"/>
      <c r="AE218" s="171"/>
      <c r="AF218" s="171"/>
      <c r="AG218" s="171"/>
      <c r="AH218" s="22"/>
      <c r="AI218" s="171"/>
      <c r="AJ218" s="22">
        <f t="shared" si="5"/>
        <v>8</v>
      </c>
      <c r="AK218" s="22">
        <f t="shared" si="6"/>
        <v>8</v>
      </c>
    </row>
    <row r="219" spans="1:37" ht="15.75" customHeight="1">
      <c r="A219" s="167" t="s">
        <v>394</v>
      </c>
      <c r="B219" s="167" t="s">
        <v>2056</v>
      </c>
      <c r="C219" s="22" t="s">
        <v>393</v>
      </c>
      <c r="D219" s="168">
        <v>1</v>
      </c>
      <c r="E219" s="169" t="b">
        <v>1</v>
      </c>
      <c r="F219" s="170" t="s">
        <v>1627</v>
      </c>
      <c r="G219" s="171">
        <v>1</v>
      </c>
      <c r="H219" s="171">
        <v>1</v>
      </c>
      <c r="I219" s="171">
        <v>1</v>
      </c>
      <c r="J219" s="171">
        <v>1</v>
      </c>
      <c r="K219" s="171">
        <v>1</v>
      </c>
      <c r="L219" s="171"/>
      <c r="M219" s="171"/>
      <c r="N219" s="171"/>
      <c r="O219" s="171"/>
      <c r="P219" s="171"/>
      <c r="Q219" s="171"/>
      <c r="R219" s="171"/>
      <c r="S219" s="171"/>
      <c r="T219" s="171">
        <v>1</v>
      </c>
      <c r="U219" s="171">
        <v>1</v>
      </c>
      <c r="V219" s="171"/>
      <c r="W219" s="171"/>
      <c r="X219" s="171"/>
      <c r="Y219" s="171"/>
      <c r="Z219" s="171"/>
      <c r="AA219" s="171"/>
      <c r="AB219" s="171"/>
      <c r="AC219" s="171"/>
      <c r="AD219" s="171"/>
      <c r="AE219" s="171"/>
      <c r="AF219" s="171"/>
      <c r="AG219" s="171"/>
      <c r="AH219" s="22"/>
      <c r="AI219" s="171" t="s">
        <v>1429</v>
      </c>
      <c r="AJ219" s="22">
        <f t="shared" si="5"/>
        <v>7</v>
      </c>
      <c r="AK219" s="22">
        <f t="shared" si="6"/>
        <v>7</v>
      </c>
    </row>
    <row r="220" spans="1:37" ht="15.75" customHeight="1">
      <c r="A220" s="167" t="s">
        <v>396</v>
      </c>
      <c r="B220" s="167" t="s">
        <v>2056</v>
      </c>
      <c r="C220" s="22" t="s">
        <v>395</v>
      </c>
      <c r="D220" s="168">
        <v>1</v>
      </c>
      <c r="E220" s="169" t="b">
        <v>1</v>
      </c>
      <c r="F220" s="170" t="s">
        <v>1800</v>
      </c>
      <c r="G220" s="171">
        <v>1</v>
      </c>
      <c r="H220" s="171">
        <v>1</v>
      </c>
      <c r="I220" s="171">
        <v>1</v>
      </c>
      <c r="J220" s="171">
        <v>1</v>
      </c>
      <c r="K220" s="171">
        <v>1</v>
      </c>
      <c r="L220" s="171"/>
      <c r="M220" s="171"/>
      <c r="N220" s="171"/>
      <c r="O220" s="171"/>
      <c r="P220" s="171"/>
      <c r="Q220" s="171"/>
      <c r="R220" s="171"/>
      <c r="S220" s="171"/>
      <c r="T220" s="171">
        <v>1</v>
      </c>
      <c r="U220" s="171"/>
      <c r="V220" s="171"/>
      <c r="W220" s="171"/>
      <c r="X220" s="171"/>
      <c r="Y220" s="171"/>
      <c r="Z220" s="171"/>
      <c r="AA220" s="171"/>
      <c r="AB220" s="171"/>
      <c r="AC220" s="171"/>
      <c r="AD220" s="171"/>
      <c r="AE220" s="171"/>
      <c r="AF220" s="171"/>
      <c r="AG220" s="171"/>
      <c r="AH220" s="22"/>
      <c r="AI220" s="171" t="s">
        <v>1429</v>
      </c>
      <c r="AJ220" s="22">
        <f t="shared" si="5"/>
        <v>6</v>
      </c>
      <c r="AK220" s="22">
        <f t="shared" si="6"/>
        <v>6</v>
      </c>
    </row>
    <row r="221" spans="1:37" ht="15.75" customHeight="1">
      <c r="A221" s="167" t="s">
        <v>398</v>
      </c>
      <c r="B221" s="167" t="s">
        <v>2056</v>
      </c>
      <c r="C221" s="22" t="s">
        <v>397</v>
      </c>
      <c r="D221" s="168">
        <v>1</v>
      </c>
      <c r="E221" s="169" t="b">
        <v>1</v>
      </c>
      <c r="F221" s="170" t="s">
        <v>1862</v>
      </c>
      <c r="G221" s="171">
        <v>1</v>
      </c>
      <c r="H221" s="171">
        <v>1</v>
      </c>
      <c r="I221" s="171">
        <v>1</v>
      </c>
      <c r="J221" s="171">
        <v>1</v>
      </c>
      <c r="K221" s="171">
        <v>1</v>
      </c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  <c r="AA221" s="171"/>
      <c r="AB221" s="171"/>
      <c r="AC221" s="171"/>
      <c r="AD221" s="171"/>
      <c r="AE221" s="171"/>
      <c r="AF221" s="171"/>
      <c r="AG221" s="171">
        <v>1</v>
      </c>
      <c r="AH221" s="22"/>
      <c r="AI221" s="171" t="s">
        <v>1635</v>
      </c>
      <c r="AJ221" s="22">
        <f t="shared" si="5"/>
        <v>6</v>
      </c>
      <c r="AK221" s="22">
        <f t="shared" si="6"/>
        <v>6</v>
      </c>
    </row>
    <row r="222" spans="1:37" ht="15.75" customHeight="1">
      <c r="A222" s="167" t="s">
        <v>400</v>
      </c>
      <c r="B222" s="167" t="s">
        <v>2056</v>
      </c>
      <c r="C222" s="22" t="s">
        <v>399</v>
      </c>
      <c r="D222" s="168">
        <v>1</v>
      </c>
      <c r="E222" s="169" t="b">
        <v>1</v>
      </c>
      <c r="F222" s="170" t="s">
        <v>1406</v>
      </c>
      <c r="G222" s="171">
        <v>1</v>
      </c>
      <c r="H222" s="171">
        <v>1</v>
      </c>
      <c r="I222" s="171">
        <v>1</v>
      </c>
      <c r="J222" s="171">
        <v>1</v>
      </c>
      <c r="K222" s="171">
        <v>1</v>
      </c>
      <c r="L222" s="171">
        <v>4</v>
      </c>
      <c r="M222" s="171">
        <v>1</v>
      </c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  <c r="AA222" s="171"/>
      <c r="AB222" s="171"/>
      <c r="AC222" s="171"/>
      <c r="AD222" s="171"/>
      <c r="AE222" s="171"/>
      <c r="AF222" s="171"/>
      <c r="AG222" s="171"/>
      <c r="AH222" s="22"/>
      <c r="AI222" s="171"/>
      <c r="AJ222" s="22">
        <f t="shared" si="5"/>
        <v>7</v>
      </c>
      <c r="AK222" s="22">
        <f t="shared" si="6"/>
        <v>10</v>
      </c>
    </row>
    <row r="223" spans="1:37" ht="15.75" customHeight="1">
      <c r="A223" s="167" t="s">
        <v>402</v>
      </c>
      <c r="B223" s="167" t="s">
        <v>2056</v>
      </c>
      <c r="C223" s="22" t="s">
        <v>401</v>
      </c>
      <c r="D223" s="168">
        <v>1</v>
      </c>
      <c r="E223" s="169" t="b">
        <v>1</v>
      </c>
      <c r="F223" s="170" t="s">
        <v>1992</v>
      </c>
      <c r="G223" s="171">
        <v>1</v>
      </c>
      <c r="H223" s="171">
        <v>1</v>
      </c>
      <c r="I223" s="171">
        <v>1</v>
      </c>
      <c r="J223" s="171">
        <v>1</v>
      </c>
      <c r="K223" s="171">
        <v>1</v>
      </c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  <c r="AA223" s="171"/>
      <c r="AB223" s="171"/>
      <c r="AC223" s="171"/>
      <c r="AD223" s="171"/>
      <c r="AE223" s="171"/>
      <c r="AF223" s="171"/>
      <c r="AG223" s="171"/>
      <c r="AH223" s="22"/>
      <c r="AI223" s="171"/>
      <c r="AJ223" s="22">
        <f t="shared" si="5"/>
        <v>5</v>
      </c>
      <c r="AK223" s="22">
        <f t="shared" si="6"/>
        <v>5</v>
      </c>
    </row>
    <row r="224" spans="1:37" ht="15.75" customHeight="1">
      <c r="A224" s="167" t="s">
        <v>404</v>
      </c>
      <c r="B224" s="167" t="s">
        <v>2056</v>
      </c>
      <c r="C224" s="22" t="s">
        <v>403</v>
      </c>
      <c r="D224" s="168">
        <v>1</v>
      </c>
      <c r="E224" s="169" t="b">
        <v>1</v>
      </c>
      <c r="F224" s="174" t="s">
        <v>1537</v>
      </c>
      <c r="G224" s="171">
        <v>1</v>
      </c>
      <c r="H224" s="171">
        <v>1</v>
      </c>
      <c r="I224" s="171">
        <v>1</v>
      </c>
      <c r="J224" s="171">
        <v>1</v>
      </c>
      <c r="K224" s="171">
        <v>1</v>
      </c>
      <c r="L224" s="171">
        <v>1</v>
      </c>
      <c r="M224" s="171"/>
      <c r="N224" s="171"/>
      <c r="O224" s="171"/>
      <c r="P224" s="171"/>
      <c r="Q224" s="171"/>
      <c r="R224" s="171"/>
      <c r="S224" s="171"/>
      <c r="T224" s="171"/>
      <c r="U224" s="171">
        <v>1</v>
      </c>
      <c r="V224" s="171"/>
      <c r="W224" s="171"/>
      <c r="X224" s="171"/>
      <c r="Y224" s="171"/>
      <c r="Z224" s="171"/>
      <c r="AA224" s="171">
        <v>1</v>
      </c>
      <c r="AB224" s="171"/>
      <c r="AC224" s="171"/>
      <c r="AD224" s="171"/>
      <c r="AE224" s="171"/>
      <c r="AF224" s="171"/>
      <c r="AG224" s="171"/>
      <c r="AH224" s="22"/>
      <c r="AI224" s="171"/>
      <c r="AJ224" s="22">
        <f t="shared" si="5"/>
        <v>8</v>
      </c>
      <c r="AK224" s="22">
        <f t="shared" si="6"/>
        <v>8</v>
      </c>
    </row>
    <row r="225" spans="1:37" ht="15.75" customHeight="1">
      <c r="A225" s="167" t="s">
        <v>406</v>
      </c>
      <c r="B225" s="167" t="s">
        <v>2056</v>
      </c>
      <c r="C225" s="22" t="s">
        <v>405</v>
      </c>
      <c r="D225" s="168">
        <v>1</v>
      </c>
      <c r="E225" s="169" t="b">
        <v>1</v>
      </c>
      <c r="F225" s="170" t="s">
        <v>1538</v>
      </c>
      <c r="G225" s="171">
        <v>1</v>
      </c>
      <c r="H225" s="171">
        <v>1</v>
      </c>
      <c r="I225" s="171">
        <v>1</v>
      </c>
      <c r="J225" s="171">
        <v>1</v>
      </c>
      <c r="K225" s="171">
        <v>1</v>
      </c>
      <c r="L225" s="171"/>
      <c r="M225" s="171"/>
      <c r="N225" s="171"/>
      <c r="O225" s="171"/>
      <c r="P225" s="171"/>
      <c r="Q225" s="171">
        <v>1</v>
      </c>
      <c r="R225" s="171"/>
      <c r="S225" s="171"/>
      <c r="T225" s="171"/>
      <c r="U225" s="171"/>
      <c r="V225" s="171"/>
      <c r="W225" s="171"/>
      <c r="X225" s="171"/>
      <c r="Y225" s="171"/>
      <c r="Z225" s="171"/>
      <c r="AA225" s="171"/>
      <c r="AB225" s="171"/>
      <c r="AC225" s="171"/>
      <c r="AD225" s="171"/>
      <c r="AE225" s="171"/>
      <c r="AF225" s="171"/>
      <c r="AG225" s="171">
        <v>2</v>
      </c>
      <c r="AH225" s="22"/>
      <c r="AI225" s="171" t="s">
        <v>1539</v>
      </c>
      <c r="AJ225" s="22">
        <f t="shared" si="5"/>
        <v>7</v>
      </c>
      <c r="AK225" s="22">
        <f t="shared" si="6"/>
        <v>8</v>
      </c>
    </row>
    <row r="226" spans="1:37" ht="15.75" customHeight="1">
      <c r="A226" s="167" t="s">
        <v>408</v>
      </c>
      <c r="B226" s="167" t="s">
        <v>2056</v>
      </c>
      <c r="C226" s="22" t="s">
        <v>407</v>
      </c>
      <c r="D226" s="168">
        <v>1</v>
      </c>
      <c r="E226" s="169" t="b">
        <v>1</v>
      </c>
      <c r="F226" s="170" t="s">
        <v>1863</v>
      </c>
      <c r="G226" s="171">
        <v>1</v>
      </c>
      <c r="H226" s="171">
        <v>1</v>
      </c>
      <c r="I226" s="171">
        <v>1</v>
      </c>
      <c r="J226" s="171">
        <v>1</v>
      </c>
      <c r="K226" s="171">
        <v>1</v>
      </c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  <c r="AA226" s="171"/>
      <c r="AB226" s="171"/>
      <c r="AC226" s="171"/>
      <c r="AD226" s="171"/>
      <c r="AE226" s="171">
        <v>1</v>
      </c>
      <c r="AF226" s="171"/>
      <c r="AG226" s="171"/>
      <c r="AH226" s="22"/>
      <c r="AI226" s="171"/>
      <c r="AJ226" s="22">
        <f t="shared" si="5"/>
        <v>6</v>
      </c>
      <c r="AK226" s="22">
        <f t="shared" si="6"/>
        <v>6</v>
      </c>
    </row>
    <row r="227" spans="1:37" ht="15.75" customHeight="1">
      <c r="A227" s="167" t="s">
        <v>410</v>
      </c>
      <c r="B227" s="167" t="s">
        <v>2056</v>
      </c>
      <c r="C227" s="22" t="s">
        <v>409</v>
      </c>
      <c r="D227" s="168">
        <v>1</v>
      </c>
      <c r="E227" s="169" t="b">
        <v>1</v>
      </c>
      <c r="F227" s="170" t="s">
        <v>1671</v>
      </c>
      <c r="G227" s="171">
        <v>1</v>
      </c>
      <c r="H227" s="171">
        <v>1</v>
      </c>
      <c r="I227" s="171">
        <v>1</v>
      </c>
      <c r="J227" s="171">
        <v>1</v>
      </c>
      <c r="K227" s="171">
        <v>1</v>
      </c>
      <c r="L227" s="171">
        <v>2</v>
      </c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  <c r="AA227" s="171"/>
      <c r="AB227" s="171"/>
      <c r="AC227" s="171"/>
      <c r="AD227" s="171"/>
      <c r="AE227" s="171"/>
      <c r="AF227" s="171"/>
      <c r="AG227" s="171"/>
      <c r="AH227" s="22"/>
      <c r="AI227" s="171"/>
      <c r="AJ227" s="22">
        <f t="shared" si="5"/>
        <v>6</v>
      </c>
      <c r="AK227" s="22">
        <f t="shared" si="6"/>
        <v>7</v>
      </c>
    </row>
    <row r="228" spans="1:37" ht="15.75" customHeight="1">
      <c r="A228" s="167" t="s">
        <v>412</v>
      </c>
      <c r="B228" s="167" t="s">
        <v>2056</v>
      </c>
      <c r="C228" s="22" t="s">
        <v>411</v>
      </c>
      <c r="D228" s="168">
        <v>1</v>
      </c>
      <c r="E228" s="169" t="b">
        <v>1</v>
      </c>
      <c r="F228" s="170" t="s">
        <v>1672</v>
      </c>
      <c r="G228" s="171">
        <v>1</v>
      </c>
      <c r="H228" s="171">
        <v>1</v>
      </c>
      <c r="I228" s="171">
        <v>1</v>
      </c>
      <c r="J228" s="171">
        <v>1</v>
      </c>
      <c r="K228" s="171">
        <v>1</v>
      </c>
      <c r="L228" s="171">
        <v>1</v>
      </c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  <c r="AA228" s="171"/>
      <c r="AB228" s="171"/>
      <c r="AC228" s="171"/>
      <c r="AD228" s="171"/>
      <c r="AE228" s="171"/>
      <c r="AF228" s="171"/>
      <c r="AG228" s="171">
        <v>1</v>
      </c>
      <c r="AH228" s="22"/>
      <c r="AI228" s="171" t="s">
        <v>1413</v>
      </c>
      <c r="AJ228" s="22">
        <f t="shared" si="5"/>
        <v>7</v>
      </c>
      <c r="AK228" s="22">
        <f t="shared" si="6"/>
        <v>7</v>
      </c>
    </row>
    <row r="229" spans="1:37" ht="15.75" customHeight="1">
      <c r="A229" s="167" t="s">
        <v>414</v>
      </c>
      <c r="B229" s="167" t="s">
        <v>2056</v>
      </c>
      <c r="C229" s="22" t="s">
        <v>413</v>
      </c>
      <c r="D229" s="168">
        <v>1</v>
      </c>
      <c r="E229" s="169" t="b">
        <v>1</v>
      </c>
      <c r="F229" s="170" t="s">
        <v>1864</v>
      </c>
      <c r="G229" s="171">
        <v>1</v>
      </c>
      <c r="H229" s="171">
        <v>1</v>
      </c>
      <c r="I229" s="171">
        <v>1</v>
      </c>
      <c r="J229" s="171">
        <v>1</v>
      </c>
      <c r="K229" s="171">
        <v>1</v>
      </c>
      <c r="L229" s="171"/>
      <c r="M229" s="171"/>
      <c r="N229" s="171">
        <v>1</v>
      </c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  <c r="AA229" s="171"/>
      <c r="AB229" s="171"/>
      <c r="AC229" s="171"/>
      <c r="AD229" s="171"/>
      <c r="AE229" s="171"/>
      <c r="AF229" s="171"/>
      <c r="AG229" s="171"/>
      <c r="AH229" s="22"/>
      <c r="AI229" s="171"/>
      <c r="AJ229" s="22">
        <f t="shared" si="5"/>
        <v>6</v>
      </c>
      <c r="AK229" s="22">
        <f t="shared" si="6"/>
        <v>6</v>
      </c>
    </row>
    <row r="230" spans="1:37" ht="15.75" customHeight="1">
      <c r="A230" s="167" t="s">
        <v>416</v>
      </c>
      <c r="B230" s="167" t="s">
        <v>2056</v>
      </c>
      <c r="C230" s="22" t="s">
        <v>415</v>
      </c>
      <c r="D230" s="168">
        <v>1</v>
      </c>
      <c r="E230" s="169" t="b">
        <v>1</v>
      </c>
      <c r="F230" s="170" t="s">
        <v>1673</v>
      </c>
      <c r="G230" s="171">
        <v>1</v>
      </c>
      <c r="H230" s="171">
        <v>1</v>
      </c>
      <c r="I230" s="171">
        <v>1</v>
      </c>
      <c r="J230" s="171">
        <v>1</v>
      </c>
      <c r="K230" s="171">
        <v>1</v>
      </c>
      <c r="L230" s="171"/>
      <c r="M230" s="171"/>
      <c r="N230" s="171"/>
      <c r="O230" s="171"/>
      <c r="P230" s="171"/>
      <c r="Q230" s="171">
        <v>1</v>
      </c>
      <c r="R230" s="171"/>
      <c r="S230" s="171"/>
      <c r="T230" s="171"/>
      <c r="U230" s="171"/>
      <c r="V230" s="171"/>
      <c r="W230" s="171"/>
      <c r="X230" s="171"/>
      <c r="Y230" s="171"/>
      <c r="Z230" s="171"/>
      <c r="AA230" s="171"/>
      <c r="AB230" s="171"/>
      <c r="AC230" s="171"/>
      <c r="AD230" s="171"/>
      <c r="AE230" s="171"/>
      <c r="AF230" s="171"/>
      <c r="AG230" s="171">
        <v>1</v>
      </c>
      <c r="AH230" s="22"/>
      <c r="AI230" s="171" t="s">
        <v>1674</v>
      </c>
      <c r="AJ230" s="22">
        <f t="shared" si="5"/>
        <v>7</v>
      </c>
      <c r="AK230" s="22">
        <f t="shared" si="6"/>
        <v>7</v>
      </c>
    </row>
    <row r="231" spans="1:37" ht="15.75" customHeight="1">
      <c r="A231" s="167" t="s">
        <v>418</v>
      </c>
      <c r="B231" s="167" t="s">
        <v>2056</v>
      </c>
      <c r="C231" s="22" t="s">
        <v>417</v>
      </c>
      <c r="D231" s="168">
        <v>1</v>
      </c>
      <c r="E231" s="169" t="b">
        <v>1</v>
      </c>
      <c r="F231" s="183" t="s">
        <v>1865</v>
      </c>
      <c r="G231" s="171">
        <v>1</v>
      </c>
      <c r="H231" s="171">
        <v>1</v>
      </c>
      <c r="I231" s="171">
        <v>1</v>
      </c>
      <c r="J231" s="171">
        <v>1</v>
      </c>
      <c r="K231" s="171">
        <v>1</v>
      </c>
      <c r="L231" s="171">
        <v>1</v>
      </c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  <c r="AA231" s="171"/>
      <c r="AB231" s="171"/>
      <c r="AC231" s="171"/>
      <c r="AD231" s="171"/>
      <c r="AE231" s="171"/>
      <c r="AF231" s="171"/>
      <c r="AG231" s="171"/>
      <c r="AH231" s="22"/>
      <c r="AI231" s="171"/>
      <c r="AJ231" s="22">
        <f t="shared" si="5"/>
        <v>6</v>
      </c>
      <c r="AK231" s="22">
        <f t="shared" si="6"/>
        <v>6</v>
      </c>
    </row>
    <row r="232" spans="1:37" ht="15.75" customHeight="1">
      <c r="A232" s="167" t="s">
        <v>420</v>
      </c>
      <c r="B232" s="167" t="s">
        <v>2056</v>
      </c>
      <c r="C232" s="22" t="s">
        <v>419</v>
      </c>
      <c r="D232" s="168">
        <v>1</v>
      </c>
      <c r="E232" s="169" t="b">
        <v>1</v>
      </c>
      <c r="F232" s="170" t="s">
        <v>1540</v>
      </c>
      <c r="G232" s="171">
        <v>1</v>
      </c>
      <c r="H232" s="171">
        <v>1</v>
      </c>
      <c r="I232" s="171">
        <v>1</v>
      </c>
      <c r="J232" s="171">
        <v>1</v>
      </c>
      <c r="K232" s="171">
        <v>1</v>
      </c>
      <c r="L232" s="171">
        <v>1</v>
      </c>
      <c r="M232" s="171"/>
      <c r="N232" s="171">
        <v>1</v>
      </c>
      <c r="O232" s="171"/>
      <c r="P232" s="171"/>
      <c r="Q232" s="171"/>
      <c r="R232" s="171"/>
      <c r="S232" s="171"/>
      <c r="T232" s="171"/>
      <c r="U232" s="171"/>
      <c r="V232" s="171"/>
      <c r="W232" s="171">
        <v>1</v>
      </c>
      <c r="X232" s="171"/>
      <c r="Y232" s="171"/>
      <c r="Z232" s="171"/>
      <c r="AA232" s="171"/>
      <c r="AB232" s="171"/>
      <c r="AC232" s="171"/>
      <c r="AD232" s="171"/>
      <c r="AE232" s="171"/>
      <c r="AF232" s="171"/>
      <c r="AG232" s="171"/>
      <c r="AH232" s="22"/>
      <c r="AI232" s="171"/>
      <c r="AJ232" s="22">
        <f t="shared" si="5"/>
        <v>8</v>
      </c>
      <c r="AK232" s="22">
        <f t="shared" si="6"/>
        <v>8</v>
      </c>
    </row>
    <row r="233" spans="1:37" ht="15.75" customHeight="1">
      <c r="A233" s="167" t="s">
        <v>1246</v>
      </c>
      <c r="B233" s="167" t="s">
        <v>2055</v>
      </c>
      <c r="C233" s="22" t="s">
        <v>1245</v>
      </c>
      <c r="D233" s="168">
        <v>1</v>
      </c>
      <c r="E233" s="169" t="b">
        <v>1</v>
      </c>
      <c r="F233" s="170" t="s">
        <v>1777</v>
      </c>
      <c r="G233" s="171">
        <v>1</v>
      </c>
      <c r="H233" s="171">
        <v>1</v>
      </c>
      <c r="I233" s="171">
        <v>1</v>
      </c>
      <c r="J233" s="171">
        <v>1</v>
      </c>
      <c r="K233" s="171">
        <v>1</v>
      </c>
      <c r="L233" s="171"/>
      <c r="M233" s="171"/>
      <c r="N233" s="171"/>
      <c r="O233" s="171">
        <v>1</v>
      </c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  <c r="AA233" s="171"/>
      <c r="AB233" s="171"/>
      <c r="AC233" s="171"/>
      <c r="AD233" s="171"/>
      <c r="AE233" s="171"/>
      <c r="AF233" s="171"/>
      <c r="AG233" s="171">
        <v>1</v>
      </c>
      <c r="AH233" s="22"/>
      <c r="AI233" s="171" t="s">
        <v>1481</v>
      </c>
      <c r="AJ233" s="22">
        <f t="shared" si="5"/>
        <v>7</v>
      </c>
      <c r="AK233" s="22">
        <f t="shared" si="6"/>
        <v>7</v>
      </c>
    </row>
    <row r="234" spans="1:37" ht="15.75" customHeight="1">
      <c r="A234" s="167" t="s">
        <v>1248</v>
      </c>
      <c r="B234" s="167" t="s">
        <v>2055</v>
      </c>
      <c r="C234" s="22" t="s">
        <v>1247</v>
      </c>
      <c r="D234" s="168">
        <v>1</v>
      </c>
      <c r="E234" s="169" t="b">
        <v>1</v>
      </c>
      <c r="F234" s="170" t="s">
        <v>1778</v>
      </c>
      <c r="G234" s="171">
        <v>1</v>
      </c>
      <c r="H234" s="171">
        <v>1</v>
      </c>
      <c r="I234" s="171">
        <v>1</v>
      </c>
      <c r="J234" s="171">
        <v>1</v>
      </c>
      <c r="K234" s="171">
        <v>1</v>
      </c>
      <c r="L234" s="171"/>
      <c r="M234" s="171"/>
      <c r="N234" s="171"/>
      <c r="O234" s="171">
        <v>1</v>
      </c>
      <c r="P234" s="171"/>
      <c r="Q234" s="171"/>
      <c r="R234" s="171"/>
      <c r="S234" s="171"/>
      <c r="T234" s="171"/>
      <c r="U234" s="171"/>
      <c r="V234" s="171"/>
      <c r="W234" s="171"/>
      <c r="X234" s="171"/>
      <c r="Y234" s="171">
        <v>1</v>
      </c>
      <c r="Z234" s="171"/>
      <c r="AA234" s="171"/>
      <c r="AB234" s="171"/>
      <c r="AC234" s="171"/>
      <c r="AD234" s="171"/>
      <c r="AE234" s="171"/>
      <c r="AF234" s="171"/>
      <c r="AG234" s="171"/>
      <c r="AH234" s="22"/>
      <c r="AI234" s="171"/>
      <c r="AJ234" s="22">
        <f t="shared" si="5"/>
        <v>7</v>
      </c>
      <c r="AK234" s="22">
        <f t="shared" si="6"/>
        <v>7</v>
      </c>
    </row>
    <row r="235" spans="1:37" ht="15.75" customHeight="1">
      <c r="A235" s="167" t="s">
        <v>1250</v>
      </c>
      <c r="B235" s="167" t="s">
        <v>2055</v>
      </c>
      <c r="C235" s="22" t="s">
        <v>1249</v>
      </c>
      <c r="D235" s="168">
        <v>1</v>
      </c>
      <c r="E235" s="169" t="b">
        <v>1</v>
      </c>
      <c r="F235" s="170" t="s">
        <v>1477</v>
      </c>
      <c r="G235" s="171">
        <v>1</v>
      </c>
      <c r="H235" s="171">
        <v>1</v>
      </c>
      <c r="I235" s="171">
        <v>1</v>
      </c>
      <c r="J235" s="171">
        <v>1</v>
      </c>
      <c r="K235" s="171">
        <v>1</v>
      </c>
      <c r="L235" s="171"/>
      <c r="M235" s="171"/>
      <c r="N235" s="171"/>
      <c r="O235" s="171">
        <v>1</v>
      </c>
      <c r="P235" s="171"/>
      <c r="Q235" s="171">
        <v>1</v>
      </c>
      <c r="R235" s="171"/>
      <c r="S235" s="171"/>
      <c r="T235" s="171"/>
      <c r="U235" s="171"/>
      <c r="V235" s="171"/>
      <c r="W235" s="171"/>
      <c r="X235" s="171"/>
      <c r="Y235" s="171">
        <v>1</v>
      </c>
      <c r="Z235" s="171"/>
      <c r="AA235" s="171"/>
      <c r="AB235" s="171"/>
      <c r="AC235" s="171">
        <v>1</v>
      </c>
      <c r="AD235" s="171"/>
      <c r="AE235" s="171"/>
      <c r="AF235" s="171"/>
      <c r="AG235" s="171"/>
      <c r="AH235" s="22"/>
      <c r="AI235" s="171"/>
      <c r="AJ235" s="22">
        <f t="shared" si="5"/>
        <v>9</v>
      </c>
      <c r="AK235" s="22">
        <f t="shared" si="6"/>
        <v>9</v>
      </c>
    </row>
    <row r="236" spans="1:37" ht="15.75" customHeight="1">
      <c r="A236" s="167" t="s">
        <v>1252</v>
      </c>
      <c r="B236" s="167" t="s">
        <v>2055</v>
      </c>
      <c r="C236" s="22" t="s">
        <v>1251</v>
      </c>
      <c r="D236" s="168">
        <v>1</v>
      </c>
      <c r="E236" s="169" t="b">
        <v>1</v>
      </c>
      <c r="F236" s="170" t="s">
        <v>1607</v>
      </c>
      <c r="G236" s="171">
        <v>1</v>
      </c>
      <c r="H236" s="171">
        <v>1</v>
      </c>
      <c r="I236" s="171">
        <v>1</v>
      </c>
      <c r="J236" s="171">
        <v>1</v>
      </c>
      <c r="K236" s="171">
        <v>1</v>
      </c>
      <c r="L236" s="171"/>
      <c r="M236" s="171"/>
      <c r="N236" s="171"/>
      <c r="O236" s="171">
        <v>1</v>
      </c>
      <c r="P236" s="171"/>
      <c r="Q236" s="171">
        <v>1</v>
      </c>
      <c r="R236" s="171"/>
      <c r="S236" s="171"/>
      <c r="T236" s="171"/>
      <c r="U236" s="171"/>
      <c r="V236" s="171"/>
      <c r="W236" s="171"/>
      <c r="X236" s="171"/>
      <c r="Y236" s="171">
        <v>1</v>
      </c>
      <c r="Z236" s="171"/>
      <c r="AA236" s="171"/>
      <c r="AB236" s="171"/>
      <c r="AC236" s="171"/>
      <c r="AD236" s="171"/>
      <c r="AE236" s="171"/>
      <c r="AF236" s="171"/>
      <c r="AG236" s="171"/>
      <c r="AH236" s="22"/>
      <c r="AI236" s="171"/>
      <c r="AJ236" s="22">
        <f t="shared" si="5"/>
        <v>8</v>
      </c>
      <c r="AK236" s="22">
        <f t="shared" si="6"/>
        <v>8</v>
      </c>
    </row>
    <row r="237" spans="1:37" ht="15.75" customHeight="1">
      <c r="A237" s="167" t="s">
        <v>1254</v>
      </c>
      <c r="B237" s="167" t="s">
        <v>2055</v>
      </c>
      <c r="C237" s="22" t="s">
        <v>1253</v>
      </c>
      <c r="D237" s="168">
        <v>1</v>
      </c>
      <c r="E237" s="169" t="b">
        <v>1</v>
      </c>
      <c r="F237" s="170" t="s">
        <v>1779</v>
      </c>
      <c r="G237" s="171">
        <v>1</v>
      </c>
      <c r="H237" s="171">
        <v>1</v>
      </c>
      <c r="I237" s="171">
        <v>1</v>
      </c>
      <c r="J237" s="171">
        <v>1</v>
      </c>
      <c r="K237" s="171">
        <v>1</v>
      </c>
      <c r="L237" s="171"/>
      <c r="M237" s="171"/>
      <c r="N237" s="171"/>
      <c r="O237" s="171">
        <v>1</v>
      </c>
      <c r="P237" s="171"/>
      <c r="Q237" s="171"/>
      <c r="R237" s="171"/>
      <c r="S237" s="171"/>
      <c r="T237" s="171"/>
      <c r="U237" s="171"/>
      <c r="V237" s="171"/>
      <c r="W237" s="171"/>
      <c r="X237" s="171"/>
      <c r="Y237" s="171">
        <v>1</v>
      </c>
      <c r="Z237" s="171"/>
      <c r="AA237" s="171"/>
      <c r="AB237" s="171"/>
      <c r="AC237" s="171"/>
      <c r="AD237" s="171"/>
      <c r="AE237" s="171"/>
      <c r="AF237" s="171"/>
      <c r="AG237" s="171"/>
      <c r="AH237" s="22"/>
      <c r="AI237" s="171"/>
      <c r="AJ237" s="22">
        <f t="shared" si="5"/>
        <v>7</v>
      </c>
      <c r="AK237" s="22">
        <f t="shared" si="6"/>
        <v>7</v>
      </c>
    </row>
    <row r="238" spans="1:37" ht="15.75" customHeight="1">
      <c r="A238" s="167" t="s">
        <v>1256</v>
      </c>
      <c r="B238" s="167" t="s">
        <v>2055</v>
      </c>
      <c r="C238" s="22" t="s">
        <v>1255</v>
      </c>
      <c r="D238" s="168">
        <v>1</v>
      </c>
      <c r="E238" s="169" t="b">
        <v>1</v>
      </c>
      <c r="F238" s="170" t="s">
        <v>1780</v>
      </c>
      <c r="G238" s="171">
        <v>1</v>
      </c>
      <c r="H238" s="171">
        <v>1</v>
      </c>
      <c r="I238" s="171">
        <v>1</v>
      </c>
      <c r="J238" s="171">
        <v>1</v>
      </c>
      <c r="K238" s="171">
        <v>1</v>
      </c>
      <c r="L238" s="171"/>
      <c r="M238" s="171"/>
      <c r="N238" s="171"/>
      <c r="O238" s="171">
        <v>1</v>
      </c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  <c r="AA238" s="171"/>
      <c r="AB238" s="171"/>
      <c r="AC238" s="171"/>
      <c r="AD238" s="171"/>
      <c r="AE238" s="171"/>
      <c r="AF238" s="171"/>
      <c r="AG238" s="171">
        <v>1</v>
      </c>
      <c r="AH238" s="22"/>
      <c r="AI238" s="171" t="s">
        <v>1596</v>
      </c>
      <c r="AJ238" s="22">
        <f t="shared" si="5"/>
        <v>7</v>
      </c>
      <c r="AK238" s="22">
        <f t="shared" si="6"/>
        <v>7</v>
      </c>
    </row>
    <row r="239" spans="1:37" ht="15.75" customHeight="1">
      <c r="A239" s="167" t="s">
        <v>422</v>
      </c>
      <c r="B239" s="167" t="s">
        <v>2056</v>
      </c>
      <c r="C239" s="22" t="s">
        <v>421</v>
      </c>
      <c r="D239" s="168">
        <v>1</v>
      </c>
      <c r="E239" s="169" t="b">
        <v>1</v>
      </c>
      <c r="F239" s="170" t="s">
        <v>1993</v>
      </c>
      <c r="G239" s="171">
        <v>1</v>
      </c>
      <c r="H239" s="171">
        <v>1</v>
      </c>
      <c r="I239" s="171">
        <v>1</v>
      </c>
      <c r="J239" s="171">
        <v>1</v>
      </c>
      <c r="K239" s="171">
        <v>1</v>
      </c>
      <c r="L239" s="171"/>
      <c r="M239" s="171"/>
      <c r="N239" s="171"/>
      <c r="O239" s="171"/>
      <c r="P239" s="171"/>
      <c r="Q239" s="171"/>
      <c r="R239" s="171"/>
      <c r="S239" s="171"/>
      <c r="T239" s="171"/>
      <c r="U239" s="171"/>
      <c r="V239" s="171"/>
      <c r="W239" s="171"/>
      <c r="X239" s="171"/>
      <c r="Y239" s="171"/>
      <c r="Z239" s="171"/>
      <c r="AA239" s="171"/>
      <c r="AB239" s="171"/>
      <c r="AC239" s="171"/>
      <c r="AD239" s="171"/>
      <c r="AE239" s="171"/>
      <c r="AF239" s="171"/>
      <c r="AG239" s="171"/>
      <c r="AH239" s="22"/>
      <c r="AI239" s="171"/>
      <c r="AJ239" s="22">
        <f t="shared" si="5"/>
        <v>5</v>
      </c>
      <c r="AK239" s="22">
        <f t="shared" si="6"/>
        <v>5</v>
      </c>
    </row>
    <row r="240" spans="1:37" ht="15.75" customHeight="1">
      <c r="A240" s="167" t="s">
        <v>1258</v>
      </c>
      <c r="B240" s="167" t="s">
        <v>2055</v>
      </c>
      <c r="C240" s="22" t="s">
        <v>1257</v>
      </c>
      <c r="D240" s="168">
        <v>1</v>
      </c>
      <c r="E240" s="169" t="b">
        <v>1</v>
      </c>
      <c r="F240" s="185" t="s">
        <v>2048</v>
      </c>
      <c r="G240" s="171">
        <v>1</v>
      </c>
      <c r="H240" s="171">
        <v>1</v>
      </c>
      <c r="I240" s="171">
        <v>1</v>
      </c>
      <c r="J240" s="171"/>
      <c r="K240" s="171">
        <v>1</v>
      </c>
      <c r="L240" s="171"/>
      <c r="M240" s="171"/>
      <c r="N240" s="171"/>
      <c r="O240" s="171">
        <v>1</v>
      </c>
      <c r="P240" s="171"/>
      <c r="Q240" s="171"/>
      <c r="R240" s="171"/>
      <c r="S240" s="171"/>
      <c r="T240" s="171"/>
      <c r="U240" s="171"/>
      <c r="V240" s="171"/>
      <c r="W240" s="171"/>
      <c r="X240" s="171"/>
      <c r="Y240" s="171"/>
      <c r="Z240" s="171"/>
      <c r="AA240" s="171"/>
      <c r="AB240" s="171"/>
      <c r="AC240" s="171"/>
      <c r="AD240" s="171"/>
      <c r="AE240" s="171"/>
      <c r="AF240" s="171"/>
      <c r="AG240" s="171"/>
      <c r="AH240" s="22"/>
      <c r="AI240" s="171"/>
      <c r="AJ240" s="22">
        <f t="shared" si="5"/>
        <v>5</v>
      </c>
      <c r="AK240" s="22">
        <f t="shared" si="6"/>
        <v>5</v>
      </c>
    </row>
    <row r="241" spans="1:37" ht="15.75" customHeight="1">
      <c r="A241" s="167" t="s">
        <v>424</v>
      </c>
      <c r="B241" s="167" t="s">
        <v>2056</v>
      </c>
      <c r="C241" s="22" t="s">
        <v>423</v>
      </c>
      <c r="D241" s="168">
        <v>1</v>
      </c>
      <c r="E241" s="169" t="b">
        <v>1</v>
      </c>
      <c r="F241" s="170" t="s">
        <v>1541</v>
      </c>
      <c r="G241" s="171">
        <v>1</v>
      </c>
      <c r="H241" s="171">
        <v>1</v>
      </c>
      <c r="I241" s="171">
        <v>1</v>
      </c>
      <c r="J241" s="171">
        <v>1</v>
      </c>
      <c r="K241" s="171">
        <v>1</v>
      </c>
      <c r="L241" s="171">
        <v>1</v>
      </c>
      <c r="M241" s="171">
        <v>1</v>
      </c>
      <c r="N241" s="171"/>
      <c r="O241" s="171"/>
      <c r="P241" s="171"/>
      <c r="Q241" s="171"/>
      <c r="R241" s="171"/>
      <c r="S241" s="171"/>
      <c r="T241" s="171"/>
      <c r="U241" s="171"/>
      <c r="V241" s="171"/>
      <c r="W241" s="171"/>
      <c r="X241" s="171"/>
      <c r="Y241" s="171"/>
      <c r="Z241" s="171"/>
      <c r="AA241" s="171"/>
      <c r="AB241" s="171"/>
      <c r="AC241" s="171"/>
      <c r="AD241" s="171"/>
      <c r="AE241" s="171">
        <v>1</v>
      </c>
      <c r="AF241" s="171"/>
      <c r="AG241" s="171"/>
      <c r="AH241" s="22"/>
      <c r="AI241" s="171"/>
      <c r="AJ241" s="22">
        <f t="shared" si="5"/>
        <v>8</v>
      </c>
      <c r="AK241" s="22">
        <f t="shared" si="6"/>
        <v>8</v>
      </c>
    </row>
    <row r="242" spans="1:37" ht="15.75" customHeight="1">
      <c r="A242" s="167" t="s">
        <v>426</v>
      </c>
      <c r="B242" s="167" t="s">
        <v>2056</v>
      </c>
      <c r="C242" s="22" t="s">
        <v>425</v>
      </c>
      <c r="D242" s="168">
        <v>1</v>
      </c>
      <c r="E242" s="169" t="b">
        <v>1</v>
      </c>
      <c r="F242" s="170" t="s">
        <v>1866</v>
      </c>
      <c r="G242" s="171">
        <v>1</v>
      </c>
      <c r="H242" s="171">
        <v>1</v>
      </c>
      <c r="I242" s="171">
        <v>1</v>
      </c>
      <c r="J242" s="171">
        <v>1</v>
      </c>
      <c r="K242" s="171">
        <v>1</v>
      </c>
      <c r="L242" s="171"/>
      <c r="M242" s="171"/>
      <c r="N242" s="171"/>
      <c r="O242" s="171"/>
      <c r="P242" s="171"/>
      <c r="Q242" s="171"/>
      <c r="R242" s="171"/>
      <c r="S242" s="171"/>
      <c r="T242" s="171"/>
      <c r="U242" s="171"/>
      <c r="V242" s="171"/>
      <c r="W242" s="171"/>
      <c r="X242" s="171"/>
      <c r="Y242" s="171"/>
      <c r="Z242" s="171"/>
      <c r="AA242" s="171"/>
      <c r="AB242" s="171"/>
      <c r="AC242" s="171"/>
      <c r="AD242" s="171"/>
      <c r="AE242" s="171"/>
      <c r="AF242" s="171"/>
      <c r="AG242" s="171">
        <v>1</v>
      </c>
      <c r="AH242" s="22"/>
      <c r="AI242" s="171" t="s">
        <v>1619</v>
      </c>
      <c r="AJ242" s="22">
        <f t="shared" si="5"/>
        <v>6</v>
      </c>
      <c r="AK242" s="22">
        <f t="shared" si="6"/>
        <v>6</v>
      </c>
    </row>
    <row r="243" spans="1:37" ht="15.75" customHeight="1">
      <c r="A243" s="167" t="s">
        <v>428</v>
      </c>
      <c r="B243" s="167" t="s">
        <v>2056</v>
      </c>
      <c r="C243" s="22" t="s">
        <v>427</v>
      </c>
      <c r="D243" s="168">
        <v>1</v>
      </c>
      <c r="E243" s="169" t="b">
        <v>1</v>
      </c>
      <c r="F243" s="170" t="s">
        <v>1867</v>
      </c>
      <c r="G243" s="171">
        <v>1</v>
      </c>
      <c r="H243" s="171">
        <v>1</v>
      </c>
      <c r="I243" s="171">
        <v>1</v>
      </c>
      <c r="J243" s="171">
        <v>1</v>
      </c>
      <c r="K243" s="171">
        <v>1</v>
      </c>
      <c r="L243" s="171">
        <v>1</v>
      </c>
      <c r="M243" s="171"/>
      <c r="N243" s="171"/>
      <c r="O243" s="171"/>
      <c r="P243" s="171"/>
      <c r="Q243" s="171"/>
      <c r="R243" s="171"/>
      <c r="S243" s="171"/>
      <c r="T243" s="171"/>
      <c r="U243" s="171"/>
      <c r="V243" s="171"/>
      <c r="W243" s="171"/>
      <c r="X243" s="171"/>
      <c r="Y243" s="171"/>
      <c r="Z243" s="171"/>
      <c r="AA243" s="171"/>
      <c r="AB243" s="171"/>
      <c r="AC243" s="171"/>
      <c r="AD243" s="171"/>
      <c r="AE243" s="171"/>
      <c r="AF243" s="171"/>
      <c r="AG243" s="171"/>
      <c r="AH243" s="22"/>
      <c r="AI243" s="171"/>
      <c r="AJ243" s="22">
        <f t="shared" si="5"/>
        <v>6</v>
      </c>
      <c r="AK243" s="22">
        <f t="shared" si="6"/>
        <v>6</v>
      </c>
    </row>
    <row r="244" spans="1:37" ht="15.75" customHeight="1">
      <c r="A244" s="167" t="s">
        <v>1260</v>
      </c>
      <c r="B244" s="167" t="s">
        <v>2055</v>
      </c>
      <c r="C244" s="22" t="s">
        <v>1259</v>
      </c>
      <c r="D244" s="168">
        <v>1</v>
      </c>
      <c r="E244" s="169" t="b">
        <v>1</v>
      </c>
      <c r="F244" s="170" t="s">
        <v>2049</v>
      </c>
      <c r="G244" s="171">
        <v>1</v>
      </c>
      <c r="H244" s="171">
        <v>1</v>
      </c>
      <c r="I244" s="171">
        <v>1</v>
      </c>
      <c r="J244" s="171"/>
      <c r="K244" s="171">
        <v>1</v>
      </c>
      <c r="L244" s="171"/>
      <c r="M244" s="171"/>
      <c r="N244" s="171"/>
      <c r="O244" s="171">
        <v>1</v>
      </c>
      <c r="P244" s="171"/>
      <c r="Q244" s="171"/>
      <c r="R244" s="171"/>
      <c r="S244" s="171"/>
      <c r="T244" s="171"/>
      <c r="U244" s="171"/>
      <c r="V244" s="171"/>
      <c r="W244" s="171"/>
      <c r="X244" s="171"/>
      <c r="Y244" s="171"/>
      <c r="Z244" s="171"/>
      <c r="AA244" s="171"/>
      <c r="AB244" s="171"/>
      <c r="AC244" s="171"/>
      <c r="AD244" s="171"/>
      <c r="AE244" s="171"/>
      <c r="AF244" s="171"/>
      <c r="AG244" s="171"/>
      <c r="AH244" s="22"/>
      <c r="AI244" s="171"/>
      <c r="AJ244" s="22">
        <f t="shared" si="5"/>
        <v>5</v>
      </c>
      <c r="AK244" s="22">
        <f t="shared" si="6"/>
        <v>5</v>
      </c>
    </row>
    <row r="245" spans="1:37" ht="15.75" customHeight="1">
      <c r="A245" s="167" t="s">
        <v>430</v>
      </c>
      <c r="B245" s="167" t="s">
        <v>2056</v>
      </c>
      <c r="C245" s="22" t="s">
        <v>429</v>
      </c>
      <c r="D245" s="168">
        <v>1</v>
      </c>
      <c r="E245" s="169" t="b">
        <v>1</v>
      </c>
      <c r="F245" s="170" t="s">
        <v>1868</v>
      </c>
      <c r="G245" s="171">
        <v>1</v>
      </c>
      <c r="H245" s="171">
        <v>1</v>
      </c>
      <c r="I245" s="171">
        <v>1</v>
      </c>
      <c r="J245" s="171">
        <v>1</v>
      </c>
      <c r="K245" s="171">
        <v>1</v>
      </c>
      <c r="L245" s="171"/>
      <c r="M245" s="171">
        <v>1</v>
      </c>
      <c r="N245" s="171"/>
      <c r="O245" s="171"/>
      <c r="P245" s="171"/>
      <c r="Q245" s="171"/>
      <c r="R245" s="171"/>
      <c r="S245" s="171"/>
      <c r="T245" s="171"/>
      <c r="U245" s="171"/>
      <c r="V245" s="171"/>
      <c r="W245" s="171"/>
      <c r="X245" s="171"/>
      <c r="Y245" s="171"/>
      <c r="Z245" s="171"/>
      <c r="AA245" s="171"/>
      <c r="AB245" s="171"/>
      <c r="AC245" s="171"/>
      <c r="AD245" s="171"/>
      <c r="AE245" s="171"/>
      <c r="AF245" s="171"/>
      <c r="AG245" s="171"/>
      <c r="AH245" s="22"/>
      <c r="AI245" s="171"/>
      <c r="AJ245" s="22">
        <f t="shared" si="5"/>
        <v>6</v>
      </c>
      <c r="AK245" s="22">
        <f t="shared" si="6"/>
        <v>6</v>
      </c>
    </row>
    <row r="246" spans="1:37" ht="15.75" customHeight="1">
      <c r="A246" s="167" t="s">
        <v>432</v>
      </c>
      <c r="B246" s="167" t="s">
        <v>2056</v>
      </c>
      <c r="C246" s="22" t="s">
        <v>431</v>
      </c>
      <c r="D246" s="168">
        <v>1</v>
      </c>
      <c r="E246" s="169" t="b">
        <v>1</v>
      </c>
      <c r="F246" s="170" t="s">
        <v>1490</v>
      </c>
      <c r="G246" s="171">
        <v>1</v>
      </c>
      <c r="H246" s="171">
        <v>1</v>
      </c>
      <c r="I246" s="171">
        <v>1</v>
      </c>
      <c r="J246" s="171">
        <v>1</v>
      </c>
      <c r="K246" s="171">
        <v>1</v>
      </c>
      <c r="L246" s="171">
        <v>1</v>
      </c>
      <c r="M246" s="171"/>
      <c r="N246" s="171"/>
      <c r="O246" s="171"/>
      <c r="P246" s="171">
        <v>1</v>
      </c>
      <c r="Q246" s="171"/>
      <c r="R246" s="171"/>
      <c r="S246" s="171"/>
      <c r="T246" s="171">
        <v>1</v>
      </c>
      <c r="U246" s="171"/>
      <c r="V246" s="171"/>
      <c r="W246" s="171"/>
      <c r="X246" s="171"/>
      <c r="Y246" s="171"/>
      <c r="Z246" s="171"/>
      <c r="AA246" s="171"/>
      <c r="AB246" s="171"/>
      <c r="AC246" s="171"/>
      <c r="AD246" s="171"/>
      <c r="AE246" s="171"/>
      <c r="AF246" s="171"/>
      <c r="AG246" s="171"/>
      <c r="AH246" s="22"/>
      <c r="AI246" s="171" t="s">
        <v>1429</v>
      </c>
      <c r="AJ246" s="22">
        <f t="shared" si="5"/>
        <v>8</v>
      </c>
      <c r="AK246" s="22">
        <f t="shared" si="6"/>
        <v>8</v>
      </c>
    </row>
    <row r="247" spans="1:37" ht="15.75" customHeight="1">
      <c r="A247" s="167" t="s">
        <v>1325</v>
      </c>
      <c r="B247" s="167" t="s">
        <v>2054</v>
      </c>
      <c r="C247" s="22" t="s">
        <v>1324</v>
      </c>
      <c r="D247" s="168">
        <v>1</v>
      </c>
      <c r="E247" s="169" t="b">
        <v>1</v>
      </c>
      <c r="F247" s="170" t="s">
        <v>1792</v>
      </c>
      <c r="G247" s="171">
        <v>1</v>
      </c>
      <c r="H247" s="171">
        <v>1</v>
      </c>
      <c r="I247" s="171">
        <v>1</v>
      </c>
      <c r="J247" s="171">
        <v>1</v>
      </c>
      <c r="K247" s="171">
        <v>1</v>
      </c>
      <c r="L247" s="171">
        <v>1</v>
      </c>
      <c r="M247" s="171"/>
      <c r="N247" s="171"/>
      <c r="O247" s="171"/>
      <c r="P247" s="171"/>
      <c r="Q247" s="171"/>
      <c r="R247" s="171">
        <v>1</v>
      </c>
      <c r="S247" s="171"/>
      <c r="T247" s="171"/>
      <c r="U247" s="171"/>
      <c r="V247" s="171"/>
      <c r="W247" s="171"/>
      <c r="X247" s="171"/>
      <c r="Y247" s="171"/>
      <c r="Z247" s="171"/>
      <c r="AA247" s="171"/>
      <c r="AB247" s="171"/>
      <c r="AC247" s="171"/>
      <c r="AD247" s="171"/>
      <c r="AE247" s="171"/>
      <c r="AF247" s="171"/>
      <c r="AG247" s="171"/>
      <c r="AH247" s="22"/>
      <c r="AI247" s="171"/>
      <c r="AJ247" s="22">
        <f t="shared" si="5"/>
        <v>7</v>
      </c>
      <c r="AK247" s="22">
        <f t="shared" si="6"/>
        <v>7</v>
      </c>
    </row>
    <row r="248" spans="1:37" ht="15.75" customHeight="1">
      <c r="A248" s="167" t="s">
        <v>434</v>
      </c>
      <c r="B248" s="167" t="s">
        <v>2056</v>
      </c>
      <c r="C248" s="22" t="s">
        <v>433</v>
      </c>
      <c r="D248" s="168">
        <v>1</v>
      </c>
      <c r="E248" s="169" t="b">
        <v>1</v>
      </c>
      <c r="F248" s="170" t="s">
        <v>1491</v>
      </c>
      <c r="G248" s="171">
        <v>1</v>
      </c>
      <c r="H248" s="171">
        <v>1</v>
      </c>
      <c r="I248" s="171">
        <v>1</v>
      </c>
      <c r="J248" s="171">
        <v>1</v>
      </c>
      <c r="K248" s="171">
        <v>1</v>
      </c>
      <c r="L248" s="171">
        <v>1</v>
      </c>
      <c r="M248" s="171"/>
      <c r="N248" s="171">
        <v>1</v>
      </c>
      <c r="O248" s="171"/>
      <c r="P248" s="171"/>
      <c r="Q248" s="171"/>
      <c r="R248" s="171"/>
      <c r="S248" s="171"/>
      <c r="T248" s="171">
        <v>1</v>
      </c>
      <c r="U248" s="171"/>
      <c r="V248" s="171"/>
      <c r="W248" s="171"/>
      <c r="X248" s="171"/>
      <c r="Y248" s="171"/>
      <c r="Z248" s="171"/>
      <c r="AA248" s="171"/>
      <c r="AB248" s="171"/>
      <c r="AC248" s="171"/>
      <c r="AD248" s="171"/>
      <c r="AE248" s="171"/>
      <c r="AF248" s="171"/>
      <c r="AG248" s="171"/>
      <c r="AH248" s="22"/>
      <c r="AI248" s="171" t="s">
        <v>1492</v>
      </c>
      <c r="AJ248" s="22">
        <f t="shared" si="5"/>
        <v>8</v>
      </c>
      <c r="AK248" s="22">
        <f t="shared" si="6"/>
        <v>8</v>
      </c>
    </row>
    <row r="249" spans="1:37" ht="15.75" customHeight="1">
      <c r="A249" s="167" t="s">
        <v>436</v>
      </c>
      <c r="B249" s="167" t="s">
        <v>2056</v>
      </c>
      <c r="C249" s="22" t="s">
        <v>435</v>
      </c>
      <c r="D249" s="168">
        <v>1</v>
      </c>
      <c r="E249" s="169" t="b">
        <v>1</v>
      </c>
      <c r="F249" s="170" t="s">
        <v>1994</v>
      </c>
      <c r="G249" s="171">
        <v>1</v>
      </c>
      <c r="H249" s="171">
        <v>1</v>
      </c>
      <c r="I249" s="171">
        <v>1</v>
      </c>
      <c r="J249" s="171">
        <v>1</v>
      </c>
      <c r="K249" s="171">
        <v>1</v>
      </c>
      <c r="L249" s="171"/>
      <c r="M249" s="171"/>
      <c r="N249" s="171"/>
      <c r="O249" s="171"/>
      <c r="P249" s="171"/>
      <c r="Q249" s="171"/>
      <c r="R249" s="171"/>
      <c r="S249" s="171"/>
      <c r="T249" s="171"/>
      <c r="U249" s="171"/>
      <c r="V249" s="171"/>
      <c r="W249" s="171"/>
      <c r="X249" s="171"/>
      <c r="Y249" s="171"/>
      <c r="Z249" s="171"/>
      <c r="AA249" s="171"/>
      <c r="AB249" s="171"/>
      <c r="AC249" s="171"/>
      <c r="AD249" s="171"/>
      <c r="AE249" s="171"/>
      <c r="AF249" s="171"/>
      <c r="AG249" s="171"/>
      <c r="AH249" s="22"/>
      <c r="AI249" s="171"/>
      <c r="AJ249" s="22">
        <f t="shared" si="5"/>
        <v>5</v>
      </c>
      <c r="AK249" s="22">
        <f t="shared" si="6"/>
        <v>5</v>
      </c>
    </row>
    <row r="250" spans="1:37" ht="15.75" customHeight="1">
      <c r="A250" s="167" t="s">
        <v>438</v>
      </c>
      <c r="B250" s="167" t="s">
        <v>2056</v>
      </c>
      <c r="C250" s="22" t="s">
        <v>437</v>
      </c>
      <c r="D250" s="168">
        <v>1</v>
      </c>
      <c r="E250" s="169" t="b">
        <v>1</v>
      </c>
      <c r="F250" s="174" t="s">
        <v>1675</v>
      </c>
      <c r="G250" s="171">
        <v>1</v>
      </c>
      <c r="H250" s="171">
        <v>1</v>
      </c>
      <c r="I250" s="171">
        <v>1</v>
      </c>
      <c r="J250" s="171">
        <v>1</v>
      </c>
      <c r="K250" s="171">
        <v>1</v>
      </c>
      <c r="L250" s="171"/>
      <c r="M250" s="171"/>
      <c r="N250" s="171">
        <v>1</v>
      </c>
      <c r="O250" s="171"/>
      <c r="P250" s="171"/>
      <c r="Q250" s="171">
        <v>1</v>
      </c>
      <c r="R250" s="171"/>
      <c r="S250" s="171"/>
      <c r="T250" s="171"/>
      <c r="U250" s="171"/>
      <c r="V250" s="171"/>
      <c r="W250" s="171"/>
      <c r="X250" s="171"/>
      <c r="Y250" s="171"/>
      <c r="Z250" s="171"/>
      <c r="AA250" s="171"/>
      <c r="AB250" s="171"/>
      <c r="AC250" s="171"/>
      <c r="AD250" s="171"/>
      <c r="AE250" s="171"/>
      <c r="AF250" s="171"/>
      <c r="AG250" s="171"/>
      <c r="AH250" s="22"/>
      <c r="AI250" s="171"/>
      <c r="AJ250" s="22">
        <f t="shared" si="5"/>
        <v>7</v>
      </c>
      <c r="AK250" s="22">
        <f t="shared" si="6"/>
        <v>7</v>
      </c>
    </row>
    <row r="251" spans="1:37" ht="15.75" customHeight="1">
      <c r="A251" s="167" t="s">
        <v>440</v>
      </c>
      <c r="B251" s="167" t="s">
        <v>2056</v>
      </c>
      <c r="C251" s="22" t="s">
        <v>439</v>
      </c>
      <c r="D251" s="168">
        <v>1</v>
      </c>
      <c r="E251" s="169" t="b">
        <v>1</v>
      </c>
      <c r="F251" s="170" t="s">
        <v>1542</v>
      </c>
      <c r="G251" s="171">
        <v>1</v>
      </c>
      <c r="H251" s="171">
        <v>1</v>
      </c>
      <c r="I251" s="171">
        <v>1</v>
      </c>
      <c r="J251" s="171">
        <v>1</v>
      </c>
      <c r="K251" s="171">
        <v>1</v>
      </c>
      <c r="L251" s="171">
        <v>2</v>
      </c>
      <c r="M251" s="171"/>
      <c r="N251" s="171"/>
      <c r="O251" s="171"/>
      <c r="P251" s="171"/>
      <c r="Q251" s="171"/>
      <c r="R251" s="171"/>
      <c r="S251" s="171"/>
      <c r="T251" s="171"/>
      <c r="U251" s="171"/>
      <c r="V251" s="171"/>
      <c r="W251" s="171"/>
      <c r="X251" s="171"/>
      <c r="Y251" s="171"/>
      <c r="Z251" s="171"/>
      <c r="AA251" s="171"/>
      <c r="AB251" s="171">
        <v>1</v>
      </c>
      <c r="AC251" s="171"/>
      <c r="AD251" s="171"/>
      <c r="AE251" s="171"/>
      <c r="AF251" s="171"/>
      <c r="AG251" s="171"/>
      <c r="AH251" s="22"/>
      <c r="AI251" s="171"/>
      <c r="AJ251" s="22">
        <f t="shared" si="5"/>
        <v>7</v>
      </c>
      <c r="AK251" s="22">
        <f t="shared" si="6"/>
        <v>8</v>
      </c>
    </row>
    <row r="252" spans="1:37" ht="15.75" customHeight="1">
      <c r="A252" s="167" t="s">
        <v>442</v>
      </c>
      <c r="B252" s="167" t="s">
        <v>2056</v>
      </c>
      <c r="C252" s="22" t="s">
        <v>441</v>
      </c>
      <c r="D252" s="168">
        <v>1</v>
      </c>
      <c r="E252" s="169" t="b">
        <v>1</v>
      </c>
      <c r="F252" s="170" t="s">
        <v>1543</v>
      </c>
      <c r="G252" s="171">
        <v>1</v>
      </c>
      <c r="H252" s="171">
        <v>1</v>
      </c>
      <c r="I252" s="171">
        <v>1</v>
      </c>
      <c r="J252" s="171">
        <v>1</v>
      </c>
      <c r="K252" s="171">
        <v>1</v>
      </c>
      <c r="L252" s="171">
        <v>1</v>
      </c>
      <c r="M252" s="171">
        <v>1</v>
      </c>
      <c r="N252" s="171"/>
      <c r="O252" s="171"/>
      <c r="P252" s="171"/>
      <c r="Q252" s="171"/>
      <c r="R252" s="171"/>
      <c r="S252" s="171"/>
      <c r="T252" s="171"/>
      <c r="U252" s="171"/>
      <c r="V252" s="171"/>
      <c r="W252" s="171"/>
      <c r="X252" s="171"/>
      <c r="Y252" s="171"/>
      <c r="Z252" s="171"/>
      <c r="AA252" s="171"/>
      <c r="AB252" s="171"/>
      <c r="AC252" s="171"/>
      <c r="AD252" s="171">
        <v>1</v>
      </c>
      <c r="AE252" s="171"/>
      <c r="AF252" s="171"/>
      <c r="AG252" s="171"/>
      <c r="AH252" s="22"/>
      <c r="AI252" s="171"/>
      <c r="AJ252" s="22">
        <f t="shared" si="5"/>
        <v>8</v>
      </c>
      <c r="AK252" s="22">
        <f t="shared" si="6"/>
        <v>8</v>
      </c>
    </row>
    <row r="253" spans="1:37" ht="15.75" customHeight="1">
      <c r="A253" s="167" t="s">
        <v>444</v>
      </c>
      <c r="B253" s="167" t="s">
        <v>2056</v>
      </c>
      <c r="C253" s="22" t="s">
        <v>443</v>
      </c>
      <c r="D253" s="168">
        <v>1</v>
      </c>
      <c r="E253" s="169" t="b">
        <v>1</v>
      </c>
      <c r="F253" s="170" t="s">
        <v>1869</v>
      </c>
      <c r="G253" s="171">
        <v>1</v>
      </c>
      <c r="H253" s="171">
        <v>1</v>
      </c>
      <c r="I253" s="171">
        <v>1</v>
      </c>
      <c r="J253" s="171">
        <v>1</v>
      </c>
      <c r="K253" s="171">
        <v>1</v>
      </c>
      <c r="L253" s="171"/>
      <c r="M253" s="171"/>
      <c r="N253" s="171"/>
      <c r="O253" s="171"/>
      <c r="P253" s="171"/>
      <c r="Q253" s="171"/>
      <c r="R253" s="171"/>
      <c r="S253" s="171"/>
      <c r="T253" s="171"/>
      <c r="U253" s="171"/>
      <c r="V253" s="171"/>
      <c r="W253" s="171"/>
      <c r="X253" s="171"/>
      <c r="Y253" s="171"/>
      <c r="Z253" s="171"/>
      <c r="AA253" s="171"/>
      <c r="AB253" s="171"/>
      <c r="AC253" s="171"/>
      <c r="AD253" s="171"/>
      <c r="AE253" s="171"/>
      <c r="AF253" s="171"/>
      <c r="AG253" s="171">
        <v>1</v>
      </c>
      <c r="AH253" s="22"/>
      <c r="AI253" s="171" t="s">
        <v>1687</v>
      </c>
      <c r="AJ253" s="22">
        <f t="shared" si="5"/>
        <v>6</v>
      </c>
      <c r="AK253" s="22">
        <f t="shared" si="6"/>
        <v>6</v>
      </c>
    </row>
    <row r="254" spans="1:37" ht="15.75" customHeight="1">
      <c r="A254" s="167" t="s">
        <v>446</v>
      </c>
      <c r="B254" s="167" t="s">
        <v>2056</v>
      </c>
      <c r="C254" s="22" t="s">
        <v>445</v>
      </c>
      <c r="D254" s="168">
        <v>1</v>
      </c>
      <c r="E254" s="169" t="b">
        <v>1</v>
      </c>
      <c r="F254" s="174" t="s">
        <v>1544</v>
      </c>
      <c r="G254" s="171">
        <v>1</v>
      </c>
      <c r="H254" s="171">
        <v>1</v>
      </c>
      <c r="I254" s="171">
        <v>1</v>
      </c>
      <c r="J254" s="171">
        <v>1</v>
      </c>
      <c r="K254" s="171">
        <v>1</v>
      </c>
      <c r="L254" s="171">
        <v>2</v>
      </c>
      <c r="M254" s="171"/>
      <c r="N254" s="171"/>
      <c r="O254" s="171"/>
      <c r="P254" s="171"/>
      <c r="Q254" s="171"/>
      <c r="R254" s="171"/>
      <c r="S254" s="171"/>
      <c r="T254" s="171"/>
      <c r="U254" s="171"/>
      <c r="V254" s="171"/>
      <c r="W254" s="171"/>
      <c r="X254" s="171">
        <v>1</v>
      </c>
      <c r="Y254" s="171"/>
      <c r="Z254" s="171"/>
      <c r="AA254" s="171"/>
      <c r="AB254" s="171"/>
      <c r="AC254" s="171"/>
      <c r="AD254" s="171"/>
      <c r="AE254" s="171"/>
      <c r="AF254" s="171"/>
      <c r="AG254" s="171"/>
      <c r="AH254" s="22"/>
      <c r="AI254" s="171"/>
      <c r="AJ254" s="22">
        <f t="shared" si="5"/>
        <v>7</v>
      </c>
      <c r="AK254" s="22">
        <f t="shared" si="6"/>
        <v>8</v>
      </c>
    </row>
    <row r="255" spans="1:37" ht="15.75" customHeight="1">
      <c r="A255" s="167" t="s">
        <v>448</v>
      </c>
      <c r="B255" s="167" t="s">
        <v>2056</v>
      </c>
      <c r="C255" s="22" t="s">
        <v>447</v>
      </c>
      <c r="D255" s="168">
        <v>1</v>
      </c>
      <c r="E255" s="169" t="b">
        <v>1</v>
      </c>
      <c r="F255" s="170" t="s">
        <v>1676</v>
      </c>
      <c r="G255" s="171">
        <v>1</v>
      </c>
      <c r="H255" s="171">
        <v>1</v>
      </c>
      <c r="I255" s="171">
        <v>1</v>
      </c>
      <c r="J255" s="171">
        <v>1</v>
      </c>
      <c r="K255" s="171">
        <v>1</v>
      </c>
      <c r="L255" s="171"/>
      <c r="M255" s="171">
        <v>1</v>
      </c>
      <c r="N255" s="171"/>
      <c r="O255" s="171"/>
      <c r="P255" s="171"/>
      <c r="Q255" s="171"/>
      <c r="R255" s="171"/>
      <c r="S255" s="171"/>
      <c r="T255" s="171"/>
      <c r="U255" s="171"/>
      <c r="V255" s="171"/>
      <c r="W255" s="171"/>
      <c r="X255" s="171"/>
      <c r="Y255" s="171"/>
      <c r="Z255" s="171"/>
      <c r="AA255" s="171"/>
      <c r="AB255" s="171"/>
      <c r="AC255" s="171"/>
      <c r="AD255" s="171"/>
      <c r="AE255" s="171"/>
      <c r="AF255" s="171"/>
      <c r="AG255" s="171">
        <v>1</v>
      </c>
      <c r="AH255" s="22"/>
      <c r="AI255" s="171" t="s">
        <v>1546</v>
      </c>
      <c r="AJ255" s="22">
        <f t="shared" si="5"/>
        <v>7</v>
      </c>
      <c r="AK255" s="22">
        <f t="shared" si="6"/>
        <v>7</v>
      </c>
    </row>
    <row r="256" spans="1:37" ht="15.75" customHeight="1">
      <c r="A256" s="167" t="s">
        <v>450</v>
      </c>
      <c r="B256" s="167" t="s">
        <v>2056</v>
      </c>
      <c r="C256" s="22" t="s">
        <v>449</v>
      </c>
      <c r="D256" s="168">
        <v>1</v>
      </c>
      <c r="E256" s="169" t="b">
        <v>1</v>
      </c>
      <c r="F256" s="170" t="s">
        <v>1995</v>
      </c>
      <c r="G256" s="171">
        <v>1</v>
      </c>
      <c r="H256" s="171">
        <v>1</v>
      </c>
      <c r="I256" s="171">
        <v>1</v>
      </c>
      <c r="J256" s="171">
        <v>1</v>
      </c>
      <c r="K256" s="171">
        <v>1</v>
      </c>
      <c r="L256" s="171"/>
      <c r="M256" s="171"/>
      <c r="N256" s="171"/>
      <c r="O256" s="171"/>
      <c r="P256" s="171"/>
      <c r="Q256" s="171"/>
      <c r="R256" s="171"/>
      <c r="S256" s="171"/>
      <c r="T256" s="171"/>
      <c r="U256" s="171"/>
      <c r="V256" s="171"/>
      <c r="W256" s="171"/>
      <c r="X256" s="171"/>
      <c r="Y256" s="171"/>
      <c r="Z256" s="171"/>
      <c r="AA256" s="171"/>
      <c r="AB256" s="171"/>
      <c r="AC256" s="171"/>
      <c r="AD256" s="171"/>
      <c r="AE256" s="171"/>
      <c r="AF256" s="171"/>
      <c r="AG256" s="171"/>
      <c r="AH256" s="22"/>
      <c r="AI256" s="171"/>
      <c r="AJ256" s="22">
        <f t="shared" si="5"/>
        <v>5</v>
      </c>
      <c r="AK256" s="22">
        <f t="shared" si="6"/>
        <v>5</v>
      </c>
    </row>
    <row r="257" spans="1:37" ht="15.75" customHeight="1">
      <c r="A257" s="167" t="s">
        <v>452</v>
      </c>
      <c r="B257" s="167" t="s">
        <v>2056</v>
      </c>
      <c r="C257" s="22" t="s">
        <v>451</v>
      </c>
      <c r="D257" s="168">
        <v>1</v>
      </c>
      <c r="E257" s="169" t="b">
        <v>1</v>
      </c>
      <c r="F257" s="170" t="s">
        <v>1677</v>
      </c>
      <c r="G257" s="171">
        <v>1</v>
      </c>
      <c r="H257" s="171">
        <v>1</v>
      </c>
      <c r="I257" s="171">
        <v>1</v>
      </c>
      <c r="J257" s="171">
        <v>1</v>
      </c>
      <c r="K257" s="171">
        <v>1</v>
      </c>
      <c r="L257" s="171">
        <v>1</v>
      </c>
      <c r="M257" s="171">
        <v>1</v>
      </c>
      <c r="N257" s="171"/>
      <c r="O257" s="171"/>
      <c r="P257" s="171"/>
      <c r="Q257" s="171"/>
      <c r="R257" s="171"/>
      <c r="S257" s="171"/>
      <c r="T257" s="171"/>
      <c r="U257" s="171"/>
      <c r="V257" s="171"/>
      <c r="W257" s="171"/>
      <c r="X257" s="171"/>
      <c r="Y257" s="171"/>
      <c r="Z257" s="171"/>
      <c r="AA257" s="171"/>
      <c r="AB257" s="171"/>
      <c r="AC257" s="171"/>
      <c r="AD257" s="171"/>
      <c r="AE257" s="171"/>
      <c r="AF257" s="171"/>
      <c r="AG257" s="171"/>
      <c r="AH257" s="22"/>
      <c r="AI257" s="171"/>
      <c r="AJ257" s="22">
        <f t="shared" si="5"/>
        <v>7</v>
      </c>
      <c r="AK257" s="22">
        <f t="shared" si="6"/>
        <v>7</v>
      </c>
    </row>
    <row r="258" spans="1:37" ht="15.75" customHeight="1">
      <c r="A258" s="167" t="s">
        <v>454</v>
      </c>
      <c r="B258" s="167" t="s">
        <v>2056</v>
      </c>
      <c r="C258" s="22" t="s">
        <v>453</v>
      </c>
      <c r="D258" s="168">
        <v>1</v>
      </c>
      <c r="E258" s="169" t="b">
        <v>1</v>
      </c>
      <c r="F258" s="170" t="s">
        <v>1801</v>
      </c>
      <c r="G258" s="171">
        <v>1</v>
      </c>
      <c r="H258" s="171">
        <v>1</v>
      </c>
      <c r="I258" s="171">
        <v>1</v>
      </c>
      <c r="J258" s="171">
        <v>1</v>
      </c>
      <c r="K258" s="171">
        <v>1</v>
      </c>
      <c r="L258" s="171"/>
      <c r="M258" s="171"/>
      <c r="N258" s="171"/>
      <c r="O258" s="171"/>
      <c r="P258" s="171"/>
      <c r="Q258" s="171"/>
      <c r="R258" s="171"/>
      <c r="S258" s="171"/>
      <c r="T258" s="171">
        <v>1</v>
      </c>
      <c r="U258" s="171"/>
      <c r="V258" s="171"/>
      <c r="W258" s="171"/>
      <c r="X258" s="171"/>
      <c r="Y258" s="171"/>
      <c r="Z258" s="171"/>
      <c r="AA258" s="171"/>
      <c r="AB258" s="171"/>
      <c r="AC258" s="171"/>
      <c r="AD258" s="171"/>
      <c r="AE258" s="171"/>
      <c r="AF258" s="171"/>
      <c r="AG258" s="171"/>
      <c r="AH258" s="22"/>
      <c r="AI258" s="171" t="s">
        <v>1429</v>
      </c>
      <c r="AJ258" s="22">
        <f t="shared" si="5"/>
        <v>6</v>
      </c>
      <c r="AK258" s="22">
        <f t="shared" si="6"/>
        <v>6</v>
      </c>
    </row>
    <row r="259" spans="1:37" ht="15.75" customHeight="1">
      <c r="A259" s="167" t="s">
        <v>1262</v>
      </c>
      <c r="B259" s="167" t="s">
        <v>2055</v>
      </c>
      <c r="C259" s="22" t="s">
        <v>1261</v>
      </c>
      <c r="D259" s="168">
        <v>1</v>
      </c>
      <c r="E259" s="169" t="b">
        <v>1</v>
      </c>
      <c r="F259" s="170" t="s">
        <v>1964</v>
      </c>
      <c r="G259" s="171">
        <v>1</v>
      </c>
      <c r="H259" s="171">
        <v>1</v>
      </c>
      <c r="I259" s="171">
        <v>1</v>
      </c>
      <c r="J259" s="171"/>
      <c r="K259" s="171">
        <v>1</v>
      </c>
      <c r="L259" s="171"/>
      <c r="M259" s="171"/>
      <c r="N259" s="171"/>
      <c r="O259" s="171">
        <v>1</v>
      </c>
      <c r="P259" s="171"/>
      <c r="Q259" s="171"/>
      <c r="R259" s="171"/>
      <c r="S259" s="171"/>
      <c r="T259" s="171"/>
      <c r="U259" s="171"/>
      <c r="V259" s="171">
        <v>1</v>
      </c>
      <c r="W259" s="171"/>
      <c r="X259" s="171"/>
      <c r="Y259" s="171"/>
      <c r="Z259" s="171"/>
      <c r="AA259" s="171"/>
      <c r="AB259" s="171"/>
      <c r="AC259" s="171"/>
      <c r="AD259" s="171"/>
      <c r="AE259" s="171"/>
      <c r="AF259" s="171"/>
      <c r="AG259" s="171"/>
      <c r="AH259" s="22"/>
      <c r="AI259" s="171"/>
      <c r="AJ259" s="22">
        <f t="shared" si="5"/>
        <v>6</v>
      </c>
      <c r="AK259" s="22">
        <f t="shared" si="6"/>
        <v>6</v>
      </c>
    </row>
    <row r="260" spans="1:37" ht="15.75" customHeight="1">
      <c r="A260" s="167" t="s">
        <v>456</v>
      </c>
      <c r="B260" s="167" t="s">
        <v>2056</v>
      </c>
      <c r="C260" s="22" t="s">
        <v>455</v>
      </c>
      <c r="D260" s="168">
        <v>1</v>
      </c>
      <c r="E260" s="169" t="b">
        <v>1</v>
      </c>
      <c r="F260" s="170" t="s">
        <v>1545</v>
      </c>
      <c r="G260" s="171">
        <v>1</v>
      </c>
      <c r="H260" s="171">
        <v>1</v>
      </c>
      <c r="I260" s="171">
        <v>1</v>
      </c>
      <c r="J260" s="171">
        <v>1</v>
      </c>
      <c r="K260" s="171">
        <v>1</v>
      </c>
      <c r="L260" s="171"/>
      <c r="M260" s="171">
        <v>1</v>
      </c>
      <c r="N260" s="171"/>
      <c r="O260" s="171"/>
      <c r="P260" s="171"/>
      <c r="Q260" s="171"/>
      <c r="R260" s="171"/>
      <c r="S260" s="171"/>
      <c r="T260" s="171"/>
      <c r="U260" s="171">
        <v>1</v>
      </c>
      <c r="V260" s="171"/>
      <c r="W260" s="171"/>
      <c r="X260" s="171"/>
      <c r="Y260" s="171"/>
      <c r="Z260" s="171"/>
      <c r="AA260" s="171"/>
      <c r="AB260" s="171"/>
      <c r="AC260" s="171"/>
      <c r="AD260" s="171"/>
      <c r="AE260" s="171"/>
      <c r="AF260" s="171"/>
      <c r="AG260" s="171">
        <v>1</v>
      </c>
      <c r="AH260" s="22"/>
      <c r="AI260" s="171" t="s">
        <v>1546</v>
      </c>
      <c r="AJ260" s="22">
        <f t="shared" si="5"/>
        <v>8</v>
      </c>
      <c r="AK260" s="22">
        <f t="shared" si="6"/>
        <v>8</v>
      </c>
    </row>
    <row r="261" spans="1:37" ht="15.75" customHeight="1">
      <c r="A261" s="167" t="s">
        <v>458</v>
      </c>
      <c r="B261" s="167" t="s">
        <v>2056</v>
      </c>
      <c r="C261" s="22" t="s">
        <v>457</v>
      </c>
      <c r="D261" s="168">
        <v>1</v>
      </c>
      <c r="E261" s="169" t="b">
        <v>1</v>
      </c>
      <c r="F261" s="170" t="s">
        <v>1678</v>
      </c>
      <c r="G261" s="171">
        <v>1</v>
      </c>
      <c r="H261" s="171">
        <v>1</v>
      </c>
      <c r="I261" s="171">
        <v>1</v>
      </c>
      <c r="J261" s="171">
        <v>1</v>
      </c>
      <c r="K261" s="171">
        <v>1</v>
      </c>
      <c r="L261" s="171">
        <v>1</v>
      </c>
      <c r="M261" s="171"/>
      <c r="N261" s="171"/>
      <c r="O261" s="171"/>
      <c r="P261" s="171"/>
      <c r="Q261" s="171"/>
      <c r="R261" s="171"/>
      <c r="S261" s="171"/>
      <c r="T261" s="171"/>
      <c r="U261" s="171">
        <v>1</v>
      </c>
      <c r="V261" s="171"/>
      <c r="W261" s="171"/>
      <c r="X261" s="171"/>
      <c r="Y261" s="171"/>
      <c r="Z261" s="171"/>
      <c r="AA261" s="171"/>
      <c r="AB261" s="171"/>
      <c r="AC261" s="171"/>
      <c r="AD261" s="171"/>
      <c r="AE261" s="171"/>
      <c r="AF261" s="171"/>
      <c r="AG261" s="171"/>
      <c r="AH261" s="22"/>
      <c r="AI261" s="171"/>
      <c r="AJ261" s="22">
        <f t="shared" si="5"/>
        <v>7</v>
      </c>
      <c r="AK261" s="22">
        <f t="shared" si="6"/>
        <v>7</v>
      </c>
    </row>
    <row r="262" spans="1:37" ht="15.75" customHeight="1">
      <c r="A262" s="167" t="s">
        <v>460</v>
      </c>
      <c r="B262" s="167" t="s">
        <v>2056</v>
      </c>
      <c r="C262" s="22" t="s">
        <v>459</v>
      </c>
      <c r="D262" s="168">
        <v>1</v>
      </c>
      <c r="E262" s="169" t="b">
        <v>1</v>
      </c>
      <c r="F262" s="170" t="s">
        <v>1870</v>
      </c>
      <c r="G262" s="171">
        <v>1</v>
      </c>
      <c r="H262" s="171">
        <v>1</v>
      </c>
      <c r="I262" s="171">
        <v>1</v>
      </c>
      <c r="J262" s="171">
        <v>1</v>
      </c>
      <c r="K262" s="171">
        <v>1</v>
      </c>
      <c r="L262" s="171"/>
      <c r="M262" s="171"/>
      <c r="N262" s="171">
        <v>1</v>
      </c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  <c r="AA262" s="171"/>
      <c r="AB262" s="171"/>
      <c r="AC262" s="171"/>
      <c r="AD262" s="171"/>
      <c r="AE262" s="171"/>
      <c r="AF262" s="171"/>
      <c r="AG262" s="171"/>
      <c r="AH262" s="22"/>
      <c r="AI262" s="171"/>
      <c r="AJ262" s="22">
        <f t="shared" si="5"/>
        <v>6</v>
      </c>
      <c r="AK262" s="22">
        <f t="shared" si="6"/>
        <v>6</v>
      </c>
    </row>
    <row r="263" spans="1:37" ht="15.75" customHeight="1">
      <c r="A263" s="167" t="s">
        <v>462</v>
      </c>
      <c r="B263" s="167" t="s">
        <v>2056</v>
      </c>
      <c r="C263" s="22" t="s">
        <v>461</v>
      </c>
      <c r="D263" s="168">
        <v>1</v>
      </c>
      <c r="E263" s="169" t="b">
        <v>1</v>
      </c>
      <c r="F263" s="170" t="s">
        <v>1871</v>
      </c>
      <c r="G263" s="171">
        <v>1</v>
      </c>
      <c r="H263" s="171">
        <v>1</v>
      </c>
      <c r="I263" s="171">
        <v>1</v>
      </c>
      <c r="J263" s="171">
        <v>1</v>
      </c>
      <c r="K263" s="171">
        <v>1</v>
      </c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>
        <v>1</v>
      </c>
      <c r="W263" s="171"/>
      <c r="X263" s="171"/>
      <c r="Y263" s="171"/>
      <c r="Z263" s="171"/>
      <c r="AA263" s="171"/>
      <c r="AB263" s="171"/>
      <c r="AC263" s="171"/>
      <c r="AD263" s="171"/>
      <c r="AE263" s="171"/>
      <c r="AF263" s="171"/>
      <c r="AG263" s="171"/>
      <c r="AH263" s="22"/>
      <c r="AI263" s="171"/>
      <c r="AJ263" s="22">
        <f t="shared" si="5"/>
        <v>6</v>
      </c>
      <c r="AK263" s="22">
        <f t="shared" si="6"/>
        <v>6</v>
      </c>
    </row>
    <row r="264" spans="1:37" ht="15.75" customHeight="1">
      <c r="A264" s="167" t="s">
        <v>464</v>
      </c>
      <c r="B264" s="167" t="s">
        <v>2056</v>
      </c>
      <c r="C264" s="22" t="s">
        <v>463</v>
      </c>
      <c r="D264" s="168">
        <v>1</v>
      </c>
      <c r="E264" s="169" t="b">
        <v>1</v>
      </c>
      <c r="F264" s="170" t="s">
        <v>1745</v>
      </c>
      <c r="G264" s="171">
        <v>1</v>
      </c>
      <c r="H264" s="171">
        <v>1</v>
      </c>
      <c r="I264" s="171">
        <v>1</v>
      </c>
      <c r="J264" s="171">
        <v>1</v>
      </c>
      <c r="K264" s="171">
        <v>1</v>
      </c>
      <c r="L264" s="171"/>
      <c r="M264" s="171"/>
      <c r="N264" s="171">
        <v>1</v>
      </c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  <c r="AA264" s="171"/>
      <c r="AB264" s="171"/>
      <c r="AC264" s="171"/>
      <c r="AD264" s="171"/>
      <c r="AE264" s="171"/>
      <c r="AF264" s="171"/>
      <c r="AG264" s="171"/>
      <c r="AH264" s="22"/>
      <c r="AI264" s="171"/>
      <c r="AJ264" s="22">
        <f t="shared" si="5"/>
        <v>6</v>
      </c>
      <c r="AK264" s="22">
        <f t="shared" si="6"/>
        <v>6</v>
      </c>
    </row>
    <row r="265" spans="1:37" ht="15.75" customHeight="1">
      <c r="A265" s="167" t="s">
        <v>466</v>
      </c>
      <c r="B265" s="167" t="s">
        <v>2056</v>
      </c>
      <c r="C265" s="22" t="s">
        <v>465</v>
      </c>
      <c r="D265" s="168">
        <v>1</v>
      </c>
      <c r="E265" s="169" t="b">
        <v>1</v>
      </c>
      <c r="F265" s="170" t="s">
        <v>1679</v>
      </c>
      <c r="G265" s="171">
        <v>1</v>
      </c>
      <c r="H265" s="171">
        <v>1</v>
      </c>
      <c r="I265" s="171">
        <v>1</v>
      </c>
      <c r="J265" s="171">
        <v>1</v>
      </c>
      <c r="K265" s="171">
        <v>1</v>
      </c>
      <c r="L265" s="171">
        <v>2</v>
      </c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  <c r="AA265" s="171"/>
      <c r="AB265" s="171"/>
      <c r="AC265" s="171"/>
      <c r="AD265" s="171"/>
      <c r="AE265" s="171"/>
      <c r="AF265" s="171"/>
      <c r="AG265" s="171"/>
      <c r="AH265" s="22"/>
      <c r="AI265" s="171"/>
      <c r="AJ265" s="22">
        <f t="shared" si="5"/>
        <v>6</v>
      </c>
      <c r="AK265" s="22">
        <f t="shared" si="6"/>
        <v>7</v>
      </c>
    </row>
    <row r="266" spans="1:37" ht="15.75" customHeight="1">
      <c r="A266" s="167" t="s">
        <v>468</v>
      </c>
      <c r="B266" s="167" t="s">
        <v>2056</v>
      </c>
      <c r="C266" s="22" t="s">
        <v>467</v>
      </c>
      <c r="D266" s="168">
        <v>1</v>
      </c>
      <c r="E266" s="169" t="b">
        <v>1</v>
      </c>
      <c r="F266" s="170" t="s">
        <v>1680</v>
      </c>
      <c r="G266" s="171">
        <v>1</v>
      </c>
      <c r="H266" s="171">
        <v>1</v>
      </c>
      <c r="I266" s="171">
        <v>1</v>
      </c>
      <c r="J266" s="171">
        <v>1</v>
      </c>
      <c r="K266" s="171">
        <v>1</v>
      </c>
      <c r="L266" s="171">
        <v>1</v>
      </c>
      <c r="M266" s="171">
        <v>1</v>
      </c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  <c r="AA266" s="171"/>
      <c r="AB266" s="171"/>
      <c r="AC266" s="171"/>
      <c r="AD266" s="171"/>
      <c r="AE266" s="171"/>
      <c r="AF266" s="171"/>
      <c r="AG266" s="171"/>
      <c r="AH266" s="22"/>
      <c r="AI266" s="171"/>
      <c r="AJ266" s="22">
        <f t="shared" si="5"/>
        <v>7</v>
      </c>
      <c r="AK266" s="22">
        <f t="shared" si="6"/>
        <v>7</v>
      </c>
    </row>
    <row r="267" spans="1:37" ht="15.75" customHeight="1">
      <c r="A267" s="167" t="s">
        <v>470</v>
      </c>
      <c r="B267" s="167" t="s">
        <v>2056</v>
      </c>
      <c r="C267" s="22" t="s">
        <v>469</v>
      </c>
      <c r="D267" s="168">
        <v>1</v>
      </c>
      <c r="E267" s="169" t="b">
        <v>1</v>
      </c>
      <c r="F267" s="170" t="s">
        <v>1681</v>
      </c>
      <c r="G267" s="171">
        <v>1</v>
      </c>
      <c r="H267" s="171">
        <v>1</v>
      </c>
      <c r="I267" s="171">
        <v>1</v>
      </c>
      <c r="J267" s="171">
        <v>1</v>
      </c>
      <c r="K267" s="171">
        <v>1</v>
      </c>
      <c r="L267" s="171">
        <v>2</v>
      </c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  <c r="AA267" s="171"/>
      <c r="AB267" s="171"/>
      <c r="AC267" s="171"/>
      <c r="AD267" s="171"/>
      <c r="AE267" s="171"/>
      <c r="AF267" s="171"/>
      <c r="AG267" s="171"/>
      <c r="AH267" s="22"/>
      <c r="AI267" s="171"/>
      <c r="AJ267" s="22">
        <f t="shared" si="5"/>
        <v>6</v>
      </c>
      <c r="AK267" s="22">
        <f t="shared" si="6"/>
        <v>7</v>
      </c>
    </row>
    <row r="268" spans="1:37" ht="15.75" customHeight="1">
      <c r="A268" s="167" t="s">
        <v>472</v>
      </c>
      <c r="B268" s="167" t="s">
        <v>2056</v>
      </c>
      <c r="C268" s="22" t="s">
        <v>471</v>
      </c>
      <c r="D268" s="168">
        <v>1</v>
      </c>
      <c r="E268" s="169" t="b">
        <v>1</v>
      </c>
      <c r="F268" s="170" t="s">
        <v>1547</v>
      </c>
      <c r="G268" s="171">
        <v>1</v>
      </c>
      <c r="H268" s="171">
        <v>1</v>
      </c>
      <c r="I268" s="171">
        <v>1</v>
      </c>
      <c r="J268" s="171">
        <v>1</v>
      </c>
      <c r="K268" s="171">
        <v>1</v>
      </c>
      <c r="L268" s="171">
        <v>1</v>
      </c>
      <c r="M268" s="171">
        <v>1</v>
      </c>
      <c r="N268" s="171"/>
      <c r="O268" s="171"/>
      <c r="P268" s="171">
        <v>1</v>
      </c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  <c r="AA268" s="171"/>
      <c r="AB268" s="171"/>
      <c r="AC268" s="171"/>
      <c r="AD268" s="171"/>
      <c r="AE268" s="171"/>
      <c r="AF268" s="171"/>
      <c r="AG268" s="171"/>
      <c r="AH268" s="22"/>
      <c r="AI268" s="171"/>
      <c r="AJ268" s="22">
        <f t="shared" si="5"/>
        <v>8</v>
      </c>
      <c r="AK268" s="22">
        <f t="shared" si="6"/>
        <v>8</v>
      </c>
    </row>
    <row r="269" spans="1:37" ht="15.75" customHeight="1">
      <c r="A269" s="167" t="s">
        <v>474</v>
      </c>
      <c r="B269" s="167" t="s">
        <v>2056</v>
      </c>
      <c r="C269" s="22" t="s">
        <v>473</v>
      </c>
      <c r="D269" s="168">
        <v>1</v>
      </c>
      <c r="E269" s="169" t="b">
        <v>1</v>
      </c>
      <c r="F269" s="170" t="s">
        <v>1996</v>
      </c>
      <c r="G269" s="171">
        <v>1</v>
      </c>
      <c r="H269" s="171">
        <v>1</v>
      </c>
      <c r="I269" s="171">
        <v>1</v>
      </c>
      <c r="J269" s="171">
        <v>1</v>
      </c>
      <c r="K269" s="171">
        <v>1</v>
      </c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  <c r="AA269" s="171"/>
      <c r="AB269" s="171"/>
      <c r="AC269" s="171"/>
      <c r="AD269" s="171"/>
      <c r="AE269" s="171"/>
      <c r="AF269" s="171"/>
      <c r="AG269" s="171"/>
      <c r="AH269" s="22"/>
      <c r="AI269" s="171"/>
      <c r="AJ269" s="22">
        <f t="shared" si="5"/>
        <v>5</v>
      </c>
      <c r="AK269" s="22">
        <f t="shared" si="6"/>
        <v>5</v>
      </c>
    </row>
    <row r="270" spans="1:37" ht="15.75" customHeight="1">
      <c r="A270" s="167" t="s">
        <v>476</v>
      </c>
      <c r="B270" s="167" t="s">
        <v>2056</v>
      </c>
      <c r="C270" s="22" t="s">
        <v>475</v>
      </c>
      <c r="D270" s="168">
        <v>1</v>
      </c>
      <c r="E270" s="169" t="b">
        <v>1</v>
      </c>
      <c r="F270" s="170" t="s">
        <v>1548</v>
      </c>
      <c r="G270" s="171">
        <v>1</v>
      </c>
      <c r="H270" s="171">
        <v>1</v>
      </c>
      <c r="I270" s="171">
        <v>1</v>
      </c>
      <c r="J270" s="171">
        <v>1</v>
      </c>
      <c r="K270" s="171">
        <v>1</v>
      </c>
      <c r="L270" s="171">
        <v>1</v>
      </c>
      <c r="M270" s="171">
        <v>1</v>
      </c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  <c r="AA270" s="171"/>
      <c r="AB270" s="171"/>
      <c r="AC270" s="171">
        <v>1</v>
      </c>
      <c r="AD270" s="171"/>
      <c r="AE270" s="171"/>
      <c r="AF270" s="171"/>
      <c r="AG270" s="171"/>
      <c r="AH270" s="22"/>
      <c r="AI270" s="171"/>
      <c r="AJ270" s="22">
        <f t="shared" si="5"/>
        <v>8</v>
      </c>
      <c r="AK270" s="22">
        <f t="shared" si="6"/>
        <v>8</v>
      </c>
    </row>
    <row r="271" spans="1:37" ht="15.75" customHeight="1">
      <c r="A271" s="167" t="s">
        <v>478</v>
      </c>
      <c r="B271" s="167" t="s">
        <v>2056</v>
      </c>
      <c r="C271" s="22" t="s">
        <v>477</v>
      </c>
      <c r="D271" s="168">
        <v>1</v>
      </c>
      <c r="E271" s="169" t="b">
        <v>1</v>
      </c>
      <c r="F271" s="170" t="s">
        <v>1872</v>
      </c>
      <c r="G271" s="171">
        <v>1</v>
      </c>
      <c r="H271" s="171">
        <v>1</v>
      </c>
      <c r="I271" s="171">
        <v>1</v>
      </c>
      <c r="J271" s="171">
        <v>1</v>
      </c>
      <c r="K271" s="171">
        <v>1</v>
      </c>
      <c r="L271" s="171"/>
      <c r="M271" s="171">
        <v>1</v>
      </c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  <c r="AA271" s="171"/>
      <c r="AB271" s="171"/>
      <c r="AC271" s="171"/>
      <c r="AD271" s="171"/>
      <c r="AE271" s="171"/>
      <c r="AF271" s="171"/>
      <c r="AG271" s="171"/>
      <c r="AH271" s="22"/>
      <c r="AI271" s="171"/>
      <c r="AJ271" s="22">
        <f t="shared" si="5"/>
        <v>6</v>
      </c>
      <c r="AK271" s="22">
        <f t="shared" si="6"/>
        <v>6</v>
      </c>
    </row>
    <row r="272" spans="1:37" ht="15.75" customHeight="1">
      <c r="A272" s="167" t="s">
        <v>480</v>
      </c>
      <c r="B272" s="167" t="s">
        <v>2056</v>
      </c>
      <c r="C272" s="22" t="s">
        <v>479</v>
      </c>
      <c r="D272" s="168">
        <v>1</v>
      </c>
      <c r="E272" s="169" t="b">
        <v>1</v>
      </c>
      <c r="F272" s="170" t="s">
        <v>1873</v>
      </c>
      <c r="G272" s="171">
        <v>1</v>
      </c>
      <c r="H272" s="171">
        <v>1</v>
      </c>
      <c r="I272" s="171">
        <v>1</v>
      </c>
      <c r="J272" s="171">
        <v>1</v>
      </c>
      <c r="K272" s="171">
        <v>1</v>
      </c>
      <c r="L272" s="171"/>
      <c r="M272" s="171">
        <v>1</v>
      </c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  <c r="AA272" s="171"/>
      <c r="AB272" s="171"/>
      <c r="AC272" s="171"/>
      <c r="AD272" s="171"/>
      <c r="AE272" s="171"/>
      <c r="AF272" s="171"/>
      <c r="AG272" s="171"/>
      <c r="AH272" s="22"/>
      <c r="AI272" s="171"/>
      <c r="AJ272" s="22">
        <f t="shared" si="5"/>
        <v>6</v>
      </c>
      <c r="AK272" s="22">
        <f t="shared" si="6"/>
        <v>6</v>
      </c>
    </row>
    <row r="273" spans="1:37" ht="15.75" customHeight="1">
      <c r="A273" s="167" t="s">
        <v>482</v>
      </c>
      <c r="B273" s="167" t="s">
        <v>2056</v>
      </c>
      <c r="C273" s="22" t="s">
        <v>481</v>
      </c>
      <c r="D273" s="168">
        <v>1</v>
      </c>
      <c r="E273" s="169" t="b">
        <v>1</v>
      </c>
      <c r="F273" s="170" t="s">
        <v>1874</v>
      </c>
      <c r="G273" s="171">
        <v>1</v>
      </c>
      <c r="H273" s="171">
        <v>1</v>
      </c>
      <c r="I273" s="171">
        <v>1</v>
      </c>
      <c r="J273" s="171">
        <v>1</v>
      </c>
      <c r="K273" s="171">
        <v>1</v>
      </c>
      <c r="L273" s="171"/>
      <c r="M273" s="171"/>
      <c r="N273" s="171">
        <v>1</v>
      </c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  <c r="AA273" s="171"/>
      <c r="AB273" s="171"/>
      <c r="AC273" s="171"/>
      <c r="AD273" s="171"/>
      <c r="AE273" s="171"/>
      <c r="AF273" s="171"/>
      <c r="AG273" s="171"/>
      <c r="AH273" s="22"/>
      <c r="AI273" s="171"/>
      <c r="AJ273" s="22">
        <f t="shared" si="5"/>
        <v>6</v>
      </c>
      <c r="AK273" s="22">
        <f t="shared" si="6"/>
        <v>6</v>
      </c>
    </row>
    <row r="274" spans="1:37" ht="15.75" customHeight="1">
      <c r="A274" s="167" t="s">
        <v>484</v>
      </c>
      <c r="B274" s="167" t="s">
        <v>2056</v>
      </c>
      <c r="C274" s="22" t="s">
        <v>483</v>
      </c>
      <c r="D274" s="168">
        <v>1</v>
      </c>
      <c r="E274" s="169" t="b">
        <v>1</v>
      </c>
      <c r="F274" s="174" t="s">
        <v>1997</v>
      </c>
      <c r="G274" s="171">
        <v>1</v>
      </c>
      <c r="H274" s="171">
        <v>1</v>
      </c>
      <c r="I274" s="171">
        <v>1</v>
      </c>
      <c r="J274" s="171">
        <v>1</v>
      </c>
      <c r="K274" s="171">
        <v>1</v>
      </c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  <c r="AA274" s="171"/>
      <c r="AB274" s="171"/>
      <c r="AC274" s="171"/>
      <c r="AD274" s="171"/>
      <c r="AE274" s="171"/>
      <c r="AF274" s="171"/>
      <c r="AG274" s="171"/>
      <c r="AH274" s="22"/>
      <c r="AI274" s="171"/>
      <c r="AJ274" s="22">
        <f t="shared" si="5"/>
        <v>5</v>
      </c>
      <c r="AK274" s="22">
        <f t="shared" si="6"/>
        <v>5</v>
      </c>
    </row>
    <row r="275" spans="1:37" ht="15.75" customHeight="1">
      <c r="A275" s="167" t="s">
        <v>486</v>
      </c>
      <c r="B275" s="167" t="s">
        <v>2056</v>
      </c>
      <c r="C275" s="22" t="s">
        <v>485</v>
      </c>
      <c r="D275" s="168">
        <v>1</v>
      </c>
      <c r="E275" s="169" t="b">
        <v>1</v>
      </c>
      <c r="F275" s="170" t="s">
        <v>1549</v>
      </c>
      <c r="G275" s="171">
        <v>1</v>
      </c>
      <c r="H275" s="171">
        <v>1</v>
      </c>
      <c r="I275" s="171">
        <v>1</v>
      </c>
      <c r="J275" s="171">
        <v>1</v>
      </c>
      <c r="K275" s="171">
        <v>1</v>
      </c>
      <c r="L275" s="171"/>
      <c r="M275" s="171">
        <v>1</v>
      </c>
      <c r="N275" s="171">
        <v>1</v>
      </c>
      <c r="O275" s="171"/>
      <c r="P275" s="171"/>
      <c r="Q275" s="171"/>
      <c r="R275" s="171"/>
      <c r="S275" s="171"/>
      <c r="T275" s="171"/>
      <c r="U275" s="171">
        <v>1</v>
      </c>
      <c r="V275" s="171"/>
      <c r="W275" s="171"/>
      <c r="X275" s="171"/>
      <c r="Y275" s="171"/>
      <c r="Z275" s="171"/>
      <c r="AA275" s="171"/>
      <c r="AB275" s="171"/>
      <c r="AC275" s="171"/>
      <c r="AD275" s="171"/>
      <c r="AE275" s="171"/>
      <c r="AF275" s="171"/>
      <c r="AG275" s="171"/>
      <c r="AH275" s="22"/>
      <c r="AI275" s="171"/>
      <c r="AJ275" s="22">
        <f t="shared" si="5"/>
        <v>8</v>
      </c>
      <c r="AK275" s="22">
        <f t="shared" si="6"/>
        <v>8</v>
      </c>
    </row>
    <row r="276" spans="1:37" ht="15.75" customHeight="1">
      <c r="A276" s="167" t="s">
        <v>488</v>
      </c>
      <c r="B276" s="167" t="s">
        <v>2056</v>
      </c>
      <c r="C276" s="22" t="s">
        <v>487</v>
      </c>
      <c r="D276" s="168">
        <v>1</v>
      </c>
      <c r="E276" s="169" t="b">
        <v>1</v>
      </c>
      <c r="F276" s="170" t="s">
        <v>1682</v>
      </c>
      <c r="G276" s="171">
        <v>1</v>
      </c>
      <c r="H276" s="171">
        <v>1</v>
      </c>
      <c r="I276" s="171">
        <v>1</v>
      </c>
      <c r="J276" s="171">
        <v>1</v>
      </c>
      <c r="K276" s="171">
        <v>1</v>
      </c>
      <c r="L276" s="171">
        <v>1</v>
      </c>
      <c r="M276" s="171"/>
      <c r="N276" s="171">
        <v>1</v>
      </c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  <c r="AA276" s="171"/>
      <c r="AB276" s="171"/>
      <c r="AC276" s="171"/>
      <c r="AD276" s="171"/>
      <c r="AE276" s="171"/>
      <c r="AF276" s="171"/>
      <c r="AG276" s="171"/>
      <c r="AH276" s="22"/>
      <c r="AI276" s="171"/>
      <c r="AJ276" s="22">
        <f t="shared" si="5"/>
        <v>7</v>
      </c>
      <c r="AK276" s="22">
        <f t="shared" si="6"/>
        <v>7</v>
      </c>
    </row>
    <row r="277" spans="1:37" ht="15.75" customHeight="1">
      <c r="A277" s="167" t="s">
        <v>490</v>
      </c>
      <c r="B277" s="167" t="s">
        <v>2056</v>
      </c>
      <c r="C277" s="22" t="s">
        <v>489</v>
      </c>
      <c r="D277" s="168">
        <v>1</v>
      </c>
      <c r="E277" s="169" t="b">
        <v>1</v>
      </c>
      <c r="F277" s="170" t="s">
        <v>1875</v>
      </c>
      <c r="G277" s="171">
        <v>1</v>
      </c>
      <c r="H277" s="171">
        <v>1</v>
      </c>
      <c r="I277" s="171">
        <v>1</v>
      </c>
      <c r="J277" s="171">
        <v>1</v>
      </c>
      <c r="K277" s="171">
        <v>1</v>
      </c>
      <c r="L277" s="171">
        <v>1</v>
      </c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1"/>
      <c r="AD277" s="171"/>
      <c r="AE277" s="171"/>
      <c r="AF277" s="171"/>
      <c r="AG277" s="171"/>
      <c r="AH277" s="22"/>
      <c r="AI277" s="171"/>
      <c r="AJ277" s="22">
        <f t="shared" si="5"/>
        <v>6</v>
      </c>
      <c r="AK277" s="22">
        <f t="shared" si="6"/>
        <v>6</v>
      </c>
    </row>
    <row r="278" spans="1:37" ht="15.75" customHeight="1">
      <c r="A278" s="167" t="s">
        <v>492</v>
      </c>
      <c r="B278" s="167" t="s">
        <v>2056</v>
      </c>
      <c r="C278" s="22" t="s">
        <v>491</v>
      </c>
      <c r="D278" s="168">
        <v>1</v>
      </c>
      <c r="E278" s="169" t="b">
        <v>1</v>
      </c>
      <c r="F278" s="170" t="s">
        <v>1998</v>
      </c>
      <c r="G278" s="171">
        <v>1</v>
      </c>
      <c r="H278" s="171">
        <v>1</v>
      </c>
      <c r="I278" s="171">
        <v>1</v>
      </c>
      <c r="J278" s="171">
        <v>1</v>
      </c>
      <c r="K278" s="171">
        <v>1</v>
      </c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  <c r="AA278" s="171"/>
      <c r="AB278" s="171"/>
      <c r="AC278" s="171"/>
      <c r="AD278" s="171"/>
      <c r="AE278" s="171"/>
      <c r="AF278" s="171"/>
      <c r="AG278" s="171"/>
      <c r="AH278" s="22"/>
      <c r="AI278" s="171"/>
      <c r="AJ278" s="22">
        <f t="shared" si="5"/>
        <v>5</v>
      </c>
      <c r="AK278" s="22">
        <f t="shared" si="6"/>
        <v>5</v>
      </c>
    </row>
    <row r="279" spans="1:37" ht="15.75" customHeight="1">
      <c r="A279" s="167" t="s">
        <v>494</v>
      </c>
      <c r="B279" s="167" t="s">
        <v>2056</v>
      </c>
      <c r="C279" s="22" t="s">
        <v>493</v>
      </c>
      <c r="D279" s="168">
        <v>1</v>
      </c>
      <c r="E279" s="169" t="b">
        <v>1</v>
      </c>
      <c r="F279" s="170" t="s">
        <v>1683</v>
      </c>
      <c r="G279" s="171">
        <v>1</v>
      </c>
      <c r="H279" s="171">
        <v>1</v>
      </c>
      <c r="I279" s="171">
        <v>1</v>
      </c>
      <c r="J279" s="171">
        <v>1</v>
      </c>
      <c r="K279" s="171">
        <v>1</v>
      </c>
      <c r="L279" s="171"/>
      <c r="M279" s="171"/>
      <c r="N279" s="171"/>
      <c r="O279" s="171"/>
      <c r="P279" s="171">
        <v>1</v>
      </c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  <c r="AA279" s="171"/>
      <c r="AB279" s="171"/>
      <c r="AC279" s="171"/>
      <c r="AD279" s="171"/>
      <c r="AE279" s="171"/>
      <c r="AF279" s="171"/>
      <c r="AG279" s="171">
        <v>1</v>
      </c>
      <c r="AH279" s="22"/>
      <c r="AI279" s="171" t="s">
        <v>1413</v>
      </c>
      <c r="AJ279" s="22">
        <f t="shared" si="5"/>
        <v>7</v>
      </c>
      <c r="AK279" s="22">
        <f t="shared" si="6"/>
        <v>7</v>
      </c>
    </row>
    <row r="280" spans="1:37" ht="15.75" customHeight="1">
      <c r="A280" s="167" t="s">
        <v>496</v>
      </c>
      <c r="B280" s="167" t="s">
        <v>2056</v>
      </c>
      <c r="C280" s="22" t="s">
        <v>495</v>
      </c>
      <c r="D280" s="168">
        <v>1</v>
      </c>
      <c r="E280" s="169" t="b">
        <v>1</v>
      </c>
      <c r="F280" s="170" t="s">
        <v>1876</v>
      </c>
      <c r="G280" s="171">
        <v>1</v>
      </c>
      <c r="H280" s="171">
        <v>1</v>
      </c>
      <c r="I280" s="171">
        <v>1</v>
      </c>
      <c r="J280" s="171">
        <v>1</v>
      </c>
      <c r="K280" s="171">
        <v>1</v>
      </c>
      <c r="L280" s="171">
        <v>1</v>
      </c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  <c r="AA280" s="171"/>
      <c r="AB280" s="171"/>
      <c r="AC280" s="171"/>
      <c r="AD280" s="171"/>
      <c r="AE280" s="171"/>
      <c r="AF280" s="171"/>
      <c r="AG280" s="171"/>
      <c r="AH280" s="22"/>
      <c r="AI280" s="171"/>
      <c r="AJ280" s="22">
        <f t="shared" si="5"/>
        <v>6</v>
      </c>
      <c r="AK280" s="22">
        <f t="shared" si="6"/>
        <v>6</v>
      </c>
    </row>
    <row r="281" spans="1:37" ht="15.75" customHeight="1">
      <c r="A281" s="167" t="s">
        <v>498</v>
      </c>
      <c r="B281" s="167" t="s">
        <v>2056</v>
      </c>
      <c r="C281" s="22" t="s">
        <v>497</v>
      </c>
      <c r="D281" s="168">
        <v>1</v>
      </c>
      <c r="E281" s="169" t="b">
        <v>1</v>
      </c>
      <c r="F281" s="170" t="s">
        <v>1877</v>
      </c>
      <c r="G281" s="171">
        <v>1</v>
      </c>
      <c r="H281" s="171">
        <v>1</v>
      </c>
      <c r="I281" s="171">
        <v>1</v>
      </c>
      <c r="J281" s="171">
        <v>1</v>
      </c>
      <c r="K281" s="171"/>
      <c r="L281" s="171">
        <v>1</v>
      </c>
      <c r="M281" s="171"/>
      <c r="N281" s="171">
        <v>1</v>
      </c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  <c r="AA281" s="171"/>
      <c r="AB281" s="171"/>
      <c r="AC281" s="171"/>
      <c r="AD281" s="171"/>
      <c r="AE281" s="171"/>
      <c r="AF281" s="171"/>
      <c r="AG281" s="171"/>
      <c r="AH281" s="22"/>
      <c r="AI281" s="171"/>
      <c r="AJ281" s="22">
        <f t="shared" si="5"/>
        <v>6</v>
      </c>
      <c r="AK281" s="22">
        <f t="shared" si="6"/>
        <v>6</v>
      </c>
    </row>
    <row r="282" spans="1:37" ht="15.75" customHeight="1">
      <c r="A282" s="167" t="s">
        <v>500</v>
      </c>
      <c r="B282" s="167" t="s">
        <v>2056</v>
      </c>
      <c r="C282" s="22" t="s">
        <v>499</v>
      </c>
      <c r="D282" s="168">
        <v>1</v>
      </c>
      <c r="E282" s="169" t="b">
        <v>1</v>
      </c>
      <c r="F282" s="170" t="s">
        <v>1999</v>
      </c>
      <c r="G282" s="171">
        <v>1</v>
      </c>
      <c r="H282" s="171">
        <v>1</v>
      </c>
      <c r="I282" s="171">
        <v>1</v>
      </c>
      <c r="J282" s="171"/>
      <c r="K282" s="171">
        <v>1</v>
      </c>
      <c r="L282" s="171">
        <v>1</v>
      </c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  <c r="AA282" s="171"/>
      <c r="AB282" s="171"/>
      <c r="AC282" s="171"/>
      <c r="AD282" s="171"/>
      <c r="AE282" s="171"/>
      <c r="AF282" s="171"/>
      <c r="AG282" s="171"/>
      <c r="AH282" s="22"/>
      <c r="AI282" s="171"/>
      <c r="AJ282" s="22">
        <f t="shared" si="5"/>
        <v>5</v>
      </c>
      <c r="AK282" s="22">
        <f t="shared" si="6"/>
        <v>5</v>
      </c>
    </row>
    <row r="283" spans="1:37" ht="15.75" customHeight="1">
      <c r="A283" s="167" t="s">
        <v>502</v>
      </c>
      <c r="B283" s="167" t="s">
        <v>2056</v>
      </c>
      <c r="C283" s="22" t="s">
        <v>501</v>
      </c>
      <c r="D283" s="168">
        <v>1</v>
      </c>
      <c r="E283" s="169" t="b">
        <v>1</v>
      </c>
      <c r="F283" s="170" t="s">
        <v>2000</v>
      </c>
      <c r="G283" s="171">
        <v>1</v>
      </c>
      <c r="H283" s="171">
        <v>1</v>
      </c>
      <c r="I283" s="171">
        <v>1</v>
      </c>
      <c r="J283" s="171">
        <v>1</v>
      </c>
      <c r="K283" s="171">
        <v>1</v>
      </c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  <c r="AA283" s="171"/>
      <c r="AB283" s="171"/>
      <c r="AC283" s="171"/>
      <c r="AD283" s="171"/>
      <c r="AE283" s="171"/>
      <c r="AF283" s="171"/>
      <c r="AG283" s="171"/>
      <c r="AH283" s="22"/>
      <c r="AI283" s="171"/>
      <c r="AJ283" s="22">
        <f t="shared" si="5"/>
        <v>5</v>
      </c>
      <c r="AK283" s="22">
        <f t="shared" si="6"/>
        <v>5</v>
      </c>
    </row>
    <row r="284" spans="1:37" ht="15.75" customHeight="1">
      <c r="A284" s="167" t="s">
        <v>504</v>
      </c>
      <c r="B284" s="167" t="s">
        <v>2056</v>
      </c>
      <c r="C284" s="22" t="s">
        <v>503</v>
      </c>
      <c r="D284" s="168">
        <v>1</v>
      </c>
      <c r="E284" s="169" t="b">
        <v>1</v>
      </c>
      <c r="F284" s="170" t="s">
        <v>1878</v>
      </c>
      <c r="G284" s="171">
        <v>1</v>
      </c>
      <c r="H284" s="171">
        <v>1</v>
      </c>
      <c r="I284" s="171">
        <v>1</v>
      </c>
      <c r="J284" s="171">
        <v>1</v>
      </c>
      <c r="K284" s="171">
        <v>1</v>
      </c>
      <c r="L284" s="171">
        <v>1</v>
      </c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  <c r="AA284" s="171"/>
      <c r="AB284" s="171"/>
      <c r="AC284" s="171"/>
      <c r="AD284" s="171"/>
      <c r="AE284" s="171"/>
      <c r="AF284" s="171"/>
      <c r="AG284" s="171"/>
      <c r="AH284" s="22"/>
      <c r="AI284" s="171"/>
      <c r="AJ284" s="22">
        <f t="shared" si="5"/>
        <v>6</v>
      </c>
      <c r="AK284" s="22">
        <f t="shared" si="6"/>
        <v>6</v>
      </c>
    </row>
    <row r="285" spans="1:37" ht="15.75" customHeight="1">
      <c r="A285" s="167" t="s">
        <v>506</v>
      </c>
      <c r="B285" s="167" t="s">
        <v>2056</v>
      </c>
      <c r="C285" s="22" t="s">
        <v>505</v>
      </c>
      <c r="D285" s="168">
        <v>1</v>
      </c>
      <c r="E285" s="169" t="b">
        <v>1</v>
      </c>
      <c r="F285" s="170" t="s">
        <v>1879</v>
      </c>
      <c r="G285" s="171">
        <v>1</v>
      </c>
      <c r="H285" s="171">
        <v>1</v>
      </c>
      <c r="I285" s="171">
        <v>1</v>
      </c>
      <c r="J285" s="171">
        <v>1</v>
      </c>
      <c r="K285" s="171">
        <v>1</v>
      </c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>
        <v>1</v>
      </c>
      <c r="X285" s="171"/>
      <c r="Y285" s="171"/>
      <c r="Z285" s="171"/>
      <c r="AA285" s="171"/>
      <c r="AB285" s="171"/>
      <c r="AC285" s="171"/>
      <c r="AD285" s="171"/>
      <c r="AE285" s="171"/>
      <c r="AF285" s="171"/>
      <c r="AG285" s="171"/>
      <c r="AH285" s="22"/>
      <c r="AI285" s="171"/>
      <c r="AJ285" s="22">
        <f t="shared" si="5"/>
        <v>6</v>
      </c>
      <c r="AK285" s="22">
        <f t="shared" si="6"/>
        <v>6</v>
      </c>
    </row>
    <row r="286" spans="1:37" ht="15.75" customHeight="1">
      <c r="A286" s="167" t="s">
        <v>508</v>
      </c>
      <c r="B286" s="167" t="s">
        <v>2056</v>
      </c>
      <c r="C286" s="22" t="s">
        <v>507</v>
      </c>
      <c r="D286" s="168">
        <v>1</v>
      </c>
      <c r="E286" s="169" t="b">
        <v>1</v>
      </c>
      <c r="F286" s="174" t="s">
        <v>1393</v>
      </c>
      <c r="G286" s="171">
        <v>1</v>
      </c>
      <c r="H286" s="171">
        <v>1</v>
      </c>
      <c r="I286" s="171">
        <v>1</v>
      </c>
      <c r="J286" s="171">
        <v>1</v>
      </c>
      <c r="K286" s="171">
        <v>1</v>
      </c>
      <c r="L286" s="171">
        <v>4</v>
      </c>
      <c r="M286" s="171"/>
      <c r="N286" s="171"/>
      <c r="O286" s="171"/>
      <c r="P286" s="171"/>
      <c r="Q286" s="171"/>
      <c r="R286" s="171"/>
      <c r="S286" s="171"/>
      <c r="T286" s="171"/>
      <c r="U286" s="171"/>
      <c r="V286" s="171">
        <v>1</v>
      </c>
      <c r="W286" s="171"/>
      <c r="X286" s="171">
        <v>1</v>
      </c>
      <c r="Y286" s="171"/>
      <c r="Z286" s="171"/>
      <c r="AA286" s="171"/>
      <c r="AB286" s="171"/>
      <c r="AC286" s="171"/>
      <c r="AD286" s="171"/>
      <c r="AE286" s="171"/>
      <c r="AF286" s="171"/>
      <c r="AG286" s="171">
        <v>1</v>
      </c>
      <c r="AH286" s="22"/>
      <c r="AI286" s="171" t="s">
        <v>1394</v>
      </c>
      <c r="AJ286" s="22">
        <f t="shared" si="5"/>
        <v>9</v>
      </c>
      <c r="AK286" s="22">
        <f t="shared" si="6"/>
        <v>12</v>
      </c>
    </row>
    <row r="287" spans="1:37" ht="15.75" customHeight="1">
      <c r="A287" s="167" t="s">
        <v>510</v>
      </c>
      <c r="B287" s="167" t="s">
        <v>2056</v>
      </c>
      <c r="C287" s="22" t="s">
        <v>509</v>
      </c>
      <c r="D287" s="168">
        <v>1</v>
      </c>
      <c r="E287" s="169" t="b">
        <v>1</v>
      </c>
      <c r="F287" s="170" t="s">
        <v>1684</v>
      </c>
      <c r="G287" s="171">
        <v>1</v>
      </c>
      <c r="H287" s="171">
        <v>1</v>
      </c>
      <c r="I287" s="171">
        <v>1</v>
      </c>
      <c r="J287" s="171">
        <v>1</v>
      </c>
      <c r="K287" s="171">
        <v>1</v>
      </c>
      <c r="L287" s="171">
        <v>1</v>
      </c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  <c r="AA287" s="171">
        <v>1</v>
      </c>
      <c r="AB287" s="171"/>
      <c r="AC287" s="171"/>
      <c r="AD287" s="171"/>
      <c r="AE287" s="171"/>
      <c r="AF287" s="171"/>
      <c r="AG287" s="171"/>
      <c r="AH287" s="22"/>
      <c r="AI287" s="171"/>
      <c r="AJ287" s="22">
        <f t="shared" si="5"/>
        <v>7</v>
      </c>
      <c r="AK287" s="22">
        <f t="shared" si="6"/>
        <v>7</v>
      </c>
    </row>
    <row r="288" spans="1:37" ht="15.75" customHeight="1">
      <c r="A288" s="167" t="s">
        <v>512</v>
      </c>
      <c r="B288" s="167" t="s">
        <v>2056</v>
      </c>
      <c r="C288" s="181" t="s">
        <v>511</v>
      </c>
      <c r="D288" s="168">
        <v>1</v>
      </c>
      <c r="E288" s="169" t="b">
        <v>1</v>
      </c>
      <c r="F288" s="170" t="s">
        <v>1880</v>
      </c>
      <c r="G288" s="171">
        <v>1</v>
      </c>
      <c r="H288" s="171">
        <v>1</v>
      </c>
      <c r="I288" s="171">
        <v>1</v>
      </c>
      <c r="J288" s="171">
        <v>1</v>
      </c>
      <c r="K288" s="171">
        <v>1</v>
      </c>
      <c r="L288" s="171">
        <v>1</v>
      </c>
      <c r="M288" s="171"/>
      <c r="N288" s="171"/>
      <c r="O288" s="171"/>
      <c r="P288" s="171"/>
      <c r="Q288" s="171"/>
      <c r="R288" s="171"/>
      <c r="S288" s="171"/>
      <c r="T288" s="171"/>
      <c r="U288" s="171"/>
      <c r="V288" s="171"/>
      <c r="W288" s="171"/>
      <c r="X288" s="171"/>
      <c r="Y288" s="171"/>
      <c r="Z288" s="171"/>
      <c r="AA288" s="171"/>
      <c r="AB288" s="171"/>
      <c r="AC288" s="171"/>
      <c r="AD288" s="171"/>
      <c r="AE288" s="171"/>
      <c r="AF288" s="171"/>
      <c r="AG288" s="171"/>
      <c r="AH288" s="22"/>
      <c r="AI288" s="171"/>
      <c r="AJ288" s="22">
        <f t="shared" si="5"/>
        <v>6</v>
      </c>
      <c r="AK288" s="22">
        <f t="shared" si="6"/>
        <v>6</v>
      </c>
    </row>
    <row r="289" spans="1:37" ht="15.75" customHeight="1">
      <c r="A289" s="167" t="s">
        <v>514</v>
      </c>
      <c r="B289" s="167" t="s">
        <v>2056</v>
      </c>
      <c r="C289" s="22" t="s">
        <v>513</v>
      </c>
      <c r="D289" s="168">
        <v>1</v>
      </c>
      <c r="E289" s="169" t="b">
        <v>1</v>
      </c>
      <c r="F289" s="170" t="s">
        <v>1685</v>
      </c>
      <c r="G289" s="171">
        <v>1</v>
      </c>
      <c r="H289" s="171">
        <v>1</v>
      </c>
      <c r="I289" s="171">
        <v>1</v>
      </c>
      <c r="J289" s="171">
        <v>1</v>
      </c>
      <c r="K289" s="171">
        <v>1</v>
      </c>
      <c r="L289" s="171"/>
      <c r="M289" s="171">
        <v>1</v>
      </c>
      <c r="N289" s="171"/>
      <c r="O289" s="171"/>
      <c r="P289" s="171"/>
      <c r="Q289" s="171"/>
      <c r="R289" s="171"/>
      <c r="S289" s="171"/>
      <c r="T289" s="171"/>
      <c r="U289" s="171"/>
      <c r="V289" s="171"/>
      <c r="W289" s="171">
        <v>1</v>
      </c>
      <c r="X289" s="171"/>
      <c r="Y289" s="171"/>
      <c r="Z289" s="171"/>
      <c r="AA289" s="171"/>
      <c r="AB289" s="171"/>
      <c r="AC289" s="171"/>
      <c r="AD289" s="171"/>
      <c r="AE289" s="171"/>
      <c r="AF289" s="171"/>
      <c r="AG289" s="171"/>
      <c r="AH289" s="22"/>
      <c r="AI289" s="171"/>
      <c r="AJ289" s="22">
        <f t="shared" si="5"/>
        <v>7</v>
      </c>
      <c r="AK289" s="22">
        <f t="shared" si="6"/>
        <v>7</v>
      </c>
    </row>
    <row r="290" spans="1:37" ht="15.75" customHeight="1">
      <c r="A290" s="167" t="s">
        <v>516</v>
      </c>
      <c r="B290" s="167" t="s">
        <v>2056</v>
      </c>
      <c r="C290" s="22" t="s">
        <v>515</v>
      </c>
      <c r="D290" s="168">
        <v>1</v>
      </c>
      <c r="E290" s="169" t="b">
        <v>1</v>
      </c>
      <c r="F290" s="170" t="s">
        <v>1686</v>
      </c>
      <c r="G290" s="171">
        <v>1</v>
      </c>
      <c r="H290" s="171">
        <v>1</v>
      </c>
      <c r="I290" s="171">
        <v>1</v>
      </c>
      <c r="J290" s="171">
        <v>1</v>
      </c>
      <c r="K290" s="171">
        <v>1</v>
      </c>
      <c r="L290" s="171"/>
      <c r="M290" s="171"/>
      <c r="N290" s="171">
        <v>1</v>
      </c>
      <c r="O290" s="171"/>
      <c r="P290" s="171"/>
      <c r="Q290" s="171"/>
      <c r="R290" s="171"/>
      <c r="S290" s="171"/>
      <c r="T290" s="171"/>
      <c r="U290" s="171"/>
      <c r="V290" s="171"/>
      <c r="W290" s="171"/>
      <c r="X290" s="171"/>
      <c r="Y290" s="171"/>
      <c r="Z290" s="171"/>
      <c r="AA290" s="171"/>
      <c r="AB290" s="171"/>
      <c r="AC290" s="171"/>
      <c r="AD290" s="171"/>
      <c r="AE290" s="171"/>
      <c r="AF290" s="171"/>
      <c r="AG290" s="171">
        <v>1</v>
      </c>
      <c r="AH290" s="22"/>
      <c r="AI290" s="171" t="s">
        <v>1687</v>
      </c>
      <c r="AJ290" s="22">
        <f t="shared" si="5"/>
        <v>7</v>
      </c>
      <c r="AK290" s="22">
        <f t="shared" si="6"/>
        <v>7</v>
      </c>
    </row>
    <row r="291" spans="1:37" ht="15.75" customHeight="1">
      <c r="A291" s="167" t="s">
        <v>518</v>
      </c>
      <c r="B291" s="167" t="s">
        <v>2056</v>
      </c>
      <c r="C291" s="22" t="s">
        <v>517</v>
      </c>
      <c r="D291" s="168">
        <v>1</v>
      </c>
      <c r="E291" s="169" t="b">
        <v>1</v>
      </c>
      <c r="F291" s="170" t="s">
        <v>2001</v>
      </c>
      <c r="G291" s="171">
        <v>1</v>
      </c>
      <c r="H291" s="171">
        <v>1</v>
      </c>
      <c r="I291" s="171">
        <v>1</v>
      </c>
      <c r="J291" s="171">
        <v>1</v>
      </c>
      <c r="K291" s="171">
        <v>1</v>
      </c>
      <c r="L291" s="171"/>
      <c r="M291" s="171"/>
      <c r="N291" s="171"/>
      <c r="O291" s="171"/>
      <c r="P291" s="171"/>
      <c r="Q291" s="171"/>
      <c r="R291" s="171"/>
      <c r="S291" s="171"/>
      <c r="T291" s="171"/>
      <c r="U291" s="171"/>
      <c r="V291" s="171"/>
      <c r="W291" s="171"/>
      <c r="X291" s="171"/>
      <c r="Y291" s="171"/>
      <c r="Z291" s="171"/>
      <c r="AA291" s="171"/>
      <c r="AB291" s="171"/>
      <c r="AC291" s="171"/>
      <c r="AD291" s="171"/>
      <c r="AE291" s="171"/>
      <c r="AF291" s="171"/>
      <c r="AG291" s="171"/>
      <c r="AH291" s="22"/>
      <c r="AI291" s="171"/>
      <c r="AJ291" s="22">
        <f t="shared" si="5"/>
        <v>5</v>
      </c>
      <c r="AK291" s="22">
        <f t="shared" si="6"/>
        <v>5</v>
      </c>
    </row>
    <row r="292" spans="1:37" ht="15.75" customHeight="1">
      <c r="A292" s="167" t="s">
        <v>520</v>
      </c>
      <c r="B292" s="167" t="s">
        <v>2056</v>
      </c>
      <c r="C292" s="22" t="s">
        <v>519</v>
      </c>
      <c r="D292" s="168">
        <v>1</v>
      </c>
      <c r="E292" s="169" t="b">
        <v>1</v>
      </c>
      <c r="F292" s="170" t="s">
        <v>1881</v>
      </c>
      <c r="G292" s="171">
        <v>1</v>
      </c>
      <c r="H292" s="171">
        <v>1</v>
      </c>
      <c r="I292" s="171">
        <v>1</v>
      </c>
      <c r="J292" s="171">
        <v>1</v>
      </c>
      <c r="K292" s="171">
        <v>1</v>
      </c>
      <c r="L292" s="171">
        <v>1</v>
      </c>
      <c r="M292" s="171"/>
      <c r="N292" s="171"/>
      <c r="O292" s="171"/>
      <c r="P292" s="171"/>
      <c r="Q292" s="171"/>
      <c r="R292" s="171"/>
      <c r="S292" s="171"/>
      <c r="T292" s="171"/>
      <c r="U292" s="171"/>
      <c r="V292" s="171"/>
      <c r="W292" s="171"/>
      <c r="X292" s="171"/>
      <c r="Y292" s="171"/>
      <c r="Z292" s="171"/>
      <c r="AA292" s="171"/>
      <c r="AB292" s="171"/>
      <c r="AC292" s="171"/>
      <c r="AD292" s="171"/>
      <c r="AE292" s="171"/>
      <c r="AF292" s="171"/>
      <c r="AG292" s="171"/>
      <c r="AH292" s="22"/>
      <c r="AI292" s="171"/>
      <c r="AJ292" s="22">
        <f t="shared" si="5"/>
        <v>6</v>
      </c>
      <c r="AK292" s="22">
        <f t="shared" si="6"/>
        <v>6</v>
      </c>
    </row>
    <row r="293" spans="1:37" ht="15.75" customHeight="1">
      <c r="A293" s="167" t="s">
        <v>522</v>
      </c>
      <c r="B293" s="167" t="s">
        <v>2056</v>
      </c>
      <c r="C293" s="22" t="s">
        <v>521</v>
      </c>
      <c r="D293" s="168">
        <v>1</v>
      </c>
      <c r="E293" s="169" t="b">
        <v>1</v>
      </c>
      <c r="F293" s="170" t="s">
        <v>1843</v>
      </c>
      <c r="G293" s="171">
        <v>1</v>
      </c>
      <c r="H293" s="171">
        <v>1</v>
      </c>
      <c r="I293" s="171">
        <v>1</v>
      </c>
      <c r="J293" s="171">
        <v>1</v>
      </c>
      <c r="K293" s="171">
        <v>1</v>
      </c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  <c r="AA293" s="171"/>
      <c r="AB293" s="171"/>
      <c r="AC293" s="171"/>
      <c r="AD293" s="171"/>
      <c r="AE293" s="171"/>
      <c r="AF293" s="171"/>
      <c r="AG293" s="171"/>
      <c r="AH293" s="22"/>
      <c r="AI293" s="171"/>
      <c r="AJ293" s="22">
        <f t="shared" si="5"/>
        <v>5</v>
      </c>
      <c r="AK293" s="22">
        <f t="shared" si="6"/>
        <v>5</v>
      </c>
    </row>
    <row r="294" spans="1:37" ht="15.75" customHeight="1">
      <c r="A294" s="167" t="s">
        <v>524</v>
      </c>
      <c r="B294" s="167" t="s">
        <v>2056</v>
      </c>
      <c r="C294" s="22" t="s">
        <v>523</v>
      </c>
      <c r="D294" s="168">
        <v>1</v>
      </c>
      <c r="E294" s="169" t="b">
        <v>1</v>
      </c>
      <c r="F294" s="174" t="s">
        <v>1882</v>
      </c>
      <c r="G294" s="171">
        <v>1</v>
      </c>
      <c r="H294" s="171">
        <v>1</v>
      </c>
      <c r="I294" s="171">
        <v>1</v>
      </c>
      <c r="J294" s="171">
        <v>1</v>
      </c>
      <c r="K294" s="171">
        <v>1</v>
      </c>
      <c r="L294" s="171">
        <v>1</v>
      </c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  <c r="AA294" s="171"/>
      <c r="AB294" s="171"/>
      <c r="AC294" s="171"/>
      <c r="AD294" s="171"/>
      <c r="AE294" s="171"/>
      <c r="AF294" s="171"/>
      <c r="AG294" s="171"/>
      <c r="AH294" s="22"/>
      <c r="AI294" s="171"/>
      <c r="AJ294" s="22">
        <f t="shared" si="5"/>
        <v>6</v>
      </c>
      <c r="AK294" s="22">
        <f t="shared" si="6"/>
        <v>6</v>
      </c>
    </row>
    <row r="295" spans="1:37" ht="15.75" customHeight="1">
      <c r="A295" s="167" t="s">
        <v>526</v>
      </c>
      <c r="B295" s="167" t="s">
        <v>2056</v>
      </c>
      <c r="C295" s="22" t="s">
        <v>525</v>
      </c>
      <c r="D295" s="168">
        <v>1</v>
      </c>
      <c r="E295" s="169" t="b">
        <v>1</v>
      </c>
      <c r="F295" s="170" t="s">
        <v>2002</v>
      </c>
      <c r="G295" s="171">
        <v>1</v>
      </c>
      <c r="H295" s="171">
        <v>1</v>
      </c>
      <c r="I295" s="171">
        <v>1</v>
      </c>
      <c r="J295" s="171">
        <v>1</v>
      </c>
      <c r="K295" s="171">
        <v>1</v>
      </c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  <c r="AA295" s="171"/>
      <c r="AB295" s="171"/>
      <c r="AC295" s="171"/>
      <c r="AD295" s="171"/>
      <c r="AE295" s="171"/>
      <c r="AF295" s="171"/>
      <c r="AG295" s="171"/>
      <c r="AH295" s="22"/>
      <c r="AI295" s="171"/>
      <c r="AJ295" s="22">
        <f t="shared" si="5"/>
        <v>5</v>
      </c>
      <c r="AK295" s="22">
        <f t="shared" si="6"/>
        <v>5</v>
      </c>
    </row>
    <row r="296" spans="1:37" ht="15.75" customHeight="1">
      <c r="A296" s="167" t="s">
        <v>528</v>
      </c>
      <c r="B296" s="167" t="s">
        <v>2056</v>
      </c>
      <c r="C296" s="22" t="s">
        <v>527</v>
      </c>
      <c r="D296" s="168">
        <v>1</v>
      </c>
      <c r="E296" s="169" t="b">
        <v>1</v>
      </c>
      <c r="F296" s="170" t="s">
        <v>1883</v>
      </c>
      <c r="G296" s="171">
        <v>1</v>
      </c>
      <c r="H296" s="171">
        <v>1</v>
      </c>
      <c r="I296" s="171">
        <v>1</v>
      </c>
      <c r="J296" s="171">
        <v>1</v>
      </c>
      <c r="K296" s="171">
        <v>1</v>
      </c>
      <c r="L296" s="171">
        <v>1</v>
      </c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  <c r="AA296" s="171"/>
      <c r="AB296" s="171"/>
      <c r="AC296" s="171"/>
      <c r="AD296" s="171"/>
      <c r="AE296" s="171"/>
      <c r="AF296" s="171"/>
      <c r="AG296" s="171"/>
      <c r="AH296" s="22"/>
      <c r="AI296" s="171"/>
      <c r="AJ296" s="22">
        <f t="shared" si="5"/>
        <v>6</v>
      </c>
      <c r="AK296" s="22">
        <f t="shared" si="6"/>
        <v>6</v>
      </c>
    </row>
    <row r="297" spans="1:37" ht="15.75" customHeight="1">
      <c r="A297" s="167" t="s">
        <v>530</v>
      </c>
      <c r="B297" s="167" t="s">
        <v>2056</v>
      </c>
      <c r="C297" s="22" t="s">
        <v>529</v>
      </c>
      <c r="D297" s="168">
        <v>1</v>
      </c>
      <c r="E297" s="169" t="b">
        <v>1</v>
      </c>
      <c r="F297" s="170" t="s">
        <v>1550</v>
      </c>
      <c r="G297" s="171">
        <v>1</v>
      </c>
      <c r="H297" s="171">
        <v>1</v>
      </c>
      <c r="I297" s="171">
        <v>1</v>
      </c>
      <c r="J297" s="171">
        <v>1</v>
      </c>
      <c r="K297" s="171">
        <v>1</v>
      </c>
      <c r="L297" s="171">
        <v>1</v>
      </c>
      <c r="M297" s="171">
        <v>1</v>
      </c>
      <c r="N297" s="171"/>
      <c r="O297" s="171"/>
      <c r="P297" s="171"/>
      <c r="Q297" s="171">
        <v>1</v>
      </c>
      <c r="R297" s="171"/>
      <c r="S297" s="171"/>
      <c r="T297" s="171"/>
      <c r="U297" s="171"/>
      <c r="V297" s="171"/>
      <c r="W297" s="171"/>
      <c r="X297" s="171"/>
      <c r="Y297" s="171"/>
      <c r="Z297" s="171"/>
      <c r="AA297" s="171"/>
      <c r="AB297" s="171"/>
      <c r="AC297" s="171"/>
      <c r="AD297" s="171"/>
      <c r="AE297" s="171"/>
      <c r="AF297" s="171"/>
      <c r="AG297" s="171"/>
      <c r="AH297" s="22"/>
      <c r="AI297" s="171"/>
      <c r="AJ297" s="22">
        <f t="shared" si="5"/>
        <v>8</v>
      </c>
      <c r="AK297" s="22">
        <f t="shared" si="6"/>
        <v>8</v>
      </c>
    </row>
    <row r="298" spans="1:37" ht="15.75" customHeight="1">
      <c r="A298" s="167" t="s">
        <v>1264</v>
      </c>
      <c r="B298" s="167" t="s">
        <v>2055</v>
      </c>
      <c r="C298" s="22" t="s">
        <v>1263</v>
      </c>
      <c r="D298" s="168">
        <v>1</v>
      </c>
      <c r="E298" s="169" t="b">
        <v>1</v>
      </c>
      <c r="F298" s="170" t="s">
        <v>1608</v>
      </c>
      <c r="G298" s="171">
        <v>1</v>
      </c>
      <c r="H298" s="171">
        <v>1</v>
      </c>
      <c r="I298" s="171">
        <v>1</v>
      </c>
      <c r="J298" s="171">
        <v>1</v>
      </c>
      <c r="K298" s="171">
        <v>1</v>
      </c>
      <c r="L298" s="171">
        <v>1</v>
      </c>
      <c r="M298" s="171"/>
      <c r="N298" s="171"/>
      <c r="O298" s="171">
        <v>1</v>
      </c>
      <c r="P298" s="171"/>
      <c r="Q298" s="171"/>
      <c r="R298" s="171"/>
      <c r="S298" s="171"/>
      <c r="T298" s="171"/>
      <c r="U298" s="171"/>
      <c r="V298" s="171"/>
      <c r="W298" s="171"/>
      <c r="X298" s="171"/>
      <c r="Y298" s="171">
        <v>1</v>
      </c>
      <c r="Z298" s="171"/>
      <c r="AA298" s="171"/>
      <c r="AB298" s="171"/>
      <c r="AC298" s="171"/>
      <c r="AD298" s="171"/>
      <c r="AE298" s="171"/>
      <c r="AF298" s="171"/>
      <c r="AG298" s="171"/>
      <c r="AH298" s="22"/>
      <c r="AI298" s="171"/>
      <c r="AJ298" s="22">
        <f t="shared" si="5"/>
        <v>8</v>
      </c>
      <c r="AK298" s="22">
        <f t="shared" si="6"/>
        <v>8</v>
      </c>
    </row>
    <row r="299" spans="1:37" ht="15.75" customHeight="1">
      <c r="A299" s="167" t="s">
        <v>1266</v>
      </c>
      <c r="B299" s="167" t="s">
        <v>2055</v>
      </c>
      <c r="C299" s="22" t="s">
        <v>1265</v>
      </c>
      <c r="D299" s="168">
        <v>1</v>
      </c>
      <c r="E299" s="169" t="b">
        <v>1</v>
      </c>
      <c r="F299" s="170" t="s">
        <v>1781</v>
      </c>
      <c r="G299" s="171">
        <v>1</v>
      </c>
      <c r="H299" s="171">
        <v>1</v>
      </c>
      <c r="I299" s="171">
        <v>1</v>
      </c>
      <c r="J299" s="171">
        <v>1</v>
      </c>
      <c r="K299" s="171">
        <v>1</v>
      </c>
      <c r="L299" s="171"/>
      <c r="M299" s="171"/>
      <c r="N299" s="171"/>
      <c r="O299" s="171">
        <v>1</v>
      </c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  <c r="AA299" s="171"/>
      <c r="AB299" s="171"/>
      <c r="AC299" s="171"/>
      <c r="AD299" s="171"/>
      <c r="AE299" s="171"/>
      <c r="AF299" s="171"/>
      <c r="AG299" s="171">
        <v>1</v>
      </c>
      <c r="AH299" s="22"/>
      <c r="AI299" s="171" t="s">
        <v>1394</v>
      </c>
      <c r="AJ299" s="22">
        <f t="shared" si="5"/>
        <v>7</v>
      </c>
      <c r="AK299" s="22">
        <f t="shared" si="6"/>
        <v>7</v>
      </c>
    </row>
    <row r="300" spans="1:37" ht="15.75" customHeight="1">
      <c r="A300" s="167" t="s">
        <v>532</v>
      </c>
      <c r="B300" s="167" t="s">
        <v>2056</v>
      </c>
      <c r="C300" s="22" t="s">
        <v>531</v>
      </c>
      <c r="D300" s="168">
        <v>1</v>
      </c>
      <c r="E300" s="169" t="b">
        <v>1</v>
      </c>
      <c r="F300" s="170" t="s">
        <v>1688</v>
      </c>
      <c r="G300" s="171">
        <v>1</v>
      </c>
      <c r="H300" s="171">
        <v>1</v>
      </c>
      <c r="I300" s="171">
        <v>1</v>
      </c>
      <c r="J300" s="171">
        <v>1</v>
      </c>
      <c r="K300" s="171">
        <v>1</v>
      </c>
      <c r="L300" s="171"/>
      <c r="M300" s="171"/>
      <c r="N300" s="171"/>
      <c r="O300" s="171"/>
      <c r="P300" s="171">
        <v>1</v>
      </c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  <c r="AA300" s="171"/>
      <c r="AB300" s="171"/>
      <c r="AC300" s="171">
        <v>1</v>
      </c>
      <c r="AD300" s="171"/>
      <c r="AE300" s="171"/>
      <c r="AF300" s="171"/>
      <c r="AG300" s="171"/>
      <c r="AH300" s="22"/>
      <c r="AI300" s="171"/>
      <c r="AJ300" s="22">
        <f t="shared" si="5"/>
        <v>7</v>
      </c>
      <c r="AK300" s="22">
        <f t="shared" si="6"/>
        <v>7</v>
      </c>
    </row>
    <row r="301" spans="1:37" ht="15.75" customHeight="1">
      <c r="A301" s="167" t="s">
        <v>534</v>
      </c>
      <c r="B301" s="167" t="s">
        <v>2056</v>
      </c>
      <c r="C301" s="22" t="s">
        <v>533</v>
      </c>
      <c r="D301" s="168">
        <v>1</v>
      </c>
      <c r="E301" s="169" t="b">
        <v>1</v>
      </c>
      <c r="F301" s="170" t="s">
        <v>1884</v>
      </c>
      <c r="G301" s="171">
        <v>1</v>
      </c>
      <c r="H301" s="171">
        <v>1</v>
      </c>
      <c r="I301" s="171">
        <v>1</v>
      </c>
      <c r="J301" s="171">
        <v>1</v>
      </c>
      <c r="K301" s="171">
        <v>1</v>
      </c>
      <c r="L301" s="171">
        <v>1</v>
      </c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  <c r="AA301" s="171"/>
      <c r="AB301" s="171"/>
      <c r="AC301" s="171"/>
      <c r="AD301" s="171"/>
      <c r="AE301" s="171"/>
      <c r="AF301" s="171"/>
      <c r="AG301" s="171"/>
      <c r="AH301" s="22"/>
      <c r="AI301" s="171"/>
      <c r="AJ301" s="22">
        <f t="shared" si="5"/>
        <v>6</v>
      </c>
      <c r="AK301" s="22">
        <f t="shared" si="6"/>
        <v>6</v>
      </c>
    </row>
    <row r="302" spans="1:37" ht="15.75" customHeight="1">
      <c r="A302" s="167" t="s">
        <v>536</v>
      </c>
      <c r="B302" s="167" t="s">
        <v>2056</v>
      </c>
      <c r="C302" s="22" t="s">
        <v>535</v>
      </c>
      <c r="D302" s="168">
        <v>1</v>
      </c>
      <c r="E302" s="169" t="b">
        <v>1</v>
      </c>
      <c r="F302" s="170" t="s">
        <v>1885</v>
      </c>
      <c r="G302" s="171">
        <v>1</v>
      </c>
      <c r="H302" s="171">
        <v>1</v>
      </c>
      <c r="I302" s="171">
        <v>1</v>
      </c>
      <c r="J302" s="171">
        <v>1</v>
      </c>
      <c r="K302" s="171">
        <v>1</v>
      </c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  <c r="AA302" s="171"/>
      <c r="AB302" s="171"/>
      <c r="AC302" s="171"/>
      <c r="AD302" s="171"/>
      <c r="AE302" s="171"/>
      <c r="AF302" s="171"/>
      <c r="AG302" s="171">
        <v>1</v>
      </c>
      <c r="AH302" s="22"/>
      <c r="AI302" s="171" t="s">
        <v>1413</v>
      </c>
      <c r="AJ302" s="22">
        <f t="shared" si="5"/>
        <v>6</v>
      </c>
      <c r="AK302" s="22">
        <f t="shared" si="6"/>
        <v>6</v>
      </c>
    </row>
    <row r="303" spans="1:37" ht="15.75" customHeight="1">
      <c r="A303" s="167" t="s">
        <v>538</v>
      </c>
      <c r="B303" s="167" t="s">
        <v>2056</v>
      </c>
      <c r="C303" s="22" t="s">
        <v>537</v>
      </c>
      <c r="D303" s="168">
        <v>1</v>
      </c>
      <c r="E303" s="169" t="b">
        <v>1</v>
      </c>
      <c r="F303" s="170" t="s">
        <v>1689</v>
      </c>
      <c r="G303" s="171">
        <v>1</v>
      </c>
      <c r="H303" s="171">
        <v>1</v>
      </c>
      <c r="I303" s="171">
        <v>1</v>
      </c>
      <c r="J303" s="171">
        <v>1</v>
      </c>
      <c r="K303" s="171">
        <v>1</v>
      </c>
      <c r="L303" s="171">
        <v>2</v>
      </c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  <c r="AA303" s="171"/>
      <c r="AB303" s="171"/>
      <c r="AC303" s="171"/>
      <c r="AD303" s="171"/>
      <c r="AE303" s="171"/>
      <c r="AF303" s="171"/>
      <c r="AG303" s="171"/>
      <c r="AH303" s="22"/>
      <c r="AI303" s="171"/>
      <c r="AJ303" s="22">
        <f t="shared" si="5"/>
        <v>6</v>
      </c>
      <c r="AK303" s="22">
        <f t="shared" si="6"/>
        <v>7</v>
      </c>
    </row>
    <row r="304" spans="1:37" ht="15.75" customHeight="1">
      <c r="A304" s="167" t="s">
        <v>540</v>
      </c>
      <c r="B304" s="167" t="s">
        <v>2056</v>
      </c>
      <c r="C304" s="22" t="s">
        <v>539</v>
      </c>
      <c r="D304" s="168">
        <v>1</v>
      </c>
      <c r="E304" s="169" t="b">
        <v>1</v>
      </c>
      <c r="F304" s="170" t="s">
        <v>1444</v>
      </c>
      <c r="G304" s="171">
        <v>1</v>
      </c>
      <c r="H304" s="171">
        <v>1</v>
      </c>
      <c r="I304" s="171">
        <v>1</v>
      </c>
      <c r="J304" s="171">
        <v>1</v>
      </c>
      <c r="K304" s="171">
        <v>1</v>
      </c>
      <c r="L304" s="171">
        <v>1</v>
      </c>
      <c r="M304" s="171"/>
      <c r="N304" s="171">
        <v>1</v>
      </c>
      <c r="O304" s="171"/>
      <c r="P304" s="171"/>
      <c r="Q304" s="171">
        <v>1</v>
      </c>
      <c r="R304" s="171"/>
      <c r="S304" s="171"/>
      <c r="T304" s="171"/>
      <c r="U304" s="171"/>
      <c r="V304" s="171"/>
      <c r="W304" s="171"/>
      <c r="X304" s="171"/>
      <c r="Y304" s="171"/>
      <c r="Z304" s="171"/>
      <c r="AA304" s="171">
        <v>1</v>
      </c>
      <c r="AB304" s="171"/>
      <c r="AC304" s="171"/>
      <c r="AD304" s="171"/>
      <c r="AE304" s="171"/>
      <c r="AF304" s="171"/>
      <c r="AG304" s="171"/>
      <c r="AH304" s="22"/>
      <c r="AI304" s="171"/>
      <c r="AJ304" s="22">
        <f t="shared" si="5"/>
        <v>9</v>
      </c>
      <c r="AK304" s="22">
        <f t="shared" si="6"/>
        <v>9</v>
      </c>
    </row>
    <row r="305" spans="1:37" ht="15.75" customHeight="1">
      <c r="A305" s="167" t="s">
        <v>542</v>
      </c>
      <c r="B305" s="167" t="s">
        <v>2056</v>
      </c>
      <c r="C305" s="22" t="s">
        <v>541</v>
      </c>
      <c r="D305" s="168">
        <v>1</v>
      </c>
      <c r="E305" s="169" t="b">
        <v>1</v>
      </c>
      <c r="F305" s="170" t="s">
        <v>1886</v>
      </c>
      <c r="G305" s="171">
        <v>1</v>
      </c>
      <c r="H305" s="171">
        <v>1</v>
      </c>
      <c r="I305" s="171">
        <v>1</v>
      </c>
      <c r="J305" s="171">
        <v>1</v>
      </c>
      <c r="K305" s="171">
        <v>1</v>
      </c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  <c r="AA305" s="171"/>
      <c r="AB305" s="171"/>
      <c r="AC305" s="171"/>
      <c r="AD305" s="171"/>
      <c r="AE305" s="171"/>
      <c r="AF305" s="171"/>
      <c r="AG305" s="171">
        <v>1</v>
      </c>
      <c r="AH305" s="22"/>
      <c r="AI305" s="171" t="s">
        <v>1413</v>
      </c>
      <c r="AJ305" s="22">
        <f t="shared" si="5"/>
        <v>6</v>
      </c>
      <c r="AK305" s="22">
        <f t="shared" si="6"/>
        <v>6</v>
      </c>
    </row>
    <row r="306" spans="1:37" ht="15.75" customHeight="1">
      <c r="A306" s="167" t="s">
        <v>544</v>
      </c>
      <c r="B306" s="167" t="s">
        <v>2056</v>
      </c>
      <c r="C306" s="22" t="s">
        <v>543</v>
      </c>
      <c r="D306" s="168">
        <v>1</v>
      </c>
      <c r="E306" s="169" t="b">
        <v>1</v>
      </c>
      <c r="F306" s="170" t="s">
        <v>1414</v>
      </c>
      <c r="G306" s="171">
        <v>1</v>
      </c>
      <c r="H306" s="171">
        <v>1</v>
      </c>
      <c r="I306" s="171">
        <v>1</v>
      </c>
      <c r="J306" s="171">
        <v>1</v>
      </c>
      <c r="K306" s="171">
        <v>1</v>
      </c>
      <c r="L306" s="171">
        <v>1</v>
      </c>
      <c r="M306" s="171"/>
      <c r="N306" s="171"/>
      <c r="O306" s="171"/>
      <c r="P306" s="171"/>
      <c r="Q306" s="171"/>
      <c r="R306" s="171"/>
      <c r="S306" s="171">
        <v>1</v>
      </c>
      <c r="T306" s="171"/>
      <c r="U306" s="171"/>
      <c r="V306" s="171"/>
      <c r="W306" s="171"/>
      <c r="X306" s="171"/>
      <c r="Y306" s="171"/>
      <c r="Z306" s="171"/>
      <c r="AA306" s="171"/>
      <c r="AB306" s="171"/>
      <c r="AC306" s="171"/>
      <c r="AD306" s="171"/>
      <c r="AE306" s="171"/>
      <c r="AF306" s="171"/>
      <c r="AG306" s="171"/>
      <c r="AH306" s="22"/>
      <c r="AI306" s="171"/>
      <c r="AJ306" s="22">
        <f t="shared" si="5"/>
        <v>7</v>
      </c>
      <c r="AK306" s="22">
        <f t="shared" si="6"/>
        <v>7</v>
      </c>
    </row>
    <row r="307" spans="1:37" ht="15.75" customHeight="1">
      <c r="A307" s="167" t="s">
        <v>546</v>
      </c>
      <c r="B307" s="167" t="s">
        <v>2056</v>
      </c>
      <c r="C307" s="22" t="s">
        <v>545</v>
      </c>
      <c r="D307" s="168">
        <v>1</v>
      </c>
      <c r="E307" s="169" t="b">
        <v>1</v>
      </c>
      <c r="F307" s="170" t="s">
        <v>1690</v>
      </c>
      <c r="G307" s="171">
        <v>1</v>
      </c>
      <c r="H307" s="171">
        <v>1</v>
      </c>
      <c r="I307" s="171">
        <v>1</v>
      </c>
      <c r="J307" s="171">
        <v>1</v>
      </c>
      <c r="K307" s="171">
        <v>1</v>
      </c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>
        <v>1</v>
      </c>
      <c r="W307" s="171"/>
      <c r="X307" s="171">
        <v>1</v>
      </c>
      <c r="Y307" s="171"/>
      <c r="Z307" s="171"/>
      <c r="AA307" s="171"/>
      <c r="AB307" s="171"/>
      <c r="AC307" s="171"/>
      <c r="AD307" s="171"/>
      <c r="AE307" s="171"/>
      <c r="AF307" s="171"/>
      <c r="AG307" s="171"/>
      <c r="AH307" s="22"/>
      <c r="AI307" s="171"/>
      <c r="AJ307" s="22">
        <f t="shared" si="5"/>
        <v>7</v>
      </c>
      <c r="AK307" s="22">
        <f t="shared" si="6"/>
        <v>7</v>
      </c>
    </row>
    <row r="308" spans="1:37" ht="15.75" customHeight="1">
      <c r="A308" s="167" t="s">
        <v>548</v>
      </c>
      <c r="B308" s="167" t="s">
        <v>2056</v>
      </c>
      <c r="C308" s="22" t="s">
        <v>547</v>
      </c>
      <c r="D308" s="168">
        <v>1</v>
      </c>
      <c r="E308" s="169" t="b">
        <v>1</v>
      </c>
      <c r="F308" s="170" t="s">
        <v>1407</v>
      </c>
      <c r="G308" s="171">
        <v>1</v>
      </c>
      <c r="H308" s="171">
        <v>1</v>
      </c>
      <c r="I308" s="171">
        <v>1</v>
      </c>
      <c r="J308" s="171">
        <v>1</v>
      </c>
      <c r="K308" s="171">
        <v>1</v>
      </c>
      <c r="L308" s="171">
        <v>2</v>
      </c>
      <c r="M308" s="171"/>
      <c r="N308" s="171"/>
      <c r="O308" s="171"/>
      <c r="P308" s="171"/>
      <c r="Q308" s="171"/>
      <c r="R308" s="171"/>
      <c r="S308" s="171"/>
      <c r="T308" s="171"/>
      <c r="U308" s="171">
        <v>1</v>
      </c>
      <c r="V308" s="171"/>
      <c r="W308" s="171">
        <v>1</v>
      </c>
      <c r="X308" s="171"/>
      <c r="Y308" s="171"/>
      <c r="Z308" s="171"/>
      <c r="AA308" s="171">
        <v>1</v>
      </c>
      <c r="AB308" s="171"/>
      <c r="AC308" s="171"/>
      <c r="AD308" s="171"/>
      <c r="AE308" s="171"/>
      <c r="AF308" s="171"/>
      <c r="AG308" s="171"/>
      <c r="AH308" s="22"/>
      <c r="AI308" s="171"/>
      <c r="AJ308" s="22">
        <f t="shared" si="5"/>
        <v>9</v>
      </c>
      <c r="AK308" s="22">
        <f t="shared" si="6"/>
        <v>10</v>
      </c>
    </row>
    <row r="309" spans="1:37" ht="15.75" customHeight="1">
      <c r="A309" s="167" t="s">
        <v>550</v>
      </c>
      <c r="B309" s="167" t="s">
        <v>2056</v>
      </c>
      <c r="C309" s="22" t="s">
        <v>549</v>
      </c>
      <c r="D309" s="168">
        <v>1</v>
      </c>
      <c r="E309" s="169" t="b">
        <v>1</v>
      </c>
      <c r="F309" s="170" t="s">
        <v>1551</v>
      </c>
      <c r="G309" s="171">
        <v>1</v>
      </c>
      <c r="H309" s="171">
        <v>1</v>
      </c>
      <c r="I309" s="171">
        <v>1</v>
      </c>
      <c r="J309" s="171">
        <v>1</v>
      </c>
      <c r="K309" s="171">
        <v>1</v>
      </c>
      <c r="L309" s="171">
        <v>1</v>
      </c>
      <c r="M309" s="171"/>
      <c r="N309" s="171">
        <v>1</v>
      </c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  <c r="AA309" s="171"/>
      <c r="AB309" s="171"/>
      <c r="AC309" s="171"/>
      <c r="AD309" s="171"/>
      <c r="AE309" s="171"/>
      <c r="AF309" s="171"/>
      <c r="AG309" s="171">
        <v>1</v>
      </c>
      <c r="AH309" s="22"/>
      <c r="AI309" s="171" t="s">
        <v>1413</v>
      </c>
      <c r="AJ309" s="22">
        <f t="shared" si="5"/>
        <v>8</v>
      </c>
      <c r="AK309" s="22">
        <f t="shared" si="6"/>
        <v>8</v>
      </c>
    </row>
    <row r="310" spans="1:37" ht="15.75" customHeight="1">
      <c r="A310" s="167" t="s">
        <v>1188</v>
      </c>
      <c r="B310" s="167" t="s">
        <v>2055</v>
      </c>
      <c r="C310" s="22" t="s">
        <v>1187</v>
      </c>
      <c r="D310" s="168">
        <v>1</v>
      </c>
      <c r="E310" s="169" t="b">
        <v>1</v>
      </c>
      <c r="F310" s="170" t="s">
        <v>1770</v>
      </c>
      <c r="G310" s="171">
        <v>1</v>
      </c>
      <c r="H310" s="171">
        <v>1</v>
      </c>
      <c r="I310" s="171">
        <v>1</v>
      </c>
      <c r="J310" s="171">
        <v>1</v>
      </c>
      <c r="K310" s="171">
        <v>1</v>
      </c>
      <c r="L310" s="171">
        <v>1</v>
      </c>
      <c r="M310" s="171"/>
      <c r="N310" s="171"/>
      <c r="O310" s="171">
        <v>1</v>
      </c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  <c r="AA310" s="171"/>
      <c r="AB310" s="171"/>
      <c r="AC310" s="171"/>
      <c r="AD310" s="171"/>
      <c r="AE310" s="171"/>
      <c r="AF310" s="171"/>
      <c r="AG310" s="171"/>
      <c r="AH310" s="22"/>
      <c r="AI310" s="171"/>
      <c r="AJ310" s="22">
        <f t="shared" si="5"/>
        <v>7</v>
      </c>
      <c r="AK310" s="22">
        <f t="shared" si="6"/>
        <v>7</v>
      </c>
    </row>
    <row r="311" spans="1:37" ht="15.75" customHeight="1">
      <c r="A311" s="167" t="s">
        <v>552</v>
      </c>
      <c r="B311" s="167" t="s">
        <v>2056</v>
      </c>
      <c r="C311" s="22" t="s">
        <v>551</v>
      </c>
      <c r="D311" s="168">
        <v>1</v>
      </c>
      <c r="E311" s="169" t="b">
        <v>1</v>
      </c>
      <c r="F311" s="170" t="s">
        <v>1493</v>
      </c>
      <c r="G311" s="171">
        <v>1</v>
      </c>
      <c r="H311" s="171">
        <v>1</v>
      </c>
      <c r="I311" s="171">
        <v>1</v>
      </c>
      <c r="J311" s="171">
        <v>1</v>
      </c>
      <c r="K311" s="171">
        <v>1</v>
      </c>
      <c r="L311" s="171"/>
      <c r="M311" s="171">
        <v>1</v>
      </c>
      <c r="N311" s="171"/>
      <c r="O311" s="171"/>
      <c r="P311" s="171"/>
      <c r="Q311" s="171"/>
      <c r="R311" s="171"/>
      <c r="S311" s="171"/>
      <c r="T311" s="171">
        <v>1</v>
      </c>
      <c r="U311" s="171"/>
      <c r="V311" s="171"/>
      <c r="W311" s="171"/>
      <c r="X311" s="171">
        <v>1</v>
      </c>
      <c r="Y311" s="171"/>
      <c r="Z311" s="171"/>
      <c r="AA311" s="171"/>
      <c r="AB311" s="171"/>
      <c r="AC311" s="171"/>
      <c r="AD311" s="171"/>
      <c r="AE311" s="171"/>
      <c r="AF311" s="171"/>
      <c r="AG311" s="171"/>
      <c r="AH311" s="22"/>
      <c r="AI311" s="171" t="s">
        <v>1494</v>
      </c>
      <c r="AJ311" s="22">
        <f t="shared" si="5"/>
        <v>8</v>
      </c>
      <c r="AK311" s="22">
        <f t="shared" si="6"/>
        <v>8</v>
      </c>
    </row>
    <row r="312" spans="1:37" ht="15.75" customHeight="1">
      <c r="A312" s="167" t="s">
        <v>554</v>
      </c>
      <c r="B312" s="167" t="s">
        <v>2056</v>
      </c>
      <c r="C312" s="22" t="s">
        <v>553</v>
      </c>
      <c r="D312" s="168">
        <v>1</v>
      </c>
      <c r="E312" s="169" t="b">
        <v>1</v>
      </c>
      <c r="F312" s="170" t="s">
        <v>2003</v>
      </c>
      <c r="G312" s="171">
        <v>1</v>
      </c>
      <c r="H312" s="171">
        <v>1</v>
      </c>
      <c r="I312" s="171">
        <v>1</v>
      </c>
      <c r="J312" s="171">
        <v>1</v>
      </c>
      <c r="K312" s="171">
        <v>1</v>
      </c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  <c r="AA312" s="171"/>
      <c r="AB312" s="171"/>
      <c r="AC312" s="171"/>
      <c r="AD312" s="171"/>
      <c r="AE312" s="171"/>
      <c r="AF312" s="171"/>
      <c r="AG312" s="171"/>
      <c r="AH312" s="22"/>
      <c r="AI312" s="171"/>
      <c r="AJ312" s="22">
        <f t="shared" si="5"/>
        <v>5</v>
      </c>
      <c r="AK312" s="22">
        <f t="shared" si="6"/>
        <v>5</v>
      </c>
    </row>
    <row r="313" spans="1:37" ht="15.75" customHeight="1">
      <c r="A313" s="167" t="s">
        <v>556</v>
      </c>
      <c r="B313" s="167" t="s">
        <v>2056</v>
      </c>
      <c r="C313" s="22" t="s">
        <v>555</v>
      </c>
      <c r="D313" s="168">
        <v>1</v>
      </c>
      <c r="E313" s="169" t="b">
        <v>1</v>
      </c>
      <c r="F313" s="170" t="s">
        <v>1445</v>
      </c>
      <c r="G313" s="171">
        <v>1</v>
      </c>
      <c r="H313" s="171">
        <v>1</v>
      </c>
      <c r="I313" s="171">
        <v>1</v>
      </c>
      <c r="J313" s="171">
        <v>1</v>
      </c>
      <c r="K313" s="171">
        <v>1</v>
      </c>
      <c r="L313" s="171">
        <v>2</v>
      </c>
      <c r="M313" s="171"/>
      <c r="N313" s="171"/>
      <c r="O313" s="171"/>
      <c r="P313" s="171"/>
      <c r="Q313" s="171">
        <v>1</v>
      </c>
      <c r="R313" s="171"/>
      <c r="S313" s="171">
        <v>1</v>
      </c>
      <c r="T313" s="171"/>
      <c r="U313" s="171"/>
      <c r="V313" s="171"/>
      <c r="W313" s="171"/>
      <c r="X313" s="171"/>
      <c r="Y313" s="171"/>
      <c r="Z313" s="171"/>
      <c r="AA313" s="171"/>
      <c r="AB313" s="171"/>
      <c r="AC313" s="171"/>
      <c r="AD313" s="171"/>
      <c r="AE313" s="171"/>
      <c r="AF313" s="171"/>
      <c r="AG313" s="171"/>
      <c r="AH313" s="22"/>
      <c r="AI313" s="171"/>
      <c r="AJ313" s="22">
        <f t="shared" si="5"/>
        <v>8</v>
      </c>
      <c r="AK313" s="22">
        <f t="shared" si="6"/>
        <v>9</v>
      </c>
    </row>
    <row r="314" spans="1:37" ht="15.75" customHeight="1">
      <c r="A314" s="167" t="s">
        <v>558</v>
      </c>
      <c r="B314" s="167" t="s">
        <v>2056</v>
      </c>
      <c r="C314" s="22" t="s">
        <v>557</v>
      </c>
      <c r="D314" s="168">
        <v>1</v>
      </c>
      <c r="E314" s="169" t="b">
        <v>1</v>
      </c>
      <c r="F314" s="170" t="s">
        <v>1887</v>
      </c>
      <c r="G314" s="171">
        <v>1</v>
      </c>
      <c r="H314" s="171">
        <v>1</v>
      </c>
      <c r="I314" s="171">
        <v>1</v>
      </c>
      <c r="J314" s="171">
        <v>1</v>
      </c>
      <c r="K314" s="171">
        <v>1</v>
      </c>
      <c r="L314" s="171"/>
      <c r="M314" s="171"/>
      <c r="N314" s="171">
        <v>1</v>
      </c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  <c r="AA314" s="171"/>
      <c r="AB314" s="171"/>
      <c r="AC314" s="171"/>
      <c r="AD314" s="171"/>
      <c r="AE314" s="171"/>
      <c r="AF314" s="171"/>
      <c r="AG314" s="171"/>
      <c r="AH314" s="22"/>
      <c r="AI314" s="171"/>
      <c r="AJ314" s="22">
        <f t="shared" si="5"/>
        <v>6</v>
      </c>
      <c r="AK314" s="22">
        <f t="shared" si="6"/>
        <v>6</v>
      </c>
    </row>
    <row r="315" spans="1:37" ht="15.75" customHeight="1">
      <c r="A315" s="167" t="s">
        <v>560</v>
      </c>
      <c r="B315" s="167" t="s">
        <v>2056</v>
      </c>
      <c r="C315" s="22" t="s">
        <v>559</v>
      </c>
      <c r="D315" s="168">
        <v>1</v>
      </c>
      <c r="E315" s="169" t="b">
        <v>1</v>
      </c>
      <c r="F315" s="170" t="s">
        <v>1888</v>
      </c>
      <c r="G315" s="171">
        <v>1</v>
      </c>
      <c r="H315" s="171">
        <v>1</v>
      </c>
      <c r="I315" s="171">
        <v>1</v>
      </c>
      <c r="J315" s="171">
        <v>1</v>
      </c>
      <c r="K315" s="171">
        <v>1</v>
      </c>
      <c r="L315" s="171">
        <v>1</v>
      </c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  <c r="AA315" s="171"/>
      <c r="AB315" s="171"/>
      <c r="AC315" s="171"/>
      <c r="AD315" s="171"/>
      <c r="AE315" s="171"/>
      <c r="AF315" s="171"/>
      <c r="AG315" s="171"/>
      <c r="AH315" s="22"/>
      <c r="AI315" s="171"/>
      <c r="AJ315" s="22">
        <f t="shared" si="5"/>
        <v>6</v>
      </c>
      <c r="AK315" s="22">
        <f t="shared" si="6"/>
        <v>6</v>
      </c>
    </row>
    <row r="316" spans="1:37" ht="15.75" customHeight="1">
      <c r="A316" s="167" t="s">
        <v>562</v>
      </c>
      <c r="B316" s="167" t="s">
        <v>2056</v>
      </c>
      <c r="C316" s="22" t="s">
        <v>561</v>
      </c>
      <c r="D316" s="168">
        <v>1</v>
      </c>
      <c r="E316" s="169" t="b">
        <v>1</v>
      </c>
      <c r="F316" s="170" t="s">
        <v>1691</v>
      </c>
      <c r="G316" s="171">
        <v>1</v>
      </c>
      <c r="H316" s="171">
        <v>1</v>
      </c>
      <c r="I316" s="171">
        <v>1</v>
      </c>
      <c r="J316" s="171">
        <v>1</v>
      </c>
      <c r="K316" s="171">
        <v>1</v>
      </c>
      <c r="L316" s="171"/>
      <c r="M316" s="171">
        <v>1</v>
      </c>
      <c r="N316" s="171">
        <v>1</v>
      </c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  <c r="AA316" s="171"/>
      <c r="AB316" s="171"/>
      <c r="AC316" s="171"/>
      <c r="AD316" s="171"/>
      <c r="AE316" s="171"/>
      <c r="AF316" s="171"/>
      <c r="AG316" s="171"/>
      <c r="AH316" s="22"/>
      <c r="AI316" s="171"/>
      <c r="AJ316" s="22">
        <f t="shared" si="5"/>
        <v>7</v>
      </c>
      <c r="AK316" s="22">
        <f t="shared" si="6"/>
        <v>7</v>
      </c>
    </row>
    <row r="317" spans="1:37" ht="15.75" customHeight="1">
      <c r="A317" s="167" t="s">
        <v>564</v>
      </c>
      <c r="B317" s="167" t="s">
        <v>2056</v>
      </c>
      <c r="C317" s="22" t="s">
        <v>563</v>
      </c>
      <c r="D317" s="168">
        <v>1</v>
      </c>
      <c r="E317" s="169" t="b">
        <v>1</v>
      </c>
      <c r="F317" s="170" t="s">
        <v>2004</v>
      </c>
      <c r="G317" s="171">
        <v>1</v>
      </c>
      <c r="H317" s="171">
        <v>1</v>
      </c>
      <c r="I317" s="171">
        <v>1</v>
      </c>
      <c r="J317" s="171">
        <v>1</v>
      </c>
      <c r="K317" s="171">
        <v>1</v>
      </c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  <c r="AA317" s="171"/>
      <c r="AB317" s="171"/>
      <c r="AC317" s="171"/>
      <c r="AD317" s="171"/>
      <c r="AE317" s="171"/>
      <c r="AF317" s="171"/>
      <c r="AG317" s="171"/>
      <c r="AH317" s="22"/>
      <c r="AI317" s="171"/>
      <c r="AJ317" s="22">
        <f t="shared" si="5"/>
        <v>5</v>
      </c>
      <c r="AK317" s="22">
        <f t="shared" si="6"/>
        <v>5</v>
      </c>
    </row>
    <row r="318" spans="1:37" ht="15.75" customHeight="1">
      <c r="A318" s="167" t="s">
        <v>566</v>
      </c>
      <c r="B318" s="167" t="s">
        <v>2056</v>
      </c>
      <c r="C318" s="22" t="s">
        <v>565</v>
      </c>
      <c r="D318" s="168">
        <v>1</v>
      </c>
      <c r="E318" s="169" t="b">
        <v>1</v>
      </c>
      <c r="F318" s="170" t="s">
        <v>1552</v>
      </c>
      <c r="G318" s="171">
        <v>1</v>
      </c>
      <c r="H318" s="171">
        <v>1</v>
      </c>
      <c r="I318" s="171">
        <v>1</v>
      </c>
      <c r="J318" s="171">
        <v>1</v>
      </c>
      <c r="K318" s="171">
        <v>1</v>
      </c>
      <c r="L318" s="171"/>
      <c r="M318" s="171">
        <v>1</v>
      </c>
      <c r="N318" s="171">
        <v>1</v>
      </c>
      <c r="O318" s="171"/>
      <c r="P318" s="171"/>
      <c r="Q318" s="171">
        <v>1</v>
      </c>
      <c r="R318" s="171"/>
      <c r="S318" s="171"/>
      <c r="T318" s="171"/>
      <c r="U318" s="171"/>
      <c r="V318" s="171"/>
      <c r="W318" s="171"/>
      <c r="X318" s="171"/>
      <c r="Y318" s="171"/>
      <c r="Z318" s="171"/>
      <c r="AA318" s="171"/>
      <c r="AB318" s="171"/>
      <c r="AC318" s="171"/>
      <c r="AD318" s="171"/>
      <c r="AE318" s="171"/>
      <c r="AF318" s="171"/>
      <c r="AG318" s="171"/>
      <c r="AH318" s="22"/>
      <c r="AI318" s="171"/>
      <c r="AJ318" s="22">
        <f t="shared" si="5"/>
        <v>8</v>
      </c>
      <c r="AK318" s="22">
        <f t="shared" si="6"/>
        <v>8</v>
      </c>
    </row>
    <row r="319" spans="1:37" ht="15.75" customHeight="1">
      <c r="A319" s="167" t="s">
        <v>568</v>
      </c>
      <c r="B319" s="167" t="s">
        <v>2056</v>
      </c>
      <c r="C319" s="22" t="s">
        <v>567</v>
      </c>
      <c r="D319" s="168">
        <v>1</v>
      </c>
      <c r="E319" s="169" t="b">
        <v>1</v>
      </c>
      <c r="F319" s="170" t="s">
        <v>1446</v>
      </c>
      <c r="G319" s="171">
        <v>1</v>
      </c>
      <c r="H319" s="171">
        <v>1</v>
      </c>
      <c r="I319" s="171">
        <v>1</v>
      </c>
      <c r="J319" s="171">
        <v>1</v>
      </c>
      <c r="K319" s="171">
        <v>1</v>
      </c>
      <c r="L319" s="171">
        <v>2</v>
      </c>
      <c r="M319" s="171"/>
      <c r="N319" s="171">
        <v>1</v>
      </c>
      <c r="O319" s="171"/>
      <c r="P319" s="171"/>
      <c r="Q319" s="171"/>
      <c r="R319" s="171"/>
      <c r="S319" s="171">
        <v>1</v>
      </c>
      <c r="T319" s="171"/>
      <c r="U319" s="171"/>
      <c r="V319" s="171"/>
      <c r="W319" s="171"/>
      <c r="X319" s="171"/>
      <c r="Y319" s="171"/>
      <c r="Z319" s="171"/>
      <c r="AA319" s="171"/>
      <c r="AB319" s="171"/>
      <c r="AC319" s="171"/>
      <c r="AD319" s="171"/>
      <c r="AE319" s="171"/>
      <c r="AF319" s="171"/>
      <c r="AG319" s="171"/>
      <c r="AH319" s="22"/>
      <c r="AI319" s="171"/>
      <c r="AJ319" s="22">
        <f t="shared" si="5"/>
        <v>8</v>
      </c>
      <c r="AK319" s="22">
        <f t="shared" si="6"/>
        <v>9</v>
      </c>
    </row>
    <row r="320" spans="1:37" ht="15.75" customHeight="1">
      <c r="A320" s="167" t="s">
        <v>570</v>
      </c>
      <c r="B320" s="167" t="s">
        <v>2056</v>
      </c>
      <c r="C320" s="22" t="s">
        <v>569</v>
      </c>
      <c r="D320" s="168">
        <v>1</v>
      </c>
      <c r="E320" s="169" t="b">
        <v>1</v>
      </c>
      <c r="F320" s="170" t="s">
        <v>1399</v>
      </c>
      <c r="G320" s="171">
        <v>1</v>
      </c>
      <c r="H320" s="171">
        <v>1</v>
      </c>
      <c r="I320" s="171">
        <v>1</v>
      </c>
      <c r="J320" s="171">
        <v>1</v>
      </c>
      <c r="K320" s="171">
        <v>1</v>
      </c>
      <c r="L320" s="171"/>
      <c r="M320" s="171">
        <v>1</v>
      </c>
      <c r="N320" s="171">
        <v>1</v>
      </c>
      <c r="O320" s="171"/>
      <c r="P320" s="171"/>
      <c r="Q320" s="171"/>
      <c r="R320" s="171"/>
      <c r="S320" s="171">
        <v>1</v>
      </c>
      <c r="T320" s="171"/>
      <c r="U320" s="171"/>
      <c r="V320" s="171"/>
      <c r="W320" s="171">
        <v>1</v>
      </c>
      <c r="X320" s="171"/>
      <c r="Y320" s="171"/>
      <c r="Z320" s="171"/>
      <c r="AA320" s="171"/>
      <c r="AB320" s="171"/>
      <c r="AC320" s="171"/>
      <c r="AD320" s="171">
        <v>1</v>
      </c>
      <c r="AE320" s="171"/>
      <c r="AF320" s="171"/>
      <c r="AG320" s="171">
        <v>1</v>
      </c>
      <c r="AH320" s="22"/>
      <c r="AI320" s="171" t="s">
        <v>1400</v>
      </c>
      <c r="AJ320" s="22">
        <f t="shared" si="5"/>
        <v>11</v>
      </c>
      <c r="AK320" s="22">
        <f t="shared" si="6"/>
        <v>11</v>
      </c>
    </row>
    <row r="321" spans="1:37" ht="15.75" customHeight="1">
      <c r="A321" s="167" t="s">
        <v>572</v>
      </c>
      <c r="B321" s="167" t="s">
        <v>2056</v>
      </c>
      <c r="C321" s="22" t="s">
        <v>571</v>
      </c>
      <c r="D321" s="168">
        <v>1</v>
      </c>
      <c r="E321" s="169" t="b">
        <v>1</v>
      </c>
      <c r="F321" s="170" t="s">
        <v>1692</v>
      </c>
      <c r="G321" s="171">
        <v>1</v>
      </c>
      <c r="H321" s="171">
        <v>1</v>
      </c>
      <c r="I321" s="171">
        <v>1</v>
      </c>
      <c r="J321" s="171">
        <v>1</v>
      </c>
      <c r="K321" s="171">
        <v>1</v>
      </c>
      <c r="L321" s="171"/>
      <c r="M321" s="171"/>
      <c r="N321" s="171">
        <v>1</v>
      </c>
      <c r="O321" s="171"/>
      <c r="P321" s="171"/>
      <c r="Q321" s="171"/>
      <c r="R321" s="171"/>
      <c r="S321" s="171">
        <v>1</v>
      </c>
      <c r="T321" s="171"/>
      <c r="U321" s="171"/>
      <c r="V321" s="171"/>
      <c r="W321" s="171"/>
      <c r="X321" s="171"/>
      <c r="Y321" s="171"/>
      <c r="Z321" s="171"/>
      <c r="AA321" s="171"/>
      <c r="AB321" s="171"/>
      <c r="AC321" s="171"/>
      <c r="AD321" s="171"/>
      <c r="AE321" s="171"/>
      <c r="AF321" s="171"/>
      <c r="AG321" s="171"/>
      <c r="AH321" s="22"/>
      <c r="AI321" s="171"/>
      <c r="AJ321" s="22">
        <f t="shared" si="5"/>
        <v>7</v>
      </c>
      <c r="AK321" s="22">
        <f t="shared" si="6"/>
        <v>7</v>
      </c>
    </row>
    <row r="322" spans="1:37" ht="15.75" customHeight="1">
      <c r="A322" s="167" t="s">
        <v>574</v>
      </c>
      <c r="B322" s="167" t="s">
        <v>2056</v>
      </c>
      <c r="C322" s="22" t="s">
        <v>573</v>
      </c>
      <c r="D322" s="168">
        <v>1</v>
      </c>
      <c r="E322" s="169" t="b">
        <v>1</v>
      </c>
      <c r="F322" s="170" t="s">
        <v>1553</v>
      </c>
      <c r="G322" s="171">
        <v>1</v>
      </c>
      <c r="H322" s="171">
        <v>1</v>
      </c>
      <c r="I322" s="171">
        <v>1</v>
      </c>
      <c r="J322" s="171">
        <v>1</v>
      </c>
      <c r="K322" s="171"/>
      <c r="L322" s="171">
        <v>1</v>
      </c>
      <c r="M322" s="171">
        <v>1</v>
      </c>
      <c r="N322" s="171">
        <v>1</v>
      </c>
      <c r="O322" s="171"/>
      <c r="P322" s="171"/>
      <c r="Q322" s="171"/>
      <c r="R322" s="171"/>
      <c r="S322" s="171"/>
      <c r="T322" s="171"/>
      <c r="U322" s="171"/>
      <c r="V322" s="171"/>
      <c r="W322" s="171">
        <v>1</v>
      </c>
      <c r="X322" s="171"/>
      <c r="Y322" s="171"/>
      <c r="Z322" s="171"/>
      <c r="AA322" s="171"/>
      <c r="AB322" s="171"/>
      <c r="AC322" s="171"/>
      <c r="AD322" s="171"/>
      <c r="AE322" s="171"/>
      <c r="AF322" s="171"/>
      <c r="AG322" s="171"/>
      <c r="AH322" s="22"/>
      <c r="AI322" s="171"/>
      <c r="AJ322" s="22">
        <f t="shared" si="5"/>
        <v>8</v>
      </c>
      <c r="AK322" s="22">
        <f t="shared" si="6"/>
        <v>8</v>
      </c>
    </row>
    <row r="323" spans="1:37" ht="15.75" customHeight="1">
      <c r="A323" s="167" t="s">
        <v>576</v>
      </c>
      <c r="B323" s="167" t="s">
        <v>2056</v>
      </c>
      <c r="C323" s="22" t="s">
        <v>575</v>
      </c>
      <c r="D323" s="168">
        <v>1</v>
      </c>
      <c r="E323" s="169" t="b">
        <v>1</v>
      </c>
      <c r="F323" s="170" t="s">
        <v>1693</v>
      </c>
      <c r="G323" s="171">
        <v>1</v>
      </c>
      <c r="H323" s="171">
        <v>1</v>
      </c>
      <c r="I323" s="171">
        <v>1</v>
      </c>
      <c r="J323" s="171">
        <v>1</v>
      </c>
      <c r="K323" s="171">
        <v>1</v>
      </c>
      <c r="L323" s="171"/>
      <c r="M323" s="171"/>
      <c r="N323" s="171">
        <v>1</v>
      </c>
      <c r="O323" s="171"/>
      <c r="P323" s="171"/>
      <c r="Q323" s="171"/>
      <c r="R323" s="171"/>
      <c r="S323" s="171">
        <v>1</v>
      </c>
      <c r="T323" s="171"/>
      <c r="U323" s="171"/>
      <c r="V323" s="171"/>
      <c r="W323" s="171"/>
      <c r="X323" s="171"/>
      <c r="Y323" s="171"/>
      <c r="Z323" s="171"/>
      <c r="AA323" s="171"/>
      <c r="AB323" s="171"/>
      <c r="AC323" s="171"/>
      <c r="AD323" s="171"/>
      <c r="AE323" s="171"/>
      <c r="AF323" s="171"/>
      <c r="AG323" s="171"/>
      <c r="AH323" s="22"/>
      <c r="AI323" s="171"/>
      <c r="AJ323" s="22">
        <f t="shared" si="5"/>
        <v>7</v>
      </c>
      <c r="AK323" s="22">
        <f t="shared" si="6"/>
        <v>7</v>
      </c>
    </row>
    <row r="324" spans="1:37" ht="15.75" customHeight="1">
      <c r="A324" s="167" t="s">
        <v>578</v>
      </c>
      <c r="B324" s="167" t="s">
        <v>2056</v>
      </c>
      <c r="C324" s="22" t="s">
        <v>577</v>
      </c>
      <c r="D324" s="168">
        <v>1</v>
      </c>
      <c r="E324" s="169" t="b">
        <v>1</v>
      </c>
      <c r="F324" s="170" t="s">
        <v>1554</v>
      </c>
      <c r="G324" s="171">
        <v>1</v>
      </c>
      <c r="H324" s="171">
        <v>1</v>
      </c>
      <c r="I324" s="171">
        <v>1</v>
      </c>
      <c r="J324" s="171">
        <v>1</v>
      </c>
      <c r="K324" s="171">
        <v>1</v>
      </c>
      <c r="L324" s="171"/>
      <c r="M324" s="171">
        <v>1</v>
      </c>
      <c r="N324" s="171">
        <v>1</v>
      </c>
      <c r="O324" s="171"/>
      <c r="P324" s="171"/>
      <c r="Q324" s="171"/>
      <c r="R324" s="171"/>
      <c r="S324" s="171">
        <v>1</v>
      </c>
      <c r="T324" s="171"/>
      <c r="U324" s="171"/>
      <c r="V324" s="171"/>
      <c r="W324" s="171"/>
      <c r="X324" s="171"/>
      <c r="Y324" s="171"/>
      <c r="Z324" s="171"/>
      <c r="AA324" s="171"/>
      <c r="AB324" s="171"/>
      <c r="AC324" s="171"/>
      <c r="AD324" s="171"/>
      <c r="AE324" s="171"/>
      <c r="AF324" s="171"/>
      <c r="AG324" s="171"/>
      <c r="AH324" s="22"/>
      <c r="AI324" s="171"/>
      <c r="AJ324" s="22">
        <f t="shared" si="5"/>
        <v>8</v>
      </c>
      <c r="AK324" s="22">
        <f t="shared" si="6"/>
        <v>8</v>
      </c>
    </row>
    <row r="325" spans="1:37" ht="15.75" customHeight="1">
      <c r="A325" s="167" t="s">
        <v>580</v>
      </c>
      <c r="B325" s="167" t="s">
        <v>2056</v>
      </c>
      <c r="C325" s="22" t="s">
        <v>579</v>
      </c>
      <c r="D325" s="168">
        <v>1</v>
      </c>
      <c r="E325" s="169" t="b">
        <v>1</v>
      </c>
      <c r="F325" s="170" t="s">
        <v>1402</v>
      </c>
      <c r="G325" s="171">
        <v>1</v>
      </c>
      <c r="H325" s="171">
        <v>1</v>
      </c>
      <c r="I325" s="171">
        <v>1</v>
      </c>
      <c r="J325" s="171">
        <v>1</v>
      </c>
      <c r="K325" s="171">
        <v>1</v>
      </c>
      <c r="L325" s="171">
        <v>4</v>
      </c>
      <c r="M325" s="171"/>
      <c r="N325" s="171"/>
      <c r="O325" s="171"/>
      <c r="P325" s="171"/>
      <c r="Q325" s="171"/>
      <c r="R325" s="171"/>
      <c r="S325" s="171"/>
      <c r="T325" s="171">
        <v>1</v>
      </c>
      <c r="U325" s="171"/>
      <c r="V325" s="171"/>
      <c r="W325" s="171"/>
      <c r="X325" s="171"/>
      <c r="Y325" s="171"/>
      <c r="Z325" s="171"/>
      <c r="AA325" s="171"/>
      <c r="AB325" s="171"/>
      <c r="AC325" s="171"/>
      <c r="AD325" s="171"/>
      <c r="AE325" s="171"/>
      <c r="AF325" s="171"/>
      <c r="AG325" s="171"/>
      <c r="AH325" s="22"/>
      <c r="AI325" s="171" t="s">
        <v>1403</v>
      </c>
      <c r="AJ325" s="22">
        <f t="shared" si="5"/>
        <v>7</v>
      </c>
      <c r="AK325" s="22">
        <f t="shared" si="6"/>
        <v>10</v>
      </c>
    </row>
    <row r="326" spans="1:37" ht="15.75" customHeight="1">
      <c r="A326" s="167" t="s">
        <v>582</v>
      </c>
      <c r="B326" s="167" t="s">
        <v>2056</v>
      </c>
      <c r="C326" s="22" t="s">
        <v>581</v>
      </c>
      <c r="D326" s="168">
        <v>1</v>
      </c>
      <c r="E326" s="169" t="b">
        <v>1</v>
      </c>
      <c r="F326" s="170" t="s">
        <v>1447</v>
      </c>
      <c r="G326" s="171">
        <v>1</v>
      </c>
      <c r="H326" s="171">
        <v>1</v>
      </c>
      <c r="I326" s="171">
        <v>1</v>
      </c>
      <c r="J326" s="171">
        <v>1</v>
      </c>
      <c r="K326" s="171">
        <v>1</v>
      </c>
      <c r="L326" s="171">
        <v>2</v>
      </c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>
        <v>1</v>
      </c>
      <c r="Y326" s="171"/>
      <c r="Z326" s="171"/>
      <c r="AA326" s="171"/>
      <c r="AB326" s="171"/>
      <c r="AC326" s="171">
        <v>1</v>
      </c>
      <c r="AD326" s="171"/>
      <c r="AE326" s="171"/>
      <c r="AF326" s="171"/>
      <c r="AG326" s="171"/>
      <c r="AH326" s="22"/>
      <c r="AI326" s="171"/>
      <c r="AJ326" s="22">
        <f t="shared" si="5"/>
        <v>8</v>
      </c>
      <c r="AK326" s="22">
        <f t="shared" si="6"/>
        <v>9</v>
      </c>
    </row>
    <row r="327" spans="1:37" ht="15.75" customHeight="1">
      <c r="A327" s="167" t="s">
        <v>584</v>
      </c>
      <c r="B327" s="167" t="s">
        <v>2056</v>
      </c>
      <c r="C327" s="22" t="s">
        <v>583</v>
      </c>
      <c r="D327" s="168">
        <v>1</v>
      </c>
      <c r="E327" s="169" t="b">
        <v>1</v>
      </c>
      <c r="F327" s="170" t="s">
        <v>1628</v>
      </c>
      <c r="G327" s="171">
        <v>1</v>
      </c>
      <c r="H327" s="171">
        <v>1</v>
      </c>
      <c r="I327" s="171">
        <v>1</v>
      </c>
      <c r="J327" s="171">
        <v>1</v>
      </c>
      <c r="K327" s="171">
        <v>1</v>
      </c>
      <c r="L327" s="171"/>
      <c r="M327" s="171"/>
      <c r="N327" s="171"/>
      <c r="O327" s="171"/>
      <c r="P327" s="171"/>
      <c r="Q327" s="171">
        <v>1</v>
      </c>
      <c r="R327" s="171"/>
      <c r="S327" s="171"/>
      <c r="T327" s="171">
        <v>1</v>
      </c>
      <c r="U327" s="171"/>
      <c r="V327" s="171"/>
      <c r="W327" s="171"/>
      <c r="X327" s="171"/>
      <c r="Y327" s="171"/>
      <c r="Z327" s="171"/>
      <c r="AA327" s="171"/>
      <c r="AB327" s="171"/>
      <c r="AC327" s="171"/>
      <c r="AD327" s="171"/>
      <c r="AE327" s="171"/>
      <c r="AF327" s="171"/>
      <c r="AG327" s="171"/>
      <c r="AH327" s="22"/>
      <c r="AI327" s="171" t="s">
        <v>1403</v>
      </c>
      <c r="AJ327" s="22">
        <f t="shared" si="5"/>
        <v>7</v>
      </c>
      <c r="AK327" s="22">
        <f t="shared" si="6"/>
        <v>7</v>
      </c>
    </row>
    <row r="328" spans="1:37" ht="15.75" customHeight="1">
      <c r="A328" s="167" t="s">
        <v>586</v>
      </c>
      <c r="B328" s="167" t="s">
        <v>2056</v>
      </c>
      <c r="C328" s="22" t="s">
        <v>585</v>
      </c>
      <c r="D328" s="168">
        <v>1</v>
      </c>
      <c r="E328" s="169" t="b">
        <v>1</v>
      </c>
      <c r="F328" s="170" t="s">
        <v>1889</v>
      </c>
      <c r="G328" s="171">
        <v>1</v>
      </c>
      <c r="H328" s="171">
        <v>1</v>
      </c>
      <c r="I328" s="171">
        <v>1</v>
      </c>
      <c r="J328" s="171">
        <v>1</v>
      </c>
      <c r="K328" s="171">
        <v>1</v>
      </c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  <c r="AA328" s="171"/>
      <c r="AB328" s="171">
        <v>1</v>
      </c>
      <c r="AC328" s="171"/>
      <c r="AD328" s="171"/>
      <c r="AE328" s="171"/>
      <c r="AF328" s="171"/>
      <c r="AG328" s="171"/>
      <c r="AH328" s="22"/>
      <c r="AI328" s="171"/>
      <c r="AJ328" s="22">
        <f t="shared" si="5"/>
        <v>6</v>
      </c>
      <c r="AK328" s="22">
        <f t="shared" si="6"/>
        <v>6</v>
      </c>
    </row>
    <row r="329" spans="1:37" ht="15.75" customHeight="1">
      <c r="A329" s="167" t="s">
        <v>588</v>
      </c>
      <c r="B329" s="167" t="s">
        <v>2056</v>
      </c>
      <c r="C329" s="184" t="s">
        <v>587</v>
      </c>
      <c r="D329" s="168">
        <v>1</v>
      </c>
      <c r="E329" s="169" t="b">
        <v>1</v>
      </c>
      <c r="F329" s="170" t="s">
        <v>1890</v>
      </c>
      <c r="G329" s="171">
        <v>1</v>
      </c>
      <c r="H329" s="171">
        <v>1</v>
      </c>
      <c r="I329" s="171">
        <v>1</v>
      </c>
      <c r="J329" s="171">
        <v>1</v>
      </c>
      <c r="K329" s="171">
        <v>1</v>
      </c>
      <c r="L329" s="171"/>
      <c r="M329" s="171"/>
      <c r="N329" s="171">
        <v>1</v>
      </c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  <c r="AA329" s="171"/>
      <c r="AB329" s="171"/>
      <c r="AC329" s="171"/>
      <c r="AD329" s="171"/>
      <c r="AE329" s="171"/>
      <c r="AF329" s="171"/>
      <c r="AG329" s="171"/>
      <c r="AH329" s="22"/>
      <c r="AI329" s="171"/>
      <c r="AJ329" s="22">
        <f t="shared" si="5"/>
        <v>6</v>
      </c>
      <c r="AK329" s="22">
        <f t="shared" si="6"/>
        <v>6</v>
      </c>
    </row>
    <row r="330" spans="1:37" ht="15.75" customHeight="1">
      <c r="A330" s="167" t="s">
        <v>590</v>
      </c>
      <c r="B330" s="167" t="s">
        <v>2056</v>
      </c>
      <c r="C330" s="22" t="s">
        <v>589</v>
      </c>
      <c r="D330" s="168">
        <v>1</v>
      </c>
      <c r="E330" s="169" t="b">
        <v>1</v>
      </c>
      <c r="F330" s="170" t="s">
        <v>1555</v>
      </c>
      <c r="G330" s="171">
        <v>1</v>
      </c>
      <c r="H330" s="171">
        <v>1</v>
      </c>
      <c r="I330" s="171">
        <v>1</v>
      </c>
      <c r="J330" s="171">
        <v>1</v>
      </c>
      <c r="K330" s="171">
        <v>1</v>
      </c>
      <c r="L330" s="171"/>
      <c r="M330" s="171">
        <v>1</v>
      </c>
      <c r="N330" s="171"/>
      <c r="O330" s="171"/>
      <c r="P330" s="171"/>
      <c r="Q330" s="171"/>
      <c r="R330" s="171"/>
      <c r="S330" s="171"/>
      <c r="T330" s="171"/>
      <c r="U330" s="171"/>
      <c r="V330" s="171"/>
      <c r="W330" s="171">
        <v>1</v>
      </c>
      <c r="X330" s="171"/>
      <c r="Y330" s="171"/>
      <c r="Z330" s="171"/>
      <c r="AA330" s="171"/>
      <c r="AB330" s="171"/>
      <c r="AC330" s="171"/>
      <c r="AD330" s="171"/>
      <c r="AE330" s="171"/>
      <c r="AF330" s="171"/>
      <c r="AG330" s="171">
        <v>1</v>
      </c>
      <c r="AH330" s="22"/>
      <c r="AI330" s="171" t="s">
        <v>1556</v>
      </c>
      <c r="AJ330" s="22">
        <f t="shared" si="5"/>
        <v>8</v>
      </c>
      <c r="AK330" s="22">
        <f t="shared" si="6"/>
        <v>8</v>
      </c>
    </row>
    <row r="331" spans="1:37" ht="15.75" customHeight="1">
      <c r="A331" s="167" t="s">
        <v>592</v>
      </c>
      <c r="B331" s="167" t="s">
        <v>2056</v>
      </c>
      <c r="C331" s="22" t="s">
        <v>591</v>
      </c>
      <c r="D331" s="168">
        <v>1</v>
      </c>
      <c r="E331" s="169" t="b">
        <v>1</v>
      </c>
      <c r="F331" s="170" t="s">
        <v>1448</v>
      </c>
      <c r="G331" s="171">
        <v>1</v>
      </c>
      <c r="H331" s="171">
        <v>1</v>
      </c>
      <c r="I331" s="171">
        <v>1</v>
      </c>
      <c r="J331" s="171">
        <v>1</v>
      </c>
      <c r="K331" s="171">
        <v>1</v>
      </c>
      <c r="L331" s="171">
        <v>1</v>
      </c>
      <c r="M331" s="171">
        <v>1</v>
      </c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  <c r="AA331" s="171"/>
      <c r="AB331" s="171"/>
      <c r="AC331" s="171">
        <v>1</v>
      </c>
      <c r="AD331" s="171"/>
      <c r="AE331" s="171"/>
      <c r="AF331" s="171"/>
      <c r="AG331" s="171">
        <v>1</v>
      </c>
      <c r="AH331" s="22"/>
      <c r="AI331" s="171" t="s">
        <v>1400</v>
      </c>
      <c r="AJ331" s="22">
        <f t="shared" si="5"/>
        <v>9</v>
      </c>
      <c r="AK331" s="22">
        <f t="shared" si="6"/>
        <v>9</v>
      </c>
    </row>
    <row r="332" spans="1:37" ht="15.75" customHeight="1">
      <c r="A332" s="167" t="s">
        <v>594</v>
      </c>
      <c r="B332" s="167" t="s">
        <v>2056</v>
      </c>
      <c r="C332" s="22" t="s">
        <v>593</v>
      </c>
      <c r="D332" s="168">
        <v>1</v>
      </c>
      <c r="E332" s="169" t="b">
        <v>1</v>
      </c>
      <c r="F332" s="170" t="s">
        <v>1694</v>
      </c>
      <c r="G332" s="171">
        <v>1</v>
      </c>
      <c r="H332" s="171">
        <v>1</v>
      </c>
      <c r="I332" s="171">
        <v>1</v>
      </c>
      <c r="J332" s="171">
        <v>1</v>
      </c>
      <c r="K332" s="171">
        <v>1</v>
      </c>
      <c r="L332" s="171"/>
      <c r="M332" s="171">
        <v>1</v>
      </c>
      <c r="N332" s="171"/>
      <c r="O332" s="171"/>
      <c r="P332" s="171"/>
      <c r="Q332" s="171"/>
      <c r="R332" s="171"/>
      <c r="S332" s="171"/>
      <c r="T332" s="171"/>
      <c r="U332" s="171"/>
      <c r="V332" s="171"/>
      <c r="W332" s="171">
        <v>1</v>
      </c>
      <c r="X332" s="171"/>
      <c r="Y332" s="171"/>
      <c r="Z332" s="171"/>
      <c r="AA332" s="171"/>
      <c r="AB332" s="171"/>
      <c r="AC332" s="171"/>
      <c r="AD332" s="171"/>
      <c r="AE332" s="171"/>
      <c r="AF332" s="171"/>
      <c r="AG332" s="171"/>
      <c r="AH332" s="22"/>
      <c r="AI332" s="171"/>
      <c r="AJ332" s="22">
        <f t="shared" si="5"/>
        <v>7</v>
      </c>
      <c r="AK332" s="22">
        <f t="shared" si="6"/>
        <v>7</v>
      </c>
    </row>
    <row r="333" spans="1:37" ht="15.75" customHeight="1">
      <c r="A333" s="167" t="s">
        <v>596</v>
      </c>
      <c r="B333" s="167" t="s">
        <v>2056</v>
      </c>
      <c r="C333" s="22" t="s">
        <v>595</v>
      </c>
      <c r="D333" s="168">
        <v>1</v>
      </c>
      <c r="E333" s="169" t="b">
        <v>1</v>
      </c>
      <c r="F333" s="170" t="s">
        <v>1557</v>
      </c>
      <c r="G333" s="171">
        <v>1</v>
      </c>
      <c r="H333" s="171">
        <v>1</v>
      </c>
      <c r="I333" s="171">
        <v>1</v>
      </c>
      <c r="J333" s="171">
        <v>1</v>
      </c>
      <c r="K333" s="171">
        <v>1</v>
      </c>
      <c r="L333" s="171">
        <v>1</v>
      </c>
      <c r="M333" s="171">
        <v>1</v>
      </c>
      <c r="N333" s="171"/>
      <c r="O333" s="171"/>
      <c r="P333" s="171"/>
      <c r="Q333" s="171"/>
      <c r="R333" s="171"/>
      <c r="S333" s="171"/>
      <c r="T333" s="171"/>
      <c r="U333" s="171">
        <v>1</v>
      </c>
      <c r="V333" s="171"/>
      <c r="W333" s="171"/>
      <c r="X333" s="171"/>
      <c r="Y333" s="171"/>
      <c r="Z333" s="171"/>
      <c r="AA333" s="171"/>
      <c r="AB333" s="171"/>
      <c r="AC333" s="171"/>
      <c r="AD333" s="171"/>
      <c r="AE333" s="171"/>
      <c r="AF333" s="171"/>
      <c r="AG333" s="171"/>
      <c r="AH333" s="22"/>
      <c r="AI333" s="171"/>
      <c r="AJ333" s="22">
        <f t="shared" si="5"/>
        <v>8</v>
      </c>
      <c r="AK333" s="22">
        <f t="shared" si="6"/>
        <v>8</v>
      </c>
    </row>
    <row r="334" spans="1:37" ht="15.75" customHeight="1">
      <c r="A334" s="167" t="s">
        <v>598</v>
      </c>
      <c r="B334" s="167" t="s">
        <v>2056</v>
      </c>
      <c r="C334" s="22" t="s">
        <v>597</v>
      </c>
      <c r="D334" s="168">
        <v>1</v>
      </c>
      <c r="E334" s="169" t="b">
        <v>1</v>
      </c>
      <c r="F334" s="170" t="s">
        <v>1695</v>
      </c>
      <c r="G334" s="171">
        <v>1</v>
      </c>
      <c r="H334" s="171">
        <v>1</v>
      </c>
      <c r="I334" s="171">
        <v>1</v>
      </c>
      <c r="J334" s="171">
        <v>1</v>
      </c>
      <c r="K334" s="171">
        <v>1</v>
      </c>
      <c r="L334" s="171">
        <v>2</v>
      </c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  <c r="AA334" s="171"/>
      <c r="AB334" s="171"/>
      <c r="AC334" s="171"/>
      <c r="AD334" s="171"/>
      <c r="AE334" s="171"/>
      <c r="AF334" s="171"/>
      <c r="AG334" s="171"/>
      <c r="AH334" s="22"/>
      <c r="AI334" s="171"/>
      <c r="AJ334" s="22">
        <f t="shared" si="5"/>
        <v>6</v>
      </c>
      <c r="AK334" s="22">
        <f t="shared" si="6"/>
        <v>7</v>
      </c>
    </row>
    <row r="335" spans="1:37" ht="15.75" customHeight="1">
      <c r="A335" s="167" t="s">
        <v>600</v>
      </c>
      <c r="B335" s="167" t="s">
        <v>2056</v>
      </c>
      <c r="C335" s="22" t="s">
        <v>599</v>
      </c>
      <c r="D335" s="168">
        <v>1</v>
      </c>
      <c r="E335" s="169" t="b">
        <v>1</v>
      </c>
      <c r="F335" s="170" t="s">
        <v>1449</v>
      </c>
      <c r="G335" s="171">
        <v>1</v>
      </c>
      <c r="H335" s="171">
        <v>1</v>
      </c>
      <c r="I335" s="171">
        <v>1</v>
      </c>
      <c r="J335" s="171">
        <v>1</v>
      </c>
      <c r="K335" s="171">
        <v>1</v>
      </c>
      <c r="L335" s="171">
        <v>1</v>
      </c>
      <c r="M335" s="171">
        <v>1</v>
      </c>
      <c r="N335" s="171">
        <v>1</v>
      </c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  <c r="AA335" s="171"/>
      <c r="AB335" s="171"/>
      <c r="AC335" s="171"/>
      <c r="AD335" s="171"/>
      <c r="AE335" s="171"/>
      <c r="AF335" s="171">
        <v>1</v>
      </c>
      <c r="AG335" s="171"/>
      <c r="AH335" s="22"/>
      <c r="AI335" s="171"/>
      <c r="AJ335" s="22">
        <f t="shared" si="5"/>
        <v>9</v>
      </c>
      <c r="AK335" s="22">
        <f t="shared" si="6"/>
        <v>9</v>
      </c>
    </row>
    <row r="336" spans="1:37" ht="15.75" customHeight="1">
      <c r="A336" s="167" t="s">
        <v>602</v>
      </c>
      <c r="B336" s="167" t="s">
        <v>2056</v>
      </c>
      <c r="C336" s="22" t="s">
        <v>601</v>
      </c>
      <c r="D336" s="168">
        <v>1</v>
      </c>
      <c r="E336" s="169" t="b">
        <v>1</v>
      </c>
      <c r="F336" s="170" t="s">
        <v>1426</v>
      </c>
      <c r="G336" s="171">
        <v>1</v>
      </c>
      <c r="H336" s="171">
        <v>1</v>
      </c>
      <c r="I336" s="171">
        <v>1</v>
      </c>
      <c r="J336" s="171">
        <v>1</v>
      </c>
      <c r="K336" s="171">
        <v>1</v>
      </c>
      <c r="L336" s="171">
        <v>1</v>
      </c>
      <c r="M336" s="171"/>
      <c r="N336" s="171"/>
      <c r="O336" s="171"/>
      <c r="P336" s="171"/>
      <c r="Q336" s="171"/>
      <c r="R336" s="171"/>
      <c r="S336" s="171"/>
      <c r="T336" s="171">
        <v>1</v>
      </c>
      <c r="U336" s="171"/>
      <c r="V336" s="171"/>
      <c r="W336" s="171"/>
      <c r="X336" s="171"/>
      <c r="Y336" s="171"/>
      <c r="Z336" s="171"/>
      <c r="AA336" s="171"/>
      <c r="AB336" s="171"/>
      <c r="AC336" s="171"/>
      <c r="AD336" s="171"/>
      <c r="AE336" s="171"/>
      <c r="AF336" s="171">
        <v>1</v>
      </c>
      <c r="AG336" s="171">
        <v>1</v>
      </c>
      <c r="AH336" s="22"/>
      <c r="AI336" s="171" t="s">
        <v>1427</v>
      </c>
      <c r="AJ336" s="22">
        <f t="shared" si="5"/>
        <v>9</v>
      </c>
      <c r="AK336" s="22">
        <f t="shared" si="6"/>
        <v>9</v>
      </c>
    </row>
    <row r="337" spans="1:37" ht="15.75" customHeight="1">
      <c r="A337" s="167" t="s">
        <v>604</v>
      </c>
      <c r="B337" s="167" t="s">
        <v>2056</v>
      </c>
      <c r="C337" s="22" t="s">
        <v>603</v>
      </c>
      <c r="D337" s="168">
        <v>1</v>
      </c>
      <c r="E337" s="169" t="b">
        <v>1</v>
      </c>
      <c r="F337" s="170" t="s">
        <v>1558</v>
      </c>
      <c r="G337" s="171">
        <v>1</v>
      </c>
      <c r="H337" s="171">
        <v>1</v>
      </c>
      <c r="I337" s="171">
        <v>1</v>
      </c>
      <c r="J337" s="171">
        <v>1</v>
      </c>
      <c r="K337" s="171">
        <v>1</v>
      </c>
      <c r="L337" s="171"/>
      <c r="M337" s="171"/>
      <c r="N337" s="171"/>
      <c r="O337" s="171"/>
      <c r="P337" s="171"/>
      <c r="Q337" s="171">
        <v>1</v>
      </c>
      <c r="R337" s="171"/>
      <c r="S337" s="171"/>
      <c r="T337" s="171"/>
      <c r="U337" s="171"/>
      <c r="V337" s="171"/>
      <c r="W337" s="171"/>
      <c r="X337" s="171"/>
      <c r="Y337" s="171"/>
      <c r="Z337" s="171"/>
      <c r="AA337" s="171"/>
      <c r="AB337" s="171"/>
      <c r="AC337" s="171"/>
      <c r="AD337" s="171"/>
      <c r="AE337" s="171"/>
      <c r="AF337" s="171">
        <v>1</v>
      </c>
      <c r="AG337" s="171">
        <v>1</v>
      </c>
      <c r="AH337" s="22"/>
      <c r="AI337" s="171" t="s">
        <v>1559</v>
      </c>
      <c r="AJ337" s="22">
        <f t="shared" si="5"/>
        <v>8</v>
      </c>
      <c r="AK337" s="22">
        <f t="shared" si="6"/>
        <v>8</v>
      </c>
    </row>
    <row r="338" spans="1:37" ht="15.75" customHeight="1">
      <c r="A338" s="167" t="s">
        <v>606</v>
      </c>
      <c r="B338" s="167" t="s">
        <v>2056</v>
      </c>
      <c r="C338" s="22" t="s">
        <v>605</v>
      </c>
      <c r="D338" s="168">
        <v>1</v>
      </c>
      <c r="E338" s="169" t="b">
        <v>1</v>
      </c>
      <c r="F338" s="170" t="s">
        <v>1891</v>
      </c>
      <c r="G338" s="171">
        <v>1</v>
      </c>
      <c r="H338" s="171">
        <v>1</v>
      </c>
      <c r="I338" s="171">
        <v>1</v>
      </c>
      <c r="J338" s="171">
        <v>1</v>
      </c>
      <c r="K338" s="171">
        <v>1</v>
      </c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  <c r="AA338" s="171"/>
      <c r="AB338" s="171"/>
      <c r="AC338" s="171"/>
      <c r="AD338" s="171"/>
      <c r="AE338" s="171"/>
      <c r="AF338" s="171">
        <v>1</v>
      </c>
      <c r="AG338" s="171"/>
      <c r="AH338" s="22"/>
      <c r="AI338" s="171"/>
      <c r="AJ338" s="22">
        <f t="shared" si="5"/>
        <v>6</v>
      </c>
      <c r="AK338" s="22">
        <f t="shared" si="6"/>
        <v>6</v>
      </c>
    </row>
    <row r="339" spans="1:37" ht="15.75" customHeight="1">
      <c r="A339" s="167" t="s">
        <v>608</v>
      </c>
      <c r="B339" s="167" t="s">
        <v>2056</v>
      </c>
      <c r="C339" s="22" t="s">
        <v>607</v>
      </c>
      <c r="D339" s="168">
        <v>1</v>
      </c>
      <c r="E339" s="169" t="b">
        <v>1</v>
      </c>
      <c r="F339" s="170" t="s">
        <v>1560</v>
      </c>
      <c r="G339" s="171">
        <v>1</v>
      </c>
      <c r="H339" s="171">
        <v>1</v>
      </c>
      <c r="I339" s="171">
        <v>1</v>
      </c>
      <c r="J339" s="171">
        <v>1</v>
      </c>
      <c r="K339" s="171">
        <v>1</v>
      </c>
      <c r="L339" s="171">
        <v>3</v>
      </c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  <c r="AA339" s="171"/>
      <c r="AB339" s="171"/>
      <c r="AC339" s="171"/>
      <c r="AD339" s="171"/>
      <c r="AE339" s="171"/>
      <c r="AF339" s="171"/>
      <c r="AG339" s="171"/>
      <c r="AH339" s="22"/>
      <c r="AI339" s="171"/>
      <c r="AJ339" s="22">
        <f t="shared" si="5"/>
        <v>6</v>
      </c>
      <c r="AK339" s="22">
        <f t="shared" si="6"/>
        <v>8</v>
      </c>
    </row>
    <row r="340" spans="1:37" ht="15.75" customHeight="1">
      <c r="A340" s="167" t="s">
        <v>610</v>
      </c>
      <c r="B340" s="167" t="s">
        <v>2056</v>
      </c>
      <c r="C340" s="22" t="s">
        <v>609</v>
      </c>
      <c r="D340" s="168">
        <v>1</v>
      </c>
      <c r="E340" s="169" t="b">
        <v>1</v>
      </c>
      <c r="F340" s="170" t="s">
        <v>1892</v>
      </c>
      <c r="G340" s="171">
        <v>1</v>
      </c>
      <c r="H340" s="171">
        <v>1</v>
      </c>
      <c r="I340" s="171">
        <v>1</v>
      </c>
      <c r="J340" s="171">
        <v>1</v>
      </c>
      <c r="K340" s="171">
        <v>1</v>
      </c>
      <c r="L340" s="171"/>
      <c r="M340" s="171"/>
      <c r="N340" s="171"/>
      <c r="O340" s="171"/>
      <c r="P340" s="171"/>
      <c r="Q340" s="171"/>
      <c r="R340" s="171"/>
      <c r="S340" s="171"/>
      <c r="T340" s="171"/>
      <c r="U340" s="171"/>
      <c r="V340" s="171"/>
      <c r="W340" s="171"/>
      <c r="X340" s="171"/>
      <c r="Y340" s="171"/>
      <c r="Z340" s="171"/>
      <c r="AA340" s="171"/>
      <c r="AB340" s="171"/>
      <c r="AC340" s="171"/>
      <c r="AD340" s="171"/>
      <c r="AE340" s="171"/>
      <c r="AF340" s="171">
        <v>1</v>
      </c>
      <c r="AG340" s="171"/>
      <c r="AH340" s="22"/>
      <c r="AI340" s="171"/>
      <c r="AJ340" s="22">
        <f t="shared" si="5"/>
        <v>6</v>
      </c>
      <c r="AK340" s="22">
        <f t="shared" si="6"/>
        <v>6</v>
      </c>
    </row>
    <row r="341" spans="1:37" ht="15.75" customHeight="1">
      <c r="A341" s="167" t="s">
        <v>1268</v>
      </c>
      <c r="B341" s="167" t="s">
        <v>2055</v>
      </c>
      <c r="C341" s="22" t="s">
        <v>1267</v>
      </c>
      <c r="D341" s="168">
        <v>1</v>
      </c>
      <c r="E341" s="169" t="b">
        <v>1</v>
      </c>
      <c r="F341" s="170" t="s">
        <v>1782</v>
      </c>
      <c r="G341" s="171">
        <v>1</v>
      </c>
      <c r="H341" s="171">
        <v>1</v>
      </c>
      <c r="I341" s="171">
        <v>1</v>
      </c>
      <c r="J341" s="171">
        <v>1</v>
      </c>
      <c r="K341" s="171">
        <v>1</v>
      </c>
      <c r="L341" s="171"/>
      <c r="M341" s="171"/>
      <c r="N341" s="171"/>
      <c r="O341" s="171">
        <v>1</v>
      </c>
      <c r="P341" s="171"/>
      <c r="Q341" s="171"/>
      <c r="R341" s="171"/>
      <c r="S341" s="171"/>
      <c r="T341" s="171"/>
      <c r="U341" s="171"/>
      <c r="V341" s="171"/>
      <c r="W341" s="171"/>
      <c r="X341" s="171"/>
      <c r="Y341" s="171">
        <v>1</v>
      </c>
      <c r="Z341" s="171"/>
      <c r="AA341" s="171"/>
      <c r="AB341" s="171"/>
      <c r="AC341" s="171"/>
      <c r="AD341" s="171"/>
      <c r="AE341" s="171"/>
      <c r="AF341" s="171"/>
      <c r="AG341" s="171"/>
      <c r="AH341" s="22"/>
      <c r="AI341" s="171"/>
      <c r="AJ341" s="22">
        <f t="shared" si="5"/>
        <v>7</v>
      </c>
      <c r="AK341" s="22">
        <f t="shared" si="6"/>
        <v>7</v>
      </c>
    </row>
    <row r="342" spans="1:37" ht="15.75" customHeight="1">
      <c r="A342" s="167" t="s">
        <v>1327</v>
      </c>
      <c r="B342" s="167" t="s">
        <v>2054</v>
      </c>
      <c r="C342" s="22" t="s">
        <v>1326</v>
      </c>
      <c r="D342" s="168">
        <v>1</v>
      </c>
      <c r="E342" s="169" t="b">
        <v>1</v>
      </c>
      <c r="F342" s="170" t="s">
        <v>1618</v>
      </c>
      <c r="G342" s="171">
        <v>1</v>
      </c>
      <c r="H342" s="171">
        <v>1</v>
      </c>
      <c r="I342" s="171">
        <v>1</v>
      </c>
      <c r="J342" s="171">
        <v>1</v>
      </c>
      <c r="K342" s="171">
        <v>1</v>
      </c>
      <c r="L342" s="171"/>
      <c r="M342" s="171"/>
      <c r="N342" s="171"/>
      <c r="O342" s="171"/>
      <c r="P342" s="171"/>
      <c r="Q342" s="171"/>
      <c r="R342" s="171">
        <v>1</v>
      </c>
      <c r="S342" s="171"/>
      <c r="T342" s="171"/>
      <c r="U342" s="171"/>
      <c r="V342" s="171">
        <v>1</v>
      </c>
      <c r="W342" s="171"/>
      <c r="X342" s="171"/>
      <c r="Y342" s="171"/>
      <c r="Z342" s="171"/>
      <c r="AA342" s="171"/>
      <c r="AB342" s="171"/>
      <c r="AC342" s="171"/>
      <c r="AD342" s="171"/>
      <c r="AE342" s="171"/>
      <c r="AF342" s="171"/>
      <c r="AG342" s="171"/>
      <c r="AH342" s="22"/>
      <c r="AI342" s="171"/>
      <c r="AJ342" s="22">
        <f t="shared" si="5"/>
        <v>7</v>
      </c>
      <c r="AK342" s="22">
        <f t="shared" si="6"/>
        <v>7</v>
      </c>
    </row>
    <row r="343" spans="1:37" ht="15.75" customHeight="1">
      <c r="A343" s="167" t="s">
        <v>1270</v>
      </c>
      <c r="B343" s="167" t="s">
        <v>2055</v>
      </c>
      <c r="C343" s="22" t="s">
        <v>1269</v>
      </c>
      <c r="D343" s="168">
        <v>1</v>
      </c>
      <c r="E343" s="169" t="b">
        <v>1</v>
      </c>
      <c r="F343" s="170" t="s">
        <v>1783</v>
      </c>
      <c r="G343" s="171">
        <v>1</v>
      </c>
      <c r="H343" s="171">
        <v>1</v>
      </c>
      <c r="I343" s="171">
        <v>1</v>
      </c>
      <c r="J343" s="171">
        <v>1</v>
      </c>
      <c r="K343" s="171">
        <v>1</v>
      </c>
      <c r="L343" s="171"/>
      <c r="M343" s="171"/>
      <c r="N343" s="171"/>
      <c r="O343" s="171">
        <v>1</v>
      </c>
      <c r="P343" s="171"/>
      <c r="Q343" s="171"/>
      <c r="R343" s="171"/>
      <c r="S343" s="171"/>
      <c r="T343" s="171"/>
      <c r="U343" s="171"/>
      <c r="V343" s="171"/>
      <c r="W343" s="171"/>
      <c r="X343" s="171"/>
      <c r="Y343" s="171">
        <v>1</v>
      </c>
      <c r="Z343" s="171"/>
      <c r="AA343" s="171"/>
      <c r="AB343" s="171"/>
      <c r="AC343" s="171"/>
      <c r="AD343" s="171"/>
      <c r="AE343" s="171"/>
      <c r="AF343" s="171"/>
      <c r="AG343" s="171"/>
      <c r="AH343" s="22"/>
      <c r="AI343" s="171"/>
      <c r="AJ343" s="22">
        <f t="shared" si="5"/>
        <v>7</v>
      </c>
      <c r="AK343" s="22">
        <f t="shared" si="6"/>
        <v>7</v>
      </c>
    </row>
    <row r="344" spans="1:37" ht="15.75" customHeight="1">
      <c r="A344" s="167" t="s">
        <v>612</v>
      </c>
      <c r="B344" s="167" t="s">
        <v>2056</v>
      </c>
      <c r="C344" s="22" t="s">
        <v>611</v>
      </c>
      <c r="D344" s="168">
        <v>1</v>
      </c>
      <c r="E344" s="169" t="b">
        <v>1</v>
      </c>
      <c r="F344" s="170" t="s">
        <v>2005</v>
      </c>
      <c r="G344" s="171">
        <v>1</v>
      </c>
      <c r="H344" s="171">
        <v>1</v>
      </c>
      <c r="I344" s="171">
        <v>1</v>
      </c>
      <c r="J344" s="171">
        <v>1</v>
      </c>
      <c r="K344" s="171">
        <v>1</v>
      </c>
      <c r="L344" s="171"/>
      <c r="M344" s="171"/>
      <c r="N344" s="171"/>
      <c r="O344" s="171"/>
      <c r="P344" s="171"/>
      <c r="Q344" s="171"/>
      <c r="R344" s="171"/>
      <c r="S344" s="171"/>
      <c r="T344" s="171"/>
      <c r="U344" s="171"/>
      <c r="V344" s="171"/>
      <c r="W344" s="171"/>
      <c r="X344" s="171"/>
      <c r="Y344" s="171"/>
      <c r="Z344" s="171"/>
      <c r="AA344" s="171"/>
      <c r="AB344" s="171"/>
      <c r="AC344" s="171"/>
      <c r="AD344" s="171"/>
      <c r="AE344" s="171"/>
      <c r="AF344" s="171"/>
      <c r="AG344" s="171"/>
      <c r="AH344" s="22"/>
      <c r="AI344" s="171"/>
      <c r="AJ344" s="22">
        <f t="shared" si="5"/>
        <v>5</v>
      </c>
      <c r="AK344" s="22">
        <f t="shared" si="6"/>
        <v>5</v>
      </c>
    </row>
    <row r="345" spans="1:37" ht="15.75" customHeight="1">
      <c r="A345" s="167" t="s">
        <v>614</v>
      </c>
      <c r="B345" s="167" t="s">
        <v>2056</v>
      </c>
      <c r="C345" s="22" t="s">
        <v>613</v>
      </c>
      <c r="D345" s="168">
        <v>1</v>
      </c>
      <c r="E345" s="169" t="b">
        <v>1</v>
      </c>
      <c r="F345" s="170" t="s">
        <v>1561</v>
      </c>
      <c r="G345" s="171">
        <v>1</v>
      </c>
      <c r="H345" s="171">
        <v>1</v>
      </c>
      <c r="I345" s="171">
        <v>1</v>
      </c>
      <c r="J345" s="171">
        <v>1</v>
      </c>
      <c r="K345" s="171">
        <v>1</v>
      </c>
      <c r="L345" s="171">
        <v>1</v>
      </c>
      <c r="M345" s="171"/>
      <c r="N345" s="171">
        <v>1</v>
      </c>
      <c r="O345" s="171"/>
      <c r="P345" s="171"/>
      <c r="Q345" s="171"/>
      <c r="R345" s="171"/>
      <c r="S345" s="171"/>
      <c r="T345" s="171"/>
      <c r="U345" s="171"/>
      <c r="V345" s="171"/>
      <c r="W345" s="171"/>
      <c r="X345" s="171">
        <v>1</v>
      </c>
      <c r="Y345" s="171"/>
      <c r="Z345" s="171"/>
      <c r="AA345" s="171"/>
      <c r="AB345" s="171"/>
      <c r="AC345" s="171"/>
      <c r="AD345" s="171"/>
      <c r="AE345" s="171"/>
      <c r="AF345" s="171"/>
      <c r="AG345" s="171"/>
      <c r="AH345" s="22"/>
      <c r="AI345" s="171"/>
      <c r="AJ345" s="22">
        <f t="shared" si="5"/>
        <v>8</v>
      </c>
      <c r="AK345" s="22">
        <f t="shared" si="6"/>
        <v>8</v>
      </c>
    </row>
    <row r="346" spans="1:37" ht="15.75" customHeight="1">
      <c r="A346" s="167" t="s">
        <v>616</v>
      </c>
      <c r="B346" s="167" t="s">
        <v>2056</v>
      </c>
      <c r="C346" s="22" t="s">
        <v>615</v>
      </c>
      <c r="D346" s="168">
        <v>1</v>
      </c>
      <c r="E346" s="169" t="b">
        <v>1</v>
      </c>
      <c r="F346" s="170" t="s">
        <v>2006</v>
      </c>
      <c r="G346" s="171">
        <v>1</v>
      </c>
      <c r="H346" s="171">
        <v>1</v>
      </c>
      <c r="I346" s="171">
        <v>1</v>
      </c>
      <c r="J346" s="171">
        <v>1</v>
      </c>
      <c r="K346" s="171">
        <v>1</v>
      </c>
      <c r="L346" s="171"/>
      <c r="M346" s="171"/>
      <c r="N346" s="171"/>
      <c r="O346" s="171"/>
      <c r="P346" s="171"/>
      <c r="Q346" s="171"/>
      <c r="R346" s="171"/>
      <c r="S346" s="171"/>
      <c r="T346" s="171"/>
      <c r="U346" s="171"/>
      <c r="V346" s="171"/>
      <c r="W346" s="171"/>
      <c r="X346" s="171"/>
      <c r="Y346" s="171"/>
      <c r="Z346" s="171"/>
      <c r="AA346" s="171"/>
      <c r="AB346" s="171"/>
      <c r="AC346" s="171"/>
      <c r="AD346" s="171"/>
      <c r="AE346" s="171"/>
      <c r="AF346" s="171"/>
      <c r="AG346" s="171"/>
      <c r="AH346" s="22"/>
      <c r="AI346" s="171"/>
      <c r="AJ346" s="22">
        <f t="shared" si="5"/>
        <v>5</v>
      </c>
      <c r="AK346" s="22">
        <f t="shared" si="6"/>
        <v>5</v>
      </c>
    </row>
    <row r="347" spans="1:37" ht="15.75" customHeight="1">
      <c r="A347" s="167" t="s">
        <v>618</v>
      </c>
      <c r="B347" s="167" t="s">
        <v>2056</v>
      </c>
      <c r="C347" s="22" t="s">
        <v>617</v>
      </c>
      <c r="D347" s="168">
        <v>1</v>
      </c>
      <c r="E347" s="169" t="b">
        <v>1</v>
      </c>
      <c r="F347" s="170" t="s">
        <v>1562</v>
      </c>
      <c r="G347" s="171">
        <v>1</v>
      </c>
      <c r="H347" s="171">
        <v>1</v>
      </c>
      <c r="I347" s="171">
        <v>1</v>
      </c>
      <c r="J347" s="171">
        <v>1</v>
      </c>
      <c r="K347" s="171">
        <v>1</v>
      </c>
      <c r="L347" s="171">
        <v>1</v>
      </c>
      <c r="M347" s="171">
        <v>1</v>
      </c>
      <c r="N347" s="171">
        <v>1</v>
      </c>
      <c r="O347" s="171"/>
      <c r="P347" s="171"/>
      <c r="Q347" s="171"/>
      <c r="R347" s="171"/>
      <c r="S347" s="171"/>
      <c r="T347" s="171"/>
      <c r="U347" s="171"/>
      <c r="V347" s="171"/>
      <c r="W347" s="171"/>
      <c r="X347" s="171"/>
      <c r="Y347" s="171"/>
      <c r="Z347" s="171"/>
      <c r="AA347" s="171"/>
      <c r="AB347" s="171"/>
      <c r="AC347" s="171"/>
      <c r="AD347" s="171"/>
      <c r="AE347" s="171"/>
      <c r="AF347" s="171"/>
      <c r="AG347" s="171"/>
      <c r="AH347" s="22"/>
      <c r="AI347" s="171"/>
      <c r="AJ347" s="22">
        <f t="shared" si="5"/>
        <v>8</v>
      </c>
      <c r="AK347" s="22">
        <f t="shared" si="6"/>
        <v>8</v>
      </c>
    </row>
    <row r="348" spans="1:37" ht="15.75" customHeight="1">
      <c r="A348" s="167" t="s">
        <v>620</v>
      </c>
      <c r="B348" s="167" t="s">
        <v>2056</v>
      </c>
      <c r="C348" s="22" t="s">
        <v>619</v>
      </c>
      <c r="D348" s="168">
        <v>1</v>
      </c>
      <c r="E348" s="169" t="b">
        <v>1</v>
      </c>
      <c r="F348" s="170" t="s">
        <v>1696</v>
      </c>
      <c r="G348" s="171">
        <v>1</v>
      </c>
      <c r="H348" s="171">
        <v>1</v>
      </c>
      <c r="I348" s="171">
        <v>1</v>
      </c>
      <c r="J348" s="171">
        <v>1</v>
      </c>
      <c r="K348" s="171">
        <v>1</v>
      </c>
      <c r="L348" s="171">
        <v>1</v>
      </c>
      <c r="M348" s="171">
        <v>1</v>
      </c>
      <c r="N348" s="171"/>
      <c r="O348" s="171"/>
      <c r="P348" s="171"/>
      <c r="Q348" s="171"/>
      <c r="R348" s="171"/>
      <c r="S348" s="171"/>
      <c r="T348" s="171"/>
      <c r="U348" s="171"/>
      <c r="V348" s="171"/>
      <c r="W348" s="171"/>
      <c r="X348" s="171"/>
      <c r="Y348" s="171"/>
      <c r="Z348" s="171"/>
      <c r="AA348" s="171"/>
      <c r="AB348" s="171"/>
      <c r="AC348" s="171"/>
      <c r="AD348" s="171"/>
      <c r="AE348" s="171"/>
      <c r="AF348" s="171"/>
      <c r="AG348" s="171"/>
      <c r="AH348" s="22"/>
      <c r="AI348" s="171"/>
      <c r="AJ348" s="22">
        <f t="shared" si="5"/>
        <v>7</v>
      </c>
      <c r="AK348" s="22">
        <f t="shared" si="6"/>
        <v>7</v>
      </c>
    </row>
    <row r="349" spans="1:37" ht="15.75" customHeight="1">
      <c r="A349" s="167" t="s">
        <v>622</v>
      </c>
      <c r="B349" s="167" t="s">
        <v>2056</v>
      </c>
      <c r="C349" s="22" t="s">
        <v>621</v>
      </c>
      <c r="D349" s="168">
        <v>1</v>
      </c>
      <c r="E349" s="169" t="b">
        <v>1</v>
      </c>
      <c r="F349" s="170" t="s">
        <v>1697</v>
      </c>
      <c r="G349" s="171">
        <v>1</v>
      </c>
      <c r="H349" s="171">
        <v>1</v>
      </c>
      <c r="I349" s="171">
        <v>1</v>
      </c>
      <c r="J349" s="171">
        <v>1</v>
      </c>
      <c r="K349" s="171">
        <v>1</v>
      </c>
      <c r="L349" s="171">
        <v>1</v>
      </c>
      <c r="M349" s="171"/>
      <c r="N349" s="171">
        <v>1</v>
      </c>
      <c r="O349" s="171"/>
      <c r="P349" s="171"/>
      <c r="Q349" s="171"/>
      <c r="R349" s="171"/>
      <c r="S349" s="171"/>
      <c r="T349" s="171"/>
      <c r="U349" s="171"/>
      <c r="V349" s="171"/>
      <c r="W349" s="171"/>
      <c r="X349" s="171"/>
      <c r="Y349" s="171"/>
      <c r="Z349" s="171"/>
      <c r="AA349" s="171"/>
      <c r="AB349" s="171"/>
      <c r="AC349" s="171"/>
      <c r="AD349" s="171"/>
      <c r="AE349" s="171"/>
      <c r="AF349" s="171"/>
      <c r="AG349" s="171"/>
      <c r="AH349" s="22"/>
      <c r="AI349" s="171"/>
      <c r="AJ349" s="22">
        <f t="shared" si="5"/>
        <v>7</v>
      </c>
      <c r="AK349" s="22">
        <f t="shared" si="6"/>
        <v>7</v>
      </c>
    </row>
    <row r="350" spans="1:37" ht="15.75" customHeight="1">
      <c r="A350" s="167" t="s">
        <v>624</v>
      </c>
      <c r="B350" s="167" t="s">
        <v>2056</v>
      </c>
      <c r="C350" s="22" t="s">
        <v>623</v>
      </c>
      <c r="D350" s="168">
        <v>1</v>
      </c>
      <c r="E350" s="169" t="b">
        <v>1</v>
      </c>
      <c r="F350" s="170" t="s">
        <v>1698</v>
      </c>
      <c r="G350" s="171">
        <v>1</v>
      </c>
      <c r="H350" s="171">
        <v>1</v>
      </c>
      <c r="I350" s="171">
        <v>1</v>
      </c>
      <c r="J350" s="171">
        <v>1</v>
      </c>
      <c r="K350" s="171"/>
      <c r="L350" s="171">
        <v>2</v>
      </c>
      <c r="M350" s="171"/>
      <c r="N350" s="171">
        <v>1</v>
      </c>
      <c r="O350" s="171"/>
      <c r="P350" s="171"/>
      <c r="Q350" s="171"/>
      <c r="R350" s="171"/>
      <c r="S350" s="171"/>
      <c r="T350" s="171"/>
      <c r="U350" s="171"/>
      <c r="V350" s="171"/>
      <c r="W350" s="171"/>
      <c r="X350" s="171"/>
      <c r="Y350" s="171"/>
      <c r="Z350" s="171"/>
      <c r="AA350" s="171"/>
      <c r="AB350" s="171"/>
      <c r="AC350" s="171"/>
      <c r="AD350" s="171"/>
      <c r="AE350" s="171"/>
      <c r="AF350" s="171"/>
      <c r="AG350" s="171"/>
      <c r="AH350" s="22"/>
      <c r="AI350" s="171"/>
      <c r="AJ350" s="22">
        <f t="shared" si="5"/>
        <v>6</v>
      </c>
      <c r="AK350" s="22">
        <f t="shared" si="6"/>
        <v>7</v>
      </c>
    </row>
    <row r="351" spans="1:37" ht="15.75" customHeight="1">
      <c r="A351" s="167" t="s">
        <v>626</v>
      </c>
      <c r="B351" s="167" t="s">
        <v>2056</v>
      </c>
      <c r="C351" s="22" t="s">
        <v>625</v>
      </c>
      <c r="D351" s="168">
        <v>1</v>
      </c>
      <c r="E351" s="169" t="b">
        <v>1</v>
      </c>
      <c r="F351" s="170" t="s">
        <v>1699</v>
      </c>
      <c r="G351" s="171">
        <v>1</v>
      </c>
      <c r="H351" s="171">
        <v>1</v>
      </c>
      <c r="I351" s="171">
        <v>1</v>
      </c>
      <c r="J351" s="171">
        <v>1</v>
      </c>
      <c r="K351" s="171">
        <v>1</v>
      </c>
      <c r="L351" s="171">
        <v>1</v>
      </c>
      <c r="M351" s="171"/>
      <c r="N351" s="171"/>
      <c r="O351" s="171"/>
      <c r="P351" s="171"/>
      <c r="Q351" s="171"/>
      <c r="R351" s="171"/>
      <c r="S351" s="171"/>
      <c r="T351" s="171"/>
      <c r="U351" s="171"/>
      <c r="V351" s="171"/>
      <c r="W351" s="171"/>
      <c r="X351" s="171"/>
      <c r="Y351" s="171"/>
      <c r="Z351" s="171"/>
      <c r="AA351" s="171"/>
      <c r="AB351" s="171"/>
      <c r="AC351" s="171"/>
      <c r="AD351" s="171"/>
      <c r="AE351" s="171"/>
      <c r="AF351" s="171"/>
      <c r="AG351" s="171">
        <v>1</v>
      </c>
      <c r="AH351" s="22"/>
      <c r="AI351" s="171" t="s">
        <v>1635</v>
      </c>
      <c r="AJ351" s="22">
        <f t="shared" si="5"/>
        <v>7</v>
      </c>
      <c r="AK351" s="22">
        <f t="shared" si="6"/>
        <v>7</v>
      </c>
    </row>
    <row r="352" spans="1:37" ht="15.75" customHeight="1">
      <c r="A352" s="167" t="s">
        <v>628</v>
      </c>
      <c r="B352" s="167" t="s">
        <v>2056</v>
      </c>
      <c r="C352" s="22" t="s">
        <v>627</v>
      </c>
      <c r="D352" s="168">
        <v>1</v>
      </c>
      <c r="E352" s="169" t="b">
        <v>1</v>
      </c>
      <c r="F352" s="170" t="s">
        <v>1893</v>
      </c>
      <c r="G352" s="171">
        <v>1</v>
      </c>
      <c r="H352" s="171">
        <v>1</v>
      </c>
      <c r="I352" s="171">
        <v>1</v>
      </c>
      <c r="J352" s="171">
        <v>1</v>
      </c>
      <c r="K352" s="171">
        <v>1</v>
      </c>
      <c r="L352" s="171"/>
      <c r="M352" s="171"/>
      <c r="N352" s="171"/>
      <c r="O352" s="171"/>
      <c r="P352" s="171"/>
      <c r="Q352" s="171"/>
      <c r="R352" s="171"/>
      <c r="S352" s="171"/>
      <c r="T352" s="171"/>
      <c r="U352" s="171"/>
      <c r="V352" s="171"/>
      <c r="W352" s="171"/>
      <c r="X352" s="171"/>
      <c r="Y352" s="171"/>
      <c r="Z352" s="171"/>
      <c r="AA352" s="171"/>
      <c r="AB352" s="171">
        <v>1</v>
      </c>
      <c r="AC352" s="171"/>
      <c r="AD352" s="171"/>
      <c r="AE352" s="171"/>
      <c r="AF352" s="171"/>
      <c r="AG352" s="171"/>
      <c r="AH352" s="22"/>
      <c r="AI352" s="171"/>
      <c r="AJ352" s="22">
        <f t="shared" si="5"/>
        <v>6</v>
      </c>
      <c r="AK352" s="22">
        <f t="shared" si="6"/>
        <v>6</v>
      </c>
    </row>
    <row r="353" spans="1:37" ht="15.75" customHeight="1">
      <c r="A353" s="167" t="s">
        <v>630</v>
      </c>
      <c r="B353" s="167" t="s">
        <v>2056</v>
      </c>
      <c r="C353" s="22" t="s">
        <v>629</v>
      </c>
      <c r="D353" s="168">
        <v>1</v>
      </c>
      <c r="E353" s="169" t="b">
        <v>1</v>
      </c>
      <c r="F353" s="170" t="s">
        <v>2007</v>
      </c>
      <c r="G353" s="171">
        <v>1</v>
      </c>
      <c r="H353" s="171">
        <v>1</v>
      </c>
      <c r="I353" s="171">
        <v>1</v>
      </c>
      <c r="J353" s="171">
        <v>1</v>
      </c>
      <c r="K353" s="171">
        <v>1</v>
      </c>
      <c r="L353" s="171"/>
      <c r="M353" s="171"/>
      <c r="N353" s="171"/>
      <c r="O353" s="171"/>
      <c r="P353" s="171"/>
      <c r="Q353" s="171"/>
      <c r="R353" s="171"/>
      <c r="S353" s="171"/>
      <c r="T353" s="171"/>
      <c r="U353" s="171"/>
      <c r="V353" s="171"/>
      <c r="W353" s="171"/>
      <c r="X353" s="171"/>
      <c r="Y353" s="171"/>
      <c r="Z353" s="171"/>
      <c r="AA353" s="171"/>
      <c r="AB353" s="171"/>
      <c r="AC353" s="171"/>
      <c r="AD353" s="171"/>
      <c r="AE353" s="171"/>
      <c r="AF353" s="171"/>
      <c r="AG353" s="171"/>
      <c r="AH353" s="22"/>
      <c r="AI353" s="171"/>
      <c r="AJ353" s="22">
        <f t="shared" si="5"/>
        <v>5</v>
      </c>
      <c r="AK353" s="22">
        <f t="shared" si="6"/>
        <v>5</v>
      </c>
    </row>
    <row r="354" spans="1:37" ht="15.75" customHeight="1">
      <c r="A354" s="167" t="s">
        <v>632</v>
      </c>
      <c r="B354" s="167" t="s">
        <v>2056</v>
      </c>
      <c r="C354" s="22" t="s">
        <v>631</v>
      </c>
      <c r="D354" s="168">
        <v>1</v>
      </c>
      <c r="E354" s="169" t="b">
        <v>1</v>
      </c>
      <c r="F354" s="170" t="s">
        <v>1408</v>
      </c>
      <c r="G354" s="171">
        <v>1</v>
      </c>
      <c r="H354" s="171">
        <v>1</v>
      </c>
      <c r="I354" s="171">
        <v>1</v>
      </c>
      <c r="J354" s="171">
        <v>1</v>
      </c>
      <c r="K354" s="171">
        <v>1</v>
      </c>
      <c r="L354" s="171">
        <v>2</v>
      </c>
      <c r="M354" s="171">
        <v>1</v>
      </c>
      <c r="N354" s="171">
        <v>1</v>
      </c>
      <c r="O354" s="171"/>
      <c r="P354" s="171"/>
      <c r="Q354" s="171"/>
      <c r="R354" s="171"/>
      <c r="S354" s="171"/>
      <c r="T354" s="171"/>
      <c r="U354" s="171"/>
      <c r="V354" s="171"/>
      <c r="W354" s="171"/>
      <c r="X354" s="171"/>
      <c r="Y354" s="171"/>
      <c r="Z354" s="171"/>
      <c r="AA354" s="171"/>
      <c r="AB354" s="171"/>
      <c r="AC354" s="171"/>
      <c r="AD354" s="171"/>
      <c r="AE354" s="171"/>
      <c r="AF354" s="171"/>
      <c r="AG354" s="171">
        <v>1</v>
      </c>
      <c r="AH354" s="22"/>
      <c r="AI354" s="171" t="s">
        <v>1409</v>
      </c>
      <c r="AJ354" s="22">
        <f t="shared" si="5"/>
        <v>9</v>
      </c>
      <c r="AK354" s="22">
        <f t="shared" si="6"/>
        <v>10</v>
      </c>
    </row>
    <row r="355" spans="1:37" ht="15.75" customHeight="1">
      <c r="A355" s="167" t="s">
        <v>634</v>
      </c>
      <c r="B355" s="167" t="s">
        <v>2056</v>
      </c>
      <c r="C355" s="22" t="s">
        <v>633</v>
      </c>
      <c r="D355" s="168">
        <v>1</v>
      </c>
      <c r="E355" s="169" t="b">
        <v>1</v>
      </c>
      <c r="F355" s="170" t="s">
        <v>1700</v>
      </c>
      <c r="G355" s="171">
        <v>1</v>
      </c>
      <c r="H355" s="171">
        <v>1</v>
      </c>
      <c r="I355" s="171"/>
      <c r="J355" s="171">
        <v>1</v>
      </c>
      <c r="K355" s="171">
        <v>1</v>
      </c>
      <c r="L355" s="171">
        <v>1</v>
      </c>
      <c r="M355" s="171">
        <v>1</v>
      </c>
      <c r="N355" s="171"/>
      <c r="O355" s="171"/>
      <c r="P355" s="171"/>
      <c r="Q355" s="171"/>
      <c r="R355" s="171"/>
      <c r="S355" s="171"/>
      <c r="T355" s="171"/>
      <c r="U355" s="171"/>
      <c r="V355" s="171"/>
      <c r="W355" s="171"/>
      <c r="X355" s="171"/>
      <c r="Y355" s="171"/>
      <c r="Z355" s="171"/>
      <c r="AA355" s="171"/>
      <c r="AB355" s="171"/>
      <c r="AC355" s="171"/>
      <c r="AD355" s="171"/>
      <c r="AE355" s="171"/>
      <c r="AF355" s="171"/>
      <c r="AG355" s="171">
        <v>1</v>
      </c>
      <c r="AH355" s="22"/>
      <c r="AI355" s="171" t="s">
        <v>1419</v>
      </c>
      <c r="AJ355" s="22">
        <f t="shared" si="5"/>
        <v>7</v>
      </c>
      <c r="AK355" s="22">
        <f t="shared" si="6"/>
        <v>7</v>
      </c>
    </row>
    <row r="356" spans="1:37" ht="15.75" customHeight="1">
      <c r="A356" s="167" t="s">
        <v>636</v>
      </c>
      <c r="B356" s="167" t="s">
        <v>2056</v>
      </c>
      <c r="C356" s="22" t="s">
        <v>635</v>
      </c>
      <c r="D356" s="168">
        <v>1</v>
      </c>
      <c r="E356" s="169" t="b">
        <v>1</v>
      </c>
      <c r="F356" s="170" t="s">
        <v>1701</v>
      </c>
      <c r="G356" s="171">
        <v>1</v>
      </c>
      <c r="H356" s="171">
        <v>1</v>
      </c>
      <c r="I356" s="171">
        <v>1</v>
      </c>
      <c r="J356" s="171">
        <v>1</v>
      </c>
      <c r="K356" s="171">
        <v>1</v>
      </c>
      <c r="L356" s="171"/>
      <c r="M356" s="171">
        <v>1</v>
      </c>
      <c r="N356" s="171">
        <v>1</v>
      </c>
      <c r="O356" s="171"/>
      <c r="P356" s="171"/>
      <c r="Q356" s="171"/>
      <c r="R356" s="171"/>
      <c r="S356" s="171"/>
      <c r="T356" s="171"/>
      <c r="U356" s="171"/>
      <c r="V356" s="171"/>
      <c r="W356" s="171"/>
      <c r="X356" s="171"/>
      <c r="Y356" s="171"/>
      <c r="Z356" s="171"/>
      <c r="AA356" s="171"/>
      <c r="AB356" s="171"/>
      <c r="AC356" s="171"/>
      <c r="AD356" s="171"/>
      <c r="AE356" s="171"/>
      <c r="AF356" s="171"/>
      <c r="AG356" s="171"/>
      <c r="AH356" s="22"/>
      <c r="AI356" s="171"/>
      <c r="AJ356" s="22">
        <f t="shared" si="5"/>
        <v>7</v>
      </c>
      <c r="AK356" s="22">
        <f t="shared" si="6"/>
        <v>7</v>
      </c>
    </row>
    <row r="357" spans="1:37" ht="15.75" customHeight="1">
      <c r="A357" s="167" t="s">
        <v>638</v>
      </c>
      <c r="B357" s="167" t="s">
        <v>2056</v>
      </c>
      <c r="C357" s="22" t="s">
        <v>637</v>
      </c>
      <c r="D357" s="168">
        <v>1</v>
      </c>
      <c r="E357" s="169" t="b">
        <v>1</v>
      </c>
      <c r="F357" s="170" t="s">
        <v>1450</v>
      </c>
      <c r="G357" s="171">
        <v>1</v>
      </c>
      <c r="H357" s="171">
        <v>1</v>
      </c>
      <c r="I357" s="171">
        <v>1</v>
      </c>
      <c r="J357" s="171">
        <v>1</v>
      </c>
      <c r="K357" s="171">
        <v>1</v>
      </c>
      <c r="L357" s="171">
        <v>2</v>
      </c>
      <c r="M357" s="171"/>
      <c r="N357" s="171"/>
      <c r="O357" s="171"/>
      <c r="P357" s="171"/>
      <c r="Q357" s="171">
        <v>1</v>
      </c>
      <c r="R357" s="171"/>
      <c r="S357" s="171"/>
      <c r="T357" s="171"/>
      <c r="U357" s="171"/>
      <c r="V357" s="171"/>
      <c r="W357" s="171"/>
      <c r="X357" s="171"/>
      <c r="Y357" s="171"/>
      <c r="Z357" s="171"/>
      <c r="AA357" s="171"/>
      <c r="AB357" s="171"/>
      <c r="AC357" s="171"/>
      <c r="AD357" s="171"/>
      <c r="AE357" s="171">
        <v>1</v>
      </c>
      <c r="AF357" s="171"/>
      <c r="AG357" s="171"/>
      <c r="AH357" s="22"/>
      <c r="AI357" s="171"/>
      <c r="AJ357" s="22">
        <f t="shared" si="5"/>
        <v>8</v>
      </c>
      <c r="AK357" s="22">
        <f t="shared" si="6"/>
        <v>9</v>
      </c>
    </row>
    <row r="358" spans="1:37" ht="15.75" customHeight="1">
      <c r="A358" s="167" t="s">
        <v>640</v>
      </c>
      <c r="B358" s="167" t="s">
        <v>2056</v>
      </c>
      <c r="C358" s="22" t="s">
        <v>639</v>
      </c>
      <c r="D358" s="168">
        <v>1</v>
      </c>
      <c r="E358" s="169" t="b">
        <v>1</v>
      </c>
      <c r="F358" s="170" t="s">
        <v>2008</v>
      </c>
      <c r="G358" s="171">
        <v>1</v>
      </c>
      <c r="H358" s="171">
        <v>1</v>
      </c>
      <c r="I358" s="171">
        <v>1</v>
      </c>
      <c r="J358" s="171">
        <v>1</v>
      </c>
      <c r="K358" s="171">
        <v>1</v>
      </c>
      <c r="L358" s="171"/>
      <c r="M358" s="171"/>
      <c r="N358" s="171"/>
      <c r="O358" s="171"/>
      <c r="P358" s="171"/>
      <c r="Q358" s="171"/>
      <c r="R358" s="171"/>
      <c r="S358" s="171"/>
      <c r="T358" s="171"/>
      <c r="U358" s="171"/>
      <c r="V358" s="171"/>
      <c r="W358" s="171"/>
      <c r="X358" s="171"/>
      <c r="Y358" s="171"/>
      <c r="Z358" s="171"/>
      <c r="AA358" s="171"/>
      <c r="AB358" s="171"/>
      <c r="AC358" s="171"/>
      <c r="AD358" s="171"/>
      <c r="AE358" s="171"/>
      <c r="AF358" s="171"/>
      <c r="AG358" s="171"/>
      <c r="AH358" s="22"/>
      <c r="AI358" s="171"/>
      <c r="AJ358" s="22">
        <f t="shared" si="5"/>
        <v>5</v>
      </c>
      <c r="AK358" s="22">
        <f t="shared" si="6"/>
        <v>5</v>
      </c>
    </row>
    <row r="359" spans="1:37" ht="15.75" customHeight="1">
      <c r="A359" s="167" t="s">
        <v>642</v>
      </c>
      <c r="B359" s="167" t="s">
        <v>2056</v>
      </c>
      <c r="C359" s="22" t="s">
        <v>641</v>
      </c>
      <c r="D359" s="168">
        <v>1</v>
      </c>
      <c r="E359" s="169" t="b">
        <v>1</v>
      </c>
      <c r="F359" s="170" t="s">
        <v>1563</v>
      </c>
      <c r="G359" s="171">
        <v>1</v>
      </c>
      <c r="H359" s="171">
        <v>1</v>
      </c>
      <c r="I359" s="171">
        <v>1</v>
      </c>
      <c r="J359" s="171">
        <v>1</v>
      </c>
      <c r="K359" s="171">
        <v>1</v>
      </c>
      <c r="L359" s="171">
        <v>1</v>
      </c>
      <c r="M359" s="171"/>
      <c r="N359" s="171"/>
      <c r="O359" s="171"/>
      <c r="P359" s="171"/>
      <c r="Q359" s="171"/>
      <c r="R359" s="171"/>
      <c r="S359" s="171"/>
      <c r="T359" s="171"/>
      <c r="U359" s="171">
        <v>1</v>
      </c>
      <c r="V359" s="171"/>
      <c r="W359" s="171"/>
      <c r="X359" s="171"/>
      <c r="Y359" s="171"/>
      <c r="Z359" s="171"/>
      <c r="AA359" s="171"/>
      <c r="AB359" s="171"/>
      <c r="AC359" s="171"/>
      <c r="AD359" s="171"/>
      <c r="AE359" s="171"/>
      <c r="AF359" s="171"/>
      <c r="AG359" s="171">
        <v>1</v>
      </c>
      <c r="AH359" s="22"/>
      <c r="AI359" s="171" t="s">
        <v>1564</v>
      </c>
      <c r="AJ359" s="22">
        <f t="shared" si="5"/>
        <v>8</v>
      </c>
      <c r="AK359" s="22">
        <f t="shared" si="6"/>
        <v>8</v>
      </c>
    </row>
    <row r="360" spans="1:37" ht="15.75" customHeight="1">
      <c r="A360" s="167" t="s">
        <v>644</v>
      </c>
      <c r="B360" s="167" t="s">
        <v>2056</v>
      </c>
      <c r="C360" s="22" t="s">
        <v>643</v>
      </c>
      <c r="D360" s="168">
        <v>1</v>
      </c>
      <c r="E360" s="169" t="b">
        <v>1</v>
      </c>
      <c r="F360" s="170" t="s">
        <v>1915</v>
      </c>
      <c r="G360" s="171">
        <v>1</v>
      </c>
      <c r="H360" s="171">
        <v>1</v>
      </c>
      <c r="I360" s="171">
        <v>1</v>
      </c>
      <c r="J360" s="171">
        <v>1</v>
      </c>
      <c r="K360" s="171">
        <v>1</v>
      </c>
      <c r="L360" s="171"/>
      <c r="M360" s="171"/>
      <c r="N360" s="171"/>
      <c r="O360" s="171"/>
      <c r="P360" s="171"/>
      <c r="Q360" s="171"/>
      <c r="R360" s="171"/>
      <c r="S360" s="171"/>
      <c r="T360" s="171"/>
      <c r="U360" s="171"/>
      <c r="V360" s="171"/>
      <c r="W360" s="171"/>
      <c r="X360" s="171"/>
      <c r="Y360" s="171"/>
      <c r="Z360" s="171"/>
      <c r="AA360" s="171"/>
      <c r="AB360" s="171"/>
      <c r="AC360" s="171"/>
      <c r="AD360" s="171"/>
      <c r="AE360" s="171"/>
      <c r="AF360" s="171"/>
      <c r="AG360" s="171"/>
      <c r="AH360" s="22"/>
      <c r="AI360" s="171"/>
      <c r="AJ360" s="22">
        <f t="shared" si="5"/>
        <v>5</v>
      </c>
      <c r="AK360" s="22">
        <f t="shared" si="6"/>
        <v>5</v>
      </c>
    </row>
    <row r="361" spans="1:37" ht="15.75" customHeight="1">
      <c r="A361" s="167" t="s">
        <v>1329</v>
      </c>
      <c r="B361" s="167" t="s">
        <v>2054</v>
      </c>
      <c r="C361" s="22" t="s">
        <v>1328</v>
      </c>
      <c r="D361" s="168">
        <v>1</v>
      </c>
      <c r="E361" s="169" t="b">
        <v>1</v>
      </c>
      <c r="F361" s="170" t="s">
        <v>1484</v>
      </c>
      <c r="G361" s="171">
        <v>1</v>
      </c>
      <c r="H361" s="171">
        <v>1</v>
      </c>
      <c r="I361" s="171">
        <v>1</v>
      </c>
      <c r="J361" s="171">
        <v>1</v>
      </c>
      <c r="K361" s="171">
        <v>1</v>
      </c>
      <c r="L361" s="171">
        <v>1</v>
      </c>
      <c r="M361" s="171">
        <v>1</v>
      </c>
      <c r="N361" s="171"/>
      <c r="O361" s="171"/>
      <c r="P361" s="171"/>
      <c r="Q361" s="171"/>
      <c r="R361" s="171">
        <v>1</v>
      </c>
      <c r="S361" s="171"/>
      <c r="T361" s="171"/>
      <c r="U361" s="171"/>
      <c r="V361" s="171"/>
      <c r="W361" s="171"/>
      <c r="X361" s="171"/>
      <c r="Y361" s="171"/>
      <c r="Z361" s="171"/>
      <c r="AA361" s="171"/>
      <c r="AB361" s="171"/>
      <c r="AC361" s="171">
        <v>1</v>
      </c>
      <c r="AD361" s="171"/>
      <c r="AE361" s="171"/>
      <c r="AF361" s="171"/>
      <c r="AG361" s="171"/>
      <c r="AH361" s="22"/>
      <c r="AI361" s="171"/>
      <c r="AJ361" s="22">
        <f t="shared" si="5"/>
        <v>9</v>
      </c>
      <c r="AK361" s="22">
        <f t="shared" si="6"/>
        <v>9</v>
      </c>
    </row>
    <row r="362" spans="1:37" ht="15.75" customHeight="1">
      <c r="A362" s="167" t="s">
        <v>1331</v>
      </c>
      <c r="B362" s="167" t="s">
        <v>2054</v>
      </c>
      <c r="C362" s="22" t="s">
        <v>1330</v>
      </c>
      <c r="D362" s="168">
        <v>1</v>
      </c>
      <c r="E362" s="169" t="b">
        <v>1</v>
      </c>
      <c r="F362" s="170" t="s">
        <v>1620</v>
      </c>
      <c r="G362" s="171">
        <v>1</v>
      </c>
      <c r="H362" s="171">
        <v>1</v>
      </c>
      <c r="I362" s="171">
        <v>1</v>
      </c>
      <c r="J362" s="171">
        <v>1</v>
      </c>
      <c r="K362" s="171">
        <v>1</v>
      </c>
      <c r="L362" s="171">
        <v>1</v>
      </c>
      <c r="M362" s="171"/>
      <c r="N362" s="171"/>
      <c r="O362" s="171"/>
      <c r="P362" s="171"/>
      <c r="Q362" s="171"/>
      <c r="R362" s="171">
        <v>1</v>
      </c>
      <c r="S362" s="171"/>
      <c r="T362" s="171"/>
      <c r="U362" s="171"/>
      <c r="V362" s="171"/>
      <c r="W362" s="171"/>
      <c r="X362" s="171"/>
      <c r="Y362" s="171"/>
      <c r="Z362" s="171"/>
      <c r="AA362" s="171"/>
      <c r="AB362" s="171"/>
      <c r="AC362" s="171"/>
      <c r="AD362" s="171"/>
      <c r="AE362" s="171"/>
      <c r="AF362" s="171"/>
      <c r="AG362" s="171">
        <v>1</v>
      </c>
      <c r="AH362" s="22"/>
      <c r="AI362" s="171" t="s">
        <v>1619</v>
      </c>
      <c r="AJ362" s="22">
        <f t="shared" si="5"/>
        <v>8</v>
      </c>
      <c r="AK362" s="22">
        <f t="shared" si="6"/>
        <v>8</v>
      </c>
    </row>
    <row r="363" spans="1:37" ht="15.75" customHeight="1">
      <c r="A363" s="167" t="s">
        <v>646</v>
      </c>
      <c r="B363" s="167" t="s">
        <v>2056</v>
      </c>
      <c r="C363" s="22" t="s">
        <v>645</v>
      </c>
      <c r="D363" s="168">
        <v>1</v>
      </c>
      <c r="E363" s="169" t="b">
        <v>1</v>
      </c>
      <c r="F363" s="174" t="s">
        <v>1702</v>
      </c>
      <c r="G363" s="171">
        <v>1</v>
      </c>
      <c r="H363" s="171">
        <v>1</v>
      </c>
      <c r="I363" s="171">
        <v>1</v>
      </c>
      <c r="J363" s="171">
        <v>1</v>
      </c>
      <c r="K363" s="171">
        <v>1</v>
      </c>
      <c r="L363" s="171">
        <v>1</v>
      </c>
      <c r="M363" s="171"/>
      <c r="N363" s="171">
        <v>1</v>
      </c>
      <c r="O363" s="171"/>
      <c r="P363" s="171"/>
      <c r="Q363" s="171"/>
      <c r="R363" s="171"/>
      <c r="S363" s="171"/>
      <c r="T363" s="171"/>
      <c r="U363" s="171"/>
      <c r="V363" s="171"/>
      <c r="W363" s="171"/>
      <c r="X363" s="171"/>
      <c r="Y363" s="171"/>
      <c r="Z363" s="171"/>
      <c r="AA363" s="171"/>
      <c r="AB363" s="171"/>
      <c r="AC363" s="171"/>
      <c r="AD363" s="171"/>
      <c r="AE363" s="171"/>
      <c r="AF363" s="171"/>
      <c r="AG363" s="171"/>
      <c r="AH363" s="22"/>
      <c r="AI363" s="171"/>
      <c r="AJ363" s="22">
        <f t="shared" si="5"/>
        <v>7</v>
      </c>
      <c r="AK363" s="22">
        <f t="shared" si="6"/>
        <v>7</v>
      </c>
    </row>
    <row r="364" spans="1:37" ht="15.75" customHeight="1">
      <c r="A364" s="167" t="s">
        <v>648</v>
      </c>
      <c r="B364" s="167" t="s">
        <v>2056</v>
      </c>
      <c r="C364" s="22" t="s">
        <v>647</v>
      </c>
      <c r="D364" s="168">
        <v>1</v>
      </c>
      <c r="E364" s="169" t="b">
        <v>1</v>
      </c>
      <c r="F364" s="174" t="s">
        <v>1703</v>
      </c>
      <c r="G364" s="171">
        <v>1</v>
      </c>
      <c r="H364" s="171">
        <v>1</v>
      </c>
      <c r="I364" s="171">
        <v>1</v>
      </c>
      <c r="J364" s="171">
        <v>1</v>
      </c>
      <c r="K364" s="171">
        <v>1</v>
      </c>
      <c r="L364" s="171"/>
      <c r="M364" s="171"/>
      <c r="N364" s="171">
        <v>1</v>
      </c>
      <c r="O364" s="171"/>
      <c r="P364" s="171"/>
      <c r="Q364" s="171"/>
      <c r="R364" s="171"/>
      <c r="S364" s="171"/>
      <c r="T364" s="171"/>
      <c r="U364" s="171"/>
      <c r="V364" s="171"/>
      <c r="W364" s="171"/>
      <c r="X364" s="171"/>
      <c r="Y364" s="171"/>
      <c r="Z364" s="171"/>
      <c r="AA364" s="171"/>
      <c r="AB364" s="171"/>
      <c r="AC364" s="171"/>
      <c r="AD364" s="171">
        <v>1</v>
      </c>
      <c r="AE364" s="171"/>
      <c r="AF364" s="171"/>
      <c r="AG364" s="171"/>
      <c r="AH364" s="22"/>
      <c r="AI364" s="171"/>
      <c r="AJ364" s="22">
        <f t="shared" si="5"/>
        <v>7</v>
      </c>
      <c r="AK364" s="22">
        <f t="shared" si="6"/>
        <v>7</v>
      </c>
    </row>
    <row r="365" spans="1:37" ht="15.75" customHeight="1">
      <c r="A365" s="167" t="s">
        <v>650</v>
      </c>
      <c r="B365" s="167" t="s">
        <v>2056</v>
      </c>
      <c r="C365" s="22" t="s">
        <v>649</v>
      </c>
      <c r="D365" s="168">
        <v>1</v>
      </c>
      <c r="E365" s="169" t="b">
        <v>1</v>
      </c>
      <c r="F365" s="170" t="s">
        <v>1704</v>
      </c>
      <c r="G365" s="171">
        <v>1</v>
      </c>
      <c r="H365" s="171">
        <v>1</v>
      </c>
      <c r="I365" s="171">
        <v>1</v>
      </c>
      <c r="J365" s="171">
        <v>1</v>
      </c>
      <c r="K365" s="171">
        <v>1</v>
      </c>
      <c r="L365" s="171">
        <v>2</v>
      </c>
      <c r="M365" s="171"/>
      <c r="N365" s="171"/>
      <c r="O365" s="171"/>
      <c r="P365" s="171"/>
      <c r="Q365" s="171"/>
      <c r="R365" s="171"/>
      <c r="S365" s="171"/>
      <c r="T365" s="171"/>
      <c r="U365" s="171"/>
      <c r="V365" s="171"/>
      <c r="W365" s="171"/>
      <c r="X365" s="171"/>
      <c r="Y365" s="171"/>
      <c r="Z365" s="171"/>
      <c r="AA365" s="171"/>
      <c r="AB365" s="171"/>
      <c r="AC365" s="171"/>
      <c r="AD365" s="171"/>
      <c r="AE365" s="171"/>
      <c r="AF365" s="171"/>
      <c r="AG365" s="171"/>
      <c r="AH365" s="22"/>
      <c r="AI365" s="171"/>
      <c r="AJ365" s="22">
        <f t="shared" si="5"/>
        <v>6</v>
      </c>
      <c r="AK365" s="22">
        <f t="shared" si="6"/>
        <v>7</v>
      </c>
    </row>
    <row r="366" spans="1:37" ht="15.75" customHeight="1">
      <c r="A366" s="167" t="s">
        <v>652</v>
      </c>
      <c r="B366" s="167" t="s">
        <v>2056</v>
      </c>
      <c r="C366" s="22" t="s">
        <v>651</v>
      </c>
      <c r="D366" s="168">
        <v>1</v>
      </c>
      <c r="E366" s="169" t="b">
        <v>1</v>
      </c>
      <c r="F366" s="182" t="s">
        <v>1705</v>
      </c>
      <c r="G366" s="171">
        <v>1</v>
      </c>
      <c r="H366" s="171">
        <v>1</v>
      </c>
      <c r="I366" s="171">
        <v>1</v>
      </c>
      <c r="J366" s="171">
        <v>1</v>
      </c>
      <c r="K366" s="171">
        <v>1</v>
      </c>
      <c r="L366" s="171">
        <v>1</v>
      </c>
      <c r="M366" s="171">
        <v>1</v>
      </c>
      <c r="N366" s="171"/>
      <c r="O366" s="171"/>
      <c r="P366" s="171"/>
      <c r="Q366" s="171"/>
      <c r="R366" s="171"/>
      <c r="S366" s="171"/>
      <c r="T366" s="171"/>
      <c r="U366" s="171"/>
      <c r="V366" s="171"/>
      <c r="W366" s="171"/>
      <c r="X366" s="171"/>
      <c r="Y366" s="171"/>
      <c r="Z366" s="171"/>
      <c r="AA366" s="171"/>
      <c r="AB366" s="171"/>
      <c r="AC366" s="171"/>
      <c r="AD366" s="171"/>
      <c r="AE366" s="171"/>
      <c r="AF366" s="171"/>
      <c r="AG366" s="171"/>
      <c r="AH366" s="22"/>
      <c r="AI366" s="171"/>
      <c r="AJ366" s="22">
        <f t="shared" si="5"/>
        <v>7</v>
      </c>
      <c r="AK366" s="22">
        <f t="shared" si="6"/>
        <v>7</v>
      </c>
    </row>
    <row r="367" spans="1:37" ht="15.75" customHeight="1">
      <c r="A367" s="167" t="s">
        <v>654</v>
      </c>
      <c r="B367" s="167" t="s">
        <v>2056</v>
      </c>
      <c r="C367" s="22" t="s">
        <v>653</v>
      </c>
      <c r="D367" s="168">
        <v>1</v>
      </c>
      <c r="E367" s="169" t="b">
        <v>1</v>
      </c>
      <c r="F367" s="170" t="s">
        <v>1565</v>
      </c>
      <c r="G367" s="171">
        <v>1</v>
      </c>
      <c r="H367" s="171">
        <v>1</v>
      </c>
      <c r="I367" s="171">
        <v>1</v>
      </c>
      <c r="J367" s="171">
        <v>1</v>
      </c>
      <c r="K367" s="171"/>
      <c r="L367" s="171"/>
      <c r="M367" s="171"/>
      <c r="N367" s="171">
        <v>1</v>
      </c>
      <c r="O367" s="171"/>
      <c r="P367" s="171"/>
      <c r="Q367" s="171"/>
      <c r="R367" s="171"/>
      <c r="S367" s="171"/>
      <c r="T367" s="171"/>
      <c r="U367" s="171"/>
      <c r="V367" s="171"/>
      <c r="W367" s="171"/>
      <c r="X367" s="171"/>
      <c r="Y367" s="171"/>
      <c r="Z367" s="171"/>
      <c r="AA367" s="171"/>
      <c r="AB367" s="171"/>
      <c r="AC367" s="171"/>
      <c r="AD367" s="171"/>
      <c r="AE367" s="171"/>
      <c r="AF367" s="171"/>
      <c r="AG367" s="171"/>
      <c r="AH367" s="22"/>
      <c r="AI367" s="171"/>
      <c r="AJ367" s="22">
        <f t="shared" si="5"/>
        <v>5</v>
      </c>
      <c r="AK367" s="22">
        <f t="shared" si="6"/>
        <v>5</v>
      </c>
    </row>
    <row r="368" spans="1:37" ht="15.75" customHeight="1">
      <c r="A368" s="167" t="s">
        <v>1272</v>
      </c>
      <c r="B368" s="167" t="s">
        <v>2055</v>
      </c>
      <c r="C368" s="22" t="s">
        <v>1271</v>
      </c>
      <c r="D368" s="168">
        <v>1</v>
      </c>
      <c r="E368" s="169" t="b">
        <v>1</v>
      </c>
      <c r="F368" s="170" t="s">
        <v>1784</v>
      </c>
      <c r="G368" s="171">
        <v>1</v>
      </c>
      <c r="H368" s="171">
        <v>1</v>
      </c>
      <c r="I368" s="171">
        <v>1</v>
      </c>
      <c r="J368" s="171">
        <v>1</v>
      </c>
      <c r="K368" s="171">
        <v>1</v>
      </c>
      <c r="L368" s="171"/>
      <c r="M368" s="171"/>
      <c r="N368" s="171"/>
      <c r="O368" s="171">
        <v>1</v>
      </c>
      <c r="P368" s="171"/>
      <c r="Q368" s="171"/>
      <c r="R368" s="171"/>
      <c r="S368" s="171"/>
      <c r="T368" s="171"/>
      <c r="U368" s="171"/>
      <c r="V368" s="171"/>
      <c r="W368" s="171"/>
      <c r="X368" s="171"/>
      <c r="Y368" s="171">
        <v>1</v>
      </c>
      <c r="Z368" s="171"/>
      <c r="AA368" s="171"/>
      <c r="AB368" s="171"/>
      <c r="AC368" s="171"/>
      <c r="AD368" s="171"/>
      <c r="AE368" s="171"/>
      <c r="AF368" s="171"/>
      <c r="AG368" s="171"/>
      <c r="AH368" s="22"/>
      <c r="AI368" s="171"/>
      <c r="AJ368" s="22">
        <f t="shared" si="5"/>
        <v>7</v>
      </c>
      <c r="AK368" s="22">
        <f t="shared" si="6"/>
        <v>7</v>
      </c>
    </row>
    <row r="369" spans="1:37" ht="15.75" customHeight="1">
      <c r="A369" s="167" t="s">
        <v>656</v>
      </c>
      <c r="B369" s="167" t="s">
        <v>2056</v>
      </c>
      <c r="C369" s="22" t="s">
        <v>655</v>
      </c>
      <c r="D369" s="168">
        <v>1</v>
      </c>
      <c r="E369" s="169" t="b">
        <v>1</v>
      </c>
      <c r="F369" s="170" t="s">
        <v>2009</v>
      </c>
      <c r="G369" s="171">
        <v>1</v>
      </c>
      <c r="H369" s="171">
        <v>1</v>
      </c>
      <c r="I369" s="171">
        <v>1</v>
      </c>
      <c r="J369" s="171">
        <v>1</v>
      </c>
      <c r="K369" s="171">
        <v>1</v>
      </c>
      <c r="L369" s="171"/>
      <c r="M369" s="171"/>
      <c r="N369" s="171"/>
      <c r="O369" s="171"/>
      <c r="P369" s="171"/>
      <c r="Q369" s="171"/>
      <c r="R369" s="171"/>
      <c r="S369" s="171"/>
      <c r="T369" s="171"/>
      <c r="U369" s="171"/>
      <c r="V369" s="171"/>
      <c r="W369" s="171"/>
      <c r="X369" s="171"/>
      <c r="Y369" s="171"/>
      <c r="Z369" s="171"/>
      <c r="AA369" s="171"/>
      <c r="AB369" s="171"/>
      <c r="AC369" s="171"/>
      <c r="AD369" s="171"/>
      <c r="AE369" s="171"/>
      <c r="AF369" s="171"/>
      <c r="AG369" s="171"/>
      <c r="AH369" s="22"/>
      <c r="AI369" s="171"/>
      <c r="AJ369" s="22">
        <f t="shared" si="5"/>
        <v>5</v>
      </c>
      <c r="AK369" s="22">
        <f t="shared" si="6"/>
        <v>5</v>
      </c>
    </row>
    <row r="370" spans="1:37" ht="15.75" customHeight="1">
      <c r="A370" s="167" t="s">
        <v>658</v>
      </c>
      <c r="B370" s="167" t="s">
        <v>2056</v>
      </c>
      <c r="C370" s="22" t="s">
        <v>657</v>
      </c>
      <c r="D370" s="168">
        <v>1</v>
      </c>
      <c r="E370" s="169" t="b">
        <v>1</v>
      </c>
      <c r="F370" s="170" t="s">
        <v>2010</v>
      </c>
      <c r="G370" s="171">
        <v>1</v>
      </c>
      <c r="H370" s="171">
        <v>1</v>
      </c>
      <c r="I370" s="171">
        <v>1</v>
      </c>
      <c r="J370" s="171">
        <v>1</v>
      </c>
      <c r="K370" s="171">
        <v>1</v>
      </c>
      <c r="L370" s="171"/>
      <c r="M370" s="171"/>
      <c r="N370" s="171"/>
      <c r="O370" s="171"/>
      <c r="P370" s="171"/>
      <c r="Q370" s="171"/>
      <c r="R370" s="171"/>
      <c r="S370" s="171"/>
      <c r="T370" s="171"/>
      <c r="U370" s="171"/>
      <c r="V370" s="171"/>
      <c r="W370" s="171"/>
      <c r="X370" s="171"/>
      <c r="Y370" s="171"/>
      <c r="Z370" s="171"/>
      <c r="AA370" s="171"/>
      <c r="AB370" s="171"/>
      <c r="AC370" s="171"/>
      <c r="AD370" s="171"/>
      <c r="AE370" s="171"/>
      <c r="AF370" s="171"/>
      <c r="AG370" s="171"/>
      <c r="AH370" s="22"/>
      <c r="AI370" s="171"/>
      <c r="AJ370" s="22">
        <f t="shared" si="5"/>
        <v>5</v>
      </c>
      <c r="AK370" s="22">
        <f t="shared" si="6"/>
        <v>5</v>
      </c>
    </row>
    <row r="371" spans="1:37" ht="15.75" customHeight="1">
      <c r="A371" s="167" t="s">
        <v>660</v>
      </c>
      <c r="B371" s="167" t="s">
        <v>2056</v>
      </c>
      <c r="C371" s="22" t="s">
        <v>659</v>
      </c>
      <c r="D371" s="168">
        <v>1</v>
      </c>
      <c r="E371" s="169" t="b">
        <v>1</v>
      </c>
      <c r="F371" s="170" t="s">
        <v>1894</v>
      </c>
      <c r="G371" s="171">
        <v>1</v>
      </c>
      <c r="H371" s="171">
        <v>1</v>
      </c>
      <c r="I371" s="171">
        <v>1</v>
      </c>
      <c r="J371" s="171">
        <v>1</v>
      </c>
      <c r="K371" s="171">
        <v>1</v>
      </c>
      <c r="L371" s="171"/>
      <c r="M371" s="171"/>
      <c r="N371" s="171"/>
      <c r="O371" s="171"/>
      <c r="P371" s="171"/>
      <c r="Q371" s="171"/>
      <c r="R371" s="171"/>
      <c r="S371" s="171"/>
      <c r="T371" s="171"/>
      <c r="U371" s="171"/>
      <c r="V371" s="171"/>
      <c r="W371" s="171"/>
      <c r="X371" s="171">
        <v>1</v>
      </c>
      <c r="Y371" s="171"/>
      <c r="Z371" s="171"/>
      <c r="AA371" s="171"/>
      <c r="AB371" s="171"/>
      <c r="AC371" s="171"/>
      <c r="AD371" s="171"/>
      <c r="AE371" s="171"/>
      <c r="AF371" s="171"/>
      <c r="AG371" s="171"/>
      <c r="AH371" s="22"/>
      <c r="AI371" s="171"/>
      <c r="AJ371" s="22">
        <f t="shared" si="5"/>
        <v>6</v>
      </c>
      <c r="AK371" s="22">
        <f t="shared" si="6"/>
        <v>6</v>
      </c>
    </row>
    <row r="372" spans="1:37" ht="15.75" customHeight="1">
      <c r="A372" s="167" t="s">
        <v>662</v>
      </c>
      <c r="B372" s="167" t="s">
        <v>2056</v>
      </c>
      <c r="C372" s="22" t="s">
        <v>661</v>
      </c>
      <c r="D372" s="168">
        <v>1</v>
      </c>
      <c r="E372" s="169" t="b">
        <v>1</v>
      </c>
      <c r="F372" s="170" t="s">
        <v>1706</v>
      </c>
      <c r="G372" s="171">
        <v>1</v>
      </c>
      <c r="H372" s="171">
        <v>1</v>
      </c>
      <c r="I372" s="171">
        <v>1</v>
      </c>
      <c r="J372" s="171">
        <v>1</v>
      </c>
      <c r="K372" s="171">
        <v>1</v>
      </c>
      <c r="L372" s="171">
        <v>1</v>
      </c>
      <c r="M372" s="171">
        <v>1</v>
      </c>
      <c r="N372" s="171"/>
      <c r="O372" s="171"/>
      <c r="P372" s="171"/>
      <c r="Q372" s="171"/>
      <c r="R372" s="171"/>
      <c r="S372" s="171"/>
      <c r="T372" s="171"/>
      <c r="U372" s="171"/>
      <c r="V372" s="171"/>
      <c r="W372" s="171"/>
      <c r="X372" s="171"/>
      <c r="Y372" s="171"/>
      <c r="Z372" s="171"/>
      <c r="AA372" s="171"/>
      <c r="AB372" s="171"/>
      <c r="AC372" s="171"/>
      <c r="AD372" s="171"/>
      <c r="AE372" s="171"/>
      <c r="AF372" s="171"/>
      <c r="AG372" s="171"/>
      <c r="AH372" s="22"/>
      <c r="AI372" s="171"/>
      <c r="AJ372" s="22">
        <f t="shared" si="5"/>
        <v>7</v>
      </c>
      <c r="AK372" s="22">
        <f t="shared" si="6"/>
        <v>7</v>
      </c>
    </row>
    <row r="373" spans="1:37" ht="15.75" customHeight="1">
      <c r="A373" s="167" t="s">
        <v>664</v>
      </c>
      <c r="B373" s="167" t="s">
        <v>2056</v>
      </c>
      <c r="C373" s="22" t="s">
        <v>663</v>
      </c>
      <c r="D373" s="168">
        <v>1</v>
      </c>
      <c r="E373" s="169" t="b">
        <v>1</v>
      </c>
      <c r="F373" s="170" t="s">
        <v>2011</v>
      </c>
      <c r="G373" s="171">
        <v>1</v>
      </c>
      <c r="H373" s="171">
        <v>1</v>
      </c>
      <c r="I373" s="171">
        <v>1</v>
      </c>
      <c r="J373" s="171">
        <v>1</v>
      </c>
      <c r="K373" s="171"/>
      <c r="L373" s="171"/>
      <c r="M373" s="171"/>
      <c r="N373" s="171">
        <v>1</v>
      </c>
      <c r="O373" s="171"/>
      <c r="P373" s="171"/>
      <c r="Q373" s="171"/>
      <c r="R373" s="171"/>
      <c r="S373" s="171"/>
      <c r="T373" s="171"/>
      <c r="U373" s="171"/>
      <c r="V373" s="171"/>
      <c r="W373" s="171"/>
      <c r="X373" s="171"/>
      <c r="Y373" s="171"/>
      <c r="Z373" s="171"/>
      <c r="AA373" s="171"/>
      <c r="AB373" s="171"/>
      <c r="AC373" s="171"/>
      <c r="AD373" s="171"/>
      <c r="AE373" s="171"/>
      <c r="AF373" s="171"/>
      <c r="AG373" s="171"/>
      <c r="AH373" s="22"/>
      <c r="AI373" s="171"/>
      <c r="AJ373" s="22">
        <f t="shared" si="5"/>
        <v>5</v>
      </c>
      <c r="AK373" s="22">
        <f t="shared" si="6"/>
        <v>5</v>
      </c>
    </row>
    <row r="374" spans="1:37" ht="15.75" customHeight="1">
      <c r="A374" s="167" t="s">
        <v>1190</v>
      </c>
      <c r="B374" s="167" t="s">
        <v>2055</v>
      </c>
      <c r="C374" s="22" t="s">
        <v>1189</v>
      </c>
      <c r="D374" s="168">
        <v>1</v>
      </c>
      <c r="E374" s="169" t="b">
        <v>1</v>
      </c>
      <c r="F374" s="170" t="s">
        <v>1958</v>
      </c>
      <c r="G374" s="171">
        <v>1</v>
      </c>
      <c r="H374" s="171">
        <v>1</v>
      </c>
      <c r="I374" s="171">
        <v>1</v>
      </c>
      <c r="J374" s="171"/>
      <c r="K374" s="171">
        <v>1</v>
      </c>
      <c r="L374" s="171"/>
      <c r="M374" s="171"/>
      <c r="N374" s="171"/>
      <c r="O374" s="171">
        <v>1</v>
      </c>
      <c r="P374" s="171"/>
      <c r="Q374" s="171"/>
      <c r="R374" s="171"/>
      <c r="S374" s="171"/>
      <c r="T374" s="171"/>
      <c r="U374" s="171"/>
      <c r="V374" s="171"/>
      <c r="W374" s="171"/>
      <c r="X374" s="171"/>
      <c r="Y374" s="171"/>
      <c r="Z374" s="171"/>
      <c r="AA374" s="171"/>
      <c r="AB374" s="171"/>
      <c r="AC374" s="171"/>
      <c r="AD374" s="171"/>
      <c r="AE374" s="171"/>
      <c r="AF374" s="171"/>
      <c r="AG374" s="171">
        <v>1</v>
      </c>
      <c r="AH374" s="22"/>
      <c r="AI374" s="171" t="s">
        <v>1959</v>
      </c>
      <c r="AJ374" s="22">
        <f t="shared" si="5"/>
        <v>6</v>
      </c>
      <c r="AK374" s="22">
        <f t="shared" si="6"/>
        <v>6</v>
      </c>
    </row>
    <row r="375" spans="1:37" ht="15.75" customHeight="1">
      <c r="A375" s="167" t="s">
        <v>666</v>
      </c>
      <c r="B375" s="167" t="s">
        <v>2056</v>
      </c>
      <c r="C375" s="22" t="s">
        <v>665</v>
      </c>
      <c r="D375" s="168">
        <v>1</v>
      </c>
      <c r="E375" s="169" t="b">
        <v>1</v>
      </c>
      <c r="F375" s="170" t="s">
        <v>1833</v>
      </c>
      <c r="G375" s="171">
        <v>1</v>
      </c>
      <c r="H375" s="171">
        <v>1</v>
      </c>
      <c r="I375" s="171">
        <v>1</v>
      </c>
      <c r="J375" s="171">
        <v>1</v>
      </c>
      <c r="K375" s="171">
        <v>1</v>
      </c>
      <c r="L375" s="171"/>
      <c r="M375" s="171"/>
      <c r="N375" s="171"/>
      <c r="O375" s="171"/>
      <c r="P375" s="171">
        <v>1</v>
      </c>
      <c r="Q375" s="171"/>
      <c r="R375" s="171"/>
      <c r="S375" s="171"/>
      <c r="T375" s="171"/>
      <c r="U375" s="171"/>
      <c r="V375" s="171"/>
      <c r="W375" s="171"/>
      <c r="X375" s="171"/>
      <c r="Y375" s="171"/>
      <c r="Z375" s="171"/>
      <c r="AA375" s="171"/>
      <c r="AB375" s="171"/>
      <c r="AC375" s="171"/>
      <c r="AD375" s="171"/>
      <c r="AE375" s="171"/>
      <c r="AF375" s="171"/>
      <c r="AG375" s="171"/>
      <c r="AH375" s="22"/>
      <c r="AI375" s="171"/>
      <c r="AJ375" s="22">
        <f t="shared" si="5"/>
        <v>6</v>
      </c>
      <c r="AK375" s="22">
        <f t="shared" si="6"/>
        <v>6</v>
      </c>
    </row>
    <row r="376" spans="1:37" ht="15.75" customHeight="1">
      <c r="A376" s="167" t="s">
        <v>668</v>
      </c>
      <c r="B376" s="167" t="s">
        <v>2056</v>
      </c>
      <c r="C376" s="22" t="s">
        <v>667</v>
      </c>
      <c r="D376" s="168">
        <v>1</v>
      </c>
      <c r="E376" s="169" t="b">
        <v>1</v>
      </c>
      <c r="F376" s="170" t="s">
        <v>1833</v>
      </c>
      <c r="G376" s="171">
        <v>1</v>
      </c>
      <c r="H376" s="171">
        <v>1</v>
      </c>
      <c r="I376" s="171">
        <v>1</v>
      </c>
      <c r="J376" s="171">
        <v>1</v>
      </c>
      <c r="K376" s="171">
        <v>1</v>
      </c>
      <c r="L376" s="171"/>
      <c r="M376" s="171"/>
      <c r="N376" s="171"/>
      <c r="O376" s="171"/>
      <c r="P376" s="171"/>
      <c r="Q376" s="171"/>
      <c r="R376" s="171"/>
      <c r="S376" s="171"/>
      <c r="T376" s="171"/>
      <c r="U376" s="171"/>
      <c r="V376" s="171"/>
      <c r="W376" s="171"/>
      <c r="X376" s="171"/>
      <c r="Y376" s="171"/>
      <c r="Z376" s="171"/>
      <c r="AA376" s="171"/>
      <c r="AB376" s="171"/>
      <c r="AC376" s="171"/>
      <c r="AD376" s="171"/>
      <c r="AE376" s="171"/>
      <c r="AF376" s="171"/>
      <c r="AG376" s="171"/>
      <c r="AH376" s="22"/>
      <c r="AI376" s="171"/>
      <c r="AJ376" s="22">
        <f t="shared" si="5"/>
        <v>5</v>
      </c>
      <c r="AK376" s="22">
        <f t="shared" si="6"/>
        <v>5</v>
      </c>
    </row>
    <row r="377" spans="1:37" ht="15.75" customHeight="1">
      <c r="A377" s="167" t="s">
        <v>670</v>
      </c>
      <c r="B377" s="167" t="s">
        <v>2056</v>
      </c>
      <c r="C377" s="22" t="s">
        <v>669</v>
      </c>
      <c r="D377" s="168">
        <v>1</v>
      </c>
      <c r="E377" s="169" t="b">
        <v>1</v>
      </c>
      <c r="F377" s="170" t="s">
        <v>1707</v>
      </c>
      <c r="G377" s="171">
        <v>1</v>
      </c>
      <c r="H377" s="171">
        <v>1</v>
      </c>
      <c r="I377" s="171">
        <v>1</v>
      </c>
      <c r="J377" s="171">
        <v>1</v>
      </c>
      <c r="K377" s="171">
        <v>1</v>
      </c>
      <c r="L377" s="171"/>
      <c r="M377" s="171">
        <v>1</v>
      </c>
      <c r="N377" s="171"/>
      <c r="O377" s="171"/>
      <c r="P377" s="171"/>
      <c r="Q377" s="171"/>
      <c r="R377" s="171"/>
      <c r="S377" s="171"/>
      <c r="T377" s="171"/>
      <c r="U377" s="171"/>
      <c r="V377" s="171"/>
      <c r="W377" s="171">
        <v>1</v>
      </c>
      <c r="X377" s="171"/>
      <c r="Y377" s="171"/>
      <c r="Z377" s="171"/>
      <c r="AA377" s="171"/>
      <c r="AB377" s="171"/>
      <c r="AC377" s="171"/>
      <c r="AD377" s="171"/>
      <c r="AE377" s="171"/>
      <c r="AF377" s="171"/>
      <c r="AG377" s="171"/>
      <c r="AH377" s="22"/>
      <c r="AI377" s="171"/>
      <c r="AJ377" s="22">
        <f t="shared" si="5"/>
        <v>7</v>
      </c>
      <c r="AK377" s="22">
        <f t="shared" si="6"/>
        <v>7</v>
      </c>
    </row>
    <row r="378" spans="1:37" ht="15.75" customHeight="1">
      <c r="A378" s="167" t="s">
        <v>1333</v>
      </c>
      <c r="B378" s="167" t="s">
        <v>2054</v>
      </c>
      <c r="C378" s="22" t="s">
        <v>1332</v>
      </c>
      <c r="D378" s="168">
        <v>1</v>
      </c>
      <c r="E378" s="169" t="b">
        <v>1</v>
      </c>
      <c r="F378" s="170" t="s">
        <v>1485</v>
      </c>
      <c r="G378" s="171">
        <v>1</v>
      </c>
      <c r="H378" s="171">
        <v>1</v>
      </c>
      <c r="I378" s="171">
        <v>1</v>
      </c>
      <c r="J378" s="171">
        <v>1</v>
      </c>
      <c r="K378" s="171">
        <v>1</v>
      </c>
      <c r="L378" s="171">
        <v>1</v>
      </c>
      <c r="M378" s="171"/>
      <c r="N378" s="171"/>
      <c r="O378" s="171"/>
      <c r="P378" s="171">
        <v>1</v>
      </c>
      <c r="Q378" s="171"/>
      <c r="R378" s="171">
        <v>1</v>
      </c>
      <c r="S378" s="171"/>
      <c r="T378" s="171"/>
      <c r="U378" s="171"/>
      <c r="V378" s="171"/>
      <c r="W378" s="171"/>
      <c r="X378" s="171"/>
      <c r="Y378" s="171"/>
      <c r="Z378" s="171"/>
      <c r="AA378" s="171"/>
      <c r="AB378" s="171"/>
      <c r="AC378" s="171"/>
      <c r="AD378" s="171"/>
      <c r="AE378" s="171"/>
      <c r="AF378" s="171"/>
      <c r="AG378" s="171">
        <v>1</v>
      </c>
      <c r="AH378" s="22"/>
      <c r="AI378" s="171" t="s">
        <v>1486</v>
      </c>
      <c r="AJ378" s="22">
        <f t="shared" si="5"/>
        <v>9</v>
      </c>
      <c r="AK378" s="22">
        <f t="shared" si="6"/>
        <v>9</v>
      </c>
    </row>
    <row r="379" spans="1:37" ht="15.75" customHeight="1">
      <c r="A379" s="167" t="s">
        <v>1335</v>
      </c>
      <c r="B379" s="167" t="s">
        <v>2054</v>
      </c>
      <c r="C379" s="22" t="s">
        <v>1334</v>
      </c>
      <c r="D379" s="168">
        <v>1</v>
      </c>
      <c r="E379" s="169" t="b">
        <v>1</v>
      </c>
      <c r="F379" s="170" t="s">
        <v>1616</v>
      </c>
      <c r="G379" s="171">
        <v>1</v>
      </c>
      <c r="H379" s="171">
        <v>1</v>
      </c>
      <c r="I379" s="171">
        <v>1</v>
      </c>
      <c r="J379" s="171">
        <v>1</v>
      </c>
      <c r="K379" s="171">
        <v>1</v>
      </c>
      <c r="L379" s="171"/>
      <c r="M379" s="171"/>
      <c r="N379" s="171"/>
      <c r="O379" s="171"/>
      <c r="P379" s="171"/>
      <c r="Q379" s="171"/>
      <c r="R379" s="171">
        <v>1</v>
      </c>
      <c r="S379" s="171"/>
      <c r="T379" s="171"/>
      <c r="U379" s="171"/>
      <c r="V379" s="171"/>
      <c r="W379" s="171"/>
      <c r="X379" s="171"/>
      <c r="Y379" s="171"/>
      <c r="Z379" s="171"/>
      <c r="AA379" s="171"/>
      <c r="AB379" s="171"/>
      <c r="AC379" s="171"/>
      <c r="AD379" s="171"/>
      <c r="AE379" s="171"/>
      <c r="AF379" s="171"/>
      <c r="AG379" s="171"/>
      <c r="AH379" s="22"/>
      <c r="AI379" s="171"/>
      <c r="AJ379" s="22">
        <f t="shared" si="5"/>
        <v>6</v>
      </c>
      <c r="AK379" s="22">
        <f t="shared" si="6"/>
        <v>6</v>
      </c>
    </row>
    <row r="380" spans="1:37" ht="15.75" customHeight="1">
      <c r="A380" s="167" t="s">
        <v>1274</v>
      </c>
      <c r="B380" s="167" t="s">
        <v>2055</v>
      </c>
      <c r="C380" s="22" t="s">
        <v>1273</v>
      </c>
      <c r="D380" s="168">
        <v>1</v>
      </c>
      <c r="E380" s="169" t="b">
        <v>1</v>
      </c>
      <c r="F380" s="170" t="s">
        <v>1785</v>
      </c>
      <c r="G380" s="171">
        <v>1</v>
      </c>
      <c r="H380" s="171">
        <v>1</v>
      </c>
      <c r="I380" s="171">
        <v>1</v>
      </c>
      <c r="J380" s="171">
        <v>1</v>
      </c>
      <c r="K380" s="171">
        <v>1</v>
      </c>
      <c r="L380" s="171"/>
      <c r="M380" s="171"/>
      <c r="N380" s="171"/>
      <c r="O380" s="171">
        <v>1</v>
      </c>
      <c r="P380" s="171"/>
      <c r="Q380" s="171"/>
      <c r="R380" s="171"/>
      <c r="S380" s="171"/>
      <c r="T380" s="171"/>
      <c r="U380" s="171"/>
      <c r="V380" s="171"/>
      <c r="W380" s="171"/>
      <c r="X380" s="171"/>
      <c r="Y380" s="171"/>
      <c r="Z380" s="171">
        <v>1</v>
      </c>
      <c r="AA380" s="171"/>
      <c r="AB380" s="171"/>
      <c r="AC380" s="171"/>
      <c r="AD380" s="171"/>
      <c r="AE380" s="171"/>
      <c r="AF380" s="171"/>
      <c r="AG380" s="171"/>
      <c r="AH380" s="22"/>
      <c r="AI380" s="171"/>
      <c r="AJ380" s="22">
        <f t="shared" si="5"/>
        <v>7</v>
      </c>
      <c r="AK380" s="22">
        <f t="shared" si="6"/>
        <v>7</v>
      </c>
    </row>
    <row r="381" spans="1:37" ht="15.75" customHeight="1">
      <c r="A381" s="167" t="s">
        <v>672</v>
      </c>
      <c r="B381" s="167" t="s">
        <v>2056</v>
      </c>
      <c r="C381" s="22" t="s">
        <v>671</v>
      </c>
      <c r="D381" s="168">
        <v>1</v>
      </c>
      <c r="E381" s="169" t="b">
        <v>1</v>
      </c>
      <c r="F381" s="170" t="s">
        <v>2004</v>
      </c>
      <c r="G381" s="171">
        <v>1</v>
      </c>
      <c r="H381" s="171">
        <v>1</v>
      </c>
      <c r="I381" s="171">
        <v>1</v>
      </c>
      <c r="J381" s="171">
        <v>1</v>
      </c>
      <c r="K381" s="171">
        <v>1</v>
      </c>
      <c r="L381" s="171"/>
      <c r="M381" s="171"/>
      <c r="N381" s="171"/>
      <c r="O381" s="171"/>
      <c r="P381" s="171"/>
      <c r="Q381" s="171"/>
      <c r="R381" s="171"/>
      <c r="S381" s="171"/>
      <c r="T381" s="171"/>
      <c r="U381" s="171"/>
      <c r="V381" s="171"/>
      <c r="W381" s="171"/>
      <c r="X381" s="171"/>
      <c r="Y381" s="171"/>
      <c r="Z381" s="171"/>
      <c r="AA381" s="171"/>
      <c r="AB381" s="171"/>
      <c r="AC381" s="171"/>
      <c r="AD381" s="171"/>
      <c r="AE381" s="171"/>
      <c r="AF381" s="171"/>
      <c r="AG381" s="171"/>
      <c r="AH381" s="22"/>
      <c r="AI381" s="171"/>
      <c r="AJ381" s="22">
        <f t="shared" si="5"/>
        <v>5</v>
      </c>
      <c r="AK381" s="22">
        <f t="shared" si="6"/>
        <v>5</v>
      </c>
    </row>
    <row r="382" spans="1:37" ht="15.75" customHeight="1">
      <c r="A382" s="167" t="s">
        <v>1276</v>
      </c>
      <c r="B382" s="167" t="s">
        <v>2055</v>
      </c>
      <c r="C382" s="22" t="s">
        <v>1275</v>
      </c>
      <c r="D382" s="168">
        <v>1</v>
      </c>
      <c r="E382" s="169" t="b">
        <v>1</v>
      </c>
      <c r="F382" s="170" t="s">
        <v>1478</v>
      </c>
      <c r="G382" s="171">
        <v>1</v>
      </c>
      <c r="H382" s="171">
        <v>1</v>
      </c>
      <c r="I382" s="171">
        <v>1</v>
      </c>
      <c r="J382" s="171">
        <v>1</v>
      </c>
      <c r="K382" s="171">
        <v>1</v>
      </c>
      <c r="L382" s="171"/>
      <c r="M382" s="171"/>
      <c r="N382" s="171"/>
      <c r="O382" s="171">
        <v>1</v>
      </c>
      <c r="P382" s="171"/>
      <c r="Q382" s="171"/>
      <c r="R382" s="171"/>
      <c r="S382" s="171"/>
      <c r="T382" s="171"/>
      <c r="U382" s="171"/>
      <c r="V382" s="171">
        <v>1</v>
      </c>
      <c r="W382" s="171"/>
      <c r="X382" s="171"/>
      <c r="Y382" s="171"/>
      <c r="Z382" s="171"/>
      <c r="AA382" s="171"/>
      <c r="AB382" s="171"/>
      <c r="AC382" s="171"/>
      <c r="AD382" s="171"/>
      <c r="AE382" s="171"/>
      <c r="AF382" s="171"/>
      <c r="AG382" s="171">
        <v>2</v>
      </c>
      <c r="AH382" s="22"/>
      <c r="AI382" s="171" t="s">
        <v>1479</v>
      </c>
      <c r="AJ382" s="22">
        <f t="shared" si="5"/>
        <v>8</v>
      </c>
      <c r="AK382" s="22">
        <f t="shared" si="6"/>
        <v>9</v>
      </c>
    </row>
    <row r="383" spans="1:37" ht="15.75" customHeight="1">
      <c r="A383" s="167" t="s">
        <v>1186</v>
      </c>
      <c r="B383" s="167" t="s">
        <v>2055</v>
      </c>
      <c r="C383" s="22" t="s">
        <v>1185</v>
      </c>
      <c r="D383" s="168">
        <v>1</v>
      </c>
      <c r="E383" s="169" t="b">
        <v>1</v>
      </c>
      <c r="F383" s="170" t="s">
        <v>1595</v>
      </c>
      <c r="G383" s="171">
        <v>1</v>
      </c>
      <c r="H383" s="171">
        <v>1</v>
      </c>
      <c r="I383" s="171">
        <v>1</v>
      </c>
      <c r="J383" s="171"/>
      <c r="K383" s="171">
        <v>1</v>
      </c>
      <c r="L383" s="171">
        <v>1</v>
      </c>
      <c r="M383" s="171"/>
      <c r="N383" s="171"/>
      <c r="O383" s="171">
        <v>1</v>
      </c>
      <c r="P383" s="171"/>
      <c r="Q383" s="171"/>
      <c r="R383" s="171"/>
      <c r="S383" s="171"/>
      <c r="T383" s="171"/>
      <c r="U383" s="171"/>
      <c r="V383" s="171"/>
      <c r="W383" s="171"/>
      <c r="X383" s="171"/>
      <c r="Y383" s="171"/>
      <c r="Z383" s="171">
        <v>1</v>
      </c>
      <c r="AA383" s="171"/>
      <c r="AB383" s="171"/>
      <c r="AC383" s="171"/>
      <c r="AD383" s="171"/>
      <c r="AE383" s="171"/>
      <c r="AF383" s="171"/>
      <c r="AG383" s="171">
        <v>1</v>
      </c>
      <c r="AH383" s="22" t="s">
        <v>1596</v>
      </c>
      <c r="AI383" s="171"/>
      <c r="AJ383" s="22">
        <f t="shared" si="5"/>
        <v>8</v>
      </c>
      <c r="AK383" s="22">
        <f t="shared" si="6"/>
        <v>8</v>
      </c>
    </row>
    <row r="384" spans="1:37" ht="15.75" customHeight="1">
      <c r="A384" s="167" t="s">
        <v>1337</v>
      </c>
      <c r="B384" s="167" t="s">
        <v>2054</v>
      </c>
      <c r="C384" s="22" t="s">
        <v>1336</v>
      </c>
      <c r="D384" s="168">
        <v>1</v>
      </c>
      <c r="E384" s="169" t="b">
        <v>1</v>
      </c>
      <c r="F384" s="170" t="s">
        <v>1972</v>
      </c>
      <c r="G384" s="171">
        <v>1</v>
      </c>
      <c r="H384" s="171">
        <v>1</v>
      </c>
      <c r="I384" s="171">
        <v>1</v>
      </c>
      <c r="J384" s="171">
        <v>1</v>
      </c>
      <c r="K384" s="171">
        <v>1</v>
      </c>
      <c r="L384" s="171"/>
      <c r="M384" s="171"/>
      <c r="N384" s="171"/>
      <c r="O384" s="171"/>
      <c r="P384" s="171"/>
      <c r="Q384" s="171"/>
      <c r="R384" s="171">
        <v>1</v>
      </c>
      <c r="S384" s="171"/>
      <c r="T384" s="171"/>
      <c r="U384" s="171"/>
      <c r="V384" s="171"/>
      <c r="W384" s="171"/>
      <c r="X384" s="171"/>
      <c r="Y384" s="171"/>
      <c r="Z384" s="171"/>
      <c r="AA384" s="171"/>
      <c r="AB384" s="171"/>
      <c r="AC384" s="171"/>
      <c r="AD384" s="171"/>
      <c r="AE384" s="171"/>
      <c r="AF384" s="171"/>
      <c r="AG384" s="171"/>
      <c r="AH384" s="22"/>
      <c r="AI384" s="171"/>
      <c r="AJ384" s="22">
        <f t="shared" si="5"/>
        <v>6</v>
      </c>
      <c r="AK384" s="22">
        <f t="shared" si="6"/>
        <v>6</v>
      </c>
    </row>
    <row r="385" spans="1:37" ht="15.75" customHeight="1">
      <c r="A385" s="167" t="s">
        <v>674</v>
      </c>
      <c r="B385" s="167" t="s">
        <v>2056</v>
      </c>
      <c r="C385" s="22" t="s">
        <v>673</v>
      </c>
      <c r="D385" s="168">
        <v>1</v>
      </c>
      <c r="E385" s="169" t="b">
        <v>1</v>
      </c>
      <c r="F385" s="170" t="s">
        <v>1708</v>
      </c>
      <c r="G385" s="171">
        <v>1</v>
      </c>
      <c r="H385" s="171">
        <v>1</v>
      </c>
      <c r="I385" s="171">
        <v>1</v>
      </c>
      <c r="J385" s="171">
        <v>1</v>
      </c>
      <c r="K385" s="171">
        <v>1</v>
      </c>
      <c r="L385" s="171"/>
      <c r="M385" s="171"/>
      <c r="N385" s="171"/>
      <c r="O385" s="171"/>
      <c r="P385" s="171"/>
      <c r="Q385" s="171"/>
      <c r="R385" s="171"/>
      <c r="S385" s="171"/>
      <c r="T385" s="171"/>
      <c r="U385" s="171"/>
      <c r="V385" s="171"/>
      <c r="W385" s="171"/>
      <c r="X385" s="171">
        <v>1</v>
      </c>
      <c r="Y385" s="171"/>
      <c r="Z385" s="171"/>
      <c r="AA385" s="171"/>
      <c r="AB385" s="171"/>
      <c r="AC385" s="171"/>
      <c r="AD385" s="171"/>
      <c r="AE385" s="171"/>
      <c r="AF385" s="171"/>
      <c r="AG385" s="171">
        <v>1</v>
      </c>
      <c r="AH385" s="22"/>
      <c r="AI385" s="171" t="s">
        <v>1396</v>
      </c>
      <c r="AJ385" s="22">
        <f t="shared" si="5"/>
        <v>7</v>
      </c>
      <c r="AK385" s="22">
        <f t="shared" si="6"/>
        <v>7</v>
      </c>
    </row>
    <row r="386" spans="1:37" ht="15.75" customHeight="1">
      <c r="A386" s="167" t="s">
        <v>676</v>
      </c>
      <c r="B386" s="167" t="s">
        <v>2056</v>
      </c>
      <c r="C386" s="22" t="s">
        <v>675</v>
      </c>
      <c r="D386" s="168">
        <v>1</v>
      </c>
      <c r="E386" s="169" t="b">
        <v>1</v>
      </c>
      <c r="F386" s="170" t="s">
        <v>1709</v>
      </c>
      <c r="G386" s="171">
        <v>1</v>
      </c>
      <c r="H386" s="171">
        <v>1</v>
      </c>
      <c r="I386" s="171">
        <v>1</v>
      </c>
      <c r="J386" s="171">
        <v>1</v>
      </c>
      <c r="K386" s="171">
        <v>1</v>
      </c>
      <c r="L386" s="171"/>
      <c r="M386" s="171"/>
      <c r="N386" s="171">
        <v>1</v>
      </c>
      <c r="O386" s="171"/>
      <c r="P386" s="171"/>
      <c r="Q386" s="171"/>
      <c r="R386" s="171"/>
      <c r="S386" s="171"/>
      <c r="T386" s="171"/>
      <c r="U386" s="171"/>
      <c r="V386" s="171"/>
      <c r="W386" s="171"/>
      <c r="X386" s="171"/>
      <c r="Y386" s="171"/>
      <c r="Z386" s="171"/>
      <c r="AA386" s="171"/>
      <c r="AB386" s="171"/>
      <c r="AC386" s="171"/>
      <c r="AD386" s="171"/>
      <c r="AE386" s="171"/>
      <c r="AF386" s="171"/>
      <c r="AG386" s="171">
        <v>1</v>
      </c>
      <c r="AH386" s="22"/>
      <c r="AI386" s="171" t="s">
        <v>1396</v>
      </c>
      <c r="AJ386" s="22">
        <f t="shared" si="5"/>
        <v>7</v>
      </c>
      <c r="AK386" s="22">
        <f t="shared" si="6"/>
        <v>7</v>
      </c>
    </row>
    <row r="387" spans="1:37" ht="15.75" customHeight="1">
      <c r="A387" s="167" t="s">
        <v>678</v>
      </c>
      <c r="B387" s="167" t="s">
        <v>2056</v>
      </c>
      <c r="C387" s="22" t="s">
        <v>677</v>
      </c>
      <c r="D387" s="168">
        <v>1</v>
      </c>
      <c r="E387" s="169" t="b">
        <v>1</v>
      </c>
      <c r="F387" s="170" t="s">
        <v>1451</v>
      </c>
      <c r="G387" s="171">
        <v>1</v>
      </c>
      <c r="H387" s="171">
        <v>1</v>
      </c>
      <c r="I387" s="171">
        <v>1</v>
      </c>
      <c r="J387" s="171">
        <v>1</v>
      </c>
      <c r="K387" s="171">
        <v>1</v>
      </c>
      <c r="L387" s="171">
        <v>2</v>
      </c>
      <c r="M387" s="171">
        <v>1</v>
      </c>
      <c r="N387" s="171"/>
      <c r="O387" s="171"/>
      <c r="P387" s="171"/>
      <c r="Q387" s="171"/>
      <c r="R387" s="171"/>
      <c r="S387" s="171"/>
      <c r="T387" s="171"/>
      <c r="U387" s="171"/>
      <c r="V387" s="171"/>
      <c r="W387" s="171"/>
      <c r="X387" s="171"/>
      <c r="Y387" s="171"/>
      <c r="Z387" s="171"/>
      <c r="AA387" s="171"/>
      <c r="AB387" s="171">
        <v>1</v>
      </c>
      <c r="AC387" s="171"/>
      <c r="AD387" s="171"/>
      <c r="AE387" s="171"/>
      <c r="AF387" s="171"/>
      <c r="AG387" s="171"/>
      <c r="AH387" s="22"/>
      <c r="AI387" s="171"/>
      <c r="AJ387" s="22">
        <f t="shared" si="5"/>
        <v>8</v>
      </c>
      <c r="AK387" s="22">
        <f t="shared" si="6"/>
        <v>9</v>
      </c>
    </row>
    <row r="388" spans="1:37" ht="15.75" customHeight="1">
      <c r="A388" s="167" t="s">
        <v>680</v>
      </c>
      <c r="B388" s="167" t="s">
        <v>2056</v>
      </c>
      <c r="C388" s="22" t="s">
        <v>679</v>
      </c>
      <c r="D388" s="168">
        <v>1</v>
      </c>
      <c r="E388" s="169" t="b">
        <v>1</v>
      </c>
      <c r="F388" s="170" t="s">
        <v>1710</v>
      </c>
      <c r="G388" s="171">
        <v>1</v>
      </c>
      <c r="H388" s="171">
        <v>1</v>
      </c>
      <c r="I388" s="171">
        <v>1</v>
      </c>
      <c r="J388" s="171">
        <v>1</v>
      </c>
      <c r="K388" s="171">
        <v>1</v>
      </c>
      <c r="L388" s="171"/>
      <c r="M388" s="171"/>
      <c r="N388" s="171"/>
      <c r="O388" s="171"/>
      <c r="P388" s="171"/>
      <c r="Q388" s="171"/>
      <c r="R388" s="171"/>
      <c r="S388" s="171"/>
      <c r="T388" s="171"/>
      <c r="U388" s="171"/>
      <c r="V388" s="171">
        <v>1</v>
      </c>
      <c r="W388" s="171"/>
      <c r="X388" s="171"/>
      <c r="Y388" s="171"/>
      <c r="Z388" s="171"/>
      <c r="AA388" s="171"/>
      <c r="AB388" s="171"/>
      <c r="AC388" s="171"/>
      <c r="AD388" s="171"/>
      <c r="AE388" s="171"/>
      <c r="AF388" s="171"/>
      <c r="AG388" s="171">
        <v>1</v>
      </c>
      <c r="AH388" s="22"/>
      <c r="AI388" s="171" t="s">
        <v>1610</v>
      </c>
      <c r="AJ388" s="22">
        <f t="shared" si="5"/>
        <v>7</v>
      </c>
      <c r="AK388" s="22">
        <f t="shared" si="6"/>
        <v>7</v>
      </c>
    </row>
    <row r="389" spans="1:37" ht="15.75" customHeight="1">
      <c r="A389" s="167" t="s">
        <v>682</v>
      </c>
      <c r="B389" s="167" t="s">
        <v>2056</v>
      </c>
      <c r="C389" s="22" t="s">
        <v>681</v>
      </c>
      <c r="D389" s="168">
        <v>1</v>
      </c>
      <c r="E389" s="169" t="b">
        <v>1</v>
      </c>
      <c r="F389" s="170" t="s">
        <v>1711</v>
      </c>
      <c r="G389" s="171">
        <v>1</v>
      </c>
      <c r="H389" s="171">
        <v>1</v>
      </c>
      <c r="I389" s="171">
        <v>1</v>
      </c>
      <c r="J389" s="171">
        <v>1</v>
      </c>
      <c r="K389" s="171">
        <v>1</v>
      </c>
      <c r="L389" s="171">
        <v>2</v>
      </c>
      <c r="M389" s="171"/>
      <c r="N389" s="171"/>
      <c r="O389" s="171"/>
      <c r="P389" s="171"/>
      <c r="Q389" s="171"/>
      <c r="R389" s="171"/>
      <c r="S389" s="171"/>
      <c r="T389" s="171"/>
      <c r="U389" s="171"/>
      <c r="V389" s="171"/>
      <c r="W389" s="171"/>
      <c r="X389" s="171"/>
      <c r="Y389" s="171"/>
      <c r="Z389" s="171"/>
      <c r="AA389" s="171"/>
      <c r="AB389" s="171"/>
      <c r="AC389" s="171"/>
      <c r="AD389" s="171"/>
      <c r="AE389" s="171"/>
      <c r="AF389" s="171"/>
      <c r="AG389" s="171"/>
      <c r="AH389" s="22"/>
      <c r="AI389" s="171"/>
      <c r="AJ389" s="22">
        <f t="shared" si="5"/>
        <v>6</v>
      </c>
      <c r="AK389" s="22">
        <f t="shared" si="6"/>
        <v>7</v>
      </c>
    </row>
    <row r="390" spans="1:37" ht="15.75" customHeight="1">
      <c r="A390" s="167" t="s">
        <v>684</v>
      </c>
      <c r="B390" s="167" t="s">
        <v>2056</v>
      </c>
      <c r="C390" s="22" t="s">
        <v>683</v>
      </c>
      <c r="D390" s="168">
        <v>1</v>
      </c>
      <c r="E390" s="169" t="b">
        <v>1</v>
      </c>
      <c r="F390" s="170" t="s">
        <v>1452</v>
      </c>
      <c r="G390" s="171">
        <v>1</v>
      </c>
      <c r="H390" s="171">
        <v>1</v>
      </c>
      <c r="I390" s="171">
        <v>1</v>
      </c>
      <c r="J390" s="171">
        <v>1</v>
      </c>
      <c r="K390" s="171">
        <v>1</v>
      </c>
      <c r="L390" s="171"/>
      <c r="M390" s="171">
        <v>1</v>
      </c>
      <c r="N390" s="171">
        <v>1</v>
      </c>
      <c r="O390" s="171"/>
      <c r="P390" s="171"/>
      <c r="Q390" s="171"/>
      <c r="R390" s="171"/>
      <c r="S390" s="171"/>
      <c r="T390" s="171"/>
      <c r="U390" s="171"/>
      <c r="V390" s="171"/>
      <c r="W390" s="171"/>
      <c r="X390" s="171"/>
      <c r="Y390" s="171"/>
      <c r="Z390" s="171"/>
      <c r="AA390" s="171">
        <v>1</v>
      </c>
      <c r="AB390" s="171"/>
      <c r="AC390" s="171">
        <v>1</v>
      </c>
      <c r="AD390" s="171"/>
      <c r="AE390" s="171"/>
      <c r="AF390" s="171"/>
      <c r="AG390" s="171"/>
      <c r="AH390" s="22"/>
      <c r="AI390" s="171"/>
      <c r="AJ390" s="22">
        <f t="shared" si="5"/>
        <v>9</v>
      </c>
      <c r="AK390" s="22">
        <f t="shared" si="6"/>
        <v>9</v>
      </c>
    </row>
    <row r="391" spans="1:37" ht="15.75" customHeight="1">
      <c r="A391" s="167" t="s">
        <v>686</v>
      </c>
      <c r="B391" s="167" t="s">
        <v>2056</v>
      </c>
      <c r="C391" s="22" t="s">
        <v>685</v>
      </c>
      <c r="D391" s="168">
        <v>1</v>
      </c>
      <c r="E391" s="169" t="b">
        <v>1</v>
      </c>
      <c r="F391" s="170" t="s">
        <v>1712</v>
      </c>
      <c r="G391" s="171">
        <v>1</v>
      </c>
      <c r="H391" s="171">
        <v>1</v>
      </c>
      <c r="I391" s="171">
        <v>1</v>
      </c>
      <c r="J391" s="171">
        <v>1</v>
      </c>
      <c r="K391" s="171">
        <v>1</v>
      </c>
      <c r="L391" s="171">
        <v>1</v>
      </c>
      <c r="M391" s="171"/>
      <c r="N391" s="171">
        <v>1</v>
      </c>
      <c r="O391" s="171"/>
      <c r="P391" s="171"/>
      <c r="Q391" s="171"/>
      <c r="R391" s="171"/>
      <c r="S391" s="171"/>
      <c r="T391" s="171"/>
      <c r="U391" s="171"/>
      <c r="V391" s="171"/>
      <c r="W391" s="171"/>
      <c r="X391" s="171"/>
      <c r="Y391" s="171"/>
      <c r="Z391" s="171"/>
      <c r="AA391" s="171"/>
      <c r="AB391" s="171"/>
      <c r="AC391" s="171"/>
      <c r="AD391" s="171"/>
      <c r="AE391" s="171"/>
      <c r="AF391" s="171"/>
      <c r="AG391" s="171"/>
      <c r="AH391" s="22"/>
      <c r="AI391" s="171"/>
      <c r="AJ391" s="22">
        <f t="shared" si="5"/>
        <v>7</v>
      </c>
      <c r="AK391" s="22">
        <f t="shared" si="6"/>
        <v>7</v>
      </c>
    </row>
    <row r="392" spans="1:37" ht="15.75" customHeight="1">
      <c r="A392" s="167" t="s">
        <v>688</v>
      </c>
      <c r="B392" s="167" t="s">
        <v>2056</v>
      </c>
      <c r="C392" s="22" t="s">
        <v>687</v>
      </c>
      <c r="D392" s="168">
        <v>1</v>
      </c>
      <c r="E392" s="169" t="b">
        <v>1</v>
      </c>
      <c r="F392" s="170" t="s">
        <v>2012</v>
      </c>
      <c r="G392" s="171">
        <v>1</v>
      </c>
      <c r="H392" s="171">
        <v>1</v>
      </c>
      <c r="I392" s="171">
        <v>1</v>
      </c>
      <c r="J392" s="171">
        <v>1</v>
      </c>
      <c r="K392" s="171">
        <v>1</v>
      </c>
      <c r="L392" s="171"/>
      <c r="M392" s="171"/>
      <c r="N392" s="171"/>
      <c r="O392" s="171"/>
      <c r="P392" s="171"/>
      <c r="Q392" s="171"/>
      <c r="R392" s="171"/>
      <c r="S392" s="171"/>
      <c r="T392" s="171"/>
      <c r="U392" s="171"/>
      <c r="V392" s="171"/>
      <c r="W392" s="171"/>
      <c r="X392" s="171"/>
      <c r="Y392" s="171"/>
      <c r="Z392" s="171"/>
      <c r="AA392" s="171"/>
      <c r="AB392" s="171"/>
      <c r="AC392" s="171"/>
      <c r="AD392" s="171"/>
      <c r="AE392" s="171"/>
      <c r="AF392" s="171"/>
      <c r="AG392" s="171"/>
      <c r="AH392" s="22"/>
      <c r="AI392" s="171"/>
      <c r="AJ392" s="22">
        <f t="shared" si="5"/>
        <v>5</v>
      </c>
      <c r="AK392" s="22">
        <f t="shared" si="6"/>
        <v>5</v>
      </c>
    </row>
    <row r="393" spans="1:37" ht="15.75" customHeight="1">
      <c r="A393" s="167" t="s">
        <v>1339</v>
      </c>
      <c r="B393" s="167" t="s">
        <v>2054</v>
      </c>
      <c r="C393" s="22" t="s">
        <v>1338</v>
      </c>
      <c r="D393" s="168">
        <v>1</v>
      </c>
      <c r="E393" s="169" t="b">
        <v>1</v>
      </c>
      <c r="F393" s="174" t="s">
        <v>1621</v>
      </c>
      <c r="G393" s="171">
        <v>1</v>
      </c>
      <c r="H393" s="171">
        <v>1</v>
      </c>
      <c r="I393" s="171">
        <v>1</v>
      </c>
      <c r="J393" s="171">
        <v>1</v>
      </c>
      <c r="K393" s="171">
        <v>1</v>
      </c>
      <c r="L393" s="171">
        <v>1</v>
      </c>
      <c r="M393" s="171"/>
      <c r="N393" s="171"/>
      <c r="O393" s="171"/>
      <c r="P393" s="171">
        <v>1</v>
      </c>
      <c r="Q393" s="171"/>
      <c r="R393" s="171">
        <v>1</v>
      </c>
      <c r="S393" s="171"/>
      <c r="T393" s="171"/>
      <c r="U393" s="171"/>
      <c r="V393" s="171"/>
      <c r="W393" s="171"/>
      <c r="X393" s="171"/>
      <c r="Y393" s="171"/>
      <c r="Z393" s="171"/>
      <c r="AA393" s="171"/>
      <c r="AB393" s="171"/>
      <c r="AC393" s="171"/>
      <c r="AD393" s="171"/>
      <c r="AE393" s="171"/>
      <c r="AF393" s="171"/>
      <c r="AG393" s="171"/>
      <c r="AH393" s="22"/>
      <c r="AI393" s="171"/>
      <c r="AJ393" s="22">
        <f t="shared" si="5"/>
        <v>8</v>
      </c>
      <c r="AK393" s="22">
        <f t="shared" si="6"/>
        <v>8</v>
      </c>
    </row>
    <row r="394" spans="1:37" ht="15.75" customHeight="1">
      <c r="A394" s="167" t="s">
        <v>1341</v>
      </c>
      <c r="B394" s="167" t="s">
        <v>2054</v>
      </c>
      <c r="C394" s="22" t="s">
        <v>1340</v>
      </c>
      <c r="D394" s="168">
        <v>1</v>
      </c>
      <c r="E394" s="169" t="b">
        <v>1</v>
      </c>
      <c r="F394" s="170" t="s">
        <v>1793</v>
      </c>
      <c r="G394" s="171">
        <v>1</v>
      </c>
      <c r="H394" s="171">
        <v>1</v>
      </c>
      <c r="I394" s="171">
        <v>1</v>
      </c>
      <c r="J394" s="171">
        <v>1</v>
      </c>
      <c r="K394" s="171">
        <v>1</v>
      </c>
      <c r="L394" s="171">
        <v>1</v>
      </c>
      <c r="M394" s="171"/>
      <c r="N394" s="171"/>
      <c r="O394" s="171"/>
      <c r="P394" s="171"/>
      <c r="Q394" s="171"/>
      <c r="R394" s="171">
        <v>1</v>
      </c>
      <c r="S394" s="171"/>
      <c r="T394" s="171"/>
      <c r="U394" s="171"/>
      <c r="V394" s="171"/>
      <c r="W394" s="171"/>
      <c r="X394" s="171"/>
      <c r="Y394" s="171"/>
      <c r="Z394" s="171"/>
      <c r="AA394" s="171"/>
      <c r="AB394" s="171"/>
      <c r="AC394" s="171"/>
      <c r="AD394" s="171"/>
      <c r="AE394" s="171"/>
      <c r="AF394" s="171"/>
      <c r="AG394" s="171"/>
      <c r="AH394" s="22"/>
      <c r="AI394" s="171"/>
      <c r="AJ394" s="22">
        <f t="shared" si="5"/>
        <v>7</v>
      </c>
      <c r="AK394" s="22">
        <f t="shared" si="6"/>
        <v>7</v>
      </c>
    </row>
    <row r="395" spans="1:37" ht="15.75" customHeight="1">
      <c r="A395" s="167" t="s">
        <v>690</v>
      </c>
      <c r="B395" s="167" t="s">
        <v>2056</v>
      </c>
      <c r="C395" s="22" t="s">
        <v>689</v>
      </c>
      <c r="D395" s="168">
        <v>1</v>
      </c>
      <c r="E395" s="169" t="b">
        <v>1</v>
      </c>
      <c r="F395" s="170" t="s">
        <v>1495</v>
      </c>
      <c r="G395" s="171">
        <v>1</v>
      </c>
      <c r="H395" s="171">
        <v>1</v>
      </c>
      <c r="I395" s="171">
        <v>1</v>
      </c>
      <c r="J395" s="171">
        <v>1</v>
      </c>
      <c r="K395" s="171">
        <v>1</v>
      </c>
      <c r="L395" s="171"/>
      <c r="M395" s="171"/>
      <c r="N395" s="171"/>
      <c r="O395" s="171"/>
      <c r="P395" s="171">
        <v>1</v>
      </c>
      <c r="Q395" s="171"/>
      <c r="R395" s="171"/>
      <c r="S395" s="171"/>
      <c r="T395" s="171">
        <v>1</v>
      </c>
      <c r="U395" s="171"/>
      <c r="V395" s="171"/>
      <c r="W395" s="171"/>
      <c r="X395" s="171"/>
      <c r="Y395" s="171"/>
      <c r="Z395" s="171"/>
      <c r="AA395" s="171"/>
      <c r="AB395" s="171"/>
      <c r="AC395" s="171"/>
      <c r="AD395" s="171"/>
      <c r="AE395" s="171"/>
      <c r="AF395" s="171"/>
      <c r="AG395" s="171">
        <v>1</v>
      </c>
      <c r="AH395" s="22"/>
      <c r="AI395" s="171" t="s">
        <v>1496</v>
      </c>
      <c r="AJ395" s="22">
        <f t="shared" si="5"/>
        <v>8</v>
      </c>
      <c r="AK395" s="22">
        <f t="shared" si="6"/>
        <v>8</v>
      </c>
    </row>
    <row r="396" spans="1:37" ht="15.75" customHeight="1">
      <c r="A396" s="167" t="s">
        <v>692</v>
      </c>
      <c r="B396" s="167" t="s">
        <v>2056</v>
      </c>
      <c r="C396" s="22" t="s">
        <v>691</v>
      </c>
      <c r="D396" s="168">
        <v>1</v>
      </c>
      <c r="E396" s="169" t="b">
        <v>1</v>
      </c>
      <c r="F396" s="170" t="s">
        <v>1713</v>
      </c>
      <c r="G396" s="171">
        <v>1</v>
      </c>
      <c r="H396" s="171">
        <v>1</v>
      </c>
      <c r="I396" s="171">
        <v>1</v>
      </c>
      <c r="J396" s="171">
        <v>1</v>
      </c>
      <c r="K396" s="171">
        <v>1</v>
      </c>
      <c r="L396" s="171"/>
      <c r="M396" s="171">
        <v>1</v>
      </c>
      <c r="N396" s="171"/>
      <c r="O396" s="171"/>
      <c r="P396" s="171"/>
      <c r="Q396" s="171"/>
      <c r="R396" s="171"/>
      <c r="S396" s="171"/>
      <c r="T396" s="171"/>
      <c r="U396" s="171"/>
      <c r="V396" s="171"/>
      <c r="W396" s="171"/>
      <c r="X396" s="171"/>
      <c r="Y396" s="171"/>
      <c r="Z396" s="171"/>
      <c r="AA396" s="171"/>
      <c r="AB396" s="171"/>
      <c r="AC396" s="171"/>
      <c r="AD396" s="171"/>
      <c r="AE396" s="171"/>
      <c r="AF396" s="171"/>
      <c r="AG396" s="171">
        <v>1</v>
      </c>
      <c r="AH396" s="22"/>
      <c r="AI396" s="171" t="s">
        <v>1714</v>
      </c>
      <c r="AJ396" s="22">
        <f t="shared" si="5"/>
        <v>7</v>
      </c>
      <c r="AK396" s="22">
        <f t="shared" si="6"/>
        <v>7</v>
      </c>
    </row>
    <row r="397" spans="1:37" ht="15.75" customHeight="1">
      <c r="A397" s="167" t="s">
        <v>694</v>
      </c>
      <c r="B397" s="167" t="s">
        <v>2056</v>
      </c>
      <c r="C397" s="22" t="s">
        <v>693</v>
      </c>
      <c r="D397" s="168">
        <v>1</v>
      </c>
      <c r="E397" s="169" t="b">
        <v>1</v>
      </c>
      <c r="F397" s="170" t="s">
        <v>2013</v>
      </c>
      <c r="G397" s="178">
        <v>1</v>
      </c>
      <c r="H397" s="178">
        <v>1</v>
      </c>
      <c r="I397" s="178">
        <v>1</v>
      </c>
      <c r="J397" s="178">
        <v>1</v>
      </c>
      <c r="K397" s="178">
        <v>1</v>
      </c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  <c r="AE397" s="178"/>
      <c r="AF397" s="178"/>
      <c r="AG397" s="178"/>
      <c r="AH397" s="22"/>
      <c r="AI397" s="171"/>
      <c r="AJ397" s="22">
        <f t="shared" si="5"/>
        <v>5</v>
      </c>
      <c r="AK397" s="22">
        <f t="shared" si="6"/>
        <v>5</v>
      </c>
    </row>
    <row r="398" spans="1:37" ht="15.75" customHeight="1">
      <c r="A398" s="167" t="s">
        <v>1192</v>
      </c>
      <c r="B398" s="167" t="s">
        <v>2055</v>
      </c>
      <c r="C398" s="22" t="s">
        <v>1191</v>
      </c>
      <c r="D398" s="168">
        <v>1</v>
      </c>
      <c r="E398" s="169" t="b">
        <v>1</v>
      </c>
      <c r="F398" s="170" t="s">
        <v>1597</v>
      </c>
      <c r="G398" s="171">
        <v>1</v>
      </c>
      <c r="H398" s="171">
        <v>1</v>
      </c>
      <c r="I398" s="171">
        <v>1</v>
      </c>
      <c r="J398" s="171">
        <v>1</v>
      </c>
      <c r="K398" s="171">
        <v>1</v>
      </c>
      <c r="L398" s="171"/>
      <c r="M398" s="171"/>
      <c r="N398" s="171">
        <v>1</v>
      </c>
      <c r="O398" s="171">
        <v>1</v>
      </c>
      <c r="P398" s="171"/>
      <c r="Q398" s="171"/>
      <c r="R398" s="171"/>
      <c r="S398" s="171"/>
      <c r="T398" s="171"/>
      <c r="U398" s="171"/>
      <c r="V398" s="171"/>
      <c r="W398" s="171"/>
      <c r="X398" s="171"/>
      <c r="Y398" s="171"/>
      <c r="Z398" s="171"/>
      <c r="AA398" s="171"/>
      <c r="AB398" s="171"/>
      <c r="AC398" s="171"/>
      <c r="AD398" s="171"/>
      <c r="AE398" s="171">
        <v>1</v>
      </c>
      <c r="AF398" s="171"/>
      <c r="AG398" s="171"/>
      <c r="AH398" s="22"/>
      <c r="AI398" s="171"/>
      <c r="AJ398" s="22">
        <f t="shared" si="5"/>
        <v>8</v>
      </c>
      <c r="AK398" s="22">
        <f t="shared" si="6"/>
        <v>8</v>
      </c>
    </row>
    <row r="399" spans="1:37" ht="15.75" customHeight="1">
      <c r="A399" s="167" t="s">
        <v>696</v>
      </c>
      <c r="B399" s="167" t="s">
        <v>2056</v>
      </c>
      <c r="C399" s="22" t="s">
        <v>695</v>
      </c>
      <c r="D399" s="168">
        <v>1</v>
      </c>
      <c r="E399" s="169" t="b">
        <v>1</v>
      </c>
      <c r="F399" s="174" t="s">
        <v>2014</v>
      </c>
      <c r="G399" s="171">
        <v>1</v>
      </c>
      <c r="H399" s="171">
        <v>1</v>
      </c>
      <c r="I399" s="171">
        <v>1</v>
      </c>
      <c r="J399" s="171">
        <v>1</v>
      </c>
      <c r="K399" s="171">
        <v>1</v>
      </c>
      <c r="L399" s="171"/>
      <c r="M399" s="171"/>
      <c r="N399" s="171"/>
      <c r="O399" s="171"/>
      <c r="P399" s="171"/>
      <c r="Q399" s="171"/>
      <c r="R399" s="171"/>
      <c r="S399" s="171"/>
      <c r="T399" s="171"/>
      <c r="U399" s="171"/>
      <c r="V399" s="171"/>
      <c r="W399" s="171"/>
      <c r="X399" s="171"/>
      <c r="Y399" s="171"/>
      <c r="Z399" s="171"/>
      <c r="AA399" s="171"/>
      <c r="AB399" s="171"/>
      <c r="AC399" s="171"/>
      <c r="AD399" s="171"/>
      <c r="AE399" s="171"/>
      <c r="AF399" s="171"/>
      <c r="AG399" s="171"/>
      <c r="AH399" s="22"/>
      <c r="AI399" s="171"/>
      <c r="AJ399" s="22">
        <f t="shared" si="5"/>
        <v>5</v>
      </c>
      <c r="AK399" s="22">
        <f t="shared" si="6"/>
        <v>5</v>
      </c>
    </row>
    <row r="400" spans="1:37" ht="15.75" customHeight="1">
      <c r="A400" s="167" t="s">
        <v>698</v>
      </c>
      <c r="B400" s="167" t="s">
        <v>2056</v>
      </c>
      <c r="C400" s="22" t="s">
        <v>697</v>
      </c>
      <c r="D400" s="168">
        <v>1</v>
      </c>
      <c r="E400" s="169" t="b">
        <v>1</v>
      </c>
      <c r="F400" s="170" t="s">
        <v>1460</v>
      </c>
      <c r="G400" s="171">
        <v>1</v>
      </c>
      <c r="H400" s="171">
        <v>1</v>
      </c>
      <c r="I400" s="171">
        <v>1</v>
      </c>
      <c r="J400" s="171">
        <v>1</v>
      </c>
      <c r="K400" s="171">
        <v>1</v>
      </c>
      <c r="L400" s="171"/>
      <c r="M400" s="171"/>
      <c r="N400" s="171"/>
      <c r="O400" s="171"/>
      <c r="P400" s="171">
        <v>1</v>
      </c>
      <c r="Q400" s="171"/>
      <c r="R400" s="171"/>
      <c r="S400" s="171"/>
      <c r="T400" s="171"/>
      <c r="U400" s="171"/>
      <c r="V400" s="171"/>
      <c r="W400" s="171"/>
      <c r="X400" s="171"/>
      <c r="Y400" s="171"/>
      <c r="Z400" s="171"/>
      <c r="AA400" s="171"/>
      <c r="AB400" s="171"/>
      <c r="AC400" s="171"/>
      <c r="AD400" s="171"/>
      <c r="AE400" s="171"/>
      <c r="AF400" s="171"/>
      <c r="AG400" s="171"/>
      <c r="AH400" s="22"/>
      <c r="AI400" s="171"/>
      <c r="AJ400" s="22">
        <f t="shared" si="5"/>
        <v>6</v>
      </c>
      <c r="AK400" s="22">
        <f t="shared" si="6"/>
        <v>6</v>
      </c>
    </row>
    <row r="401" spans="1:37" ht="15.75" customHeight="1">
      <c r="A401" s="167" t="s">
        <v>700</v>
      </c>
      <c r="B401" s="167" t="s">
        <v>2056</v>
      </c>
      <c r="C401" s="22" t="s">
        <v>699</v>
      </c>
      <c r="D401" s="168">
        <v>1</v>
      </c>
      <c r="E401" s="169" t="b">
        <v>1</v>
      </c>
      <c r="F401" s="170" t="s">
        <v>1895</v>
      </c>
      <c r="G401" s="171">
        <v>1</v>
      </c>
      <c r="H401" s="171">
        <v>1</v>
      </c>
      <c r="I401" s="171">
        <v>1</v>
      </c>
      <c r="J401" s="171">
        <v>1</v>
      </c>
      <c r="K401" s="171">
        <v>1</v>
      </c>
      <c r="L401" s="171">
        <v>1</v>
      </c>
      <c r="M401" s="171"/>
      <c r="N401" s="171"/>
      <c r="O401" s="171"/>
      <c r="P401" s="171"/>
      <c r="Q401" s="171"/>
      <c r="R401" s="171"/>
      <c r="S401" s="171"/>
      <c r="T401" s="171"/>
      <c r="U401" s="171"/>
      <c r="V401" s="171"/>
      <c r="W401" s="171"/>
      <c r="X401" s="171"/>
      <c r="Y401" s="171"/>
      <c r="Z401" s="171"/>
      <c r="AA401" s="171"/>
      <c r="AB401" s="171"/>
      <c r="AC401" s="171"/>
      <c r="AD401" s="171"/>
      <c r="AE401" s="171"/>
      <c r="AF401" s="171"/>
      <c r="AG401" s="171"/>
      <c r="AH401" s="22"/>
      <c r="AI401" s="171"/>
      <c r="AJ401" s="22">
        <f t="shared" si="5"/>
        <v>6</v>
      </c>
      <c r="AK401" s="22">
        <f t="shared" si="6"/>
        <v>6</v>
      </c>
    </row>
    <row r="402" spans="1:37" ht="15.75" customHeight="1">
      <c r="A402" s="167" t="s">
        <v>702</v>
      </c>
      <c r="B402" s="167" t="s">
        <v>2056</v>
      </c>
      <c r="C402" s="22" t="s">
        <v>701</v>
      </c>
      <c r="D402" s="168">
        <v>1</v>
      </c>
      <c r="E402" s="169" t="b">
        <v>1</v>
      </c>
      <c r="F402" s="170" t="s">
        <v>1896</v>
      </c>
      <c r="G402" s="171">
        <v>1</v>
      </c>
      <c r="H402" s="171">
        <v>1</v>
      </c>
      <c r="I402" s="171">
        <v>1</v>
      </c>
      <c r="J402" s="171">
        <v>1</v>
      </c>
      <c r="K402" s="171">
        <v>1</v>
      </c>
      <c r="L402" s="171">
        <v>1</v>
      </c>
      <c r="M402" s="171"/>
      <c r="N402" s="171"/>
      <c r="O402" s="171"/>
      <c r="P402" s="171"/>
      <c r="Q402" s="171"/>
      <c r="R402" s="171"/>
      <c r="S402" s="171"/>
      <c r="T402" s="171"/>
      <c r="U402" s="171"/>
      <c r="V402" s="171"/>
      <c r="W402" s="171"/>
      <c r="X402" s="171"/>
      <c r="Y402" s="171"/>
      <c r="Z402" s="171"/>
      <c r="AA402" s="171"/>
      <c r="AB402" s="171"/>
      <c r="AC402" s="171"/>
      <c r="AD402" s="171"/>
      <c r="AE402" s="171"/>
      <c r="AF402" s="171"/>
      <c r="AG402" s="171"/>
      <c r="AH402" s="22"/>
      <c r="AI402" s="171"/>
      <c r="AJ402" s="22">
        <f t="shared" si="5"/>
        <v>6</v>
      </c>
      <c r="AK402" s="22">
        <f t="shared" si="6"/>
        <v>6</v>
      </c>
    </row>
    <row r="403" spans="1:37" ht="15.75" customHeight="1">
      <c r="A403" s="167" t="s">
        <v>704</v>
      </c>
      <c r="B403" s="167" t="s">
        <v>2056</v>
      </c>
      <c r="C403" s="22" t="s">
        <v>703</v>
      </c>
      <c r="D403" s="168">
        <v>1</v>
      </c>
      <c r="E403" s="169" t="b">
        <v>1</v>
      </c>
      <c r="F403" s="170" t="s">
        <v>1565</v>
      </c>
      <c r="G403" s="171">
        <v>1</v>
      </c>
      <c r="H403" s="171">
        <v>1</v>
      </c>
      <c r="I403" s="171">
        <v>1</v>
      </c>
      <c r="J403" s="171">
        <v>1</v>
      </c>
      <c r="K403" s="171">
        <v>1</v>
      </c>
      <c r="L403" s="171">
        <v>1</v>
      </c>
      <c r="M403" s="171"/>
      <c r="N403" s="171">
        <v>1</v>
      </c>
      <c r="O403" s="171"/>
      <c r="P403" s="171"/>
      <c r="Q403" s="171"/>
      <c r="R403" s="171"/>
      <c r="S403" s="171"/>
      <c r="T403" s="171"/>
      <c r="U403" s="171"/>
      <c r="V403" s="171">
        <v>1</v>
      </c>
      <c r="W403" s="171"/>
      <c r="X403" s="171"/>
      <c r="Y403" s="171"/>
      <c r="Z403" s="171"/>
      <c r="AA403" s="171"/>
      <c r="AB403" s="171"/>
      <c r="AC403" s="171"/>
      <c r="AD403" s="171"/>
      <c r="AE403" s="171"/>
      <c r="AF403" s="171"/>
      <c r="AG403" s="171"/>
      <c r="AH403" s="22"/>
      <c r="AI403" s="171"/>
      <c r="AJ403" s="22">
        <f t="shared" si="5"/>
        <v>8</v>
      </c>
      <c r="AK403" s="22">
        <f t="shared" si="6"/>
        <v>8</v>
      </c>
    </row>
    <row r="404" spans="1:37" ht="15.75" customHeight="1">
      <c r="A404" s="167" t="s">
        <v>706</v>
      </c>
      <c r="B404" s="167" t="s">
        <v>2056</v>
      </c>
      <c r="C404" s="22" t="s">
        <v>705</v>
      </c>
      <c r="D404" s="168">
        <v>1</v>
      </c>
      <c r="E404" s="169" t="b">
        <v>1</v>
      </c>
      <c r="F404" s="170" t="s">
        <v>1715</v>
      </c>
      <c r="G404" s="171">
        <v>1</v>
      </c>
      <c r="H404" s="171">
        <v>1</v>
      </c>
      <c r="I404" s="171">
        <v>1</v>
      </c>
      <c r="J404" s="171">
        <v>1</v>
      </c>
      <c r="K404" s="171">
        <v>1</v>
      </c>
      <c r="L404" s="171"/>
      <c r="M404" s="171">
        <v>1</v>
      </c>
      <c r="N404" s="171">
        <v>1</v>
      </c>
      <c r="O404" s="171"/>
      <c r="P404" s="171"/>
      <c r="Q404" s="171"/>
      <c r="R404" s="171"/>
      <c r="S404" s="171"/>
      <c r="T404" s="171"/>
      <c r="U404" s="171"/>
      <c r="V404" s="171"/>
      <c r="W404" s="171"/>
      <c r="X404" s="171"/>
      <c r="Y404" s="171"/>
      <c r="Z404" s="171"/>
      <c r="AA404" s="171"/>
      <c r="AB404" s="171"/>
      <c r="AC404" s="171"/>
      <c r="AD404" s="171"/>
      <c r="AE404" s="171"/>
      <c r="AF404" s="171"/>
      <c r="AG404" s="171"/>
      <c r="AH404" s="22"/>
      <c r="AI404" s="171"/>
      <c r="AJ404" s="22">
        <f t="shared" si="5"/>
        <v>7</v>
      </c>
      <c r="AK404" s="22">
        <f t="shared" si="6"/>
        <v>7</v>
      </c>
    </row>
    <row r="405" spans="1:37" ht="15.75" customHeight="1">
      <c r="A405" s="167" t="s">
        <v>708</v>
      </c>
      <c r="B405" s="167" t="s">
        <v>2056</v>
      </c>
      <c r="C405" s="22" t="s">
        <v>707</v>
      </c>
      <c r="D405" s="168">
        <v>1</v>
      </c>
      <c r="E405" s="169" t="b">
        <v>1</v>
      </c>
      <c r="F405" s="174" t="s">
        <v>1716</v>
      </c>
      <c r="G405" s="171">
        <v>1</v>
      </c>
      <c r="H405" s="171">
        <v>1</v>
      </c>
      <c r="I405" s="171">
        <v>1</v>
      </c>
      <c r="J405" s="171">
        <v>1</v>
      </c>
      <c r="K405" s="171">
        <v>1</v>
      </c>
      <c r="L405" s="171">
        <v>1</v>
      </c>
      <c r="M405" s="171">
        <v>1</v>
      </c>
      <c r="N405" s="171"/>
      <c r="O405" s="171"/>
      <c r="P405" s="171"/>
      <c r="Q405" s="171"/>
      <c r="R405" s="171"/>
      <c r="S405" s="171"/>
      <c r="T405" s="171"/>
      <c r="U405" s="171"/>
      <c r="V405" s="171"/>
      <c r="W405" s="171"/>
      <c r="X405" s="171"/>
      <c r="Y405" s="171"/>
      <c r="Z405" s="171"/>
      <c r="AA405" s="171"/>
      <c r="AB405" s="171"/>
      <c r="AC405" s="171"/>
      <c r="AD405" s="171"/>
      <c r="AE405" s="171"/>
      <c r="AF405" s="171"/>
      <c r="AG405" s="171"/>
      <c r="AH405" s="22"/>
      <c r="AI405" s="171"/>
      <c r="AJ405" s="22">
        <f t="shared" si="5"/>
        <v>7</v>
      </c>
      <c r="AK405" s="22">
        <f t="shared" si="6"/>
        <v>7</v>
      </c>
    </row>
    <row r="406" spans="1:37" ht="15.75" customHeight="1">
      <c r="A406" s="167" t="s">
        <v>710</v>
      </c>
      <c r="B406" s="167" t="s">
        <v>2056</v>
      </c>
      <c r="C406" s="22" t="s">
        <v>709</v>
      </c>
      <c r="D406" s="168">
        <v>1</v>
      </c>
      <c r="E406" s="169" t="b">
        <v>1</v>
      </c>
      <c r="F406" s="170" t="s">
        <v>1897</v>
      </c>
      <c r="G406" s="171">
        <v>1</v>
      </c>
      <c r="H406" s="172">
        <v>1</v>
      </c>
      <c r="I406" s="172">
        <v>1</v>
      </c>
      <c r="J406" s="172">
        <v>1</v>
      </c>
      <c r="K406" s="172">
        <v>1</v>
      </c>
      <c r="L406" s="172"/>
      <c r="M406" s="171"/>
      <c r="N406" s="171"/>
      <c r="O406" s="171"/>
      <c r="P406" s="171"/>
      <c r="Q406" s="172"/>
      <c r="R406" s="171"/>
      <c r="S406" s="171"/>
      <c r="T406" s="172"/>
      <c r="U406" s="171"/>
      <c r="V406" s="171"/>
      <c r="W406" s="171"/>
      <c r="X406" s="171"/>
      <c r="Y406" s="172"/>
      <c r="Z406" s="171"/>
      <c r="AA406" s="171"/>
      <c r="AB406" s="171"/>
      <c r="AC406" s="171"/>
      <c r="AD406" s="171"/>
      <c r="AE406" s="171"/>
      <c r="AF406" s="171"/>
      <c r="AG406" s="171">
        <v>1</v>
      </c>
      <c r="AH406" s="22"/>
      <c r="AI406" s="171" t="s">
        <v>1610</v>
      </c>
      <c r="AJ406" s="22">
        <f t="shared" si="5"/>
        <v>6</v>
      </c>
      <c r="AK406" s="22">
        <f t="shared" si="6"/>
        <v>6</v>
      </c>
    </row>
    <row r="407" spans="1:37" ht="15.75" customHeight="1">
      <c r="A407" s="167" t="s">
        <v>1278</v>
      </c>
      <c r="B407" s="167" t="s">
        <v>2055</v>
      </c>
      <c r="C407" s="22" t="s">
        <v>1277</v>
      </c>
      <c r="D407" s="168">
        <v>1</v>
      </c>
      <c r="E407" s="169" t="b">
        <v>1</v>
      </c>
      <c r="F407" s="170" t="s">
        <v>1965</v>
      </c>
      <c r="G407" s="171">
        <v>1</v>
      </c>
      <c r="H407" s="172">
        <v>1</v>
      </c>
      <c r="I407" s="172">
        <v>1</v>
      </c>
      <c r="J407" s="172">
        <v>1</v>
      </c>
      <c r="K407" s="172">
        <v>1</v>
      </c>
      <c r="L407" s="172"/>
      <c r="M407" s="171"/>
      <c r="N407" s="171"/>
      <c r="O407" s="171">
        <v>1</v>
      </c>
      <c r="P407" s="171"/>
      <c r="Q407" s="172"/>
      <c r="R407" s="171"/>
      <c r="S407" s="171"/>
      <c r="T407" s="172"/>
      <c r="U407" s="171"/>
      <c r="V407" s="171"/>
      <c r="W407" s="171"/>
      <c r="X407" s="171"/>
      <c r="Y407" s="172"/>
      <c r="Z407" s="171"/>
      <c r="AA407" s="171"/>
      <c r="AB407" s="171"/>
      <c r="AC407" s="171"/>
      <c r="AD407" s="171"/>
      <c r="AE407" s="171"/>
      <c r="AF407" s="171"/>
      <c r="AG407" s="171"/>
      <c r="AH407" s="22"/>
      <c r="AI407" s="171"/>
      <c r="AJ407" s="22">
        <f t="shared" si="5"/>
        <v>6</v>
      </c>
      <c r="AK407" s="22">
        <f t="shared" si="6"/>
        <v>6</v>
      </c>
    </row>
    <row r="408" spans="1:37" ht="15.75" customHeight="1">
      <c r="A408" s="167" t="s">
        <v>712</v>
      </c>
      <c r="B408" s="167" t="s">
        <v>2056</v>
      </c>
      <c r="C408" s="22" t="s">
        <v>711</v>
      </c>
      <c r="D408" s="168">
        <v>1</v>
      </c>
      <c r="E408" s="169" t="b">
        <v>1</v>
      </c>
      <c r="F408" s="170" t="s">
        <v>1497</v>
      </c>
      <c r="G408" s="171">
        <v>1</v>
      </c>
      <c r="H408" s="172">
        <v>1</v>
      </c>
      <c r="I408" s="172">
        <v>1</v>
      </c>
      <c r="J408" s="172">
        <v>1</v>
      </c>
      <c r="K408" s="172">
        <v>1</v>
      </c>
      <c r="L408" s="172"/>
      <c r="M408" s="171"/>
      <c r="N408" s="171"/>
      <c r="O408" s="171"/>
      <c r="P408" s="171"/>
      <c r="Q408" s="172"/>
      <c r="R408" s="171"/>
      <c r="S408" s="171"/>
      <c r="T408" s="172">
        <v>1</v>
      </c>
      <c r="U408" s="171"/>
      <c r="V408" s="171"/>
      <c r="W408" s="171"/>
      <c r="X408" s="171">
        <v>1</v>
      </c>
      <c r="Y408" s="172"/>
      <c r="Z408" s="171"/>
      <c r="AA408" s="171"/>
      <c r="AB408" s="171"/>
      <c r="AC408" s="171"/>
      <c r="AD408" s="171"/>
      <c r="AE408" s="171"/>
      <c r="AF408" s="171"/>
      <c r="AG408" s="171">
        <v>1</v>
      </c>
      <c r="AH408" s="22"/>
      <c r="AI408" s="171" t="s">
        <v>1498</v>
      </c>
      <c r="AJ408" s="22">
        <f t="shared" si="5"/>
        <v>8</v>
      </c>
      <c r="AK408" s="22">
        <f t="shared" si="6"/>
        <v>8</v>
      </c>
    </row>
    <row r="409" spans="1:37" ht="15.75" customHeight="1">
      <c r="A409" s="167" t="s">
        <v>714</v>
      </c>
      <c r="B409" s="167" t="s">
        <v>2056</v>
      </c>
      <c r="C409" s="22" t="s">
        <v>713</v>
      </c>
      <c r="D409" s="168">
        <v>1</v>
      </c>
      <c r="E409" s="169" t="b">
        <v>1</v>
      </c>
      <c r="F409" s="170" t="s">
        <v>2015</v>
      </c>
      <c r="G409" s="171">
        <v>1</v>
      </c>
      <c r="H409" s="172">
        <v>1</v>
      </c>
      <c r="I409" s="172">
        <v>1</v>
      </c>
      <c r="J409" s="172">
        <v>1</v>
      </c>
      <c r="K409" s="172">
        <v>1</v>
      </c>
      <c r="L409" s="171"/>
      <c r="M409" s="171"/>
      <c r="N409" s="171"/>
      <c r="O409" s="171"/>
      <c r="P409" s="171"/>
      <c r="Q409" s="172"/>
      <c r="R409" s="171"/>
      <c r="S409" s="171"/>
      <c r="T409" s="172"/>
      <c r="U409" s="171"/>
      <c r="V409" s="171"/>
      <c r="W409" s="171"/>
      <c r="X409" s="171"/>
      <c r="Y409" s="172"/>
      <c r="Z409" s="171"/>
      <c r="AA409" s="171"/>
      <c r="AB409" s="171"/>
      <c r="AC409" s="171"/>
      <c r="AD409" s="171"/>
      <c r="AE409" s="171"/>
      <c r="AF409" s="171"/>
      <c r="AG409" s="171"/>
      <c r="AH409" s="22"/>
      <c r="AI409" s="171"/>
      <c r="AJ409" s="22">
        <f t="shared" si="5"/>
        <v>5</v>
      </c>
      <c r="AK409" s="22">
        <f t="shared" si="6"/>
        <v>5</v>
      </c>
    </row>
    <row r="410" spans="1:37" ht="15.75" customHeight="1">
      <c r="A410" s="167" t="s">
        <v>716</v>
      </c>
      <c r="B410" s="167" t="s">
        <v>2056</v>
      </c>
      <c r="C410" s="22" t="s">
        <v>715</v>
      </c>
      <c r="D410" s="168">
        <v>1</v>
      </c>
      <c r="E410" s="169" t="b">
        <v>1</v>
      </c>
      <c r="F410" s="170" t="s">
        <v>1717</v>
      </c>
      <c r="G410" s="171">
        <v>1</v>
      </c>
      <c r="H410" s="172">
        <v>1</v>
      </c>
      <c r="I410" s="172">
        <v>1</v>
      </c>
      <c r="J410" s="172">
        <v>1</v>
      </c>
      <c r="K410" s="172">
        <v>1</v>
      </c>
      <c r="L410" s="172">
        <v>1</v>
      </c>
      <c r="M410" s="171"/>
      <c r="N410" s="171"/>
      <c r="O410" s="171"/>
      <c r="P410" s="171"/>
      <c r="Q410" s="172"/>
      <c r="R410" s="171"/>
      <c r="S410" s="171"/>
      <c r="T410" s="172"/>
      <c r="U410" s="171"/>
      <c r="V410" s="171"/>
      <c r="W410" s="171"/>
      <c r="X410" s="171">
        <v>1</v>
      </c>
      <c r="Y410" s="172"/>
      <c r="Z410" s="171"/>
      <c r="AA410" s="171"/>
      <c r="AB410" s="171"/>
      <c r="AC410" s="171"/>
      <c r="AD410" s="171"/>
      <c r="AE410" s="171"/>
      <c r="AF410" s="171"/>
      <c r="AG410" s="171"/>
      <c r="AH410" s="22"/>
      <c r="AI410" s="171"/>
      <c r="AJ410" s="22">
        <f t="shared" si="5"/>
        <v>7</v>
      </c>
      <c r="AK410" s="22">
        <f t="shared" si="6"/>
        <v>7</v>
      </c>
    </row>
    <row r="411" spans="1:37" ht="15.75" customHeight="1">
      <c r="A411" s="167" t="s">
        <v>718</v>
      </c>
      <c r="B411" s="167" t="s">
        <v>2056</v>
      </c>
      <c r="C411" s="22" t="s">
        <v>717</v>
      </c>
      <c r="D411" s="168">
        <v>1</v>
      </c>
      <c r="E411" s="169" t="b">
        <v>1</v>
      </c>
      <c r="F411" s="170" t="s">
        <v>1898</v>
      </c>
      <c r="G411" s="171">
        <v>1</v>
      </c>
      <c r="H411" s="171">
        <v>1</v>
      </c>
      <c r="I411" s="171">
        <v>1</v>
      </c>
      <c r="J411" s="171">
        <v>1</v>
      </c>
      <c r="K411" s="171">
        <v>1</v>
      </c>
      <c r="L411" s="171"/>
      <c r="M411" s="171"/>
      <c r="N411" s="171">
        <v>1</v>
      </c>
      <c r="O411" s="171"/>
      <c r="P411" s="171"/>
      <c r="Q411" s="171"/>
      <c r="R411" s="171"/>
      <c r="S411" s="171"/>
      <c r="T411" s="171"/>
      <c r="U411" s="171"/>
      <c r="V411" s="171"/>
      <c r="W411" s="171"/>
      <c r="X411" s="171"/>
      <c r="Y411" s="171"/>
      <c r="Z411" s="171"/>
      <c r="AA411" s="171"/>
      <c r="AB411" s="171"/>
      <c r="AC411" s="171"/>
      <c r="AD411" s="171"/>
      <c r="AE411" s="171"/>
      <c r="AF411" s="171"/>
      <c r="AG411" s="171"/>
      <c r="AH411" s="22"/>
      <c r="AI411" s="171"/>
      <c r="AJ411" s="22">
        <f t="shared" si="5"/>
        <v>6</v>
      </c>
      <c r="AK411" s="22">
        <f t="shared" si="6"/>
        <v>6</v>
      </c>
    </row>
    <row r="412" spans="1:37" ht="15.75" customHeight="1">
      <c r="A412" s="167" t="s">
        <v>720</v>
      </c>
      <c r="B412" s="167" t="s">
        <v>2056</v>
      </c>
      <c r="C412" s="22" t="s">
        <v>719</v>
      </c>
      <c r="D412" s="168">
        <v>1</v>
      </c>
      <c r="E412" s="169" t="b">
        <v>1</v>
      </c>
      <c r="F412" s="170" t="s">
        <v>2016</v>
      </c>
      <c r="G412" s="171">
        <v>1</v>
      </c>
      <c r="H412" s="171">
        <v>1</v>
      </c>
      <c r="I412" s="171">
        <v>1</v>
      </c>
      <c r="J412" s="171">
        <v>1</v>
      </c>
      <c r="K412" s="171">
        <v>1</v>
      </c>
      <c r="L412" s="171"/>
      <c r="M412" s="171"/>
      <c r="N412" s="171"/>
      <c r="O412" s="171"/>
      <c r="P412" s="171"/>
      <c r="Q412" s="171"/>
      <c r="R412" s="171"/>
      <c r="S412" s="171"/>
      <c r="T412" s="171"/>
      <c r="U412" s="171"/>
      <c r="V412" s="171"/>
      <c r="W412" s="171"/>
      <c r="X412" s="171"/>
      <c r="Y412" s="171"/>
      <c r="Z412" s="171"/>
      <c r="AA412" s="171"/>
      <c r="AB412" s="171"/>
      <c r="AC412" s="171"/>
      <c r="AD412" s="171"/>
      <c r="AE412" s="171"/>
      <c r="AF412" s="171"/>
      <c r="AG412" s="171"/>
      <c r="AH412" s="22"/>
      <c r="AI412" s="171"/>
      <c r="AJ412" s="22">
        <f t="shared" si="5"/>
        <v>5</v>
      </c>
      <c r="AK412" s="22">
        <f t="shared" si="6"/>
        <v>5</v>
      </c>
    </row>
    <row r="413" spans="1:37" ht="15.75" customHeight="1">
      <c r="A413" s="167" t="s">
        <v>722</v>
      </c>
      <c r="B413" s="167" t="s">
        <v>2056</v>
      </c>
      <c r="C413" s="22" t="s">
        <v>721</v>
      </c>
      <c r="D413" s="168">
        <v>1</v>
      </c>
      <c r="E413" s="169" t="b">
        <v>1</v>
      </c>
      <c r="F413" s="170" t="s">
        <v>1566</v>
      </c>
      <c r="G413" s="171">
        <v>1</v>
      </c>
      <c r="H413" s="171">
        <v>1</v>
      </c>
      <c r="I413" s="171">
        <v>1</v>
      </c>
      <c r="J413" s="171">
        <v>1</v>
      </c>
      <c r="K413" s="171">
        <v>1</v>
      </c>
      <c r="L413" s="171">
        <v>2</v>
      </c>
      <c r="M413" s="171"/>
      <c r="N413" s="171">
        <v>1</v>
      </c>
      <c r="O413" s="171"/>
      <c r="P413" s="171"/>
      <c r="Q413" s="171"/>
      <c r="R413" s="171"/>
      <c r="S413" s="171"/>
      <c r="T413" s="171"/>
      <c r="U413" s="171"/>
      <c r="V413" s="171"/>
      <c r="W413" s="171"/>
      <c r="X413" s="171"/>
      <c r="Y413" s="171"/>
      <c r="Z413" s="171"/>
      <c r="AA413" s="171"/>
      <c r="AB413" s="171"/>
      <c r="AC413" s="171"/>
      <c r="AD413" s="171"/>
      <c r="AE413" s="171"/>
      <c r="AF413" s="171"/>
      <c r="AG413" s="171"/>
      <c r="AH413" s="22"/>
      <c r="AI413" s="171"/>
      <c r="AJ413" s="22">
        <f t="shared" si="5"/>
        <v>7</v>
      </c>
      <c r="AK413" s="22">
        <f t="shared" si="6"/>
        <v>8</v>
      </c>
    </row>
    <row r="414" spans="1:37" ht="15.75" customHeight="1">
      <c r="A414" s="167" t="s">
        <v>724</v>
      </c>
      <c r="B414" s="167" t="s">
        <v>2056</v>
      </c>
      <c r="C414" s="22" t="s">
        <v>723</v>
      </c>
      <c r="D414" s="168">
        <v>1</v>
      </c>
      <c r="E414" s="169" t="b">
        <v>1</v>
      </c>
      <c r="F414" s="170" t="s">
        <v>1899</v>
      </c>
      <c r="G414" s="171">
        <v>1</v>
      </c>
      <c r="H414" s="171">
        <v>1</v>
      </c>
      <c r="I414" s="171">
        <v>1</v>
      </c>
      <c r="J414" s="171">
        <v>1</v>
      </c>
      <c r="K414" s="171">
        <v>1</v>
      </c>
      <c r="L414" s="171">
        <v>1</v>
      </c>
      <c r="M414" s="171"/>
      <c r="N414" s="171"/>
      <c r="O414" s="171"/>
      <c r="P414" s="171"/>
      <c r="Q414" s="171"/>
      <c r="R414" s="171"/>
      <c r="S414" s="171"/>
      <c r="T414" s="171"/>
      <c r="U414" s="171"/>
      <c r="V414" s="171"/>
      <c r="W414" s="171"/>
      <c r="X414" s="171"/>
      <c r="Y414" s="171"/>
      <c r="Z414" s="171"/>
      <c r="AA414" s="171"/>
      <c r="AB414" s="171"/>
      <c r="AC414" s="171"/>
      <c r="AD414" s="171"/>
      <c r="AE414" s="171"/>
      <c r="AF414" s="171"/>
      <c r="AG414" s="171"/>
      <c r="AH414" s="22"/>
      <c r="AI414" s="171"/>
      <c r="AJ414" s="22">
        <f t="shared" si="5"/>
        <v>6</v>
      </c>
      <c r="AK414" s="22">
        <f t="shared" si="6"/>
        <v>6</v>
      </c>
    </row>
    <row r="415" spans="1:37" ht="15.75" customHeight="1">
      <c r="A415" s="167" t="s">
        <v>726</v>
      </c>
      <c r="B415" s="167" t="s">
        <v>2056</v>
      </c>
      <c r="C415" s="22" t="s">
        <v>725</v>
      </c>
      <c r="D415" s="168">
        <v>1</v>
      </c>
      <c r="E415" s="169" t="b">
        <v>1</v>
      </c>
      <c r="F415" s="170" t="s">
        <v>1900</v>
      </c>
      <c r="G415" s="171">
        <v>1</v>
      </c>
      <c r="H415" s="171">
        <v>1</v>
      </c>
      <c r="I415" s="171">
        <v>1</v>
      </c>
      <c r="J415" s="171">
        <v>1</v>
      </c>
      <c r="K415" s="171">
        <v>1</v>
      </c>
      <c r="L415" s="171"/>
      <c r="M415" s="171">
        <v>1</v>
      </c>
      <c r="N415" s="171"/>
      <c r="O415" s="171"/>
      <c r="P415" s="171"/>
      <c r="Q415" s="171"/>
      <c r="R415" s="171"/>
      <c r="S415" s="171"/>
      <c r="T415" s="171"/>
      <c r="U415" s="171"/>
      <c r="V415" s="171"/>
      <c r="W415" s="171"/>
      <c r="X415" s="171"/>
      <c r="Y415" s="171"/>
      <c r="Z415" s="171"/>
      <c r="AA415" s="171"/>
      <c r="AB415" s="171"/>
      <c r="AC415" s="171"/>
      <c r="AD415" s="171"/>
      <c r="AE415" s="171"/>
      <c r="AF415" s="171"/>
      <c r="AG415" s="171"/>
      <c r="AH415" s="22"/>
      <c r="AI415" s="171"/>
      <c r="AJ415" s="22">
        <f t="shared" si="5"/>
        <v>6</v>
      </c>
      <c r="AK415" s="22">
        <f t="shared" si="6"/>
        <v>6</v>
      </c>
    </row>
    <row r="416" spans="1:37" ht="15.75" customHeight="1">
      <c r="A416" s="167" t="s">
        <v>728</v>
      </c>
      <c r="B416" s="167" t="s">
        <v>2056</v>
      </c>
      <c r="C416" s="22" t="s">
        <v>727</v>
      </c>
      <c r="D416" s="168">
        <v>1</v>
      </c>
      <c r="E416" s="169" t="b">
        <v>1</v>
      </c>
      <c r="F416" s="170" t="s">
        <v>2017</v>
      </c>
      <c r="G416" s="171">
        <v>1</v>
      </c>
      <c r="H416" s="171">
        <v>1</v>
      </c>
      <c r="I416" s="171">
        <v>1</v>
      </c>
      <c r="J416" s="171">
        <v>1</v>
      </c>
      <c r="K416" s="171">
        <v>1</v>
      </c>
      <c r="L416" s="171"/>
      <c r="M416" s="171"/>
      <c r="N416" s="171"/>
      <c r="O416" s="171"/>
      <c r="P416" s="171"/>
      <c r="Q416" s="171"/>
      <c r="R416" s="171"/>
      <c r="S416" s="171"/>
      <c r="T416" s="171"/>
      <c r="U416" s="171"/>
      <c r="V416" s="171"/>
      <c r="W416" s="171"/>
      <c r="X416" s="171"/>
      <c r="Y416" s="171"/>
      <c r="Z416" s="171"/>
      <c r="AA416" s="171"/>
      <c r="AB416" s="171"/>
      <c r="AC416" s="171"/>
      <c r="AD416" s="171"/>
      <c r="AE416" s="171"/>
      <c r="AF416" s="171"/>
      <c r="AG416" s="171"/>
      <c r="AH416" s="22"/>
      <c r="AI416" s="171"/>
      <c r="AJ416" s="22">
        <f t="shared" si="5"/>
        <v>5</v>
      </c>
      <c r="AK416" s="22">
        <f t="shared" si="6"/>
        <v>5</v>
      </c>
    </row>
    <row r="417" spans="1:37" ht="15.75" customHeight="1">
      <c r="A417" s="167" t="s">
        <v>730</v>
      </c>
      <c r="B417" s="167" t="s">
        <v>2056</v>
      </c>
      <c r="C417" s="22" t="s">
        <v>729</v>
      </c>
      <c r="D417" s="168">
        <v>1</v>
      </c>
      <c r="E417" s="169" t="b">
        <v>1</v>
      </c>
      <c r="F417" s="174" t="s">
        <v>2018</v>
      </c>
      <c r="G417" s="171">
        <v>1</v>
      </c>
      <c r="H417" s="171">
        <v>1</v>
      </c>
      <c r="I417" s="171">
        <v>1</v>
      </c>
      <c r="J417" s="171">
        <v>1</v>
      </c>
      <c r="K417" s="171">
        <v>1</v>
      </c>
      <c r="L417" s="171"/>
      <c r="M417" s="171"/>
      <c r="N417" s="171"/>
      <c r="O417" s="171"/>
      <c r="P417" s="171"/>
      <c r="Q417" s="171"/>
      <c r="R417" s="171"/>
      <c r="S417" s="171"/>
      <c r="T417" s="171"/>
      <c r="U417" s="171"/>
      <c r="V417" s="171"/>
      <c r="W417" s="171"/>
      <c r="X417" s="171"/>
      <c r="Y417" s="171"/>
      <c r="Z417" s="171"/>
      <c r="AA417" s="171"/>
      <c r="AB417" s="171"/>
      <c r="AC417" s="171"/>
      <c r="AD417" s="171"/>
      <c r="AE417" s="171"/>
      <c r="AF417" s="171"/>
      <c r="AG417" s="171"/>
      <c r="AH417" s="22"/>
      <c r="AI417" s="171"/>
      <c r="AJ417" s="22">
        <f t="shared" si="5"/>
        <v>5</v>
      </c>
      <c r="AK417" s="22">
        <f t="shared" si="6"/>
        <v>5</v>
      </c>
    </row>
    <row r="418" spans="1:37" ht="15.75" customHeight="1">
      <c r="A418" s="167" t="s">
        <v>732</v>
      </c>
      <c r="B418" s="167" t="s">
        <v>2056</v>
      </c>
      <c r="C418" s="22" t="s">
        <v>731</v>
      </c>
      <c r="D418" s="168">
        <v>1</v>
      </c>
      <c r="E418" s="169" t="b">
        <v>1</v>
      </c>
      <c r="F418" s="174" t="s">
        <v>1567</v>
      </c>
      <c r="G418" s="171">
        <v>1</v>
      </c>
      <c r="H418" s="171">
        <v>1</v>
      </c>
      <c r="I418" s="171">
        <v>1</v>
      </c>
      <c r="J418" s="171">
        <v>1</v>
      </c>
      <c r="K418" s="171">
        <v>1</v>
      </c>
      <c r="L418" s="171">
        <v>3</v>
      </c>
      <c r="M418" s="171"/>
      <c r="N418" s="171"/>
      <c r="O418" s="171"/>
      <c r="P418" s="171"/>
      <c r="Q418" s="171"/>
      <c r="R418" s="171"/>
      <c r="S418" s="171"/>
      <c r="T418" s="171"/>
      <c r="U418" s="171"/>
      <c r="V418" s="171"/>
      <c r="W418" s="171"/>
      <c r="X418" s="171"/>
      <c r="Y418" s="171"/>
      <c r="Z418" s="171"/>
      <c r="AA418" s="171"/>
      <c r="AB418" s="171"/>
      <c r="AC418" s="171"/>
      <c r="AD418" s="171"/>
      <c r="AE418" s="171"/>
      <c r="AF418" s="171"/>
      <c r="AG418" s="171"/>
      <c r="AH418" s="22"/>
      <c r="AI418" s="171"/>
      <c r="AJ418" s="22">
        <f t="shared" si="5"/>
        <v>6</v>
      </c>
      <c r="AK418" s="22">
        <f t="shared" si="6"/>
        <v>8</v>
      </c>
    </row>
    <row r="419" spans="1:37" ht="15.75" customHeight="1">
      <c r="A419" s="167" t="s">
        <v>734</v>
      </c>
      <c r="B419" s="167" t="s">
        <v>2056</v>
      </c>
      <c r="C419" s="22" t="s">
        <v>733</v>
      </c>
      <c r="D419" s="168">
        <v>1</v>
      </c>
      <c r="E419" s="169" t="b">
        <v>1</v>
      </c>
      <c r="F419" s="170" t="s">
        <v>1802</v>
      </c>
      <c r="G419" s="171">
        <v>1</v>
      </c>
      <c r="H419" s="171">
        <v>1</v>
      </c>
      <c r="I419" s="171">
        <v>1</v>
      </c>
      <c r="J419" s="171">
        <v>1</v>
      </c>
      <c r="K419" s="171">
        <v>1</v>
      </c>
      <c r="L419" s="171"/>
      <c r="M419" s="171"/>
      <c r="N419" s="171"/>
      <c r="O419" s="171"/>
      <c r="P419" s="171"/>
      <c r="Q419" s="171"/>
      <c r="R419" s="171"/>
      <c r="S419" s="171"/>
      <c r="T419" s="171">
        <v>1</v>
      </c>
      <c r="U419" s="171"/>
      <c r="V419" s="171"/>
      <c r="W419" s="171"/>
      <c r="X419" s="171"/>
      <c r="Y419" s="171"/>
      <c r="Z419" s="171"/>
      <c r="AA419" s="171"/>
      <c r="AB419" s="171"/>
      <c r="AC419" s="171"/>
      <c r="AD419" s="171"/>
      <c r="AE419" s="171"/>
      <c r="AF419" s="171"/>
      <c r="AG419" s="171"/>
      <c r="AH419" s="22"/>
      <c r="AI419" s="171" t="s">
        <v>1803</v>
      </c>
      <c r="AJ419" s="22">
        <f t="shared" si="5"/>
        <v>6</v>
      </c>
      <c r="AK419" s="22">
        <f t="shared" si="6"/>
        <v>6</v>
      </c>
    </row>
    <row r="420" spans="1:37" ht="15.75" customHeight="1">
      <c r="A420" s="167" t="s">
        <v>736</v>
      </c>
      <c r="B420" s="167" t="s">
        <v>2056</v>
      </c>
      <c r="C420" s="22" t="s">
        <v>735</v>
      </c>
      <c r="D420" s="168">
        <v>1</v>
      </c>
      <c r="E420" s="169" t="b">
        <v>1</v>
      </c>
      <c r="F420" s="174" t="s">
        <v>1718</v>
      </c>
      <c r="G420" s="171">
        <v>1</v>
      </c>
      <c r="H420" s="171">
        <v>1</v>
      </c>
      <c r="I420" s="171">
        <v>1</v>
      </c>
      <c r="J420" s="171">
        <v>1</v>
      </c>
      <c r="K420" s="171">
        <v>1</v>
      </c>
      <c r="L420" s="171">
        <v>2</v>
      </c>
      <c r="M420" s="171"/>
      <c r="N420" s="171"/>
      <c r="O420" s="171"/>
      <c r="P420" s="171"/>
      <c r="Q420" s="171"/>
      <c r="R420" s="171"/>
      <c r="S420" s="171"/>
      <c r="T420" s="171"/>
      <c r="U420" s="171"/>
      <c r="V420" s="171"/>
      <c r="W420" s="171"/>
      <c r="X420" s="171"/>
      <c r="Y420" s="171"/>
      <c r="Z420" s="171"/>
      <c r="AA420" s="171"/>
      <c r="AB420" s="171"/>
      <c r="AC420" s="171"/>
      <c r="AD420" s="171"/>
      <c r="AE420" s="171"/>
      <c r="AF420" s="171"/>
      <c r="AG420" s="171"/>
      <c r="AH420" s="22"/>
      <c r="AI420" s="171"/>
      <c r="AJ420" s="22">
        <f t="shared" si="5"/>
        <v>6</v>
      </c>
      <c r="AK420" s="22">
        <f t="shared" si="6"/>
        <v>7</v>
      </c>
    </row>
    <row r="421" spans="1:37" ht="15.75" customHeight="1">
      <c r="A421" s="167" t="s">
        <v>738</v>
      </c>
      <c r="B421" s="167" t="s">
        <v>2056</v>
      </c>
      <c r="C421" s="22" t="s">
        <v>737</v>
      </c>
      <c r="D421" s="168">
        <v>1</v>
      </c>
      <c r="E421" s="169" t="b">
        <v>1</v>
      </c>
      <c r="F421" s="174" t="s">
        <v>2019</v>
      </c>
      <c r="G421" s="171">
        <v>1</v>
      </c>
      <c r="H421" s="171">
        <v>1</v>
      </c>
      <c r="I421" s="171">
        <v>1</v>
      </c>
      <c r="J421" s="171">
        <v>1</v>
      </c>
      <c r="K421" s="171">
        <v>1</v>
      </c>
      <c r="L421" s="171"/>
      <c r="M421" s="171"/>
      <c r="N421" s="171"/>
      <c r="O421" s="171"/>
      <c r="P421" s="171"/>
      <c r="Q421" s="171"/>
      <c r="R421" s="171"/>
      <c r="S421" s="171"/>
      <c r="T421" s="171"/>
      <c r="U421" s="171"/>
      <c r="V421" s="171"/>
      <c r="W421" s="171"/>
      <c r="X421" s="171"/>
      <c r="Y421" s="171"/>
      <c r="Z421" s="171"/>
      <c r="AA421" s="171"/>
      <c r="AB421" s="171"/>
      <c r="AC421" s="171"/>
      <c r="AD421" s="171"/>
      <c r="AE421" s="171"/>
      <c r="AF421" s="171"/>
      <c r="AG421" s="171"/>
      <c r="AH421" s="22"/>
      <c r="AI421" s="171"/>
      <c r="AJ421" s="22">
        <f t="shared" si="5"/>
        <v>5</v>
      </c>
      <c r="AK421" s="22">
        <f t="shared" si="6"/>
        <v>5</v>
      </c>
    </row>
    <row r="422" spans="1:37" ht="15.75" customHeight="1">
      <c r="A422" s="167" t="s">
        <v>740</v>
      </c>
      <c r="B422" s="167" t="s">
        <v>2056</v>
      </c>
      <c r="C422" s="22" t="s">
        <v>739</v>
      </c>
      <c r="D422" s="168">
        <v>1</v>
      </c>
      <c r="E422" s="169" t="b">
        <v>1</v>
      </c>
      <c r="F422" s="174" t="s">
        <v>1719</v>
      </c>
      <c r="G422" s="171">
        <v>1</v>
      </c>
      <c r="H422" s="171">
        <v>1</v>
      </c>
      <c r="I422" s="171">
        <v>1</v>
      </c>
      <c r="J422" s="171">
        <v>1</v>
      </c>
      <c r="K422" s="171">
        <v>1</v>
      </c>
      <c r="L422" s="171">
        <v>1</v>
      </c>
      <c r="M422" s="171">
        <v>1</v>
      </c>
      <c r="N422" s="171"/>
      <c r="O422" s="171"/>
      <c r="P422" s="171"/>
      <c r="Q422" s="171"/>
      <c r="R422" s="171"/>
      <c r="S422" s="171"/>
      <c r="T422" s="171"/>
      <c r="U422" s="171"/>
      <c r="V422" s="171"/>
      <c r="W422" s="171"/>
      <c r="X422" s="171"/>
      <c r="Y422" s="171"/>
      <c r="Z422" s="171"/>
      <c r="AA422" s="171"/>
      <c r="AB422" s="171"/>
      <c r="AC422" s="171"/>
      <c r="AD422" s="171"/>
      <c r="AE422" s="171"/>
      <c r="AF422" s="171"/>
      <c r="AG422" s="171"/>
      <c r="AH422" s="22"/>
      <c r="AI422" s="171"/>
      <c r="AJ422" s="22">
        <f t="shared" si="5"/>
        <v>7</v>
      </c>
      <c r="AK422" s="22">
        <f t="shared" si="6"/>
        <v>7</v>
      </c>
    </row>
    <row r="423" spans="1:37" ht="15.75" customHeight="1">
      <c r="A423" s="167" t="s">
        <v>742</v>
      </c>
      <c r="B423" s="167" t="s">
        <v>2056</v>
      </c>
      <c r="C423" s="22" t="s">
        <v>741</v>
      </c>
      <c r="D423" s="168">
        <v>1</v>
      </c>
      <c r="E423" s="169" t="b">
        <v>1</v>
      </c>
      <c r="F423" s="170" t="s">
        <v>1720</v>
      </c>
      <c r="G423" s="171">
        <v>1</v>
      </c>
      <c r="H423" s="171">
        <v>1</v>
      </c>
      <c r="I423" s="171">
        <v>1</v>
      </c>
      <c r="J423" s="171">
        <v>1</v>
      </c>
      <c r="K423" s="171">
        <v>1</v>
      </c>
      <c r="L423" s="171"/>
      <c r="M423" s="171"/>
      <c r="N423" s="171"/>
      <c r="O423" s="171"/>
      <c r="P423" s="171"/>
      <c r="Q423" s="171">
        <v>1</v>
      </c>
      <c r="R423" s="171"/>
      <c r="S423" s="171"/>
      <c r="T423" s="171"/>
      <c r="U423" s="171"/>
      <c r="V423" s="171"/>
      <c r="W423" s="171"/>
      <c r="X423" s="171"/>
      <c r="Y423" s="171"/>
      <c r="Z423" s="171"/>
      <c r="AA423" s="171"/>
      <c r="AB423" s="171"/>
      <c r="AC423" s="171"/>
      <c r="AD423" s="171">
        <v>1</v>
      </c>
      <c r="AE423" s="171"/>
      <c r="AF423" s="171"/>
      <c r="AG423" s="171"/>
      <c r="AH423" s="22"/>
      <c r="AI423" s="171"/>
      <c r="AJ423" s="22">
        <f t="shared" si="5"/>
        <v>7</v>
      </c>
      <c r="AK423" s="22">
        <f t="shared" si="6"/>
        <v>7</v>
      </c>
    </row>
    <row r="424" spans="1:37" ht="15.75" customHeight="1">
      <c r="A424" s="167" t="s">
        <v>744</v>
      </c>
      <c r="B424" s="167" t="s">
        <v>2056</v>
      </c>
      <c r="C424" s="22" t="s">
        <v>743</v>
      </c>
      <c r="D424" s="168">
        <v>1</v>
      </c>
      <c r="E424" s="169" t="b">
        <v>1</v>
      </c>
      <c r="F424" s="170" t="s">
        <v>1901</v>
      </c>
      <c r="G424" s="171">
        <v>1</v>
      </c>
      <c r="H424" s="171">
        <v>1</v>
      </c>
      <c r="I424" s="171">
        <v>1</v>
      </c>
      <c r="J424" s="171">
        <v>1</v>
      </c>
      <c r="K424" s="171">
        <v>1</v>
      </c>
      <c r="L424" s="171">
        <v>1</v>
      </c>
      <c r="M424" s="171"/>
      <c r="N424" s="171"/>
      <c r="O424" s="171"/>
      <c r="P424" s="171"/>
      <c r="Q424" s="171"/>
      <c r="R424" s="171"/>
      <c r="S424" s="171"/>
      <c r="T424" s="171"/>
      <c r="U424" s="171"/>
      <c r="V424" s="171"/>
      <c r="W424" s="171"/>
      <c r="X424" s="171"/>
      <c r="Y424" s="171"/>
      <c r="Z424" s="171"/>
      <c r="AA424" s="171"/>
      <c r="AB424" s="171"/>
      <c r="AC424" s="171"/>
      <c r="AD424" s="171"/>
      <c r="AE424" s="171"/>
      <c r="AF424" s="171"/>
      <c r="AG424" s="171"/>
      <c r="AH424" s="22"/>
      <c r="AI424" s="171"/>
      <c r="AJ424" s="22">
        <f t="shared" si="5"/>
        <v>6</v>
      </c>
      <c r="AK424" s="22">
        <f t="shared" si="6"/>
        <v>6</v>
      </c>
    </row>
    <row r="425" spans="1:37" ht="15.75" customHeight="1">
      <c r="A425" s="167" t="s">
        <v>746</v>
      </c>
      <c r="B425" s="167" t="s">
        <v>2056</v>
      </c>
      <c r="C425" s="22" t="s">
        <v>745</v>
      </c>
      <c r="D425" s="168">
        <v>1</v>
      </c>
      <c r="E425" s="169" t="b">
        <v>1</v>
      </c>
      <c r="F425" s="170" t="s">
        <v>1721</v>
      </c>
      <c r="G425" s="171">
        <v>1</v>
      </c>
      <c r="H425" s="171">
        <v>1</v>
      </c>
      <c r="I425" s="171">
        <v>1</v>
      </c>
      <c r="J425" s="171">
        <v>1</v>
      </c>
      <c r="K425" s="171">
        <v>1</v>
      </c>
      <c r="L425" s="171">
        <v>1</v>
      </c>
      <c r="M425" s="171"/>
      <c r="N425" s="171"/>
      <c r="O425" s="171"/>
      <c r="P425" s="171"/>
      <c r="Q425" s="171"/>
      <c r="R425" s="171"/>
      <c r="S425" s="171"/>
      <c r="T425" s="171"/>
      <c r="U425" s="171"/>
      <c r="V425" s="171"/>
      <c r="W425" s="171"/>
      <c r="X425" s="171"/>
      <c r="Y425" s="171"/>
      <c r="Z425" s="171"/>
      <c r="AA425" s="171"/>
      <c r="AB425" s="171"/>
      <c r="AC425" s="171"/>
      <c r="AD425" s="171"/>
      <c r="AE425" s="171"/>
      <c r="AF425" s="171"/>
      <c r="AG425" s="171">
        <v>1</v>
      </c>
      <c r="AH425" s="22"/>
      <c r="AI425" s="171"/>
      <c r="AJ425" s="22">
        <f t="shared" si="5"/>
        <v>7</v>
      </c>
      <c r="AK425" s="22">
        <f t="shared" si="6"/>
        <v>7</v>
      </c>
    </row>
    <row r="426" spans="1:37" ht="15.75" customHeight="1">
      <c r="A426" s="167" t="s">
        <v>748</v>
      </c>
      <c r="B426" s="167" t="s">
        <v>2056</v>
      </c>
      <c r="C426" s="22" t="s">
        <v>747</v>
      </c>
      <c r="D426" s="168">
        <v>1</v>
      </c>
      <c r="E426" s="169" t="b">
        <v>1</v>
      </c>
      <c r="F426" s="170" t="s">
        <v>1568</v>
      </c>
      <c r="G426" s="171">
        <v>1</v>
      </c>
      <c r="H426" s="171">
        <v>1</v>
      </c>
      <c r="I426" s="171">
        <v>1</v>
      </c>
      <c r="J426" s="171">
        <v>1</v>
      </c>
      <c r="K426" s="171">
        <v>1</v>
      </c>
      <c r="L426" s="171">
        <v>2</v>
      </c>
      <c r="M426" s="171">
        <v>1</v>
      </c>
      <c r="N426" s="171"/>
      <c r="O426" s="171"/>
      <c r="P426" s="171"/>
      <c r="Q426" s="171"/>
      <c r="R426" s="171"/>
      <c r="S426" s="171"/>
      <c r="T426" s="171"/>
      <c r="U426" s="171"/>
      <c r="V426" s="171"/>
      <c r="W426" s="171"/>
      <c r="X426" s="171"/>
      <c r="Y426" s="171"/>
      <c r="Z426" s="171"/>
      <c r="AA426" s="171"/>
      <c r="AB426" s="171"/>
      <c r="AC426" s="171"/>
      <c r="AD426" s="171"/>
      <c r="AE426" s="171"/>
      <c r="AF426" s="171"/>
      <c r="AG426" s="171"/>
      <c r="AH426" s="22"/>
      <c r="AI426" s="171"/>
      <c r="AJ426" s="22">
        <f t="shared" si="5"/>
        <v>7</v>
      </c>
      <c r="AK426" s="22">
        <f t="shared" si="6"/>
        <v>8</v>
      </c>
    </row>
    <row r="427" spans="1:37" ht="15.75" customHeight="1">
      <c r="A427" s="167" t="s">
        <v>750</v>
      </c>
      <c r="B427" s="167" t="s">
        <v>2056</v>
      </c>
      <c r="C427" s="22" t="s">
        <v>749</v>
      </c>
      <c r="D427" s="168">
        <v>1</v>
      </c>
      <c r="E427" s="169" t="b">
        <v>1</v>
      </c>
      <c r="F427" s="170" t="s">
        <v>2020</v>
      </c>
      <c r="G427" s="171">
        <v>1</v>
      </c>
      <c r="H427" s="171">
        <v>1</v>
      </c>
      <c r="I427" s="171">
        <v>1</v>
      </c>
      <c r="J427" s="171">
        <v>1</v>
      </c>
      <c r="K427" s="171">
        <v>1</v>
      </c>
      <c r="L427" s="171"/>
      <c r="M427" s="171"/>
      <c r="N427" s="171"/>
      <c r="O427" s="171"/>
      <c r="P427" s="171"/>
      <c r="Q427" s="171"/>
      <c r="R427" s="171"/>
      <c r="S427" s="171"/>
      <c r="T427" s="171"/>
      <c r="U427" s="171"/>
      <c r="V427" s="171"/>
      <c r="W427" s="171"/>
      <c r="X427" s="171"/>
      <c r="Y427" s="171"/>
      <c r="Z427" s="171"/>
      <c r="AA427" s="171"/>
      <c r="AB427" s="171"/>
      <c r="AC427" s="171"/>
      <c r="AD427" s="171"/>
      <c r="AE427" s="171"/>
      <c r="AF427" s="171"/>
      <c r="AG427" s="171"/>
      <c r="AH427" s="22"/>
      <c r="AI427" s="171"/>
      <c r="AJ427" s="22">
        <f t="shared" si="5"/>
        <v>5</v>
      </c>
      <c r="AK427" s="22">
        <f t="shared" si="6"/>
        <v>5</v>
      </c>
    </row>
    <row r="428" spans="1:37" ht="15.75" customHeight="1">
      <c r="A428" s="167" t="s">
        <v>752</v>
      </c>
      <c r="B428" s="167" t="s">
        <v>2056</v>
      </c>
      <c r="C428" s="22" t="s">
        <v>751</v>
      </c>
      <c r="D428" s="168">
        <v>1</v>
      </c>
      <c r="E428" s="169" t="b">
        <v>1</v>
      </c>
      <c r="F428" s="170" t="s">
        <v>1569</v>
      </c>
      <c r="G428" s="171">
        <v>1</v>
      </c>
      <c r="H428" s="171">
        <v>1</v>
      </c>
      <c r="I428" s="171">
        <v>1</v>
      </c>
      <c r="J428" s="171">
        <v>1</v>
      </c>
      <c r="K428" s="171">
        <v>1</v>
      </c>
      <c r="L428" s="171">
        <v>2</v>
      </c>
      <c r="M428" s="171">
        <v>1</v>
      </c>
      <c r="N428" s="171"/>
      <c r="O428" s="171"/>
      <c r="P428" s="171"/>
      <c r="Q428" s="171"/>
      <c r="R428" s="171"/>
      <c r="S428" s="171"/>
      <c r="T428" s="171"/>
      <c r="U428" s="171"/>
      <c r="V428" s="171"/>
      <c r="W428" s="171"/>
      <c r="X428" s="171"/>
      <c r="Y428" s="171"/>
      <c r="Z428" s="171"/>
      <c r="AA428" s="171"/>
      <c r="AB428" s="171"/>
      <c r="AC428" s="171"/>
      <c r="AD428" s="171"/>
      <c r="AE428" s="171"/>
      <c r="AF428" s="171"/>
      <c r="AG428" s="171"/>
      <c r="AH428" s="22"/>
      <c r="AI428" s="171"/>
      <c r="AJ428" s="22">
        <f t="shared" si="5"/>
        <v>7</v>
      </c>
      <c r="AK428" s="22">
        <f t="shared" si="6"/>
        <v>8</v>
      </c>
    </row>
    <row r="429" spans="1:37" ht="15.75" customHeight="1">
      <c r="A429" s="167" t="s">
        <v>754</v>
      </c>
      <c r="B429" s="167" t="s">
        <v>2056</v>
      </c>
      <c r="C429" s="22" t="s">
        <v>753</v>
      </c>
      <c r="D429" s="168">
        <v>1</v>
      </c>
      <c r="E429" s="169" t="b">
        <v>1</v>
      </c>
      <c r="F429" s="170" t="s">
        <v>1902</v>
      </c>
      <c r="G429" s="171">
        <v>1</v>
      </c>
      <c r="H429" s="171">
        <v>1</v>
      </c>
      <c r="I429" s="171">
        <v>1</v>
      </c>
      <c r="J429" s="171">
        <v>1</v>
      </c>
      <c r="K429" s="171">
        <v>1</v>
      </c>
      <c r="L429" s="171"/>
      <c r="M429" s="171">
        <v>1</v>
      </c>
      <c r="N429" s="171"/>
      <c r="O429" s="171"/>
      <c r="P429" s="171"/>
      <c r="Q429" s="171"/>
      <c r="R429" s="171"/>
      <c r="S429" s="171"/>
      <c r="T429" s="171"/>
      <c r="U429" s="171"/>
      <c r="V429" s="171"/>
      <c r="W429" s="171"/>
      <c r="X429" s="171"/>
      <c r="Y429" s="171"/>
      <c r="Z429" s="171"/>
      <c r="AA429" s="171"/>
      <c r="AB429" s="171"/>
      <c r="AC429" s="171"/>
      <c r="AD429" s="171"/>
      <c r="AE429" s="171"/>
      <c r="AF429" s="171"/>
      <c r="AG429" s="171"/>
      <c r="AH429" s="22"/>
      <c r="AI429" s="171"/>
      <c r="AJ429" s="22">
        <f t="shared" si="5"/>
        <v>6</v>
      </c>
      <c r="AK429" s="22">
        <f t="shared" si="6"/>
        <v>6</v>
      </c>
    </row>
    <row r="430" spans="1:37" ht="15.75" customHeight="1">
      <c r="A430" s="167" t="s">
        <v>756</v>
      </c>
      <c r="B430" s="167" t="s">
        <v>2056</v>
      </c>
      <c r="C430" s="22" t="s">
        <v>755</v>
      </c>
      <c r="D430" s="168">
        <v>1</v>
      </c>
      <c r="E430" s="169" t="b">
        <v>1</v>
      </c>
      <c r="F430" s="170" t="s">
        <v>1722</v>
      </c>
      <c r="G430" s="171">
        <v>1</v>
      </c>
      <c r="H430" s="171">
        <v>1</v>
      </c>
      <c r="I430" s="171">
        <v>1</v>
      </c>
      <c r="J430" s="171">
        <v>1</v>
      </c>
      <c r="K430" s="171">
        <v>1</v>
      </c>
      <c r="L430" s="171">
        <v>1</v>
      </c>
      <c r="M430" s="171"/>
      <c r="N430" s="171"/>
      <c r="O430" s="171"/>
      <c r="P430" s="171"/>
      <c r="Q430" s="171"/>
      <c r="R430" s="171"/>
      <c r="S430" s="171"/>
      <c r="T430" s="171"/>
      <c r="U430" s="171">
        <v>1</v>
      </c>
      <c r="V430" s="171"/>
      <c r="W430" s="171"/>
      <c r="X430" s="171"/>
      <c r="Y430" s="171"/>
      <c r="Z430" s="171"/>
      <c r="AA430" s="171"/>
      <c r="AB430" s="171"/>
      <c r="AC430" s="171"/>
      <c r="AD430" s="171"/>
      <c r="AE430" s="171"/>
      <c r="AF430" s="171"/>
      <c r="AG430" s="171"/>
      <c r="AH430" s="22"/>
      <c r="AI430" s="171"/>
      <c r="AJ430" s="22">
        <f t="shared" si="5"/>
        <v>7</v>
      </c>
      <c r="AK430" s="22">
        <f t="shared" si="6"/>
        <v>7</v>
      </c>
    </row>
    <row r="431" spans="1:37" ht="15.75" customHeight="1">
      <c r="A431" s="167" t="s">
        <v>758</v>
      </c>
      <c r="B431" s="167" t="s">
        <v>2056</v>
      </c>
      <c r="C431" s="22" t="s">
        <v>757</v>
      </c>
      <c r="D431" s="168">
        <v>1</v>
      </c>
      <c r="E431" s="169" t="b">
        <v>1</v>
      </c>
      <c r="F431" s="174" t="s">
        <v>1570</v>
      </c>
      <c r="G431" s="171">
        <v>1</v>
      </c>
      <c r="H431" s="171">
        <v>1</v>
      </c>
      <c r="I431" s="171">
        <v>1</v>
      </c>
      <c r="J431" s="171">
        <v>1</v>
      </c>
      <c r="K431" s="171">
        <v>1</v>
      </c>
      <c r="L431" s="171">
        <v>2</v>
      </c>
      <c r="M431" s="171">
        <v>1</v>
      </c>
      <c r="N431" s="171"/>
      <c r="O431" s="171"/>
      <c r="P431" s="171"/>
      <c r="Q431" s="171"/>
      <c r="R431" s="171"/>
      <c r="S431" s="171"/>
      <c r="T431" s="171"/>
      <c r="U431" s="171"/>
      <c r="V431" s="171"/>
      <c r="W431" s="171"/>
      <c r="X431" s="171"/>
      <c r="Y431" s="171"/>
      <c r="Z431" s="171"/>
      <c r="AA431" s="171"/>
      <c r="AB431" s="171"/>
      <c r="AC431" s="171"/>
      <c r="AD431" s="171"/>
      <c r="AE431" s="171"/>
      <c r="AF431" s="171"/>
      <c r="AG431" s="171"/>
      <c r="AH431" s="22"/>
      <c r="AI431" s="171"/>
      <c r="AJ431" s="22">
        <f t="shared" si="5"/>
        <v>7</v>
      </c>
      <c r="AK431" s="22">
        <f t="shared" si="6"/>
        <v>8</v>
      </c>
    </row>
    <row r="432" spans="1:37" ht="15.75" customHeight="1">
      <c r="A432" s="167" t="s">
        <v>760</v>
      </c>
      <c r="B432" s="167" t="s">
        <v>2056</v>
      </c>
      <c r="C432" s="22" t="s">
        <v>759</v>
      </c>
      <c r="D432" s="168">
        <v>1</v>
      </c>
      <c r="E432" s="169" t="b">
        <v>1</v>
      </c>
      <c r="F432" s="170" t="s">
        <v>1571</v>
      </c>
      <c r="G432" s="171">
        <v>1</v>
      </c>
      <c r="H432" s="171">
        <v>1</v>
      </c>
      <c r="I432" s="171">
        <v>1</v>
      </c>
      <c r="J432" s="171">
        <v>1</v>
      </c>
      <c r="K432" s="171">
        <v>1</v>
      </c>
      <c r="L432" s="171">
        <v>3</v>
      </c>
      <c r="M432" s="171"/>
      <c r="N432" s="171"/>
      <c r="O432" s="171"/>
      <c r="P432" s="171"/>
      <c r="Q432" s="171"/>
      <c r="R432" s="171"/>
      <c r="S432" s="171"/>
      <c r="T432" s="171"/>
      <c r="U432" s="171"/>
      <c r="V432" s="171"/>
      <c r="W432" s="171"/>
      <c r="X432" s="171"/>
      <c r="Y432" s="171"/>
      <c r="Z432" s="171"/>
      <c r="AA432" s="171"/>
      <c r="AB432" s="171"/>
      <c r="AC432" s="171"/>
      <c r="AD432" s="171"/>
      <c r="AE432" s="171"/>
      <c r="AF432" s="171"/>
      <c r="AG432" s="171"/>
      <c r="AH432" s="22"/>
      <c r="AI432" s="171"/>
      <c r="AJ432" s="22">
        <f t="shared" si="5"/>
        <v>6</v>
      </c>
      <c r="AK432" s="22">
        <f t="shared" si="6"/>
        <v>8</v>
      </c>
    </row>
    <row r="433" spans="1:37" ht="15.75" customHeight="1">
      <c r="A433" s="167" t="s">
        <v>1194</v>
      </c>
      <c r="B433" s="167" t="s">
        <v>2055</v>
      </c>
      <c r="C433" s="22" t="s">
        <v>1193</v>
      </c>
      <c r="D433" s="168">
        <v>1</v>
      </c>
      <c r="E433" s="169" t="b">
        <v>1</v>
      </c>
      <c r="F433" s="170" t="s">
        <v>1960</v>
      </c>
      <c r="G433" s="171">
        <v>1</v>
      </c>
      <c r="H433" s="171">
        <v>1</v>
      </c>
      <c r="I433" s="171">
        <v>1</v>
      </c>
      <c r="J433" s="171">
        <v>1</v>
      </c>
      <c r="K433" s="171">
        <v>1</v>
      </c>
      <c r="L433" s="171"/>
      <c r="M433" s="171"/>
      <c r="N433" s="171"/>
      <c r="O433" s="171">
        <v>1</v>
      </c>
      <c r="P433" s="171"/>
      <c r="Q433" s="171"/>
      <c r="R433" s="171"/>
      <c r="S433" s="171"/>
      <c r="T433" s="171"/>
      <c r="U433" s="171"/>
      <c r="V433" s="171"/>
      <c r="W433" s="171"/>
      <c r="X433" s="171"/>
      <c r="Y433" s="171"/>
      <c r="Z433" s="171"/>
      <c r="AA433" s="171"/>
      <c r="AB433" s="171"/>
      <c r="AC433" s="171"/>
      <c r="AD433" s="171"/>
      <c r="AE433" s="171"/>
      <c r="AF433" s="171"/>
      <c r="AG433" s="171"/>
      <c r="AH433" s="22"/>
      <c r="AI433" s="171"/>
      <c r="AJ433" s="22">
        <f t="shared" si="5"/>
        <v>6</v>
      </c>
      <c r="AK433" s="22">
        <f t="shared" si="6"/>
        <v>6</v>
      </c>
    </row>
    <row r="434" spans="1:37" ht="15.75" customHeight="1">
      <c r="A434" s="167" t="s">
        <v>762</v>
      </c>
      <c r="B434" s="167" t="s">
        <v>2056</v>
      </c>
      <c r="C434" s="22" t="s">
        <v>761</v>
      </c>
      <c r="D434" s="168">
        <v>1</v>
      </c>
      <c r="E434" s="169" t="b">
        <v>1</v>
      </c>
      <c r="F434" s="170" t="s">
        <v>1903</v>
      </c>
      <c r="G434" s="171">
        <v>1</v>
      </c>
      <c r="H434" s="171">
        <v>1</v>
      </c>
      <c r="I434" s="171">
        <v>1</v>
      </c>
      <c r="J434" s="171">
        <v>1</v>
      </c>
      <c r="K434" s="171">
        <v>1</v>
      </c>
      <c r="L434" s="171"/>
      <c r="M434" s="171"/>
      <c r="N434" s="171">
        <v>1</v>
      </c>
      <c r="O434" s="171"/>
      <c r="P434" s="171"/>
      <c r="Q434" s="171"/>
      <c r="R434" s="171"/>
      <c r="S434" s="171"/>
      <c r="T434" s="171"/>
      <c r="U434" s="171"/>
      <c r="V434" s="171"/>
      <c r="W434" s="171"/>
      <c r="X434" s="171"/>
      <c r="Y434" s="171"/>
      <c r="Z434" s="171"/>
      <c r="AA434" s="171"/>
      <c r="AB434" s="171"/>
      <c r="AC434" s="171"/>
      <c r="AD434" s="171"/>
      <c r="AE434" s="171"/>
      <c r="AF434" s="171"/>
      <c r="AG434" s="171"/>
      <c r="AH434" s="22"/>
      <c r="AI434" s="171"/>
      <c r="AJ434" s="22">
        <f t="shared" si="5"/>
        <v>6</v>
      </c>
      <c r="AK434" s="22">
        <f t="shared" si="6"/>
        <v>6</v>
      </c>
    </row>
    <row r="435" spans="1:37" ht="15.75" customHeight="1">
      <c r="A435" s="167" t="s">
        <v>764</v>
      </c>
      <c r="B435" s="167" t="s">
        <v>2056</v>
      </c>
      <c r="C435" s="22" t="s">
        <v>763</v>
      </c>
      <c r="D435" s="168">
        <v>1</v>
      </c>
      <c r="E435" s="169" t="b">
        <v>1</v>
      </c>
      <c r="F435" s="183" t="s">
        <v>1904</v>
      </c>
      <c r="G435" s="171">
        <v>1</v>
      </c>
      <c r="H435" s="171">
        <v>1</v>
      </c>
      <c r="I435" s="171">
        <v>1</v>
      </c>
      <c r="J435" s="171">
        <v>1</v>
      </c>
      <c r="K435" s="171">
        <v>1</v>
      </c>
      <c r="L435" s="171"/>
      <c r="M435" s="171"/>
      <c r="N435" s="171"/>
      <c r="O435" s="171"/>
      <c r="P435" s="171"/>
      <c r="Q435" s="171"/>
      <c r="R435" s="171"/>
      <c r="S435" s="171">
        <v>1</v>
      </c>
      <c r="T435" s="171"/>
      <c r="U435" s="171"/>
      <c r="V435" s="171"/>
      <c r="W435" s="171"/>
      <c r="X435" s="171"/>
      <c r="Y435" s="171"/>
      <c r="Z435" s="171"/>
      <c r="AA435" s="171"/>
      <c r="AB435" s="171"/>
      <c r="AC435" s="171"/>
      <c r="AD435" s="171"/>
      <c r="AE435" s="171"/>
      <c r="AF435" s="171"/>
      <c r="AG435" s="171"/>
      <c r="AH435" s="22"/>
      <c r="AI435" s="171"/>
      <c r="AJ435" s="22">
        <f t="shared" si="5"/>
        <v>6</v>
      </c>
      <c r="AK435" s="22">
        <f t="shared" si="6"/>
        <v>6</v>
      </c>
    </row>
    <row r="436" spans="1:37" ht="15.75" customHeight="1">
      <c r="A436" s="167" t="s">
        <v>766</v>
      </c>
      <c r="B436" s="167" t="s">
        <v>2056</v>
      </c>
      <c r="C436" s="22" t="s">
        <v>765</v>
      </c>
      <c r="D436" s="168">
        <v>1</v>
      </c>
      <c r="E436" s="169" t="b">
        <v>1</v>
      </c>
      <c r="F436" s="170" t="s">
        <v>1390</v>
      </c>
      <c r="G436" s="171">
        <v>1</v>
      </c>
      <c r="H436" s="171">
        <v>1</v>
      </c>
      <c r="I436" s="171">
        <v>1</v>
      </c>
      <c r="J436" s="171">
        <v>1</v>
      </c>
      <c r="K436" s="171"/>
      <c r="L436" s="171">
        <v>2</v>
      </c>
      <c r="M436" s="171">
        <v>1</v>
      </c>
      <c r="N436" s="171">
        <v>1</v>
      </c>
      <c r="O436" s="171"/>
      <c r="P436" s="171"/>
      <c r="Q436" s="171"/>
      <c r="R436" s="171"/>
      <c r="S436" s="171"/>
      <c r="T436" s="171">
        <v>1</v>
      </c>
      <c r="U436" s="171">
        <v>1</v>
      </c>
      <c r="V436" s="171"/>
      <c r="W436" s="171"/>
      <c r="X436" s="171"/>
      <c r="Y436" s="171"/>
      <c r="Z436" s="171"/>
      <c r="AA436" s="171">
        <v>1</v>
      </c>
      <c r="AB436" s="171"/>
      <c r="AC436" s="171"/>
      <c r="AD436" s="171"/>
      <c r="AE436" s="171"/>
      <c r="AF436" s="171"/>
      <c r="AG436" s="171">
        <v>1</v>
      </c>
      <c r="AH436" s="22"/>
      <c r="AI436" s="171" t="s">
        <v>1391</v>
      </c>
      <c r="AJ436" s="22">
        <f t="shared" si="5"/>
        <v>11</v>
      </c>
      <c r="AK436" s="22">
        <f t="shared" si="6"/>
        <v>12</v>
      </c>
    </row>
    <row r="437" spans="1:37" ht="15.75" customHeight="1">
      <c r="A437" s="167" t="s">
        <v>768</v>
      </c>
      <c r="B437" s="167" t="s">
        <v>2056</v>
      </c>
      <c r="C437" s="22" t="s">
        <v>767</v>
      </c>
      <c r="D437" s="168">
        <v>1</v>
      </c>
      <c r="E437" s="169" t="b">
        <v>1</v>
      </c>
      <c r="F437" s="170" t="s">
        <v>1572</v>
      </c>
      <c r="G437" s="171">
        <v>1</v>
      </c>
      <c r="H437" s="171">
        <v>1</v>
      </c>
      <c r="I437" s="171">
        <v>1</v>
      </c>
      <c r="J437" s="171">
        <v>1</v>
      </c>
      <c r="K437" s="171">
        <v>1</v>
      </c>
      <c r="L437" s="171">
        <v>1</v>
      </c>
      <c r="M437" s="171"/>
      <c r="N437" s="171">
        <v>1</v>
      </c>
      <c r="O437" s="171"/>
      <c r="P437" s="171"/>
      <c r="Q437" s="171"/>
      <c r="R437" s="171"/>
      <c r="S437" s="171"/>
      <c r="T437" s="171"/>
      <c r="U437" s="171"/>
      <c r="V437" s="171"/>
      <c r="W437" s="171">
        <v>1</v>
      </c>
      <c r="X437" s="171"/>
      <c r="Y437" s="171"/>
      <c r="Z437" s="171"/>
      <c r="AA437" s="171"/>
      <c r="AB437" s="171"/>
      <c r="AC437" s="171"/>
      <c r="AD437" s="171"/>
      <c r="AE437" s="171"/>
      <c r="AF437" s="171"/>
      <c r="AG437" s="171"/>
      <c r="AH437" s="22"/>
      <c r="AI437" s="171"/>
      <c r="AJ437" s="22">
        <f t="shared" si="5"/>
        <v>8</v>
      </c>
      <c r="AK437" s="22">
        <f t="shared" si="6"/>
        <v>8</v>
      </c>
    </row>
    <row r="438" spans="1:37" ht="15.75" customHeight="1">
      <c r="A438" s="167" t="s">
        <v>1280</v>
      </c>
      <c r="B438" s="167" t="s">
        <v>2055</v>
      </c>
      <c r="C438" s="22" t="s">
        <v>1279</v>
      </c>
      <c r="D438" s="168">
        <v>1</v>
      </c>
      <c r="E438" s="169" t="b">
        <v>1</v>
      </c>
      <c r="F438" s="170" t="s">
        <v>1966</v>
      </c>
      <c r="G438" s="171">
        <v>1</v>
      </c>
      <c r="H438" s="171">
        <v>1</v>
      </c>
      <c r="I438" s="171">
        <v>1</v>
      </c>
      <c r="J438" s="171">
        <v>1</v>
      </c>
      <c r="K438" s="171">
        <v>1</v>
      </c>
      <c r="L438" s="171"/>
      <c r="M438" s="171"/>
      <c r="N438" s="171"/>
      <c r="O438" s="171">
        <v>1</v>
      </c>
      <c r="P438" s="171"/>
      <c r="Q438" s="171"/>
      <c r="R438" s="171"/>
      <c r="S438" s="171"/>
      <c r="T438" s="171"/>
      <c r="U438" s="171"/>
      <c r="V438" s="171"/>
      <c r="W438" s="171"/>
      <c r="X438" s="171"/>
      <c r="Y438" s="171"/>
      <c r="Z438" s="171"/>
      <c r="AA438" s="171"/>
      <c r="AB438" s="171"/>
      <c r="AC438" s="171"/>
      <c r="AD438" s="171"/>
      <c r="AE438" s="171"/>
      <c r="AF438" s="171"/>
      <c r="AG438" s="171"/>
      <c r="AH438" s="22"/>
      <c r="AI438" s="171"/>
      <c r="AJ438" s="22">
        <f t="shared" si="5"/>
        <v>6</v>
      </c>
      <c r="AK438" s="22">
        <f t="shared" si="6"/>
        <v>6</v>
      </c>
    </row>
    <row r="439" spans="1:37" ht="15.75" customHeight="1">
      <c r="A439" s="167" t="s">
        <v>1282</v>
      </c>
      <c r="B439" s="167" t="s">
        <v>2055</v>
      </c>
      <c r="C439" s="22" t="s">
        <v>1281</v>
      </c>
      <c r="D439" s="168">
        <v>1</v>
      </c>
      <c r="E439" s="169" t="b">
        <v>1</v>
      </c>
      <c r="F439" s="170" t="s">
        <v>1609</v>
      </c>
      <c r="G439" s="171">
        <v>1</v>
      </c>
      <c r="H439" s="171">
        <v>1</v>
      </c>
      <c r="I439" s="171">
        <v>1</v>
      </c>
      <c r="J439" s="171">
        <v>1</v>
      </c>
      <c r="K439" s="171">
        <v>1</v>
      </c>
      <c r="L439" s="171">
        <v>1</v>
      </c>
      <c r="M439" s="171"/>
      <c r="N439" s="171"/>
      <c r="O439" s="171">
        <v>1</v>
      </c>
      <c r="P439" s="171"/>
      <c r="Q439" s="171"/>
      <c r="R439" s="171"/>
      <c r="S439" s="171"/>
      <c r="T439" s="171"/>
      <c r="U439" s="171"/>
      <c r="V439" s="171"/>
      <c r="W439" s="171"/>
      <c r="X439" s="171"/>
      <c r="Y439" s="171"/>
      <c r="Z439" s="171"/>
      <c r="AA439" s="171"/>
      <c r="AB439" s="171"/>
      <c r="AC439" s="171"/>
      <c r="AD439" s="171"/>
      <c r="AE439" s="171"/>
      <c r="AF439" s="171"/>
      <c r="AG439" s="171">
        <v>1</v>
      </c>
      <c r="AH439" s="22"/>
      <c r="AI439" s="171" t="s">
        <v>1610</v>
      </c>
      <c r="AJ439" s="22">
        <f t="shared" si="5"/>
        <v>8</v>
      </c>
      <c r="AK439" s="22">
        <f t="shared" si="6"/>
        <v>8</v>
      </c>
    </row>
    <row r="440" spans="1:37" ht="15.75" customHeight="1">
      <c r="A440" s="167" t="s">
        <v>770</v>
      </c>
      <c r="B440" s="167" t="s">
        <v>2056</v>
      </c>
      <c r="C440" s="22" t="s">
        <v>769</v>
      </c>
      <c r="D440" s="168">
        <v>1</v>
      </c>
      <c r="E440" s="169" t="b">
        <v>1</v>
      </c>
      <c r="F440" s="170" t="s">
        <v>1410</v>
      </c>
      <c r="G440" s="171">
        <v>1</v>
      </c>
      <c r="H440" s="171">
        <v>1</v>
      </c>
      <c r="I440" s="171">
        <v>1</v>
      </c>
      <c r="J440" s="171">
        <v>1</v>
      </c>
      <c r="K440" s="171">
        <v>1</v>
      </c>
      <c r="L440" s="171">
        <v>2</v>
      </c>
      <c r="M440" s="171"/>
      <c r="N440" s="171"/>
      <c r="O440" s="171"/>
      <c r="P440" s="171"/>
      <c r="Q440" s="171"/>
      <c r="R440" s="171"/>
      <c r="S440" s="171"/>
      <c r="T440" s="171"/>
      <c r="U440" s="171">
        <v>1</v>
      </c>
      <c r="V440" s="171"/>
      <c r="W440" s="171"/>
      <c r="X440" s="171"/>
      <c r="Y440" s="171"/>
      <c r="Z440" s="171"/>
      <c r="AA440" s="171"/>
      <c r="AB440" s="171"/>
      <c r="AC440" s="171"/>
      <c r="AD440" s="171"/>
      <c r="AE440" s="171"/>
      <c r="AF440" s="171"/>
      <c r="AG440" s="171">
        <v>2</v>
      </c>
      <c r="AH440" s="22"/>
      <c r="AI440" s="171" t="s">
        <v>1411</v>
      </c>
      <c r="AJ440" s="22">
        <f t="shared" si="5"/>
        <v>8</v>
      </c>
      <c r="AK440" s="22">
        <f t="shared" si="6"/>
        <v>10</v>
      </c>
    </row>
    <row r="441" spans="1:37" ht="15.75" customHeight="1">
      <c r="A441" s="167" t="s">
        <v>772</v>
      </c>
      <c r="B441" s="167" t="s">
        <v>2056</v>
      </c>
      <c r="C441" s="22" t="s">
        <v>771</v>
      </c>
      <c r="D441" s="168">
        <v>1</v>
      </c>
      <c r="E441" s="169" t="b">
        <v>1</v>
      </c>
      <c r="F441" s="170" t="s">
        <v>1453</v>
      </c>
      <c r="G441" s="171">
        <v>1</v>
      </c>
      <c r="H441" s="171">
        <v>1</v>
      </c>
      <c r="I441" s="171">
        <v>1</v>
      </c>
      <c r="J441" s="171">
        <v>1</v>
      </c>
      <c r="K441" s="171">
        <v>1</v>
      </c>
      <c r="L441" s="171">
        <v>2</v>
      </c>
      <c r="M441" s="171">
        <v>1</v>
      </c>
      <c r="N441" s="171"/>
      <c r="O441" s="171"/>
      <c r="P441" s="171"/>
      <c r="Q441" s="171"/>
      <c r="R441" s="171"/>
      <c r="S441" s="171"/>
      <c r="T441" s="171"/>
      <c r="U441" s="171">
        <v>1</v>
      </c>
      <c r="V441" s="171"/>
      <c r="W441" s="171"/>
      <c r="X441" s="171"/>
      <c r="Y441" s="171"/>
      <c r="Z441" s="171"/>
      <c r="AA441" s="171"/>
      <c r="AB441" s="171"/>
      <c r="AC441" s="171"/>
      <c r="AD441" s="171"/>
      <c r="AE441" s="171"/>
      <c r="AF441" s="171"/>
      <c r="AG441" s="171"/>
      <c r="AH441" s="22"/>
      <c r="AI441" s="171"/>
      <c r="AJ441" s="22">
        <f t="shared" si="5"/>
        <v>8</v>
      </c>
      <c r="AK441" s="22">
        <f t="shared" si="6"/>
        <v>9</v>
      </c>
    </row>
    <row r="442" spans="1:37" ht="15.75" customHeight="1">
      <c r="A442" s="167" t="s">
        <v>774</v>
      </c>
      <c r="B442" s="167" t="s">
        <v>2056</v>
      </c>
      <c r="C442" s="22" t="s">
        <v>773</v>
      </c>
      <c r="D442" s="168">
        <v>1</v>
      </c>
      <c r="E442" s="169" t="b">
        <v>1</v>
      </c>
      <c r="F442" s="170" t="s">
        <v>1578</v>
      </c>
      <c r="G442" s="171">
        <v>1</v>
      </c>
      <c r="H442" s="171">
        <v>1</v>
      </c>
      <c r="I442" s="171">
        <v>1</v>
      </c>
      <c r="J442" s="171">
        <v>1</v>
      </c>
      <c r="K442" s="171">
        <v>1</v>
      </c>
      <c r="L442" s="171"/>
      <c r="M442" s="171"/>
      <c r="N442" s="171"/>
      <c r="O442" s="171"/>
      <c r="P442" s="171"/>
      <c r="Q442" s="171"/>
      <c r="R442" s="171"/>
      <c r="S442" s="171"/>
      <c r="T442" s="171"/>
      <c r="U442" s="171"/>
      <c r="V442" s="171"/>
      <c r="W442" s="171"/>
      <c r="X442" s="171"/>
      <c r="Y442" s="171"/>
      <c r="Z442" s="171"/>
      <c r="AA442" s="171"/>
      <c r="AB442" s="171"/>
      <c r="AC442" s="171"/>
      <c r="AD442" s="171"/>
      <c r="AE442" s="171"/>
      <c r="AF442" s="171"/>
      <c r="AG442" s="171"/>
      <c r="AH442" s="22"/>
      <c r="AI442" s="171"/>
      <c r="AJ442" s="22">
        <f t="shared" si="5"/>
        <v>5</v>
      </c>
      <c r="AK442" s="22">
        <f t="shared" si="6"/>
        <v>5</v>
      </c>
    </row>
    <row r="443" spans="1:37" ht="15.75" customHeight="1">
      <c r="A443" s="167" t="s">
        <v>776</v>
      </c>
      <c r="B443" s="167" t="s">
        <v>2056</v>
      </c>
      <c r="C443" s="22" t="s">
        <v>775</v>
      </c>
      <c r="D443" s="168">
        <v>1</v>
      </c>
      <c r="E443" s="169" t="b">
        <v>1</v>
      </c>
      <c r="F443" s="170" t="s">
        <v>1573</v>
      </c>
      <c r="G443" s="171">
        <v>1</v>
      </c>
      <c r="H443" s="171">
        <v>1</v>
      </c>
      <c r="I443" s="171">
        <v>1</v>
      </c>
      <c r="J443" s="171">
        <v>1</v>
      </c>
      <c r="K443" s="171">
        <v>1</v>
      </c>
      <c r="L443" s="171">
        <v>2</v>
      </c>
      <c r="M443" s="171"/>
      <c r="N443" s="171">
        <v>1</v>
      </c>
      <c r="O443" s="171"/>
      <c r="P443" s="171"/>
      <c r="Q443" s="171"/>
      <c r="R443" s="171"/>
      <c r="S443" s="171"/>
      <c r="T443" s="171"/>
      <c r="U443" s="171"/>
      <c r="V443" s="171"/>
      <c r="W443" s="171"/>
      <c r="X443" s="171"/>
      <c r="Y443" s="171"/>
      <c r="Z443" s="171"/>
      <c r="AA443" s="171"/>
      <c r="AB443" s="171"/>
      <c r="AC443" s="171"/>
      <c r="AD443" s="171"/>
      <c r="AE443" s="171"/>
      <c r="AF443" s="171"/>
      <c r="AG443" s="171"/>
      <c r="AH443" s="22"/>
      <c r="AI443" s="171"/>
      <c r="AJ443" s="22">
        <f t="shared" si="5"/>
        <v>7</v>
      </c>
      <c r="AK443" s="22">
        <f t="shared" si="6"/>
        <v>8</v>
      </c>
    </row>
    <row r="444" spans="1:37" ht="15.75" customHeight="1">
      <c r="A444" s="167" t="s">
        <v>1284</v>
      </c>
      <c r="B444" s="167" t="s">
        <v>2055</v>
      </c>
      <c r="C444" s="22" t="s">
        <v>1283</v>
      </c>
      <c r="D444" s="168">
        <v>1</v>
      </c>
      <c r="E444" s="169" t="b">
        <v>1</v>
      </c>
      <c r="F444" s="174" t="s">
        <v>1967</v>
      </c>
      <c r="G444" s="171">
        <v>1</v>
      </c>
      <c r="H444" s="171">
        <v>1</v>
      </c>
      <c r="I444" s="171">
        <v>1</v>
      </c>
      <c r="J444" s="171"/>
      <c r="K444" s="171">
        <v>1</v>
      </c>
      <c r="L444" s="171">
        <v>1</v>
      </c>
      <c r="M444" s="171"/>
      <c r="N444" s="171"/>
      <c r="O444" s="171">
        <v>1</v>
      </c>
      <c r="P444" s="171"/>
      <c r="Q444" s="171"/>
      <c r="R444" s="171"/>
      <c r="S444" s="171"/>
      <c r="T444" s="171"/>
      <c r="U444" s="171"/>
      <c r="V444" s="171"/>
      <c r="W444" s="171"/>
      <c r="X444" s="171"/>
      <c r="Y444" s="171"/>
      <c r="Z444" s="171"/>
      <c r="AA444" s="171"/>
      <c r="AB444" s="171"/>
      <c r="AC444" s="171"/>
      <c r="AD444" s="171"/>
      <c r="AE444" s="171"/>
      <c r="AF444" s="171"/>
      <c r="AG444" s="171"/>
      <c r="AH444" s="22"/>
      <c r="AI444" s="171"/>
      <c r="AJ444" s="22">
        <f t="shared" si="5"/>
        <v>6</v>
      </c>
      <c r="AK444" s="22">
        <f t="shared" si="6"/>
        <v>6</v>
      </c>
    </row>
    <row r="445" spans="1:37" ht="15.75" customHeight="1">
      <c r="A445" s="167" t="s">
        <v>778</v>
      </c>
      <c r="B445" s="167" t="s">
        <v>2056</v>
      </c>
      <c r="C445" s="22" t="s">
        <v>777</v>
      </c>
      <c r="D445" s="168">
        <v>1</v>
      </c>
      <c r="E445" s="169" t="b">
        <v>1</v>
      </c>
      <c r="F445" s="174" t="s">
        <v>1574</v>
      </c>
      <c r="G445" s="171">
        <v>1</v>
      </c>
      <c r="H445" s="171">
        <v>1</v>
      </c>
      <c r="I445" s="171">
        <v>1</v>
      </c>
      <c r="J445" s="171">
        <v>1</v>
      </c>
      <c r="K445" s="171">
        <v>1</v>
      </c>
      <c r="L445" s="171">
        <v>1</v>
      </c>
      <c r="M445" s="171">
        <v>1</v>
      </c>
      <c r="N445" s="171"/>
      <c r="O445" s="171"/>
      <c r="P445" s="171"/>
      <c r="Q445" s="171"/>
      <c r="R445" s="171"/>
      <c r="S445" s="171"/>
      <c r="T445" s="171"/>
      <c r="U445" s="171"/>
      <c r="V445" s="171"/>
      <c r="W445" s="171">
        <v>1</v>
      </c>
      <c r="X445" s="171"/>
      <c r="Y445" s="171"/>
      <c r="Z445" s="171"/>
      <c r="AA445" s="171"/>
      <c r="AB445" s="171"/>
      <c r="AC445" s="171"/>
      <c r="AD445" s="171"/>
      <c r="AE445" s="171"/>
      <c r="AF445" s="171"/>
      <c r="AG445" s="171"/>
      <c r="AH445" s="22"/>
      <c r="AI445" s="171"/>
      <c r="AJ445" s="22">
        <f t="shared" si="5"/>
        <v>8</v>
      </c>
      <c r="AK445" s="22">
        <f t="shared" si="6"/>
        <v>8</v>
      </c>
    </row>
    <row r="446" spans="1:37" ht="15.75" customHeight="1">
      <c r="A446" s="167" t="s">
        <v>780</v>
      </c>
      <c r="B446" s="167" t="s">
        <v>2056</v>
      </c>
      <c r="C446" s="22" t="s">
        <v>779</v>
      </c>
      <c r="D446" s="168">
        <v>1</v>
      </c>
      <c r="E446" s="169" t="b">
        <v>1</v>
      </c>
      <c r="F446" s="174" t="s">
        <v>2021</v>
      </c>
      <c r="G446" s="171">
        <v>1</v>
      </c>
      <c r="H446" s="171">
        <v>1</v>
      </c>
      <c r="I446" s="171">
        <v>1</v>
      </c>
      <c r="J446" s="171">
        <v>1</v>
      </c>
      <c r="K446" s="171">
        <v>1</v>
      </c>
      <c r="L446" s="171"/>
      <c r="M446" s="171"/>
      <c r="N446" s="171"/>
      <c r="O446" s="171"/>
      <c r="P446" s="171"/>
      <c r="Q446" s="171"/>
      <c r="R446" s="171"/>
      <c r="S446" s="171"/>
      <c r="T446" s="171"/>
      <c r="U446" s="171"/>
      <c r="V446" s="171"/>
      <c r="W446" s="171"/>
      <c r="X446" s="171"/>
      <c r="Y446" s="171"/>
      <c r="Z446" s="171"/>
      <c r="AA446" s="171"/>
      <c r="AB446" s="171"/>
      <c r="AC446" s="171"/>
      <c r="AD446" s="171"/>
      <c r="AE446" s="171"/>
      <c r="AF446" s="171"/>
      <c r="AG446" s="171"/>
      <c r="AH446" s="22"/>
      <c r="AI446" s="171"/>
      <c r="AJ446" s="22">
        <f t="shared" si="5"/>
        <v>5</v>
      </c>
      <c r="AK446" s="22">
        <f t="shared" si="6"/>
        <v>5</v>
      </c>
    </row>
    <row r="447" spans="1:37" ht="15.75" customHeight="1">
      <c r="A447" s="167" t="s">
        <v>782</v>
      </c>
      <c r="B447" s="167" t="s">
        <v>2056</v>
      </c>
      <c r="C447" s="22" t="s">
        <v>781</v>
      </c>
      <c r="D447" s="168">
        <v>1</v>
      </c>
      <c r="E447" s="169" t="b">
        <v>1</v>
      </c>
      <c r="F447" s="174" t="s">
        <v>1454</v>
      </c>
      <c r="G447" s="171">
        <v>1</v>
      </c>
      <c r="H447" s="171">
        <v>1</v>
      </c>
      <c r="I447" s="171">
        <v>1</v>
      </c>
      <c r="J447" s="171">
        <v>1</v>
      </c>
      <c r="K447" s="171">
        <v>1</v>
      </c>
      <c r="L447" s="171">
        <v>1</v>
      </c>
      <c r="M447" s="171">
        <v>1</v>
      </c>
      <c r="N447" s="171"/>
      <c r="O447" s="171"/>
      <c r="P447" s="171"/>
      <c r="Q447" s="171">
        <v>1</v>
      </c>
      <c r="R447" s="171"/>
      <c r="S447" s="171"/>
      <c r="T447" s="171"/>
      <c r="U447" s="171"/>
      <c r="V447" s="171"/>
      <c r="W447" s="171"/>
      <c r="X447" s="171"/>
      <c r="Y447" s="171"/>
      <c r="Z447" s="171"/>
      <c r="AA447" s="171"/>
      <c r="AB447" s="171"/>
      <c r="AC447" s="171"/>
      <c r="AD447" s="171"/>
      <c r="AE447" s="171">
        <v>1</v>
      </c>
      <c r="AF447" s="171"/>
      <c r="AG447" s="171"/>
      <c r="AH447" s="22"/>
      <c r="AI447" s="171"/>
      <c r="AJ447" s="22">
        <f t="shared" si="5"/>
        <v>9</v>
      </c>
      <c r="AK447" s="22">
        <f t="shared" si="6"/>
        <v>9</v>
      </c>
    </row>
    <row r="448" spans="1:37" ht="15.75" customHeight="1">
      <c r="A448" s="167" t="s">
        <v>784</v>
      </c>
      <c r="B448" s="167" t="s">
        <v>2056</v>
      </c>
      <c r="C448" s="22" t="s">
        <v>783</v>
      </c>
      <c r="D448" s="168">
        <v>1</v>
      </c>
      <c r="E448" s="169" t="b">
        <v>1</v>
      </c>
      <c r="F448" s="170" t="s">
        <v>1905</v>
      </c>
      <c r="G448" s="178">
        <v>1</v>
      </c>
      <c r="H448" s="178">
        <v>1</v>
      </c>
      <c r="I448" s="178">
        <v>1</v>
      </c>
      <c r="J448" s="178">
        <v>1</v>
      </c>
      <c r="K448" s="178">
        <v>1</v>
      </c>
      <c r="L448" s="178"/>
      <c r="M448" s="178"/>
      <c r="N448" s="178">
        <v>1</v>
      </c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  <c r="AE448" s="178"/>
      <c r="AF448" s="178"/>
      <c r="AG448" s="178"/>
      <c r="AH448" s="22"/>
      <c r="AI448" s="171"/>
      <c r="AJ448" s="22">
        <f t="shared" ref="AJ448:AJ636" si="7">COUNT(E448:AG448)</f>
        <v>6</v>
      </c>
      <c r="AK448" s="22">
        <f t="shared" ref="AK448:AK636" si="8">SUM(E448:AG448)</f>
        <v>6</v>
      </c>
    </row>
    <row r="449" spans="1:37" ht="15.75" customHeight="1">
      <c r="A449" s="167" t="s">
        <v>1343</v>
      </c>
      <c r="B449" s="167" t="s">
        <v>2054</v>
      </c>
      <c r="C449" s="22" t="s">
        <v>1342</v>
      </c>
      <c r="D449" s="168">
        <v>1</v>
      </c>
      <c r="E449" s="169" t="b">
        <v>1</v>
      </c>
      <c r="F449" s="170" t="s">
        <v>1487</v>
      </c>
      <c r="G449" s="171">
        <v>1</v>
      </c>
      <c r="H449" s="171">
        <v>1</v>
      </c>
      <c r="I449" s="171">
        <v>1</v>
      </c>
      <c r="J449" s="171">
        <v>1</v>
      </c>
      <c r="K449" s="171">
        <v>1</v>
      </c>
      <c r="L449" s="171">
        <v>3</v>
      </c>
      <c r="M449" s="171"/>
      <c r="N449" s="171"/>
      <c r="O449" s="171"/>
      <c r="P449" s="171"/>
      <c r="Q449" s="171"/>
      <c r="R449" s="171">
        <v>1</v>
      </c>
      <c r="S449" s="171"/>
      <c r="T449" s="171"/>
      <c r="U449" s="171"/>
      <c r="V449" s="171"/>
      <c r="W449" s="171"/>
      <c r="X449" s="171"/>
      <c r="Y449" s="171"/>
      <c r="Z449" s="171"/>
      <c r="AA449" s="171"/>
      <c r="AB449" s="171"/>
      <c r="AC449" s="171"/>
      <c r="AD449" s="171"/>
      <c r="AE449" s="171"/>
      <c r="AF449" s="171"/>
      <c r="AG449" s="171"/>
      <c r="AH449" s="22"/>
      <c r="AI449" s="171"/>
      <c r="AJ449" s="22">
        <f t="shared" si="7"/>
        <v>7</v>
      </c>
      <c r="AK449" s="22">
        <f t="shared" si="8"/>
        <v>9</v>
      </c>
    </row>
    <row r="450" spans="1:37" ht="15.75" customHeight="1">
      <c r="A450" s="167" t="s">
        <v>786</v>
      </c>
      <c r="B450" s="167" t="s">
        <v>2056</v>
      </c>
      <c r="C450" s="22" t="s">
        <v>785</v>
      </c>
      <c r="D450" s="168">
        <v>1</v>
      </c>
      <c r="E450" s="169" t="b">
        <v>1</v>
      </c>
      <c r="F450" s="170" t="s">
        <v>1723</v>
      </c>
      <c r="G450" s="171">
        <v>1</v>
      </c>
      <c r="H450" s="171">
        <v>1</v>
      </c>
      <c r="I450" s="171">
        <v>1</v>
      </c>
      <c r="J450" s="171">
        <v>1</v>
      </c>
      <c r="K450" s="171">
        <v>1</v>
      </c>
      <c r="L450" s="171">
        <v>1</v>
      </c>
      <c r="M450" s="171"/>
      <c r="N450" s="171"/>
      <c r="O450" s="171"/>
      <c r="P450" s="171"/>
      <c r="Q450" s="171"/>
      <c r="R450" s="171"/>
      <c r="S450" s="171"/>
      <c r="T450" s="171"/>
      <c r="U450" s="171"/>
      <c r="V450" s="171">
        <v>1</v>
      </c>
      <c r="W450" s="171"/>
      <c r="X450" s="171"/>
      <c r="Y450" s="171"/>
      <c r="Z450" s="171"/>
      <c r="AA450" s="171"/>
      <c r="AB450" s="171"/>
      <c r="AC450" s="171"/>
      <c r="AD450" s="171"/>
      <c r="AE450" s="171"/>
      <c r="AF450" s="171"/>
      <c r="AG450" s="171"/>
      <c r="AH450" s="22"/>
      <c r="AI450" s="171"/>
      <c r="AJ450" s="22">
        <f t="shared" si="7"/>
        <v>7</v>
      </c>
      <c r="AK450" s="22">
        <f t="shared" si="8"/>
        <v>7</v>
      </c>
    </row>
    <row r="451" spans="1:37" ht="15.75" customHeight="1">
      <c r="A451" s="167" t="s">
        <v>788</v>
      </c>
      <c r="B451" s="167" t="s">
        <v>2056</v>
      </c>
      <c r="C451" s="22" t="s">
        <v>787</v>
      </c>
      <c r="D451" s="168">
        <v>1</v>
      </c>
      <c r="E451" s="169" t="b">
        <v>1</v>
      </c>
      <c r="F451" s="170" t="s">
        <v>1575</v>
      </c>
      <c r="G451" s="171">
        <v>1</v>
      </c>
      <c r="H451" s="171">
        <v>1</v>
      </c>
      <c r="I451" s="171">
        <v>1</v>
      </c>
      <c r="J451" s="171">
        <v>1</v>
      </c>
      <c r="K451" s="171">
        <v>1</v>
      </c>
      <c r="L451" s="171">
        <v>1</v>
      </c>
      <c r="M451" s="171">
        <v>1</v>
      </c>
      <c r="N451" s="171">
        <v>1</v>
      </c>
      <c r="O451" s="171"/>
      <c r="P451" s="171"/>
      <c r="Q451" s="171"/>
      <c r="R451" s="171"/>
      <c r="S451" s="171"/>
      <c r="T451" s="171"/>
      <c r="U451" s="171"/>
      <c r="V451" s="171"/>
      <c r="W451" s="171"/>
      <c r="X451" s="171"/>
      <c r="Y451" s="171"/>
      <c r="Z451" s="171"/>
      <c r="AA451" s="171"/>
      <c r="AB451" s="171"/>
      <c r="AC451" s="171"/>
      <c r="AD451" s="171"/>
      <c r="AE451" s="171"/>
      <c r="AF451" s="171"/>
      <c r="AG451" s="171"/>
      <c r="AH451" s="22"/>
      <c r="AI451" s="171"/>
      <c r="AJ451" s="22">
        <f t="shared" si="7"/>
        <v>8</v>
      </c>
      <c r="AK451" s="22">
        <f t="shared" si="8"/>
        <v>8</v>
      </c>
    </row>
    <row r="452" spans="1:37" ht="15.75" customHeight="1">
      <c r="A452" s="167" t="s">
        <v>790</v>
      </c>
      <c r="B452" s="167" t="s">
        <v>2056</v>
      </c>
      <c r="C452" s="22" t="s">
        <v>789</v>
      </c>
      <c r="D452" s="168">
        <v>1</v>
      </c>
      <c r="E452" s="169" t="b">
        <v>1</v>
      </c>
      <c r="F452" s="170" t="s">
        <v>2022</v>
      </c>
      <c r="G452" s="171">
        <v>1</v>
      </c>
      <c r="H452" s="171">
        <v>1</v>
      </c>
      <c r="I452" s="171">
        <v>1</v>
      </c>
      <c r="J452" s="171">
        <v>1</v>
      </c>
      <c r="K452" s="171">
        <v>1</v>
      </c>
      <c r="L452" s="171"/>
      <c r="M452" s="171"/>
      <c r="N452" s="171"/>
      <c r="O452" s="171"/>
      <c r="P452" s="171"/>
      <c r="Q452" s="171"/>
      <c r="R452" s="171"/>
      <c r="S452" s="171"/>
      <c r="T452" s="171"/>
      <c r="U452" s="171"/>
      <c r="V452" s="171"/>
      <c r="W452" s="171"/>
      <c r="X452" s="171"/>
      <c r="Y452" s="171"/>
      <c r="Z452" s="171"/>
      <c r="AA452" s="171"/>
      <c r="AB452" s="171"/>
      <c r="AC452" s="171"/>
      <c r="AD452" s="171"/>
      <c r="AE452" s="171"/>
      <c r="AF452" s="171"/>
      <c r="AG452" s="171"/>
      <c r="AH452" s="22"/>
      <c r="AI452" s="171"/>
      <c r="AJ452" s="22">
        <f t="shared" si="7"/>
        <v>5</v>
      </c>
      <c r="AK452" s="22">
        <f t="shared" si="8"/>
        <v>5</v>
      </c>
    </row>
    <row r="453" spans="1:37" ht="15.75" customHeight="1">
      <c r="A453" s="167" t="s">
        <v>792</v>
      </c>
      <c r="B453" s="167" t="s">
        <v>2056</v>
      </c>
      <c r="C453" s="22" t="s">
        <v>791</v>
      </c>
      <c r="D453" s="168">
        <v>1</v>
      </c>
      <c r="E453" s="169" t="b">
        <v>1</v>
      </c>
      <c r="F453" s="170" t="s">
        <v>1804</v>
      </c>
      <c r="G453" s="171">
        <v>1</v>
      </c>
      <c r="H453" s="171">
        <v>1</v>
      </c>
      <c r="I453" s="171">
        <v>1</v>
      </c>
      <c r="J453" s="171">
        <v>1</v>
      </c>
      <c r="K453" s="171">
        <v>1</v>
      </c>
      <c r="L453" s="171"/>
      <c r="M453" s="171"/>
      <c r="N453" s="171"/>
      <c r="O453" s="171"/>
      <c r="P453" s="171"/>
      <c r="Q453" s="171"/>
      <c r="R453" s="171"/>
      <c r="S453" s="171"/>
      <c r="T453" s="171">
        <v>1</v>
      </c>
      <c r="U453" s="171"/>
      <c r="V453" s="171"/>
      <c r="W453" s="171"/>
      <c r="X453" s="171"/>
      <c r="Y453" s="171"/>
      <c r="Z453" s="171"/>
      <c r="AA453" s="171"/>
      <c r="AB453" s="171"/>
      <c r="AC453" s="171"/>
      <c r="AD453" s="171"/>
      <c r="AE453" s="171"/>
      <c r="AF453" s="171"/>
      <c r="AG453" s="171"/>
      <c r="AH453" s="22"/>
      <c r="AI453" s="171" t="s">
        <v>1805</v>
      </c>
      <c r="AJ453" s="22">
        <f t="shared" si="7"/>
        <v>6</v>
      </c>
      <c r="AK453" s="22">
        <f t="shared" si="8"/>
        <v>6</v>
      </c>
    </row>
    <row r="454" spans="1:37" ht="15.75" customHeight="1">
      <c r="A454" s="167" t="s">
        <v>794</v>
      </c>
      <c r="B454" s="167" t="s">
        <v>2056</v>
      </c>
      <c r="C454" s="22" t="s">
        <v>793</v>
      </c>
      <c r="D454" s="168">
        <v>1</v>
      </c>
      <c r="E454" s="169" t="b">
        <v>1</v>
      </c>
      <c r="F454" s="170" t="s">
        <v>1412</v>
      </c>
      <c r="G454" s="171">
        <v>1</v>
      </c>
      <c r="H454" s="171">
        <v>1</v>
      </c>
      <c r="I454" s="171">
        <v>1</v>
      </c>
      <c r="J454" s="171">
        <v>1</v>
      </c>
      <c r="K454" s="171">
        <v>1</v>
      </c>
      <c r="L454" s="171">
        <v>2</v>
      </c>
      <c r="M454" s="171"/>
      <c r="N454" s="171"/>
      <c r="O454" s="171"/>
      <c r="P454" s="171"/>
      <c r="Q454" s="171"/>
      <c r="R454" s="171"/>
      <c r="S454" s="171"/>
      <c r="T454" s="171"/>
      <c r="U454" s="171">
        <v>1</v>
      </c>
      <c r="V454" s="171">
        <v>1</v>
      </c>
      <c r="W454" s="171"/>
      <c r="X454" s="171"/>
      <c r="Y454" s="171"/>
      <c r="Z454" s="171"/>
      <c r="AA454" s="171"/>
      <c r="AB454" s="171"/>
      <c r="AC454" s="171"/>
      <c r="AD454" s="171"/>
      <c r="AE454" s="171"/>
      <c r="AF454" s="171"/>
      <c r="AG454" s="171">
        <v>1</v>
      </c>
      <c r="AH454" s="22"/>
      <c r="AI454" s="171" t="s">
        <v>1413</v>
      </c>
      <c r="AJ454" s="22">
        <f t="shared" si="7"/>
        <v>9</v>
      </c>
      <c r="AK454" s="22">
        <f t="shared" si="8"/>
        <v>10</v>
      </c>
    </row>
    <row r="455" spans="1:37" ht="15.75" customHeight="1">
      <c r="A455" s="167" t="s">
        <v>796</v>
      </c>
      <c r="B455" s="167" t="s">
        <v>2056</v>
      </c>
      <c r="C455" s="22" t="s">
        <v>795</v>
      </c>
      <c r="D455" s="168">
        <v>1</v>
      </c>
      <c r="E455" s="169" t="b">
        <v>1</v>
      </c>
      <c r="F455" s="170" t="s">
        <v>1724</v>
      </c>
      <c r="G455" s="171">
        <v>1</v>
      </c>
      <c r="H455" s="171">
        <v>1</v>
      </c>
      <c r="I455" s="171">
        <v>1</v>
      </c>
      <c r="J455" s="171">
        <v>1</v>
      </c>
      <c r="K455" s="171">
        <v>1</v>
      </c>
      <c r="L455" s="171"/>
      <c r="M455" s="171">
        <v>1</v>
      </c>
      <c r="N455" s="171"/>
      <c r="O455" s="171"/>
      <c r="P455" s="171"/>
      <c r="Q455" s="171"/>
      <c r="R455" s="171"/>
      <c r="S455" s="171"/>
      <c r="T455" s="171"/>
      <c r="U455" s="171">
        <v>1</v>
      </c>
      <c r="V455" s="171"/>
      <c r="W455" s="171"/>
      <c r="X455" s="171"/>
      <c r="Y455" s="171"/>
      <c r="Z455" s="171"/>
      <c r="AA455" s="171"/>
      <c r="AB455" s="171"/>
      <c r="AC455" s="171"/>
      <c r="AD455" s="171"/>
      <c r="AE455" s="171"/>
      <c r="AF455" s="171"/>
      <c r="AG455" s="171"/>
      <c r="AH455" s="22"/>
      <c r="AI455" s="171"/>
      <c r="AJ455" s="22">
        <f t="shared" si="7"/>
        <v>7</v>
      </c>
      <c r="AK455" s="22">
        <f t="shared" si="8"/>
        <v>7</v>
      </c>
    </row>
    <row r="456" spans="1:37" ht="15.75" customHeight="1">
      <c r="A456" s="167" t="s">
        <v>798</v>
      </c>
      <c r="B456" s="167" t="s">
        <v>2056</v>
      </c>
      <c r="C456" s="22" t="s">
        <v>797</v>
      </c>
      <c r="D456" s="168">
        <v>1</v>
      </c>
      <c r="E456" s="169" t="b">
        <v>1</v>
      </c>
      <c r="F456" s="170" t="s">
        <v>1397</v>
      </c>
      <c r="G456" s="171">
        <v>1</v>
      </c>
      <c r="H456" s="171">
        <v>1</v>
      </c>
      <c r="I456" s="171">
        <v>1</v>
      </c>
      <c r="J456" s="171">
        <v>1</v>
      </c>
      <c r="K456" s="171">
        <v>1</v>
      </c>
      <c r="L456" s="171">
        <v>1</v>
      </c>
      <c r="M456" s="171">
        <v>1</v>
      </c>
      <c r="N456" s="171"/>
      <c r="O456" s="171"/>
      <c r="P456" s="171"/>
      <c r="Q456" s="171"/>
      <c r="R456" s="171"/>
      <c r="S456" s="171"/>
      <c r="T456" s="171"/>
      <c r="U456" s="171"/>
      <c r="V456" s="171"/>
      <c r="W456" s="171"/>
      <c r="X456" s="171"/>
      <c r="Y456" s="171"/>
      <c r="Z456" s="171"/>
      <c r="AA456" s="171"/>
      <c r="AB456" s="171"/>
      <c r="AC456" s="171"/>
      <c r="AD456" s="171"/>
      <c r="AE456" s="171"/>
      <c r="AF456" s="171"/>
      <c r="AG456" s="171"/>
      <c r="AH456" s="22"/>
      <c r="AI456" s="171"/>
      <c r="AJ456" s="22">
        <f t="shared" si="7"/>
        <v>7</v>
      </c>
      <c r="AK456" s="22">
        <f t="shared" si="8"/>
        <v>7</v>
      </c>
    </row>
    <row r="457" spans="1:37" ht="15.75" customHeight="1">
      <c r="A457" s="167" t="s">
        <v>800</v>
      </c>
      <c r="B457" s="167" t="s">
        <v>2056</v>
      </c>
      <c r="C457" s="22" t="s">
        <v>799</v>
      </c>
      <c r="D457" s="168">
        <v>1</v>
      </c>
      <c r="E457" s="169" t="b">
        <v>1</v>
      </c>
      <c r="F457" s="170" t="s">
        <v>1906</v>
      </c>
      <c r="G457" s="171">
        <v>1</v>
      </c>
      <c r="H457" s="171">
        <v>1</v>
      </c>
      <c r="I457" s="171">
        <v>1</v>
      </c>
      <c r="J457" s="171">
        <v>1</v>
      </c>
      <c r="K457" s="171">
        <v>1</v>
      </c>
      <c r="L457" s="171"/>
      <c r="M457" s="171">
        <v>1</v>
      </c>
      <c r="N457" s="171"/>
      <c r="O457" s="171"/>
      <c r="P457" s="171"/>
      <c r="Q457" s="171"/>
      <c r="R457" s="171"/>
      <c r="S457" s="171"/>
      <c r="T457" s="171"/>
      <c r="U457" s="171"/>
      <c r="V457" s="171"/>
      <c r="W457" s="171"/>
      <c r="X457" s="171"/>
      <c r="Y457" s="171"/>
      <c r="Z457" s="171"/>
      <c r="AA457" s="171"/>
      <c r="AB457" s="171"/>
      <c r="AC457" s="171"/>
      <c r="AD457" s="171"/>
      <c r="AE457" s="171"/>
      <c r="AF457" s="171"/>
      <c r="AG457" s="171"/>
      <c r="AH457" s="22"/>
      <c r="AI457" s="171"/>
      <c r="AJ457" s="22">
        <f t="shared" si="7"/>
        <v>6</v>
      </c>
      <c r="AK457" s="22">
        <f t="shared" si="8"/>
        <v>6</v>
      </c>
    </row>
    <row r="458" spans="1:37" ht="15.75" customHeight="1">
      <c r="A458" s="167" t="s">
        <v>802</v>
      </c>
      <c r="B458" s="167" t="s">
        <v>2056</v>
      </c>
      <c r="C458" s="22" t="s">
        <v>801</v>
      </c>
      <c r="D458" s="168">
        <v>1</v>
      </c>
      <c r="E458" s="169" t="b">
        <v>1</v>
      </c>
      <c r="F458" s="170" t="s">
        <v>2023</v>
      </c>
      <c r="G458" s="171">
        <v>1</v>
      </c>
      <c r="H458" s="171">
        <v>1</v>
      </c>
      <c r="I458" s="171">
        <v>1</v>
      </c>
      <c r="J458" s="171">
        <v>1</v>
      </c>
      <c r="K458" s="171">
        <v>1</v>
      </c>
      <c r="L458" s="171"/>
      <c r="M458" s="171"/>
      <c r="N458" s="171"/>
      <c r="O458" s="171"/>
      <c r="P458" s="171"/>
      <c r="Q458" s="171"/>
      <c r="R458" s="171"/>
      <c r="S458" s="171"/>
      <c r="T458" s="171"/>
      <c r="U458" s="171"/>
      <c r="V458" s="171"/>
      <c r="W458" s="171"/>
      <c r="X458" s="171"/>
      <c r="Y458" s="171"/>
      <c r="Z458" s="171"/>
      <c r="AA458" s="171"/>
      <c r="AB458" s="171"/>
      <c r="AC458" s="171"/>
      <c r="AD458" s="171"/>
      <c r="AE458" s="171"/>
      <c r="AF458" s="171"/>
      <c r="AG458" s="171"/>
      <c r="AH458" s="22"/>
      <c r="AI458" s="171"/>
      <c r="AJ458" s="22">
        <f t="shared" si="7"/>
        <v>5</v>
      </c>
      <c r="AK458" s="22">
        <f t="shared" si="8"/>
        <v>5</v>
      </c>
    </row>
    <row r="459" spans="1:37" ht="15.75" customHeight="1">
      <c r="A459" s="167" t="s">
        <v>804</v>
      </c>
      <c r="B459" s="167" t="s">
        <v>2056</v>
      </c>
      <c r="C459" s="22" t="s">
        <v>803</v>
      </c>
      <c r="D459" s="168">
        <v>1</v>
      </c>
      <c r="E459" s="169" t="b">
        <v>1</v>
      </c>
      <c r="F459" s="170" t="s">
        <v>1725</v>
      </c>
      <c r="G459" s="171">
        <v>1</v>
      </c>
      <c r="H459" s="171">
        <v>1</v>
      </c>
      <c r="I459" s="171">
        <v>1</v>
      </c>
      <c r="J459" s="171">
        <v>1</v>
      </c>
      <c r="K459" s="171">
        <v>1</v>
      </c>
      <c r="L459" s="171">
        <v>1</v>
      </c>
      <c r="M459" s="171"/>
      <c r="N459" s="171"/>
      <c r="O459" s="171"/>
      <c r="P459" s="171"/>
      <c r="Q459" s="171">
        <v>1</v>
      </c>
      <c r="R459" s="171"/>
      <c r="S459" s="171"/>
      <c r="T459" s="171"/>
      <c r="U459" s="171"/>
      <c r="V459" s="171"/>
      <c r="W459" s="171"/>
      <c r="X459" s="171"/>
      <c r="Y459" s="171"/>
      <c r="Z459" s="171"/>
      <c r="AA459" s="171"/>
      <c r="AB459" s="171"/>
      <c r="AC459" s="171"/>
      <c r="AD459" s="171"/>
      <c r="AE459" s="171"/>
      <c r="AF459" s="171"/>
      <c r="AG459" s="171"/>
      <c r="AH459" s="22"/>
      <c r="AI459" s="171"/>
      <c r="AJ459" s="22">
        <f t="shared" si="7"/>
        <v>7</v>
      </c>
      <c r="AK459" s="22">
        <f t="shared" si="8"/>
        <v>7</v>
      </c>
    </row>
    <row r="460" spans="1:37" ht="15.75" customHeight="1">
      <c r="A460" s="167" t="s">
        <v>806</v>
      </c>
      <c r="B460" s="167" t="s">
        <v>2056</v>
      </c>
      <c r="C460" s="22" t="s">
        <v>805</v>
      </c>
      <c r="D460" s="168">
        <v>1</v>
      </c>
      <c r="E460" s="169" t="b">
        <v>1</v>
      </c>
      <c r="F460" s="170" t="s">
        <v>1726</v>
      </c>
      <c r="G460" s="171">
        <v>1</v>
      </c>
      <c r="H460" s="171">
        <v>1</v>
      </c>
      <c r="I460" s="171">
        <v>1</v>
      </c>
      <c r="J460" s="171">
        <v>1</v>
      </c>
      <c r="K460" s="171">
        <v>1</v>
      </c>
      <c r="L460" s="171">
        <v>2</v>
      </c>
      <c r="M460" s="171"/>
      <c r="N460" s="171"/>
      <c r="O460" s="171"/>
      <c r="P460" s="171"/>
      <c r="Q460" s="171"/>
      <c r="R460" s="171"/>
      <c r="S460" s="171"/>
      <c r="T460" s="171"/>
      <c r="U460" s="171"/>
      <c r="V460" s="171"/>
      <c r="W460" s="171"/>
      <c r="X460" s="171"/>
      <c r="Y460" s="171"/>
      <c r="Z460" s="171"/>
      <c r="AA460" s="171"/>
      <c r="AB460" s="171"/>
      <c r="AC460" s="171"/>
      <c r="AD460" s="171"/>
      <c r="AE460" s="171"/>
      <c r="AF460" s="171"/>
      <c r="AG460" s="171"/>
      <c r="AH460" s="22"/>
      <c r="AI460" s="171"/>
      <c r="AJ460" s="22">
        <f t="shared" si="7"/>
        <v>6</v>
      </c>
      <c r="AK460" s="22">
        <f t="shared" si="8"/>
        <v>7</v>
      </c>
    </row>
    <row r="461" spans="1:37" ht="15.75" customHeight="1">
      <c r="A461" s="167" t="s">
        <v>808</v>
      </c>
      <c r="B461" s="167" t="s">
        <v>2056</v>
      </c>
      <c r="C461" s="22" t="s">
        <v>807</v>
      </c>
      <c r="D461" s="168">
        <v>1</v>
      </c>
      <c r="E461" s="169" t="b">
        <v>1</v>
      </c>
      <c r="F461" s="170" t="s">
        <v>1907</v>
      </c>
      <c r="G461" s="171">
        <v>1</v>
      </c>
      <c r="H461" s="171">
        <v>1</v>
      </c>
      <c r="I461" s="171">
        <v>1</v>
      </c>
      <c r="J461" s="171">
        <v>1</v>
      </c>
      <c r="K461" s="171">
        <v>1</v>
      </c>
      <c r="L461" s="171"/>
      <c r="M461" s="171"/>
      <c r="N461" s="171">
        <v>1</v>
      </c>
      <c r="O461" s="171"/>
      <c r="P461" s="171"/>
      <c r="Q461" s="171"/>
      <c r="R461" s="171"/>
      <c r="S461" s="171"/>
      <c r="T461" s="171"/>
      <c r="U461" s="171"/>
      <c r="V461" s="171"/>
      <c r="W461" s="171"/>
      <c r="X461" s="171"/>
      <c r="Y461" s="171"/>
      <c r="Z461" s="171"/>
      <c r="AA461" s="171"/>
      <c r="AB461" s="171"/>
      <c r="AC461" s="171"/>
      <c r="AD461" s="171"/>
      <c r="AE461" s="171"/>
      <c r="AF461" s="171"/>
      <c r="AG461" s="171"/>
      <c r="AH461" s="22"/>
      <c r="AI461" s="171"/>
      <c r="AJ461" s="22">
        <f t="shared" si="7"/>
        <v>6</v>
      </c>
      <c r="AK461" s="22">
        <f t="shared" si="8"/>
        <v>6</v>
      </c>
    </row>
    <row r="462" spans="1:37" ht="15.75" customHeight="1">
      <c r="A462" s="167" t="s">
        <v>810</v>
      </c>
      <c r="B462" s="167" t="s">
        <v>2056</v>
      </c>
      <c r="C462" s="22" t="s">
        <v>809</v>
      </c>
      <c r="D462" s="168">
        <v>1</v>
      </c>
      <c r="E462" s="169" t="b">
        <v>1</v>
      </c>
      <c r="F462" s="170" t="s">
        <v>1908</v>
      </c>
      <c r="G462" s="171">
        <v>1</v>
      </c>
      <c r="H462" s="171">
        <v>1</v>
      </c>
      <c r="I462" s="171">
        <v>1</v>
      </c>
      <c r="J462" s="171">
        <v>1</v>
      </c>
      <c r="K462" s="171">
        <v>1</v>
      </c>
      <c r="L462" s="171"/>
      <c r="M462" s="171">
        <v>1</v>
      </c>
      <c r="N462" s="171"/>
      <c r="O462" s="171"/>
      <c r="P462" s="171"/>
      <c r="Q462" s="171"/>
      <c r="R462" s="171"/>
      <c r="S462" s="171"/>
      <c r="T462" s="171"/>
      <c r="U462" s="171"/>
      <c r="V462" s="171"/>
      <c r="W462" s="171"/>
      <c r="X462" s="171"/>
      <c r="Y462" s="171"/>
      <c r="Z462" s="171"/>
      <c r="AA462" s="171"/>
      <c r="AB462" s="171"/>
      <c r="AC462" s="171"/>
      <c r="AD462" s="171"/>
      <c r="AE462" s="171"/>
      <c r="AF462" s="171"/>
      <c r="AG462" s="171"/>
      <c r="AH462" s="22"/>
      <c r="AI462" s="171"/>
      <c r="AJ462" s="22">
        <f t="shared" si="7"/>
        <v>6</v>
      </c>
      <c r="AK462" s="22">
        <f t="shared" si="8"/>
        <v>6</v>
      </c>
    </row>
    <row r="463" spans="1:37" ht="15.75" customHeight="1">
      <c r="A463" s="167" t="s">
        <v>812</v>
      </c>
      <c r="B463" s="167" t="s">
        <v>2056</v>
      </c>
      <c r="C463" s="22" t="s">
        <v>811</v>
      </c>
      <c r="D463" s="168">
        <v>1</v>
      </c>
      <c r="E463" s="169" t="b">
        <v>1</v>
      </c>
      <c r="F463" s="170" t="s">
        <v>2024</v>
      </c>
      <c r="G463" s="171">
        <v>1</v>
      </c>
      <c r="H463" s="171">
        <v>1</v>
      </c>
      <c r="I463" s="171">
        <v>1</v>
      </c>
      <c r="J463" s="171">
        <v>1</v>
      </c>
      <c r="K463" s="171">
        <v>1</v>
      </c>
      <c r="L463" s="171"/>
      <c r="M463" s="171"/>
      <c r="N463" s="171"/>
      <c r="O463" s="171"/>
      <c r="P463" s="171"/>
      <c r="Q463" s="171"/>
      <c r="R463" s="171"/>
      <c r="S463" s="171"/>
      <c r="T463" s="171"/>
      <c r="U463" s="171"/>
      <c r="V463" s="171"/>
      <c r="W463" s="171"/>
      <c r="X463" s="171"/>
      <c r="Y463" s="171"/>
      <c r="Z463" s="171"/>
      <c r="AA463" s="171"/>
      <c r="AB463" s="171"/>
      <c r="AC463" s="171"/>
      <c r="AD463" s="171"/>
      <c r="AE463" s="171"/>
      <c r="AF463" s="171"/>
      <c r="AG463" s="171"/>
      <c r="AH463" s="22"/>
      <c r="AI463" s="171"/>
      <c r="AJ463" s="22">
        <f t="shared" si="7"/>
        <v>5</v>
      </c>
      <c r="AK463" s="22">
        <f t="shared" si="8"/>
        <v>5</v>
      </c>
    </row>
    <row r="464" spans="1:37" ht="15.75" customHeight="1">
      <c r="A464" s="167" t="s">
        <v>1345</v>
      </c>
      <c r="B464" s="167" t="s">
        <v>2054</v>
      </c>
      <c r="C464" s="22" t="s">
        <v>1344</v>
      </c>
      <c r="D464" s="168">
        <v>1</v>
      </c>
      <c r="E464" s="169" t="b">
        <v>1</v>
      </c>
      <c r="F464" s="170" t="s">
        <v>1487</v>
      </c>
      <c r="G464" s="171">
        <v>1</v>
      </c>
      <c r="H464" s="171">
        <v>1</v>
      </c>
      <c r="I464" s="171">
        <v>1</v>
      </c>
      <c r="J464" s="171">
        <v>1</v>
      </c>
      <c r="K464" s="171">
        <v>1</v>
      </c>
      <c r="L464" s="171"/>
      <c r="M464" s="171"/>
      <c r="N464" s="171"/>
      <c r="O464" s="171"/>
      <c r="P464" s="171"/>
      <c r="Q464" s="171"/>
      <c r="R464" s="171">
        <v>1</v>
      </c>
      <c r="S464" s="171"/>
      <c r="T464" s="171"/>
      <c r="U464" s="171"/>
      <c r="V464" s="171"/>
      <c r="W464" s="171"/>
      <c r="X464" s="171"/>
      <c r="Y464" s="171"/>
      <c r="Z464" s="171"/>
      <c r="AA464" s="171"/>
      <c r="AB464" s="171"/>
      <c r="AC464" s="171"/>
      <c r="AD464" s="171"/>
      <c r="AE464" s="171"/>
      <c r="AF464" s="171"/>
      <c r="AG464" s="171"/>
      <c r="AH464" s="22"/>
      <c r="AI464" s="171"/>
      <c r="AJ464" s="22">
        <f t="shared" si="7"/>
        <v>6</v>
      </c>
      <c r="AK464" s="22">
        <f t="shared" si="8"/>
        <v>6</v>
      </c>
    </row>
    <row r="465" spans="1:37" ht="15.75" customHeight="1">
      <c r="A465" s="167" t="s">
        <v>814</v>
      </c>
      <c r="B465" s="167" t="s">
        <v>2056</v>
      </c>
      <c r="C465" s="22" t="s">
        <v>813</v>
      </c>
      <c r="D465" s="168">
        <v>1</v>
      </c>
      <c r="E465" s="169" t="b">
        <v>1</v>
      </c>
      <c r="F465" s="170" t="s">
        <v>1909</v>
      </c>
      <c r="G465" s="171">
        <v>1</v>
      </c>
      <c r="H465" s="171">
        <v>1</v>
      </c>
      <c r="I465" s="171">
        <v>1</v>
      </c>
      <c r="J465" s="171">
        <v>1</v>
      </c>
      <c r="K465" s="171">
        <v>1</v>
      </c>
      <c r="L465" s="171">
        <v>1</v>
      </c>
      <c r="M465" s="171"/>
      <c r="N465" s="171"/>
      <c r="O465" s="171"/>
      <c r="P465" s="171"/>
      <c r="Q465" s="171"/>
      <c r="R465" s="171"/>
      <c r="S465" s="171"/>
      <c r="T465" s="171"/>
      <c r="U465" s="171"/>
      <c r="V465" s="171"/>
      <c r="W465" s="171"/>
      <c r="X465" s="171"/>
      <c r="Y465" s="171"/>
      <c r="Z465" s="171"/>
      <c r="AA465" s="171"/>
      <c r="AB465" s="171"/>
      <c r="AC465" s="171"/>
      <c r="AD465" s="171"/>
      <c r="AE465" s="171"/>
      <c r="AF465" s="171"/>
      <c r="AG465" s="171"/>
      <c r="AH465" s="22"/>
      <c r="AI465" s="171"/>
      <c r="AJ465" s="22">
        <f t="shared" si="7"/>
        <v>6</v>
      </c>
      <c r="AK465" s="22">
        <f t="shared" si="8"/>
        <v>6</v>
      </c>
    </row>
    <row r="466" spans="1:37" ht="15.75" customHeight="1">
      <c r="A466" s="167" t="s">
        <v>816</v>
      </c>
      <c r="B466" s="167" t="s">
        <v>2056</v>
      </c>
      <c r="C466" s="22" t="s">
        <v>815</v>
      </c>
      <c r="D466" s="168">
        <v>1</v>
      </c>
      <c r="E466" s="169" t="b">
        <v>1</v>
      </c>
      <c r="F466" s="170" t="s">
        <v>1388</v>
      </c>
      <c r="G466" s="171">
        <v>1</v>
      </c>
      <c r="H466" s="171">
        <v>1</v>
      </c>
      <c r="I466" s="171">
        <v>1</v>
      </c>
      <c r="J466" s="171">
        <v>1</v>
      </c>
      <c r="K466" s="171">
        <v>1</v>
      </c>
      <c r="L466" s="171">
        <v>4</v>
      </c>
      <c r="M466" s="171">
        <v>1</v>
      </c>
      <c r="N466" s="171"/>
      <c r="O466" s="171"/>
      <c r="P466" s="171"/>
      <c r="Q466" s="171"/>
      <c r="R466" s="171"/>
      <c r="S466" s="171">
        <v>1</v>
      </c>
      <c r="T466" s="171"/>
      <c r="U466" s="171"/>
      <c r="V466" s="171"/>
      <c r="W466" s="171"/>
      <c r="X466" s="171">
        <v>1</v>
      </c>
      <c r="Y466" s="171"/>
      <c r="Z466" s="171"/>
      <c r="AA466" s="171"/>
      <c r="AB466" s="171"/>
      <c r="AC466" s="171"/>
      <c r="AD466" s="171"/>
      <c r="AE466" s="171"/>
      <c r="AF466" s="171"/>
      <c r="AG466" s="171">
        <v>1</v>
      </c>
      <c r="AH466" s="22"/>
      <c r="AI466" s="171" t="s">
        <v>1389</v>
      </c>
      <c r="AJ466" s="22">
        <f t="shared" si="7"/>
        <v>10</v>
      </c>
      <c r="AK466" s="22">
        <f t="shared" si="8"/>
        <v>13</v>
      </c>
    </row>
    <row r="467" spans="1:37" ht="15.75" customHeight="1">
      <c r="A467" s="167" t="s">
        <v>818</v>
      </c>
      <c r="B467" s="167" t="s">
        <v>2056</v>
      </c>
      <c r="C467" s="22" t="s">
        <v>817</v>
      </c>
      <c r="D467" s="168">
        <v>1</v>
      </c>
      <c r="E467" s="169" t="b">
        <v>1</v>
      </c>
      <c r="F467" s="170" t="s">
        <v>1727</v>
      </c>
      <c r="G467" s="171">
        <v>1</v>
      </c>
      <c r="H467" s="171">
        <v>1</v>
      </c>
      <c r="I467" s="171">
        <v>1</v>
      </c>
      <c r="J467" s="171">
        <v>1</v>
      </c>
      <c r="K467" s="171">
        <v>1</v>
      </c>
      <c r="L467" s="171"/>
      <c r="M467" s="171"/>
      <c r="N467" s="171">
        <v>1</v>
      </c>
      <c r="O467" s="171"/>
      <c r="P467" s="171"/>
      <c r="Q467" s="171"/>
      <c r="R467" s="171"/>
      <c r="S467" s="171"/>
      <c r="T467" s="171"/>
      <c r="U467" s="171"/>
      <c r="V467" s="171"/>
      <c r="W467" s="171"/>
      <c r="X467" s="171"/>
      <c r="Y467" s="171"/>
      <c r="Z467" s="171"/>
      <c r="AA467" s="171"/>
      <c r="AB467" s="171"/>
      <c r="AC467" s="171"/>
      <c r="AD467" s="171"/>
      <c r="AE467" s="171"/>
      <c r="AF467" s="171"/>
      <c r="AG467" s="171">
        <v>1</v>
      </c>
      <c r="AH467" s="22"/>
      <c r="AI467" s="171" t="s">
        <v>1728</v>
      </c>
      <c r="AJ467" s="22">
        <f t="shared" si="7"/>
        <v>7</v>
      </c>
      <c r="AK467" s="22">
        <f t="shared" si="8"/>
        <v>7</v>
      </c>
    </row>
    <row r="468" spans="1:37" ht="15.75" customHeight="1">
      <c r="A468" s="167" t="s">
        <v>820</v>
      </c>
      <c r="B468" s="167" t="s">
        <v>2056</v>
      </c>
      <c r="C468" s="22" t="s">
        <v>819</v>
      </c>
      <c r="D468" s="168">
        <v>1</v>
      </c>
      <c r="E468" s="169" t="b">
        <v>1</v>
      </c>
      <c r="F468" s="170" t="s">
        <v>1910</v>
      </c>
      <c r="G468" s="171">
        <v>1</v>
      </c>
      <c r="H468" s="171">
        <v>1</v>
      </c>
      <c r="I468" s="171">
        <v>1</v>
      </c>
      <c r="J468" s="171">
        <v>1</v>
      </c>
      <c r="K468" s="171">
        <v>1</v>
      </c>
      <c r="L468" s="171"/>
      <c r="M468" s="171">
        <v>1</v>
      </c>
      <c r="N468" s="171"/>
      <c r="O468" s="171"/>
      <c r="P468" s="171"/>
      <c r="Q468" s="171"/>
      <c r="R468" s="171"/>
      <c r="S468" s="171"/>
      <c r="T468" s="171"/>
      <c r="U468" s="171"/>
      <c r="V468" s="171"/>
      <c r="W468" s="171"/>
      <c r="X468" s="171"/>
      <c r="Y468" s="171"/>
      <c r="Z468" s="171"/>
      <c r="AA468" s="171"/>
      <c r="AB468" s="171"/>
      <c r="AC468" s="171"/>
      <c r="AD468" s="171"/>
      <c r="AE468" s="171"/>
      <c r="AF468" s="171"/>
      <c r="AG468" s="171"/>
      <c r="AH468" s="22"/>
      <c r="AI468" s="171"/>
      <c r="AJ468" s="22">
        <f t="shared" si="7"/>
        <v>6</v>
      </c>
      <c r="AK468" s="22">
        <f t="shared" si="8"/>
        <v>6</v>
      </c>
    </row>
    <row r="469" spans="1:37" ht="15.75" customHeight="1">
      <c r="A469" s="167" t="s">
        <v>822</v>
      </c>
      <c r="B469" s="167" t="s">
        <v>2056</v>
      </c>
      <c r="C469" s="22" t="s">
        <v>821</v>
      </c>
      <c r="D469" s="168">
        <v>1</v>
      </c>
      <c r="E469" s="169" t="b">
        <v>1</v>
      </c>
      <c r="F469" s="170" t="s">
        <v>1540</v>
      </c>
      <c r="G469" s="171">
        <v>1</v>
      </c>
      <c r="H469" s="171">
        <v>1</v>
      </c>
      <c r="I469" s="171">
        <v>1</v>
      </c>
      <c r="J469" s="171">
        <v>1</v>
      </c>
      <c r="K469" s="171">
        <v>1</v>
      </c>
      <c r="L469" s="171"/>
      <c r="M469" s="171">
        <v>1</v>
      </c>
      <c r="N469" s="171"/>
      <c r="O469" s="171"/>
      <c r="P469" s="171">
        <v>1</v>
      </c>
      <c r="Q469" s="171"/>
      <c r="R469" s="171"/>
      <c r="S469" s="171"/>
      <c r="T469" s="171"/>
      <c r="U469" s="171"/>
      <c r="V469" s="171"/>
      <c r="W469" s="171"/>
      <c r="X469" s="171"/>
      <c r="Y469" s="171"/>
      <c r="Z469" s="171"/>
      <c r="AA469" s="171"/>
      <c r="AB469" s="171"/>
      <c r="AC469" s="171"/>
      <c r="AD469" s="171"/>
      <c r="AE469" s="171"/>
      <c r="AF469" s="171"/>
      <c r="AG469" s="171"/>
      <c r="AH469" s="22"/>
      <c r="AI469" s="171"/>
      <c r="AJ469" s="22">
        <f t="shared" si="7"/>
        <v>7</v>
      </c>
      <c r="AK469" s="22">
        <f t="shared" si="8"/>
        <v>7</v>
      </c>
    </row>
    <row r="470" spans="1:37" ht="15.75" customHeight="1">
      <c r="A470" s="167" t="s">
        <v>824</v>
      </c>
      <c r="B470" s="167" t="s">
        <v>2056</v>
      </c>
      <c r="C470" s="22" t="s">
        <v>823</v>
      </c>
      <c r="D470" s="168">
        <v>1</v>
      </c>
      <c r="E470" s="169" t="b">
        <v>1</v>
      </c>
      <c r="F470" s="174" t="s">
        <v>1729</v>
      </c>
      <c r="G470" s="171">
        <v>1</v>
      </c>
      <c r="H470" s="171">
        <v>1</v>
      </c>
      <c r="I470" s="171">
        <v>1</v>
      </c>
      <c r="J470" s="171">
        <v>1</v>
      </c>
      <c r="K470" s="171">
        <v>1</v>
      </c>
      <c r="L470" s="171"/>
      <c r="M470" s="171">
        <v>1</v>
      </c>
      <c r="N470" s="171"/>
      <c r="O470" s="171"/>
      <c r="P470" s="171"/>
      <c r="Q470" s="171"/>
      <c r="R470" s="171"/>
      <c r="S470" s="171"/>
      <c r="T470" s="171"/>
      <c r="U470" s="171"/>
      <c r="V470" s="171"/>
      <c r="W470" s="171"/>
      <c r="X470" s="171"/>
      <c r="Y470" s="171"/>
      <c r="Z470" s="171"/>
      <c r="AA470" s="171"/>
      <c r="AB470" s="171"/>
      <c r="AC470" s="171"/>
      <c r="AD470" s="171"/>
      <c r="AE470" s="171"/>
      <c r="AF470" s="171"/>
      <c r="AG470" s="171">
        <v>1</v>
      </c>
      <c r="AH470" s="22"/>
      <c r="AI470" s="171" t="s">
        <v>1648</v>
      </c>
      <c r="AJ470" s="22">
        <f t="shared" si="7"/>
        <v>7</v>
      </c>
      <c r="AK470" s="22">
        <f t="shared" si="8"/>
        <v>7</v>
      </c>
    </row>
    <row r="471" spans="1:37" ht="15.75" customHeight="1">
      <c r="A471" s="167" t="s">
        <v>826</v>
      </c>
      <c r="B471" s="167" t="s">
        <v>2056</v>
      </c>
      <c r="C471" s="22" t="s">
        <v>825</v>
      </c>
      <c r="D471" s="168">
        <v>1</v>
      </c>
      <c r="E471" s="169" t="b">
        <v>1</v>
      </c>
      <c r="F471" s="170" t="s">
        <v>1911</v>
      </c>
      <c r="G471" s="171">
        <v>1</v>
      </c>
      <c r="H471" s="171">
        <v>1</v>
      </c>
      <c r="I471" s="171">
        <v>1</v>
      </c>
      <c r="J471" s="171">
        <v>1</v>
      </c>
      <c r="K471" s="171">
        <v>1</v>
      </c>
      <c r="L471" s="171">
        <v>1</v>
      </c>
      <c r="M471" s="171"/>
      <c r="N471" s="171"/>
      <c r="O471" s="171"/>
      <c r="P471" s="171"/>
      <c r="Q471" s="171"/>
      <c r="R471" s="171"/>
      <c r="S471" s="171"/>
      <c r="T471" s="171"/>
      <c r="U471" s="171"/>
      <c r="V471" s="171"/>
      <c r="W471" s="171"/>
      <c r="X471" s="171"/>
      <c r="Y471" s="171"/>
      <c r="Z471" s="171"/>
      <c r="AA471" s="171"/>
      <c r="AB471" s="171"/>
      <c r="AC471" s="171"/>
      <c r="AD471" s="171"/>
      <c r="AE471" s="171"/>
      <c r="AF471" s="171"/>
      <c r="AG471" s="171"/>
      <c r="AH471" s="22"/>
      <c r="AI471" s="171"/>
      <c r="AJ471" s="22">
        <f t="shared" si="7"/>
        <v>6</v>
      </c>
      <c r="AK471" s="22">
        <f t="shared" si="8"/>
        <v>6</v>
      </c>
    </row>
    <row r="472" spans="1:37" ht="15.75" customHeight="1">
      <c r="A472" s="167" t="s">
        <v>828</v>
      </c>
      <c r="B472" s="167" t="s">
        <v>2056</v>
      </c>
      <c r="C472" s="22" t="s">
        <v>827</v>
      </c>
      <c r="D472" s="168">
        <v>1</v>
      </c>
      <c r="E472" s="169" t="b">
        <v>1</v>
      </c>
      <c r="F472" s="170" t="s">
        <v>1912</v>
      </c>
      <c r="G472" s="171">
        <v>1</v>
      </c>
      <c r="H472" s="171">
        <v>1</v>
      </c>
      <c r="I472" s="171">
        <v>1</v>
      </c>
      <c r="J472" s="171">
        <v>1</v>
      </c>
      <c r="K472" s="171">
        <v>1</v>
      </c>
      <c r="L472" s="171"/>
      <c r="M472" s="171">
        <v>1</v>
      </c>
      <c r="N472" s="171"/>
      <c r="O472" s="171"/>
      <c r="P472" s="171"/>
      <c r="Q472" s="171"/>
      <c r="R472" s="171"/>
      <c r="S472" s="171"/>
      <c r="T472" s="171"/>
      <c r="U472" s="171"/>
      <c r="V472" s="171"/>
      <c r="W472" s="171"/>
      <c r="X472" s="171"/>
      <c r="Y472" s="171"/>
      <c r="Z472" s="171"/>
      <c r="AA472" s="171"/>
      <c r="AB472" s="171"/>
      <c r="AC472" s="171"/>
      <c r="AD472" s="171"/>
      <c r="AE472" s="171"/>
      <c r="AF472" s="171"/>
      <c r="AG472" s="171"/>
      <c r="AH472" s="22"/>
      <c r="AI472" s="171"/>
      <c r="AJ472" s="22">
        <f t="shared" si="7"/>
        <v>6</v>
      </c>
      <c r="AK472" s="22">
        <f t="shared" si="8"/>
        <v>6</v>
      </c>
    </row>
    <row r="473" spans="1:37" ht="15.75" customHeight="1">
      <c r="A473" s="167" t="s">
        <v>830</v>
      </c>
      <c r="B473" s="167" t="s">
        <v>2056</v>
      </c>
      <c r="C473" s="22" t="s">
        <v>829</v>
      </c>
      <c r="D473" s="168">
        <v>1</v>
      </c>
      <c r="E473" s="169" t="b">
        <v>1</v>
      </c>
      <c r="F473" s="170" t="s">
        <v>1906</v>
      </c>
      <c r="G473" s="171">
        <v>1</v>
      </c>
      <c r="H473" s="171">
        <v>1</v>
      </c>
      <c r="I473" s="171">
        <v>1</v>
      </c>
      <c r="J473" s="171">
        <v>1</v>
      </c>
      <c r="K473" s="171">
        <v>1</v>
      </c>
      <c r="L473" s="171"/>
      <c r="M473" s="171"/>
      <c r="N473" s="171"/>
      <c r="O473" s="171"/>
      <c r="P473" s="171"/>
      <c r="Q473" s="171"/>
      <c r="R473" s="171"/>
      <c r="S473" s="171"/>
      <c r="T473" s="171"/>
      <c r="U473" s="171"/>
      <c r="V473" s="171"/>
      <c r="W473" s="171"/>
      <c r="X473" s="171"/>
      <c r="Y473" s="171"/>
      <c r="Z473" s="171"/>
      <c r="AA473" s="171"/>
      <c r="AB473" s="171"/>
      <c r="AC473" s="171"/>
      <c r="AD473" s="171"/>
      <c r="AE473" s="171"/>
      <c r="AF473" s="171"/>
      <c r="AG473" s="171"/>
      <c r="AH473" s="22"/>
      <c r="AI473" s="171"/>
      <c r="AJ473" s="22">
        <f t="shared" si="7"/>
        <v>5</v>
      </c>
      <c r="AK473" s="22">
        <f t="shared" si="8"/>
        <v>5</v>
      </c>
    </row>
    <row r="474" spans="1:37" ht="15.75" customHeight="1">
      <c r="A474" s="167" t="s">
        <v>832</v>
      </c>
      <c r="B474" s="167" t="s">
        <v>2056</v>
      </c>
      <c r="C474" s="22" t="s">
        <v>831</v>
      </c>
      <c r="D474" s="168">
        <v>1</v>
      </c>
      <c r="E474" s="169" t="b">
        <v>1</v>
      </c>
      <c r="F474" s="170" t="s">
        <v>1730</v>
      </c>
      <c r="G474" s="178"/>
      <c r="H474" s="178">
        <v>1</v>
      </c>
      <c r="I474" s="178">
        <v>1</v>
      </c>
      <c r="J474" s="178">
        <v>1</v>
      </c>
      <c r="K474" s="178">
        <v>1</v>
      </c>
      <c r="L474" s="178">
        <v>1</v>
      </c>
      <c r="M474" s="178">
        <v>1</v>
      </c>
      <c r="N474" s="178"/>
      <c r="O474" s="178"/>
      <c r="P474" s="178"/>
      <c r="Q474" s="178"/>
      <c r="R474" s="178"/>
      <c r="S474" s="178">
        <v>1</v>
      </c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  <c r="AE474" s="178"/>
      <c r="AF474" s="178"/>
      <c r="AG474" s="178"/>
      <c r="AH474" s="22"/>
      <c r="AI474" s="171"/>
      <c r="AJ474" s="22">
        <f t="shared" si="7"/>
        <v>7</v>
      </c>
      <c r="AK474" s="22">
        <f t="shared" si="8"/>
        <v>7</v>
      </c>
    </row>
    <row r="475" spans="1:37" ht="15.75" customHeight="1">
      <c r="A475" s="167" t="s">
        <v>834</v>
      </c>
      <c r="B475" s="167" t="s">
        <v>2056</v>
      </c>
      <c r="C475" s="22" t="s">
        <v>833</v>
      </c>
      <c r="D475" s="168">
        <v>1</v>
      </c>
      <c r="E475" s="169" t="b">
        <v>1</v>
      </c>
      <c r="F475" s="170" t="s">
        <v>1731</v>
      </c>
      <c r="G475" s="171">
        <v>1</v>
      </c>
      <c r="H475" s="171">
        <v>1</v>
      </c>
      <c r="I475" s="171">
        <v>1</v>
      </c>
      <c r="J475" s="171">
        <v>1</v>
      </c>
      <c r="K475" s="171">
        <v>1</v>
      </c>
      <c r="L475" s="171">
        <v>2</v>
      </c>
      <c r="M475" s="171"/>
      <c r="N475" s="171"/>
      <c r="O475" s="171"/>
      <c r="P475" s="171"/>
      <c r="Q475" s="171"/>
      <c r="R475" s="171"/>
      <c r="S475" s="171"/>
      <c r="T475" s="171"/>
      <c r="U475" s="171"/>
      <c r="V475" s="171"/>
      <c r="W475" s="171"/>
      <c r="X475" s="171"/>
      <c r="Y475" s="171"/>
      <c r="Z475" s="171"/>
      <c r="AA475" s="171"/>
      <c r="AB475" s="171"/>
      <c r="AC475" s="171"/>
      <c r="AD475" s="171"/>
      <c r="AE475" s="171"/>
      <c r="AF475" s="171"/>
      <c r="AG475" s="171"/>
      <c r="AH475" s="22"/>
      <c r="AI475" s="171"/>
      <c r="AJ475" s="22">
        <f t="shared" si="7"/>
        <v>6</v>
      </c>
      <c r="AK475" s="22">
        <f t="shared" si="8"/>
        <v>7</v>
      </c>
    </row>
    <row r="476" spans="1:37" ht="15.75" customHeight="1">
      <c r="A476" s="167" t="s">
        <v>836</v>
      </c>
      <c r="B476" s="167" t="s">
        <v>2056</v>
      </c>
      <c r="C476" s="22" t="s">
        <v>835</v>
      </c>
      <c r="D476" s="168">
        <v>1</v>
      </c>
      <c r="E476" s="169" t="b">
        <v>1</v>
      </c>
      <c r="F476" s="170" t="s">
        <v>2025</v>
      </c>
      <c r="G476" s="171">
        <v>1</v>
      </c>
      <c r="H476" s="171">
        <v>1</v>
      </c>
      <c r="I476" s="171">
        <v>1</v>
      </c>
      <c r="J476" s="171">
        <v>1</v>
      </c>
      <c r="K476" s="171">
        <v>1</v>
      </c>
      <c r="L476" s="171"/>
      <c r="M476" s="171"/>
      <c r="N476" s="171"/>
      <c r="O476" s="171"/>
      <c r="P476" s="171"/>
      <c r="Q476" s="171"/>
      <c r="R476" s="171"/>
      <c r="S476" s="171"/>
      <c r="T476" s="171"/>
      <c r="U476" s="171"/>
      <c r="V476" s="171"/>
      <c r="W476" s="171"/>
      <c r="X476" s="171"/>
      <c r="Y476" s="171"/>
      <c r="Z476" s="171"/>
      <c r="AA476" s="171"/>
      <c r="AB476" s="171"/>
      <c r="AC476" s="171"/>
      <c r="AD476" s="171"/>
      <c r="AE476" s="171"/>
      <c r="AF476" s="171"/>
      <c r="AG476" s="171"/>
      <c r="AH476" s="22"/>
      <c r="AI476" s="171"/>
      <c r="AJ476" s="22">
        <f t="shared" si="7"/>
        <v>5</v>
      </c>
      <c r="AK476" s="22">
        <f t="shared" si="8"/>
        <v>5</v>
      </c>
    </row>
    <row r="477" spans="1:37" ht="15.75" customHeight="1">
      <c r="A477" s="167" t="s">
        <v>838</v>
      </c>
      <c r="B477" s="167" t="s">
        <v>2056</v>
      </c>
      <c r="C477" s="22" t="s">
        <v>837</v>
      </c>
      <c r="D477" s="168">
        <v>1</v>
      </c>
      <c r="E477" s="169" t="b">
        <v>1</v>
      </c>
      <c r="F477" s="170" t="s">
        <v>1732</v>
      </c>
      <c r="G477" s="171">
        <v>1</v>
      </c>
      <c r="H477" s="171">
        <v>1</v>
      </c>
      <c r="I477" s="171">
        <v>1</v>
      </c>
      <c r="J477" s="171">
        <v>1</v>
      </c>
      <c r="K477" s="171">
        <v>1</v>
      </c>
      <c r="L477" s="171"/>
      <c r="M477" s="171"/>
      <c r="N477" s="171">
        <v>1</v>
      </c>
      <c r="O477" s="171"/>
      <c r="P477" s="171"/>
      <c r="Q477" s="171"/>
      <c r="R477" s="171"/>
      <c r="S477" s="171"/>
      <c r="T477" s="171"/>
      <c r="U477" s="171"/>
      <c r="V477" s="171"/>
      <c r="W477" s="171"/>
      <c r="X477" s="171"/>
      <c r="Y477" s="171"/>
      <c r="Z477" s="171"/>
      <c r="AA477" s="171"/>
      <c r="AB477" s="171"/>
      <c r="AC477" s="171"/>
      <c r="AD477" s="171"/>
      <c r="AE477" s="171"/>
      <c r="AF477" s="171">
        <v>1</v>
      </c>
      <c r="AG477" s="171"/>
      <c r="AH477" s="22"/>
      <c r="AI477" s="171"/>
      <c r="AJ477" s="22">
        <f t="shared" si="7"/>
        <v>7</v>
      </c>
      <c r="AK477" s="22">
        <f t="shared" si="8"/>
        <v>7</v>
      </c>
    </row>
    <row r="478" spans="1:37" ht="15.75" customHeight="1">
      <c r="A478" s="167" t="s">
        <v>840</v>
      </c>
      <c r="B478" s="167" t="s">
        <v>2056</v>
      </c>
      <c r="C478" s="22" t="s">
        <v>839</v>
      </c>
      <c r="D478" s="168">
        <v>1</v>
      </c>
      <c r="E478" s="169" t="b">
        <v>1</v>
      </c>
      <c r="F478" s="170" t="s">
        <v>1733</v>
      </c>
      <c r="G478" s="171">
        <v>1</v>
      </c>
      <c r="H478" s="171">
        <v>1</v>
      </c>
      <c r="I478" s="171">
        <v>1</v>
      </c>
      <c r="J478" s="171">
        <v>1</v>
      </c>
      <c r="K478" s="171">
        <v>1</v>
      </c>
      <c r="L478" s="171">
        <v>1</v>
      </c>
      <c r="M478" s="171"/>
      <c r="N478" s="171"/>
      <c r="O478" s="171"/>
      <c r="P478" s="171"/>
      <c r="Q478" s="171"/>
      <c r="R478" s="171"/>
      <c r="S478" s="171"/>
      <c r="T478" s="171"/>
      <c r="U478" s="171"/>
      <c r="V478" s="171">
        <v>1</v>
      </c>
      <c r="W478" s="171"/>
      <c r="X478" s="171"/>
      <c r="Y478" s="171"/>
      <c r="Z478" s="171"/>
      <c r="AA478" s="171"/>
      <c r="AB478" s="171"/>
      <c r="AC478" s="171"/>
      <c r="AD478" s="171"/>
      <c r="AE478" s="171"/>
      <c r="AF478" s="171"/>
      <c r="AG478" s="171"/>
      <c r="AH478" s="22"/>
      <c r="AI478" s="171"/>
      <c r="AJ478" s="22">
        <f t="shared" si="7"/>
        <v>7</v>
      </c>
      <c r="AK478" s="22">
        <f t="shared" si="8"/>
        <v>7</v>
      </c>
    </row>
    <row r="479" spans="1:37" ht="15.75" customHeight="1">
      <c r="A479" s="167" t="s">
        <v>842</v>
      </c>
      <c r="B479" s="167" t="s">
        <v>2056</v>
      </c>
      <c r="C479" s="22" t="s">
        <v>841</v>
      </c>
      <c r="D479" s="168">
        <v>1</v>
      </c>
      <c r="E479" s="169" t="b">
        <v>1</v>
      </c>
      <c r="F479" s="170" t="s">
        <v>1734</v>
      </c>
      <c r="G479" s="171">
        <v>1</v>
      </c>
      <c r="H479" s="171">
        <v>1</v>
      </c>
      <c r="I479" s="171">
        <v>1</v>
      </c>
      <c r="J479" s="171">
        <v>1</v>
      </c>
      <c r="K479" s="171">
        <v>1</v>
      </c>
      <c r="L479" s="171">
        <v>2</v>
      </c>
      <c r="M479" s="171"/>
      <c r="N479" s="171"/>
      <c r="O479" s="171"/>
      <c r="P479" s="171"/>
      <c r="Q479" s="171"/>
      <c r="R479" s="171"/>
      <c r="S479" s="171"/>
      <c r="T479" s="171"/>
      <c r="U479" s="171"/>
      <c r="V479" s="171"/>
      <c r="W479" s="171"/>
      <c r="X479" s="171"/>
      <c r="Y479" s="171"/>
      <c r="Z479" s="171"/>
      <c r="AA479" s="171"/>
      <c r="AB479" s="171"/>
      <c r="AC479" s="171"/>
      <c r="AD479" s="171"/>
      <c r="AE479" s="171"/>
      <c r="AF479" s="171"/>
      <c r="AG479" s="171"/>
      <c r="AH479" s="22"/>
      <c r="AI479" s="171"/>
      <c r="AJ479" s="22">
        <f t="shared" si="7"/>
        <v>6</v>
      </c>
      <c r="AK479" s="22">
        <f t="shared" si="8"/>
        <v>7</v>
      </c>
    </row>
    <row r="480" spans="1:37" ht="15.75" customHeight="1">
      <c r="A480" s="167" t="s">
        <v>1286</v>
      </c>
      <c r="B480" s="167" t="s">
        <v>2055</v>
      </c>
      <c r="C480" s="22" t="s">
        <v>1285</v>
      </c>
      <c r="D480" s="168">
        <v>1</v>
      </c>
      <c r="E480" s="169" t="b">
        <v>1</v>
      </c>
      <c r="F480" s="170" t="s">
        <v>1480</v>
      </c>
      <c r="G480" s="171">
        <v>1</v>
      </c>
      <c r="H480" s="171">
        <v>1</v>
      </c>
      <c r="I480" s="171">
        <v>1</v>
      </c>
      <c r="J480" s="171"/>
      <c r="K480" s="171">
        <v>1</v>
      </c>
      <c r="L480" s="171">
        <v>1</v>
      </c>
      <c r="M480" s="171"/>
      <c r="N480" s="171"/>
      <c r="O480" s="171">
        <v>1</v>
      </c>
      <c r="P480" s="171"/>
      <c r="Q480" s="171"/>
      <c r="R480" s="171"/>
      <c r="S480" s="171"/>
      <c r="T480" s="171"/>
      <c r="U480" s="171"/>
      <c r="V480" s="171"/>
      <c r="W480" s="171"/>
      <c r="X480" s="171"/>
      <c r="Y480" s="171">
        <v>1</v>
      </c>
      <c r="Z480" s="171">
        <v>1</v>
      </c>
      <c r="AA480" s="171"/>
      <c r="AB480" s="171"/>
      <c r="AC480" s="171"/>
      <c r="AD480" s="171"/>
      <c r="AE480" s="171"/>
      <c r="AF480" s="171"/>
      <c r="AG480" s="171">
        <v>1</v>
      </c>
      <c r="AH480" s="22"/>
      <c r="AI480" s="171" t="s">
        <v>1481</v>
      </c>
      <c r="AJ480" s="22">
        <f t="shared" si="7"/>
        <v>9</v>
      </c>
      <c r="AK480" s="22">
        <f t="shared" si="8"/>
        <v>9</v>
      </c>
    </row>
    <row r="481" spans="1:37" ht="15.75" customHeight="1">
      <c r="A481" s="167" t="s">
        <v>844</v>
      </c>
      <c r="B481" s="167" t="s">
        <v>2056</v>
      </c>
      <c r="C481" s="22" t="s">
        <v>843</v>
      </c>
      <c r="D481" s="168">
        <v>1</v>
      </c>
      <c r="E481" s="169" t="b">
        <v>1</v>
      </c>
      <c r="F481" s="170" t="s">
        <v>1913</v>
      </c>
      <c r="G481" s="171">
        <v>1</v>
      </c>
      <c r="H481" s="171">
        <v>1</v>
      </c>
      <c r="I481" s="171">
        <v>1</v>
      </c>
      <c r="J481" s="171">
        <v>1</v>
      </c>
      <c r="K481" s="171">
        <v>1</v>
      </c>
      <c r="L481" s="171"/>
      <c r="M481" s="171"/>
      <c r="N481" s="171"/>
      <c r="O481" s="171"/>
      <c r="P481" s="171"/>
      <c r="Q481" s="171"/>
      <c r="R481" s="171"/>
      <c r="S481" s="171"/>
      <c r="T481" s="171"/>
      <c r="U481" s="171">
        <v>1</v>
      </c>
      <c r="V481" s="171"/>
      <c r="W481" s="171"/>
      <c r="X481" s="171"/>
      <c r="Y481" s="171"/>
      <c r="Z481" s="171"/>
      <c r="AA481" s="171"/>
      <c r="AB481" s="171"/>
      <c r="AC481" s="171"/>
      <c r="AD481" s="171"/>
      <c r="AE481" s="171"/>
      <c r="AF481" s="171"/>
      <c r="AG481" s="171"/>
      <c r="AH481" s="22"/>
      <c r="AI481" s="171"/>
      <c r="AJ481" s="22">
        <f t="shared" si="7"/>
        <v>6</v>
      </c>
      <c r="AK481" s="22">
        <f t="shared" si="8"/>
        <v>6</v>
      </c>
    </row>
    <row r="482" spans="1:37" ht="15.75" customHeight="1">
      <c r="A482" s="167" t="s">
        <v>846</v>
      </c>
      <c r="B482" s="167" t="s">
        <v>2056</v>
      </c>
      <c r="C482" s="22" t="s">
        <v>845</v>
      </c>
      <c r="D482" s="168">
        <v>1</v>
      </c>
      <c r="E482" s="169" t="b">
        <v>1</v>
      </c>
      <c r="F482" s="170" t="s">
        <v>1735</v>
      </c>
      <c r="G482" s="171">
        <v>1</v>
      </c>
      <c r="H482" s="171">
        <v>1</v>
      </c>
      <c r="I482" s="171">
        <v>1</v>
      </c>
      <c r="J482" s="171">
        <v>1</v>
      </c>
      <c r="K482" s="171">
        <v>1</v>
      </c>
      <c r="L482" s="171"/>
      <c r="M482" s="171">
        <v>1</v>
      </c>
      <c r="N482" s="171">
        <v>1</v>
      </c>
      <c r="O482" s="171"/>
      <c r="P482" s="171"/>
      <c r="Q482" s="171"/>
      <c r="R482" s="171"/>
      <c r="S482" s="171"/>
      <c r="T482" s="171"/>
      <c r="U482" s="171"/>
      <c r="V482" s="171"/>
      <c r="W482" s="171"/>
      <c r="X482" s="171"/>
      <c r="Y482" s="171"/>
      <c r="Z482" s="171"/>
      <c r="AA482" s="171"/>
      <c r="AB482" s="171"/>
      <c r="AC482" s="171"/>
      <c r="AD482" s="171"/>
      <c r="AE482" s="171"/>
      <c r="AF482" s="171"/>
      <c r="AG482" s="171"/>
      <c r="AH482" s="22"/>
      <c r="AI482" s="171"/>
      <c r="AJ482" s="22">
        <f t="shared" si="7"/>
        <v>7</v>
      </c>
      <c r="AK482" s="22">
        <f t="shared" si="8"/>
        <v>7</v>
      </c>
    </row>
    <row r="483" spans="1:37" ht="15.75" customHeight="1">
      <c r="A483" s="167" t="s">
        <v>848</v>
      </c>
      <c r="B483" s="167" t="s">
        <v>2056</v>
      </c>
      <c r="C483" s="22" t="s">
        <v>847</v>
      </c>
      <c r="D483" s="168">
        <v>1</v>
      </c>
      <c r="E483" s="169" t="b">
        <v>1</v>
      </c>
      <c r="F483" s="170" t="s">
        <v>1736</v>
      </c>
      <c r="G483" s="171">
        <v>1</v>
      </c>
      <c r="H483" s="171">
        <v>1</v>
      </c>
      <c r="I483" s="171">
        <v>1</v>
      </c>
      <c r="J483" s="171">
        <v>1</v>
      </c>
      <c r="K483" s="171">
        <v>1</v>
      </c>
      <c r="L483" s="171">
        <v>1</v>
      </c>
      <c r="M483" s="171"/>
      <c r="N483" s="171"/>
      <c r="O483" s="171"/>
      <c r="P483" s="171"/>
      <c r="Q483" s="171"/>
      <c r="R483" s="171"/>
      <c r="S483" s="171"/>
      <c r="T483" s="171"/>
      <c r="U483" s="171"/>
      <c r="V483" s="171"/>
      <c r="W483" s="171"/>
      <c r="X483" s="171"/>
      <c r="Y483" s="171"/>
      <c r="Z483" s="171"/>
      <c r="AA483" s="171"/>
      <c r="AB483" s="171"/>
      <c r="AC483" s="171"/>
      <c r="AD483" s="171">
        <v>1</v>
      </c>
      <c r="AE483" s="171"/>
      <c r="AF483" s="171"/>
      <c r="AG483" s="171"/>
      <c r="AH483" s="22"/>
      <c r="AI483" s="171"/>
      <c r="AJ483" s="22">
        <f t="shared" si="7"/>
        <v>7</v>
      </c>
      <c r="AK483" s="22">
        <f t="shared" si="8"/>
        <v>7</v>
      </c>
    </row>
    <row r="484" spans="1:37" ht="15.75" customHeight="1">
      <c r="A484" s="167" t="s">
        <v>850</v>
      </c>
      <c r="B484" s="167" t="s">
        <v>2056</v>
      </c>
      <c r="C484" s="22" t="s">
        <v>849</v>
      </c>
      <c r="D484" s="168">
        <v>1</v>
      </c>
      <c r="E484" s="169" t="b">
        <v>1</v>
      </c>
      <c r="F484" s="170" t="s">
        <v>1576</v>
      </c>
      <c r="G484" s="171">
        <v>1</v>
      </c>
      <c r="H484" s="171">
        <v>1</v>
      </c>
      <c r="I484" s="171">
        <v>1</v>
      </c>
      <c r="J484" s="171">
        <v>1</v>
      </c>
      <c r="K484" s="171">
        <v>1</v>
      </c>
      <c r="L484" s="171"/>
      <c r="M484" s="171"/>
      <c r="N484" s="171">
        <v>1</v>
      </c>
      <c r="O484" s="171"/>
      <c r="P484" s="171"/>
      <c r="Q484" s="171"/>
      <c r="R484" s="171"/>
      <c r="S484" s="171">
        <v>1</v>
      </c>
      <c r="T484" s="171"/>
      <c r="U484" s="171"/>
      <c r="V484" s="171"/>
      <c r="W484" s="171"/>
      <c r="X484" s="171"/>
      <c r="Y484" s="171"/>
      <c r="Z484" s="171"/>
      <c r="AA484" s="171"/>
      <c r="AB484" s="171"/>
      <c r="AC484" s="171"/>
      <c r="AD484" s="171"/>
      <c r="AE484" s="171"/>
      <c r="AF484" s="171"/>
      <c r="AG484" s="171">
        <v>1</v>
      </c>
      <c r="AH484" s="22"/>
      <c r="AI484" s="171" t="s">
        <v>1577</v>
      </c>
      <c r="AJ484" s="22">
        <f t="shared" si="7"/>
        <v>8</v>
      </c>
      <c r="AK484" s="22">
        <f t="shared" si="8"/>
        <v>8</v>
      </c>
    </row>
    <row r="485" spans="1:37" ht="15.75" customHeight="1">
      <c r="A485" s="167" t="s">
        <v>852</v>
      </c>
      <c r="B485" s="167" t="s">
        <v>2056</v>
      </c>
      <c r="C485" s="22" t="s">
        <v>851</v>
      </c>
      <c r="D485" s="168">
        <v>1</v>
      </c>
      <c r="E485" s="169" t="b">
        <v>1</v>
      </c>
      <c r="F485" s="170" t="s">
        <v>1737</v>
      </c>
      <c r="G485" s="171">
        <v>1</v>
      </c>
      <c r="H485" s="171">
        <v>1</v>
      </c>
      <c r="I485" s="171">
        <v>1</v>
      </c>
      <c r="J485" s="171">
        <v>1</v>
      </c>
      <c r="K485" s="171">
        <v>1</v>
      </c>
      <c r="L485" s="171">
        <v>1</v>
      </c>
      <c r="M485" s="171"/>
      <c r="N485" s="171"/>
      <c r="O485" s="171"/>
      <c r="P485" s="171">
        <v>1</v>
      </c>
      <c r="Q485" s="171"/>
      <c r="R485" s="171"/>
      <c r="S485" s="171"/>
      <c r="T485" s="171"/>
      <c r="U485" s="171"/>
      <c r="V485" s="171"/>
      <c r="W485" s="171"/>
      <c r="X485" s="171"/>
      <c r="Y485" s="171"/>
      <c r="Z485" s="171"/>
      <c r="AA485" s="171"/>
      <c r="AB485" s="171"/>
      <c r="AC485" s="171"/>
      <c r="AD485" s="171"/>
      <c r="AE485" s="171"/>
      <c r="AF485" s="171"/>
      <c r="AG485" s="171"/>
      <c r="AH485" s="22"/>
      <c r="AI485" s="171"/>
      <c r="AJ485" s="22">
        <f t="shared" si="7"/>
        <v>7</v>
      </c>
      <c r="AK485" s="22">
        <f t="shared" si="8"/>
        <v>7</v>
      </c>
    </row>
    <row r="486" spans="1:37" ht="15.75" customHeight="1">
      <c r="A486" s="167" t="s">
        <v>854</v>
      </c>
      <c r="B486" s="167" t="s">
        <v>2056</v>
      </c>
      <c r="C486" s="22" t="s">
        <v>853</v>
      </c>
      <c r="D486" s="168">
        <v>1</v>
      </c>
      <c r="E486" s="169" t="b">
        <v>1</v>
      </c>
      <c r="F486" s="170" t="s">
        <v>1914</v>
      </c>
      <c r="G486" s="171">
        <v>1</v>
      </c>
      <c r="H486" s="171">
        <v>1</v>
      </c>
      <c r="I486" s="171">
        <v>1</v>
      </c>
      <c r="J486" s="171">
        <v>1</v>
      </c>
      <c r="K486" s="171">
        <v>1</v>
      </c>
      <c r="L486" s="171">
        <v>1</v>
      </c>
      <c r="M486" s="171"/>
      <c r="N486" s="171"/>
      <c r="O486" s="171"/>
      <c r="P486" s="171"/>
      <c r="Q486" s="171"/>
      <c r="R486" s="171"/>
      <c r="S486" s="171"/>
      <c r="T486" s="171"/>
      <c r="U486" s="171"/>
      <c r="V486" s="171"/>
      <c r="W486" s="171"/>
      <c r="X486" s="171"/>
      <c r="Y486" s="171"/>
      <c r="Z486" s="171"/>
      <c r="AA486" s="171"/>
      <c r="AB486" s="171"/>
      <c r="AC486" s="171"/>
      <c r="AD486" s="171"/>
      <c r="AE486" s="171"/>
      <c r="AF486" s="171"/>
      <c r="AG486" s="171"/>
      <c r="AH486" s="22"/>
      <c r="AI486" s="171"/>
      <c r="AJ486" s="22">
        <f t="shared" si="7"/>
        <v>6</v>
      </c>
      <c r="AK486" s="22">
        <f t="shared" si="8"/>
        <v>6</v>
      </c>
    </row>
    <row r="487" spans="1:37" ht="15.75" customHeight="1">
      <c r="A487" s="167" t="s">
        <v>856</v>
      </c>
      <c r="B487" s="167" t="s">
        <v>2056</v>
      </c>
      <c r="C487" s="22" t="s">
        <v>855</v>
      </c>
      <c r="D487" s="168">
        <v>1</v>
      </c>
      <c r="E487" s="169" t="b">
        <v>1</v>
      </c>
      <c r="F487" s="170" t="s">
        <v>2026</v>
      </c>
      <c r="G487" s="171">
        <v>1</v>
      </c>
      <c r="H487" s="171">
        <v>1</v>
      </c>
      <c r="I487" s="171">
        <v>1</v>
      </c>
      <c r="J487" s="171">
        <v>1</v>
      </c>
      <c r="K487" s="171">
        <v>1</v>
      </c>
      <c r="L487" s="171"/>
      <c r="M487" s="171"/>
      <c r="N487" s="171"/>
      <c r="O487" s="171"/>
      <c r="P487" s="171"/>
      <c r="Q487" s="171"/>
      <c r="R487" s="171"/>
      <c r="S487" s="171"/>
      <c r="T487" s="171"/>
      <c r="U487" s="171"/>
      <c r="V487" s="171"/>
      <c r="W487" s="171"/>
      <c r="X487" s="171"/>
      <c r="Y487" s="171"/>
      <c r="Z487" s="171"/>
      <c r="AA487" s="171"/>
      <c r="AB487" s="171"/>
      <c r="AC487" s="171"/>
      <c r="AD487" s="171"/>
      <c r="AE487" s="171"/>
      <c r="AF487" s="171"/>
      <c r="AG487" s="171"/>
      <c r="AH487" s="22"/>
      <c r="AI487" s="171"/>
      <c r="AJ487" s="22">
        <f t="shared" si="7"/>
        <v>5</v>
      </c>
      <c r="AK487" s="22">
        <f t="shared" si="8"/>
        <v>5</v>
      </c>
    </row>
    <row r="488" spans="1:37" ht="15.75" customHeight="1">
      <c r="A488" s="167" t="s">
        <v>858</v>
      </c>
      <c r="B488" s="167" t="s">
        <v>2056</v>
      </c>
      <c r="C488" s="22" t="s">
        <v>857</v>
      </c>
      <c r="D488" s="168">
        <v>1</v>
      </c>
      <c r="E488" s="169" t="b">
        <v>1</v>
      </c>
      <c r="F488" s="170" t="s">
        <v>1738</v>
      </c>
      <c r="G488" s="171">
        <v>1</v>
      </c>
      <c r="H488" s="171">
        <v>1</v>
      </c>
      <c r="I488" s="171">
        <v>1</v>
      </c>
      <c r="J488" s="171">
        <v>1</v>
      </c>
      <c r="K488" s="171">
        <v>1</v>
      </c>
      <c r="L488" s="171"/>
      <c r="M488" s="171"/>
      <c r="N488" s="171">
        <v>1</v>
      </c>
      <c r="O488" s="171"/>
      <c r="P488" s="171"/>
      <c r="Q488" s="171"/>
      <c r="R488" s="171"/>
      <c r="S488" s="171"/>
      <c r="T488" s="171"/>
      <c r="U488" s="171">
        <v>1</v>
      </c>
      <c r="V488" s="171"/>
      <c r="W488" s="171"/>
      <c r="X488" s="171"/>
      <c r="Y488" s="171"/>
      <c r="Z488" s="171"/>
      <c r="AA488" s="171"/>
      <c r="AB488" s="171"/>
      <c r="AC488" s="171"/>
      <c r="AD488" s="171"/>
      <c r="AE488" s="171"/>
      <c r="AF488" s="171"/>
      <c r="AG488" s="171"/>
      <c r="AH488" s="22"/>
      <c r="AI488" s="171"/>
      <c r="AJ488" s="22">
        <f t="shared" si="7"/>
        <v>7</v>
      </c>
      <c r="AK488" s="22">
        <f t="shared" si="8"/>
        <v>7</v>
      </c>
    </row>
    <row r="489" spans="1:37" ht="15.75" customHeight="1">
      <c r="A489" s="167" t="s">
        <v>860</v>
      </c>
      <c r="B489" s="167" t="s">
        <v>2056</v>
      </c>
      <c r="C489" s="22" t="s">
        <v>859</v>
      </c>
      <c r="D489" s="168">
        <v>1</v>
      </c>
      <c r="E489" s="169" t="b">
        <v>1</v>
      </c>
      <c r="F489" s="170" t="s">
        <v>1578</v>
      </c>
      <c r="G489" s="171">
        <v>1</v>
      </c>
      <c r="H489" s="171">
        <v>1</v>
      </c>
      <c r="I489" s="171">
        <v>1</v>
      </c>
      <c r="J489" s="171">
        <v>1</v>
      </c>
      <c r="K489" s="171"/>
      <c r="L489" s="171">
        <v>1</v>
      </c>
      <c r="M489" s="171">
        <v>1</v>
      </c>
      <c r="N489" s="171">
        <v>1</v>
      </c>
      <c r="O489" s="171"/>
      <c r="P489" s="171"/>
      <c r="Q489" s="171"/>
      <c r="R489" s="171"/>
      <c r="S489" s="171"/>
      <c r="T489" s="171"/>
      <c r="U489" s="171"/>
      <c r="V489" s="171"/>
      <c r="W489" s="171"/>
      <c r="X489" s="171"/>
      <c r="Y489" s="171"/>
      <c r="Z489" s="171"/>
      <c r="AA489" s="171"/>
      <c r="AB489" s="171"/>
      <c r="AC489" s="171"/>
      <c r="AD489" s="171"/>
      <c r="AE489" s="171"/>
      <c r="AF489" s="171"/>
      <c r="AG489" s="171"/>
      <c r="AH489" s="22"/>
      <c r="AI489" s="171"/>
      <c r="AJ489" s="22">
        <f t="shared" si="7"/>
        <v>7</v>
      </c>
      <c r="AK489" s="22">
        <f t="shared" si="8"/>
        <v>7</v>
      </c>
    </row>
    <row r="490" spans="1:37" ht="15.75" customHeight="1">
      <c r="A490" s="167" t="s">
        <v>862</v>
      </c>
      <c r="B490" s="167" t="s">
        <v>2056</v>
      </c>
      <c r="C490" s="22" t="s">
        <v>861</v>
      </c>
      <c r="D490" s="168">
        <v>1</v>
      </c>
      <c r="E490" s="169" t="b">
        <v>1</v>
      </c>
      <c r="F490" s="170" t="s">
        <v>1578</v>
      </c>
      <c r="G490" s="171">
        <v>1</v>
      </c>
      <c r="H490" s="171">
        <v>1</v>
      </c>
      <c r="I490" s="171">
        <v>1</v>
      </c>
      <c r="J490" s="171">
        <v>1</v>
      </c>
      <c r="K490" s="171"/>
      <c r="L490" s="171">
        <v>1</v>
      </c>
      <c r="M490" s="171">
        <v>1</v>
      </c>
      <c r="N490" s="171">
        <v>1</v>
      </c>
      <c r="O490" s="171"/>
      <c r="P490" s="171"/>
      <c r="Q490" s="171">
        <v>1</v>
      </c>
      <c r="R490" s="171"/>
      <c r="S490" s="171"/>
      <c r="T490" s="171"/>
      <c r="U490" s="171"/>
      <c r="V490" s="171"/>
      <c r="W490" s="171"/>
      <c r="X490" s="171"/>
      <c r="Y490" s="171"/>
      <c r="Z490" s="171"/>
      <c r="AA490" s="171"/>
      <c r="AB490" s="171"/>
      <c r="AC490" s="171"/>
      <c r="AD490" s="171"/>
      <c r="AE490" s="171"/>
      <c r="AF490" s="171"/>
      <c r="AG490" s="171"/>
      <c r="AH490" s="22"/>
      <c r="AI490" s="171"/>
      <c r="AJ490" s="22">
        <f t="shared" si="7"/>
        <v>8</v>
      </c>
      <c r="AK490" s="22">
        <f t="shared" si="8"/>
        <v>8</v>
      </c>
    </row>
    <row r="491" spans="1:37" ht="15.75" customHeight="1">
      <c r="A491" s="167" t="s">
        <v>864</v>
      </c>
      <c r="B491" s="167" t="s">
        <v>2056</v>
      </c>
      <c r="C491" s="22" t="s">
        <v>863</v>
      </c>
      <c r="D491" s="168">
        <v>1</v>
      </c>
      <c r="E491" s="169" t="b">
        <v>1</v>
      </c>
      <c r="F491" s="170" t="s">
        <v>1578</v>
      </c>
      <c r="G491" s="171">
        <v>1</v>
      </c>
      <c r="H491" s="171">
        <v>1</v>
      </c>
      <c r="I491" s="171">
        <v>1</v>
      </c>
      <c r="J491" s="171">
        <v>1</v>
      </c>
      <c r="K491" s="171"/>
      <c r="L491" s="171"/>
      <c r="M491" s="171">
        <v>1</v>
      </c>
      <c r="N491" s="171">
        <v>1</v>
      </c>
      <c r="O491" s="171"/>
      <c r="P491" s="171"/>
      <c r="Q491" s="171"/>
      <c r="R491" s="171"/>
      <c r="S491" s="171"/>
      <c r="T491" s="171"/>
      <c r="U491" s="171">
        <v>1</v>
      </c>
      <c r="V491" s="171"/>
      <c r="W491" s="171"/>
      <c r="X491" s="171"/>
      <c r="Y491" s="171"/>
      <c r="Z491" s="171"/>
      <c r="AA491" s="171"/>
      <c r="AB491" s="171"/>
      <c r="AC491" s="171"/>
      <c r="AD491" s="171"/>
      <c r="AE491" s="171"/>
      <c r="AF491" s="171"/>
      <c r="AG491" s="171"/>
      <c r="AH491" s="22"/>
      <c r="AI491" s="171"/>
      <c r="AJ491" s="22">
        <f t="shared" si="7"/>
        <v>7</v>
      </c>
      <c r="AK491" s="22">
        <f t="shared" si="8"/>
        <v>7</v>
      </c>
    </row>
    <row r="492" spans="1:37" ht="15.75" customHeight="1">
      <c r="A492" s="167" t="s">
        <v>866</v>
      </c>
      <c r="B492" s="167" t="s">
        <v>2056</v>
      </c>
      <c r="C492" s="22" t="s">
        <v>865</v>
      </c>
      <c r="D492" s="168">
        <v>1</v>
      </c>
      <c r="E492" s="169" t="b">
        <v>1</v>
      </c>
      <c r="F492" s="170" t="s">
        <v>1578</v>
      </c>
      <c r="G492" s="171">
        <v>1</v>
      </c>
      <c r="H492" s="171">
        <v>1</v>
      </c>
      <c r="I492" s="171">
        <v>1</v>
      </c>
      <c r="J492" s="171">
        <v>1</v>
      </c>
      <c r="K492" s="171"/>
      <c r="L492" s="171"/>
      <c r="M492" s="171">
        <v>1</v>
      </c>
      <c r="N492" s="171">
        <v>1</v>
      </c>
      <c r="O492" s="171"/>
      <c r="P492" s="171"/>
      <c r="Q492" s="171">
        <v>1</v>
      </c>
      <c r="R492" s="171"/>
      <c r="S492" s="171"/>
      <c r="T492" s="171"/>
      <c r="U492" s="171"/>
      <c r="V492" s="171"/>
      <c r="W492" s="171"/>
      <c r="X492" s="171"/>
      <c r="Y492" s="171"/>
      <c r="Z492" s="171"/>
      <c r="AA492" s="171">
        <v>1</v>
      </c>
      <c r="AB492" s="171"/>
      <c r="AC492" s="171"/>
      <c r="AD492" s="171"/>
      <c r="AE492" s="171"/>
      <c r="AF492" s="171"/>
      <c r="AG492" s="171"/>
      <c r="AH492" s="22"/>
      <c r="AI492" s="171"/>
      <c r="AJ492" s="22">
        <f t="shared" si="7"/>
        <v>8</v>
      </c>
      <c r="AK492" s="22">
        <f t="shared" si="8"/>
        <v>8</v>
      </c>
    </row>
    <row r="493" spans="1:37" ht="15.75" customHeight="1">
      <c r="A493" s="167" t="s">
        <v>868</v>
      </c>
      <c r="B493" s="167" t="s">
        <v>2056</v>
      </c>
      <c r="C493" s="22" t="s">
        <v>867</v>
      </c>
      <c r="D493" s="168">
        <v>1</v>
      </c>
      <c r="E493" s="169" t="b">
        <v>1</v>
      </c>
      <c r="F493" s="170" t="s">
        <v>1578</v>
      </c>
      <c r="G493" s="171">
        <v>1</v>
      </c>
      <c r="H493" s="171">
        <v>1</v>
      </c>
      <c r="I493" s="171">
        <v>1</v>
      </c>
      <c r="J493" s="171">
        <v>1</v>
      </c>
      <c r="K493" s="171"/>
      <c r="L493" s="171">
        <v>1</v>
      </c>
      <c r="M493" s="171">
        <v>1</v>
      </c>
      <c r="N493" s="171">
        <v>1</v>
      </c>
      <c r="O493" s="171"/>
      <c r="P493" s="171"/>
      <c r="Q493" s="171"/>
      <c r="R493" s="171"/>
      <c r="S493" s="171"/>
      <c r="T493" s="171"/>
      <c r="U493" s="171"/>
      <c r="V493" s="171"/>
      <c r="W493" s="171"/>
      <c r="X493" s="171"/>
      <c r="Y493" s="171"/>
      <c r="Z493" s="171"/>
      <c r="AA493" s="171"/>
      <c r="AB493" s="171"/>
      <c r="AC493" s="171"/>
      <c r="AD493" s="171"/>
      <c r="AE493" s="171"/>
      <c r="AF493" s="171"/>
      <c r="AG493" s="171"/>
      <c r="AH493" s="22"/>
      <c r="AI493" s="171"/>
      <c r="AJ493" s="22">
        <f t="shared" si="7"/>
        <v>7</v>
      </c>
      <c r="AK493" s="22">
        <f t="shared" si="8"/>
        <v>7</v>
      </c>
    </row>
    <row r="494" spans="1:37" ht="15.75" customHeight="1">
      <c r="A494" s="167" t="s">
        <v>870</v>
      </c>
      <c r="B494" s="167" t="s">
        <v>2056</v>
      </c>
      <c r="C494" s="22" t="s">
        <v>869</v>
      </c>
      <c r="D494" s="168">
        <v>1</v>
      </c>
      <c r="E494" s="169" t="b">
        <v>1</v>
      </c>
      <c r="F494" s="170" t="s">
        <v>1451</v>
      </c>
      <c r="G494" s="171">
        <v>1</v>
      </c>
      <c r="H494" s="171">
        <v>1</v>
      </c>
      <c r="I494" s="171">
        <v>1</v>
      </c>
      <c r="J494" s="171">
        <v>1</v>
      </c>
      <c r="K494" s="171">
        <v>1</v>
      </c>
      <c r="L494" s="171">
        <v>2</v>
      </c>
      <c r="M494" s="171"/>
      <c r="N494" s="171"/>
      <c r="O494" s="171"/>
      <c r="P494" s="171"/>
      <c r="Q494" s="171"/>
      <c r="R494" s="171"/>
      <c r="S494" s="171"/>
      <c r="T494" s="171"/>
      <c r="U494" s="171"/>
      <c r="V494" s="171"/>
      <c r="W494" s="171"/>
      <c r="X494" s="171"/>
      <c r="Y494" s="171"/>
      <c r="Z494" s="171"/>
      <c r="AA494" s="171"/>
      <c r="AB494" s="171"/>
      <c r="AC494" s="171"/>
      <c r="AD494" s="171"/>
      <c r="AE494" s="171"/>
      <c r="AF494" s="171"/>
      <c r="AG494" s="171"/>
      <c r="AH494" s="22"/>
      <c r="AI494" s="171"/>
      <c r="AJ494" s="22">
        <f t="shared" si="7"/>
        <v>6</v>
      </c>
      <c r="AK494" s="22">
        <f t="shared" si="8"/>
        <v>7</v>
      </c>
    </row>
    <row r="495" spans="1:37" ht="15.75" customHeight="1">
      <c r="A495" s="167" t="s">
        <v>872</v>
      </c>
      <c r="B495" s="167" t="s">
        <v>2056</v>
      </c>
      <c r="C495" s="22" t="s">
        <v>871</v>
      </c>
      <c r="D495" s="168">
        <v>1</v>
      </c>
      <c r="E495" s="169" t="b">
        <v>1</v>
      </c>
      <c r="F495" s="170" t="s">
        <v>1414</v>
      </c>
      <c r="G495" s="171">
        <v>1</v>
      </c>
      <c r="H495" s="171">
        <v>1</v>
      </c>
      <c r="I495" s="171">
        <v>1</v>
      </c>
      <c r="J495" s="171">
        <v>1</v>
      </c>
      <c r="K495" s="171">
        <v>1</v>
      </c>
      <c r="L495" s="171">
        <v>1</v>
      </c>
      <c r="M495" s="171">
        <v>1</v>
      </c>
      <c r="N495" s="171">
        <v>1</v>
      </c>
      <c r="O495" s="171"/>
      <c r="P495" s="171"/>
      <c r="Q495" s="171"/>
      <c r="R495" s="171"/>
      <c r="S495" s="171">
        <v>1</v>
      </c>
      <c r="T495" s="171"/>
      <c r="U495" s="171"/>
      <c r="V495" s="171"/>
      <c r="W495" s="171">
        <v>1</v>
      </c>
      <c r="X495" s="171"/>
      <c r="Y495" s="171"/>
      <c r="Z495" s="171"/>
      <c r="AA495" s="171"/>
      <c r="AB495" s="171"/>
      <c r="AC495" s="171"/>
      <c r="AD495" s="171"/>
      <c r="AE495" s="171"/>
      <c r="AF495" s="171"/>
      <c r="AG495" s="171"/>
      <c r="AH495" s="22"/>
      <c r="AI495" s="171"/>
      <c r="AJ495" s="22">
        <f t="shared" si="7"/>
        <v>10</v>
      </c>
      <c r="AK495" s="22">
        <f t="shared" si="8"/>
        <v>10</v>
      </c>
    </row>
    <row r="496" spans="1:37" ht="15.75" customHeight="1">
      <c r="A496" s="167" t="s">
        <v>874</v>
      </c>
      <c r="B496" s="167" t="s">
        <v>2056</v>
      </c>
      <c r="C496" s="22" t="s">
        <v>873</v>
      </c>
      <c r="D496" s="168">
        <v>1</v>
      </c>
      <c r="E496" s="169" t="b">
        <v>1</v>
      </c>
      <c r="F496" s="170" t="s">
        <v>1739</v>
      </c>
      <c r="G496" s="171">
        <v>1</v>
      </c>
      <c r="H496" s="171">
        <v>1</v>
      </c>
      <c r="I496" s="171">
        <v>1</v>
      </c>
      <c r="J496" s="171">
        <v>1</v>
      </c>
      <c r="K496" s="171">
        <v>1</v>
      </c>
      <c r="L496" s="171">
        <v>1</v>
      </c>
      <c r="M496" s="171"/>
      <c r="N496" s="171"/>
      <c r="O496" s="171"/>
      <c r="P496" s="171"/>
      <c r="Q496" s="171"/>
      <c r="R496" s="171"/>
      <c r="S496" s="171"/>
      <c r="T496" s="171"/>
      <c r="U496" s="171"/>
      <c r="V496" s="171"/>
      <c r="W496" s="171"/>
      <c r="X496" s="171"/>
      <c r="Y496" s="171"/>
      <c r="Z496" s="171"/>
      <c r="AA496" s="171"/>
      <c r="AB496" s="171">
        <v>1</v>
      </c>
      <c r="AC496" s="171"/>
      <c r="AD496" s="171"/>
      <c r="AE496" s="171"/>
      <c r="AF496" s="171"/>
      <c r="AG496" s="171"/>
      <c r="AH496" s="22"/>
      <c r="AI496" s="171"/>
      <c r="AJ496" s="22">
        <f t="shared" si="7"/>
        <v>7</v>
      </c>
      <c r="AK496" s="22">
        <f t="shared" si="8"/>
        <v>7</v>
      </c>
    </row>
    <row r="497" spans="1:37" ht="15.75" customHeight="1">
      <c r="A497" s="167" t="s">
        <v>876</v>
      </c>
      <c r="B497" s="167" t="s">
        <v>2056</v>
      </c>
      <c r="C497" s="22" t="s">
        <v>875</v>
      </c>
      <c r="D497" s="168">
        <v>1</v>
      </c>
      <c r="E497" s="169" t="b">
        <v>1</v>
      </c>
      <c r="F497" s="170" t="s">
        <v>1499</v>
      </c>
      <c r="G497" s="171">
        <v>1</v>
      </c>
      <c r="H497" s="171">
        <v>1</v>
      </c>
      <c r="I497" s="171">
        <v>1</v>
      </c>
      <c r="J497" s="171">
        <v>1</v>
      </c>
      <c r="K497" s="171">
        <v>1</v>
      </c>
      <c r="L497" s="171">
        <v>1</v>
      </c>
      <c r="M497" s="171"/>
      <c r="N497" s="171"/>
      <c r="O497" s="171"/>
      <c r="P497" s="171"/>
      <c r="Q497" s="171"/>
      <c r="R497" s="171"/>
      <c r="S497" s="171"/>
      <c r="T497" s="171">
        <v>1</v>
      </c>
      <c r="U497" s="171"/>
      <c r="V497" s="171"/>
      <c r="W497" s="171"/>
      <c r="X497" s="171">
        <v>1</v>
      </c>
      <c r="Y497" s="171"/>
      <c r="Z497" s="171"/>
      <c r="AA497" s="171"/>
      <c r="AB497" s="171"/>
      <c r="AC497" s="171"/>
      <c r="AD497" s="171"/>
      <c r="AE497" s="171"/>
      <c r="AF497" s="171"/>
      <c r="AG497" s="171"/>
      <c r="AH497" s="22"/>
      <c r="AI497" s="171" t="s">
        <v>1500</v>
      </c>
      <c r="AJ497" s="22">
        <f t="shared" si="7"/>
        <v>8</v>
      </c>
      <c r="AK497" s="22">
        <f t="shared" si="8"/>
        <v>8</v>
      </c>
    </row>
    <row r="498" spans="1:37" ht="15.75" customHeight="1">
      <c r="A498" s="167" t="s">
        <v>878</v>
      </c>
      <c r="B498" s="167" t="s">
        <v>2056</v>
      </c>
      <c r="C498" s="22" t="s">
        <v>877</v>
      </c>
      <c r="D498" s="168">
        <v>1</v>
      </c>
      <c r="E498" s="169" t="b">
        <v>1</v>
      </c>
      <c r="F498" s="170" t="s">
        <v>1579</v>
      </c>
      <c r="G498" s="171">
        <v>1</v>
      </c>
      <c r="H498" s="171">
        <v>1</v>
      </c>
      <c r="I498" s="171">
        <v>1</v>
      </c>
      <c r="J498" s="171">
        <v>1</v>
      </c>
      <c r="K498" s="171">
        <v>1</v>
      </c>
      <c r="L498" s="171">
        <v>1</v>
      </c>
      <c r="M498" s="171"/>
      <c r="N498" s="171"/>
      <c r="O498" s="171"/>
      <c r="P498" s="171">
        <v>1</v>
      </c>
      <c r="Q498" s="171"/>
      <c r="R498" s="171"/>
      <c r="S498" s="171">
        <v>1</v>
      </c>
      <c r="T498" s="171"/>
      <c r="U498" s="171"/>
      <c r="V498" s="171"/>
      <c r="W498" s="171"/>
      <c r="X498" s="171"/>
      <c r="Y498" s="171"/>
      <c r="Z498" s="171"/>
      <c r="AA498" s="171"/>
      <c r="AB498" s="171"/>
      <c r="AC498" s="171"/>
      <c r="AD498" s="171"/>
      <c r="AE498" s="171"/>
      <c r="AF498" s="171"/>
      <c r="AG498" s="171"/>
      <c r="AH498" s="22"/>
      <c r="AI498" s="171"/>
      <c r="AJ498" s="22">
        <f t="shared" si="7"/>
        <v>8</v>
      </c>
      <c r="AK498" s="22">
        <f t="shared" si="8"/>
        <v>8</v>
      </c>
    </row>
    <row r="499" spans="1:37" ht="15.75" customHeight="1">
      <c r="A499" s="167" t="s">
        <v>880</v>
      </c>
      <c r="B499" s="167" t="s">
        <v>2056</v>
      </c>
      <c r="C499" s="22" t="s">
        <v>879</v>
      </c>
      <c r="D499" s="168">
        <v>1</v>
      </c>
      <c r="E499" s="169" t="b">
        <v>1</v>
      </c>
      <c r="F499" s="170" t="s">
        <v>1806</v>
      </c>
      <c r="G499" s="171">
        <v>1</v>
      </c>
      <c r="H499" s="171">
        <v>1</v>
      </c>
      <c r="I499" s="171">
        <v>1</v>
      </c>
      <c r="J499" s="171">
        <v>1</v>
      </c>
      <c r="K499" s="171">
        <v>1</v>
      </c>
      <c r="L499" s="171"/>
      <c r="M499" s="171"/>
      <c r="N499" s="171"/>
      <c r="O499" s="171"/>
      <c r="P499" s="171"/>
      <c r="Q499" s="171"/>
      <c r="R499" s="171"/>
      <c r="S499" s="171"/>
      <c r="T499" s="171">
        <v>1</v>
      </c>
      <c r="U499" s="171"/>
      <c r="V499" s="171"/>
      <c r="W499" s="171"/>
      <c r="X499" s="171"/>
      <c r="Y499" s="171"/>
      <c r="Z499" s="171"/>
      <c r="AA499" s="171"/>
      <c r="AB499" s="171"/>
      <c r="AC499" s="171"/>
      <c r="AD499" s="171"/>
      <c r="AE499" s="171"/>
      <c r="AF499" s="171"/>
      <c r="AG499" s="171"/>
      <c r="AH499" s="22"/>
      <c r="AI499" s="171" t="s">
        <v>1492</v>
      </c>
      <c r="AJ499" s="22">
        <f t="shared" si="7"/>
        <v>6</v>
      </c>
      <c r="AK499" s="22">
        <f t="shared" si="8"/>
        <v>6</v>
      </c>
    </row>
    <row r="500" spans="1:37" ht="15.75" customHeight="1">
      <c r="A500" s="167" t="s">
        <v>882</v>
      </c>
      <c r="B500" s="167" t="s">
        <v>2056</v>
      </c>
      <c r="C500" s="22" t="s">
        <v>881</v>
      </c>
      <c r="D500" s="168">
        <v>1</v>
      </c>
      <c r="E500" s="169" t="b">
        <v>1</v>
      </c>
      <c r="F500" s="170" t="s">
        <v>1401</v>
      </c>
      <c r="G500" s="171">
        <v>1</v>
      </c>
      <c r="H500" s="171">
        <v>1</v>
      </c>
      <c r="I500" s="171">
        <v>1</v>
      </c>
      <c r="J500" s="171">
        <v>1</v>
      </c>
      <c r="K500" s="171">
        <v>1</v>
      </c>
      <c r="L500" s="171">
        <v>4</v>
      </c>
      <c r="M500" s="171">
        <v>1</v>
      </c>
      <c r="N500" s="171"/>
      <c r="O500" s="171"/>
      <c r="P500" s="171">
        <v>1</v>
      </c>
      <c r="Q500" s="171"/>
      <c r="R500" s="171"/>
      <c r="S500" s="171"/>
      <c r="T500" s="171"/>
      <c r="U500" s="171"/>
      <c r="V500" s="171"/>
      <c r="W500" s="171"/>
      <c r="X500" s="171"/>
      <c r="Y500" s="171"/>
      <c r="Z500" s="171"/>
      <c r="AA500" s="171"/>
      <c r="AB500" s="171"/>
      <c r="AC500" s="171"/>
      <c r="AD500" s="171"/>
      <c r="AE500" s="171"/>
      <c r="AF500" s="171"/>
      <c r="AG500" s="171"/>
      <c r="AH500" s="22"/>
      <c r="AI500" s="171"/>
      <c r="AJ500" s="22">
        <f t="shared" si="7"/>
        <v>8</v>
      </c>
      <c r="AK500" s="22">
        <f t="shared" si="8"/>
        <v>11</v>
      </c>
    </row>
    <row r="501" spans="1:37" ht="15.75" customHeight="1">
      <c r="A501" s="167" t="s">
        <v>884</v>
      </c>
      <c r="B501" s="167" t="s">
        <v>2056</v>
      </c>
      <c r="C501" s="22" t="s">
        <v>883</v>
      </c>
      <c r="D501" s="168">
        <v>1</v>
      </c>
      <c r="E501" s="169" t="b">
        <v>1</v>
      </c>
      <c r="F501" s="170" t="s">
        <v>1455</v>
      </c>
      <c r="G501" s="171">
        <v>1</v>
      </c>
      <c r="H501" s="171">
        <v>1</v>
      </c>
      <c r="I501" s="171">
        <v>1</v>
      </c>
      <c r="J501" s="171">
        <v>1</v>
      </c>
      <c r="K501" s="171">
        <v>1</v>
      </c>
      <c r="L501" s="171">
        <v>2</v>
      </c>
      <c r="M501" s="171">
        <v>1</v>
      </c>
      <c r="N501" s="171"/>
      <c r="O501" s="171"/>
      <c r="P501" s="171"/>
      <c r="Q501" s="171">
        <v>1</v>
      </c>
      <c r="R501" s="171"/>
      <c r="S501" s="171"/>
      <c r="T501" s="171"/>
      <c r="U501" s="171"/>
      <c r="V501" s="171"/>
      <c r="W501" s="171"/>
      <c r="X501" s="171"/>
      <c r="Y501" s="171"/>
      <c r="Z501" s="171"/>
      <c r="AA501" s="171"/>
      <c r="AB501" s="171"/>
      <c r="AC501" s="171"/>
      <c r="AD501" s="171"/>
      <c r="AE501" s="171"/>
      <c r="AF501" s="171"/>
      <c r="AG501" s="171"/>
      <c r="AH501" s="22"/>
      <c r="AI501" s="171"/>
      <c r="AJ501" s="22">
        <f t="shared" si="7"/>
        <v>8</v>
      </c>
      <c r="AK501" s="22">
        <f t="shared" si="8"/>
        <v>9</v>
      </c>
    </row>
    <row r="502" spans="1:37" ht="15.75" customHeight="1">
      <c r="A502" s="167" t="s">
        <v>886</v>
      </c>
      <c r="B502" s="167" t="s">
        <v>2056</v>
      </c>
      <c r="C502" s="22" t="s">
        <v>885</v>
      </c>
      <c r="D502" s="168">
        <v>1</v>
      </c>
      <c r="E502" s="169" t="b">
        <v>1</v>
      </c>
      <c r="F502" s="170" t="s">
        <v>1915</v>
      </c>
      <c r="G502" s="171">
        <v>1</v>
      </c>
      <c r="H502" s="171">
        <v>1</v>
      </c>
      <c r="I502" s="171">
        <v>1</v>
      </c>
      <c r="J502" s="171">
        <v>1</v>
      </c>
      <c r="K502" s="171">
        <v>1</v>
      </c>
      <c r="L502" s="171">
        <v>1</v>
      </c>
      <c r="M502" s="171"/>
      <c r="N502" s="171"/>
      <c r="O502" s="171"/>
      <c r="P502" s="171"/>
      <c r="Q502" s="171"/>
      <c r="R502" s="171"/>
      <c r="S502" s="171"/>
      <c r="T502" s="171"/>
      <c r="U502" s="171"/>
      <c r="V502" s="171"/>
      <c r="W502" s="171"/>
      <c r="X502" s="171"/>
      <c r="Y502" s="171"/>
      <c r="Z502" s="171"/>
      <c r="AA502" s="171"/>
      <c r="AB502" s="171"/>
      <c r="AC502" s="171"/>
      <c r="AD502" s="171"/>
      <c r="AE502" s="171"/>
      <c r="AF502" s="171"/>
      <c r="AG502" s="171"/>
      <c r="AH502" s="22"/>
      <c r="AI502" s="171"/>
      <c r="AJ502" s="22">
        <f t="shared" si="7"/>
        <v>6</v>
      </c>
      <c r="AK502" s="22">
        <f t="shared" si="8"/>
        <v>6</v>
      </c>
    </row>
    <row r="503" spans="1:37" ht="15.75" customHeight="1">
      <c r="A503" s="167" t="s">
        <v>888</v>
      </c>
      <c r="B503" s="167" t="s">
        <v>2056</v>
      </c>
      <c r="C503" s="22" t="s">
        <v>887</v>
      </c>
      <c r="D503" s="168">
        <v>1</v>
      </c>
      <c r="E503" s="169" t="b">
        <v>1</v>
      </c>
      <c r="F503" s="170" t="s">
        <v>1580</v>
      </c>
      <c r="G503" s="171">
        <v>1</v>
      </c>
      <c r="H503" s="171">
        <v>1</v>
      </c>
      <c r="I503" s="171">
        <v>1</v>
      </c>
      <c r="J503" s="171">
        <v>1</v>
      </c>
      <c r="K503" s="171">
        <v>1</v>
      </c>
      <c r="L503" s="171">
        <v>2</v>
      </c>
      <c r="M503" s="171"/>
      <c r="N503" s="171">
        <v>1</v>
      </c>
      <c r="O503" s="171"/>
      <c r="P503" s="171"/>
      <c r="Q503" s="171"/>
      <c r="R503" s="171"/>
      <c r="S503" s="171"/>
      <c r="T503" s="171"/>
      <c r="U503" s="171"/>
      <c r="V503" s="171"/>
      <c r="W503" s="171"/>
      <c r="X503" s="171"/>
      <c r="Y503" s="171"/>
      <c r="Z503" s="171"/>
      <c r="AA503" s="171"/>
      <c r="AB503" s="171"/>
      <c r="AC503" s="171"/>
      <c r="AD503" s="171"/>
      <c r="AE503" s="171"/>
      <c r="AF503" s="171"/>
      <c r="AG503" s="171"/>
      <c r="AH503" s="22"/>
      <c r="AI503" s="171"/>
      <c r="AJ503" s="22">
        <f t="shared" si="7"/>
        <v>7</v>
      </c>
      <c r="AK503" s="22">
        <f t="shared" si="8"/>
        <v>8</v>
      </c>
    </row>
    <row r="504" spans="1:37" ht="15.75" customHeight="1">
      <c r="A504" s="167" t="s">
        <v>890</v>
      </c>
      <c r="B504" s="167" t="s">
        <v>2056</v>
      </c>
      <c r="C504" s="22" t="s">
        <v>889</v>
      </c>
      <c r="D504" s="168">
        <v>1</v>
      </c>
      <c r="E504" s="169" t="b">
        <v>1</v>
      </c>
      <c r="F504" s="174" t="s">
        <v>1916</v>
      </c>
      <c r="G504" s="171">
        <v>1</v>
      </c>
      <c r="H504" s="171">
        <v>1</v>
      </c>
      <c r="I504" s="171">
        <v>1</v>
      </c>
      <c r="J504" s="171">
        <v>1</v>
      </c>
      <c r="K504" s="171">
        <v>1</v>
      </c>
      <c r="L504" s="171">
        <v>1</v>
      </c>
      <c r="M504" s="171"/>
      <c r="N504" s="171"/>
      <c r="O504" s="171"/>
      <c r="P504" s="171"/>
      <c r="Q504" s="171"/>
      <c r="R504" s="171"/>
      <c r="S504" s="171"/>
      <c r="T504" s="171"/>
      <c r="U504" s="171"/>
      <c r="V504" s="171"/>
      <c r="W504" s="171"/>
      <c r="X504" s="171"/>
      <c r="Y504" s="171"/>
      <c r="Z504" s="171"/>
      <c r="AA504" s="171"/>
      <c r="AB504" s="171"/>
      <c r="AC504" s="171"/>
      <c r="AD504" s="171"/>
      <c r="AE504" s="171"/>
      <c r="AF504" s="171"/>
      <c r="AG504" s="171"/>
      <c r="AH504" s="22"/>
      <c r="AI504" s="171"/>
      <c r="AJ504" s="22">
        <f t="shared" si="7"/>
        <v>6</v>
      </c>
      <c r="AK504" s="22">
        <f t="shared" si="8"/>
        <v>6</v>
      </c>
    </row>
    <row r="505" spans="1:37" ht="15.75" customHeight="1">
      <c r="A505" s="167" t="s">
        <v>892</v>
      </c>
      <c r="B505" s="167" t="s">
        <v>2056</v>
      </c>
      <c r="C505" s="22" t="s">
        <v>891</v>
      </c>
      <c r="D505" s="168">
        <v>1</v>
      </c>
      <c r="E505" s="169" t="b">
        <v>1</v>
      </c>
      <c r="F505" s="170" t="s">
        <v>1456</v>
      </c>
      <c r="G505" s="171">
        <v>1</v>
      </c>
      <c r="H505" s="171">
        <v>1</v>
      </c>
      <c r="I505" s="171">
        <v>1</v>
      </c>
      <c r="J505" s="171">
        <v>1</v>
      </c>
      <c r="K505" s="171">
        <v>1</v>
      </c>
      <c r="L505" s="171">
        <v>2</v>
      </c>
      <c r="M505" s="171"/>
      <c r="N505" s="171">
        <v>1</v>
      </c>
      <c r="O505" s="171"/>
      <c r="P505" s="171"/>
      <c r="Q505" s="171"/>
      <c r="R505" s="171"/>
      <c r="S505" s="171"/>
      <c r="T505" s="171"/>
      <c r="U505" s="171"/>
      <c r="V505" s="171"/>
      <c r="W505" s="171"/>
      <c r="X505" s="171"/>
      <c r="Y505" s="171"/>
      <c r="Z505" s="171"/>
      <c r="AA505" s="171"/>
      <c r="AB505" s="171"/>
      <c r="AC505" s="171"/>
      <c r="AD505" s="171"/>
      <c r="AE505" s="171"/>
      <c r="AF505" s="171">
        <v>1</v>
      </c>
      <c r="AG505" s="171"/>
      <c r="AH505" s="22"/>
      <c r="AI505" s="171"/>
      <c r="AJ505" s="22">
        <f t="shared" si="7"/>
        <v>8</v>
      </c>
      <c r="AK505" s="22">
        <f t="shared" si="8"/>
        <v>9</v>
      </c>
    </row>
    <row r="506" spans="1:37" ht="15.75" customHeight="1">
      <c r="A506" s="167" t="s">
        <v>894</v>
      </c>
      <c r="B506" s="167" t="s">
        <v>2056</v>
      </c>
      <c r="C506" s="22" t="s">
        <v>893</v>
      </c>
      <c r="D506" s="168">
        <v>1</v>
      </c>
      <c r="E506" s="169" t="b">
        <v>1</v>
      </c>
      <c r="F506" s="170" t="s">
        <v>1740</v>
      </c>
      <c r="G506" s="171">
        <v>1</v>
      </c>
      <c r="H506" s="171">
        <v>1</v>
      </c>
      <c r="I506" s="171">
        <v>1</v>
      </c>
      <c r="J506" s="171">
        <v>1</v>
      </c>
      <c r="K506" s="171">
        <v>1</v>
      </c>
      <c r="L506" s="171">
        <v>1</v>
      </c>
      <c r="M506" s="171"/>
      <c r="N506" s="171"/>
      <c r="O506" s="171"/>
      <c r="P506" s="171"/>
      <c r="Q506" s="171"/>
      <c r="R506" s="171"/>
      <c r="S506" s="171"/>
      <c r="T506" s="171"/>
      <c r="U506" s="171"/>
      <c r="V506" s="171"/>
      <c r="W506" s="171"/>
      <c r="X506" s="171"/>
      <c r="Y506" s="171"/>
      <c r="Z506" s="171"/>
      <c r="AA506" s="171"/>
      <c r="AB506" s="171"/>
      <c r="AC506" s="171"/>
      <c r="AD506" s="171"/>
      <c r="AE506" s="171">
        <v>1</v>
      </c>
      <c r="AF506" s="171"/>
      <c r="AG506" s="171"/>
      <c r="AH506" s="22"/>
      <c r="AI506" s="171"/>
      <c r="AJ506" s="22">
        <f t="shared" si="7"/>
        <v>7</v>
      </c>
      <c r="AK506" s="22">
        <f t="shared" si="8"/>
        <v>7</v>
      </c>
    </row>
    <row r="507" spans="1:37" ht="15.75" customHeight="1">
      <c r="A507" s="167" t="s">
        <v>896</v>
      </c>
      <c r="B507" s="167" t="s">
        <v>2056</v>
      </c>
      <c r="C507" s="22" t="s">
        <v>895</v>
      </c>
      <c r="D507" s="168">
        <v>1</v>
      </c>
      <c r="E507" s="169" t="b">
        <v>1</v>
      </c>
      <c r="F507" s="170" t="s">
        <v>1917</v>
      </c>
      <c r="G507" s="171">
        <v>1</v>
      </c>
      <c r="H507" s="171">
        <v>1</v>
      </c>
      <c r="I507" s="171">
        <v>1</v>
      </c>
      <c r="J507" s="171">
        <v>1</v>
      </c>
      <c r="K507" s="171">
        <v>1</v>
      </c>
      <c r="L507" s="171"/>
      <c r="M507" s="171"/>
      <c r="N507" s="171"/>
      <c r="O507" s="171"/>
      <c r="P507" s="171">
        <v>1</v>
      </c>
      <c r="Q507" s="171"/>
      <c r="R507" s="171"/>
      <c r="S507" s="171"/>
      <c r="T507" s="171"/>
      <c r="U507" s="171"/>
      <c r="V507" s="171"/>
      <c r="W507" s="171"/>
      <c r="X507" s="171"/>
      <c r="Y507" s="171"/>
      <c r="Z507" s="171"/>
      <c r="AA507" s="171"/>
      <c r="AB507" s="171"/>
      <c r="AC507" s="171"/>
      <c r="AD507" s="171"/>
      <c r="AE507" s="171"/>
      <c r="AF507" s="171"/>
      <c r="AG507" s="171"/>
      <c r="AH507" s="22"/>
      <c r="AI507" s="171"/>
      <c r="AJ507" s="22">
        <f t="shared" si="7"/>
        <v>6</v>
      </c>
      <c r="AK507" s="22">
        <f t="shared" si="8"/>
        <v>6</v>
      </c>
    </row>
    <row r="508" spans="1:37" ht="15.75" customHeight="1">
      <c r="A508" s="167" t="s">
        <v>898</v>
      </c>
      <c r="B508" s="167" t="s">
        <v>2056</v>
      </c>
      <c r="C508" s="22" t="s">
        <v>897</v>
      </c>
      <c r="D508" s="168">
        <v>1</v>
      </c>
      <c r="E508" s="169" t="b">
        <v>1</v>
      </c>
      <c r="F508" s="170" t="s">
        <v>1565</v>
      </c>
      <c r="G508" s="171">
        <v>1</v>
      </c>
      <c r="H508" s="171">
        <v>1</v>
      </c>
      <c r="I508" s="171">
        <v>1</v>
      </c>
      <c r="J508" s="171">
        <v>1</v>
      </c>
      <c r="K508" s="171">
        <v>1</v>
      </c>
      <c r="L508" s="171">
        <v>3</v>
      </c>
      <c r="M508" s="171"/>
      <c r="N508" s="171"/>
      <c r="O508" s="171"/>
      <c r="P508" s="171"/>
      <c r="Q508" s="171"/>
      <c r="R508" s="171"/>
      <c r="S508" s="171"/>
      <c r="T508" s="171"/>
      <c r="U508" s="171"/>
      <c r="V508" s="171"/>
      <c r="W508" s="171"/>
      <c r="X508" s="171"/>
      <c r="Y508" s="171"/>
      <c r="Z508" s="171"/>
      <c r="AA508" s="171"/>
      <c r="AB508" s="171"/>
      <c r="AC508" s="171"/>
      <c r="AD508" s="171"/>
      <c r="AE508" s="171"/>
      <c r="AF508" s="171"/>
      <c r="AG508" s="171"/>
      <c r="AH508" s="22"/>
      <c r="AI508" s="171"/>
      <c r="AJ508" s="22">
        <f t="shared" si="7"/>
        <v>6</v>
      </c>
      <c r="AK508" s="22">
        <f t="shared" si="8"/>
        <v>8</v>
      </c>
    </row>
    <row r="509" spans="1:37" ht="15.75" customHeight="1">
      <c r="A509" s="167" t="s">
        <v>900</v>
      </c>
      <c r="B509" s="167" t="s">
        <v>2056</v>
      </c>
      <c r="C509" s="22" t="s">
        <v>899</v>
      </c>
      <c r="D509" s="168">
        <v>1</v>
      </c>
      <c r="E509" s="169" t="b">
        <v>1</v>
      </c>
      <c r="F509" s="170" t="s">
        <v>1460</v>
      </c>
      <c r="G509" s="171">
        <v>1</v>
      </c>
      <c r="H509" s="171">
        <v>1</v>
      </c>
      <c r="I509" s="171">
        <v>1</v>
      </c>
      <c r="J509" s="171">
        <v>1</v>
      </c>
      <c r="K509" s="171">
        <v>1</v>
      </c>
      <c r="L509" s="171"/>
      <c r="M509" s="171"/>
      <c r="N509" s="171"/>
      <c r="O509" s="171"/>
      <c r="P509" s="171">
        <v>1</v>
      </c>
      <c r="Q509" s="171"/>
      <c r="R509" s="171"/>
      <c r="S509" s="171"/>
      <c r="T509" s="171"/>
      <c r="U509" s="171"/>
      <c r="V509" s="171"/>
      <c r="W509" s="171"/>
      <c r="X509" s="171"/>
      <c r="Y509" s="171"/>
      <c r="Z509" s="171"/>
      <c r="AA509" s="171"/>
      <c r="AB509" s="171"/>
      <c r="AC509" s="171"/>
      <c r="AD509" s="171"/>
      <c r="AE509" s="171"/>
      <c r="AF509" s="171"/>
      <c r="AG509" s="171"/>
      <c r="AH509" s="22"/>
      <c r="AI509" s="171"/>
      <c r="AJ509" s="22">
        <f t="shared" si="7"/>
        <v>6</v>
      </c>
      <c r="AK509" s="22">
        <f t="shared" si="8"/>
        <v>6</v>
      </c>
    </row>
    <row r="510" spans="1:37" ht="15.75" customHeight="1">
      <c r="A510" s="167" t="s">
        <v>902</v>
      </c>
      <c r="B510" s="167" t="s">
        <v>2056</v>
      </c>
      <c r="C510" s="22" t="s">
        <v>901</v>
      </c>
      <c r="D510" s="168">
        <v>1</v>
      </c>
      <c r="E510" s="169" t="b">
        <v>1</v>
      </c>
      <c r="F510" s="170" t="s">
        <v>1918</v>
      </c>
      <c r="G510" s="171">
        <v>1</v>
      </c>
      <c r="H510" s="171">
        <v>1</v>
      </c>
      <c r="I510" s="171">
        <v>1</v>
      </c>
      <c r="J510" s="171">
        <v>1</v>
      </c>
      <c r="K510" s="171">
        <v>1</v>
      </c>
      <c r="L510" s="171">
        <v>1</v>
      </c>
      <c r="M510" s="171"/>
      <c r="N510" s="171"/>
      <c r="O510" s="171"/>
      <c r="P510" s="171"/>
      <c r="Q510" s="171"/>
      <c r="R510" s="171"/>
      <c r="S510" s="171"/>
      <c r="T510" s="171"/>
      <c r="U510" s="171"/>
      <c r="V510" s="171"/>
      <c r="W510" s="171"/>
      <c r="X510" s="171"/>
      <c r="Y510" s="171"/>
      <c r="Z510" s="171"/>
      <c r="AA510" s="171"/>
      <c r="AB510" s="171"/>
      <c r="AC510" s="171"/>
      <c r="AD510" s="171"/>
      <c r="AE510" s="171"/>
      <c r="AF510" s="171"/>
      <c r="AG510" s="171"/>
      <c r="AH510" s="22"/>
      <c r="AI510" s="171"/>
      <c r="AJ510" s="22">
        <f t="shared" si="7"/>
        <v>6</v>
      </c>
      <c r="AK510" s="22">
        <f t="shared" si="8"/>
        <v>6</v>
      </c>
    </row>
    <row r="511" spans="1:37" ht="15.75" customHeight="1">
      <c r="A511" s="167" t="s">
        <v>904</v>
      </c>
      <c r="B511" s="167" t="s">
        <v>2056</v>
      </c>
      <c r="C511" s="22" t="s">
        <v>903</v>
      </c>
      <c r="D511" s="168">
        <v>1</v>
      </c>
      <c r="E511" s="169" t="b">
        <v>1</v>
      </c>
      <c r="F511" s="170" t="s">
        <v>2027</v>
      </c>
      <c r="G511" s="171">
        <v>1</v>
      </c>
      <c r="H511" s="171">
        <v>1</v>
      </c>
      <c r="I511" s="171">
        <v>1</v>
      </c>
      <c r="J511" s="171">
        <v>1</v>
      </c>
      <c r="K511" s="171">
        <v>1</v>
      </c>
      <c r="L511" s="171"/>
      <c r="M511" s="171"/>
      <c r="N511" s="171"/>
      <c r="O511" s="171"/>
      <c r="P511" s="171"/>
      <c r="Q511" s="171"/>
      <c r="R511" s="171"/>
      <c r="S511" s="171"/>
      <c r="T511" s="171"/>
      <c r="U511" s="171"/>
      <c r="V511" s="171"/>
      <c r="W511" s="171"/>
      <c r="X511" s="171"/>
      <c r="Y511" s="171"/>
      <c r="Z511" s="171"/>
      <c r="AA511" s="171"/>
      <c r="AB511" s="171"/>
      <c r="AC511" s="171"/>
      <c r="AD511" s="171"/>
      <c r="AE511" s="171"/>
      <c r="AF511" s="171"/>
      <c r="AG511" s="171"/>
      <c r="AH511" s="22"/>
      <c r="AI511" s="171"/>
      <c r="AJ511" s="22">
        <f t="shared" si="7"/>
        <v>5</v>
      </c>
      <c r="AK511" s="22">
        <f t="shared" si="8"/>
        <v>5</v>
      </c>
    </row>
    <row r="512" spans="1:37" ht="15.75" customHeight="1">
      <c r="A512" s="167" t="s">
        <v>906</v>
      </c>
      <c r="B512" s="167" t="s">
        <v>2056</v>
      </c>
      <c r="C512" s="22" t="s">
        <v>905</v>
      </c>
      <c r="D512" s="168">
        <v>1</v>
      </c>
      <c r="E512" s="169" t="b">
        <v>1</v>
      </c>
      <c r="F512" s="170" t="s">
        <v>1741</v>
      </c>
      <c r="G512" s="171">
        <v>1</v>
      </c>
      <c r="H512" s="171">
        <v>1</v>
      </c>
      <c r="I512" s="171">
        <v>1</v>
      </c>
      <c r="J512" s="171">
        <v>1</v>
      </c>
      <c r="K512" s="171">
        <v>1</v>
      </c>
      <c r="L512" s="171">
        <v>1</v>
      </c>
      <c r="M512" s="171"/>
      <c r="N512" s="171">
        <v>1</v>
      </c>
      <c r="O512" s="171"/>
      <c r="P512" s="171"/>
      <c r="Q512" s="171"/>
      <c r="R512" s="171"/>
      <c r="S512" s="171"/>
      <c r="T512" s="171"/>
      <c r="U512" s="171"/>
      <c r="V512" s="171"/>
      <c r="W512" s="171"/>
      <c r="X512" s="171"/>
      <c r="Y512" s="171"/>
      <c r="Z512" s="171"/>
      <c r="AA512" s="171"/>
      <c r="AB512" s="171"/>
      <c r="AC512" s="171"/>
      <c r="AD512" s="171"/>
      <c r="AE512" s="171"/>
      <c r="AF512" s="171"/>
      <c r="AG512" s="171"/>
      <c r="AH512" s="22"/>
      <c r="AI512" s="171"/>
      <c r="AJ512" s="22">
        <f t="shared" si="7"/>
        <v>7</v>
      </c>
      <c r="AK512" s="22">
        <f t="shared" si="8"/>
        <v>7</v>
      </c>
    </row>
    <row r="513" spans="1:37" ht="15.75" customHeight="1">
      <c r="A513" s="167" t="s">
        <v>908</v>
      </c>
      <c r="B513" s="167" t="s">
        <v>2056</v>
      </c>
      <c r="C513" s="22" t="s">
        <v>907</v>
      </c>
      <c r="D513" s="168">
        <v>1</v>
      </c>
      <c r="E513" s="169" t="b">
        <v>1</v>
      </c>
      <c r="F513" s="170" t="s">
        <v>1581</v>
      </c>
      <c r="G513" s="171">
        <v>1</v>
      </c>
      <c r="H513" s="171">
        <v>1</v>
      </c>
      <c r="I513" s="171">
        <v>1</v>
      </c>
      <c r="J513" s="171">
        <v>1</v>
      </c>
      <c r="K513" s="171">
        <v>1</v>
      </c>
      <c r="L513" s="171">
        <v>2</v>
      </c>
      <c r="M513" s="171">
        <v>1</v>
      </c>
      <c r="N513" s="171"/>
      <c r="O513" s="171"/>
      <c r="P513" s="171"/>
      <c r="Q513" s="171"/>
      <c r="R513" s="171"/>
      <c r="S513" s="171"/>
      <c r="T513" s="171"/>
      <c r="U513" s="171"/>
      <c r="V513" s="171"/>
      <c r="W513" s="171"/>
      <c r="X513" s="171"/>
      <c r="Y513" s="171"/>
      <c r="Z513" s="171"/>
      <c r="AA513" s="171"/>
      <c r="AB513" s="171"/>
      <c r="AC513" s="171"/>
      <c r="AD513" s="171"/>
      <c r="AE513" s="171"/>
      <c r="AF513" s="171"/>
      <c r="AG513" s="171"/>
      <c r="AH513" s="22"/>
      <c r="AI513" s="171"/>
      <c r="AJ513" s="22">
        <f t="shared" si="7"/>
        <v>7</v>
      </c>
      <c r="AK513" s="22">
        <f t="shared" si="8"/>
        <v>8</v>
      </c>
    </row>
    <row r="514" spans="1:37" ht="15.75" customHeight="1">
      <c r="A514" s="167" t="s">
        <v>910</v>
      </c>
      <c r="B514" s="167" t="s">
        <v>2056</v>
      </c>
      <c r="C514" s="22" t="s">
        <v>909</v>
      </c>
      <c r="D514" s="168">
        <v>1</v>
      </c>
      <c r="E514" s="169" t="b">
        <v>1</v>
      </c>
      <c r="F514" s="170" t="s">
        <v>2028</v>
      </c>
      <c r="G514" s="171">
        <v>1</v>
      </c>
      <c r="H514" s="171">
        <v>1</v>
      </c>
      <c r="I514" s="171">
        <v>1</v>
      </c>
      <c r="J514" s="171">
        <v>1</v>
      </c>
      <c r="K514" s="171">
        <v>1</v>
      </c>
      <c r="L514" s="171"/>
      <c r="M514" s="171"/>
      <c r="N514" s="171"/>
      <c r="O514" s="171"/>
      <c r="P514" s="171"/>
      <c r="Q514" s="171"/>
      <c r="R514" s="171"/>
      <c r="S514" s="171"/>
      <c r="T514" s="171"/>
      <c r="U514" s="171"/>
      <c r="V514" s="171"/>
      <c r="W514" s="171"/>
      <c r="X514" s="171"/>
      <c r="Y514" s="171"/>
      <c r="Z514" s="171"/>
      <c r="AA514" s="171"/>
      <c r="AB514" s="171"/>
      <c r="AC514" s="171"/>
      <c r="AD514" s="171"/>
      <c r="AE514" s="171"/>
      <c r="AF514" s="171"/>
      <c r="AG514" s="171"/>
      <c r="AH514" s="22"/>
      <c r="AI514" s="171"/>
      <c r="AJ514" s="22">
        <f t="shared" si="7"/>
        <v>5</v>
      </c>
      <c r="AK514" s="22">
        <f t="shared" si="8"/>
        <v>5</v>
      </c>
    </row>
    <row r="515" spans="1:37" ht="15.75" customHeight="1">
      <c r="A515" s="167" t="s">
        <v>912</v>
      </c>
      <c r="B515" s="167" t="s">
        <v>2056</v>
      </c>
      <c r="C515" s="22" t="s">
        <v>911</v>
      </c>
      <c r="D515" s="168">
        <v>1</v>
      </c>
      <c r="E515" s="169" t="b">
        <v>1</v>
      </c>
      <c r="F515" s="170" t="s">
        <v>1919</v>
      </c>
      <c r="G515" s="171">
        <v>1</v>
      </c>
      <c r="H515" s="171">
        <v>1</v>
      </c>
      <c r="I515" s="171">
        <v>1</v>
      </c>
      <c r="J515" s="171">
        <v>1</v>
      </c>
      <c r="K515" s="171">
        <v>1</v>
      </c>
      <c r="L515" s="171">
        <v>1</v>
      </c>
      <c r="M515" s="171"/>
      <c r="N515" s="171"/>
      <c r="O515" s="171"/>
      <c r="P515" s="171"/>
      <c r="Q515" s="171"/>
      <c r="R515" s="171"/>
      <c r="S515" s="171"/>
      <c r="T515" s="171"/>
      <c r="U515" s="171"/>
      <c r="V515" s="171"/>
      <c r="W515" s="171"/>
      <c r="X515" s="171"/>
      <c r="Y515" s="171"/>
      <c r="Z515" s="171"/>
      <c r="AA515" s="171"/>
      <c r="AB515" s="171"/>
      <c r="AC515" s="171"/>
      <c r="AD515" s="171"/>
      <c r="AE515" s="171"/>
      <c r="AF515" s="171"/>
      <c r="AG515" s="171"/>
      <c r="AH515" s="22"/>
      <c r="AI515" s="171"/>
      <c r="AJ515" s="22">
        <f t="shared" si="7"/>
        <v>6</v>
      </c>
      <c r="AK515" s="22">
        <f t="shared" si="8"/>
        <v>6</v>
      </c>
    </row>
    <row r="516" spans="1:37" ht="15.75" customHeight="1">
      <c r="A516" s="167" t="s">
        <v>914</v>
      </c>
      <c r="B516" s="167" t="s">
        <v>2056</v>
      </c>
      <c r="C516" s="22" t="s">
        <v>913</v>
      </c>
      <c r="D516" s="168">
        <v>1</v>
      </c>
      <c r="E516" s="169" t="b">
        <v>1</v>
      </c>
      <c r="F516" s="170" t="s">
        <v>2029</v>
      </c>
      <c r="G516" s="171">
        <v>1</v>
      </c>
      <c r="H516" s="171">
        <v>1</v>
      </c>
      <c r="I516" s="171">
        <v>1</v>
      </c>
      <c r="J516" s="171">
        <v>1</v>
      </c>
      <c r="K516" s="171">
        <v>1</v>
      </c>
      <c r="L516" s="171"/>
      <c r="M516" s="171"/>
      <c r="N516" s="171"/>
      <c r="O516" s="171"/>
      <c r="P516" s="171"/>
      <c r="Q516" s="171"/>
      <c r="R516" s="171"/>
      <c r="S516" s="171"/>
      <c r="T516" s="171"/>
      <c r="U516" s="171"/>
      <c r="V516" s="171"/>
      <c r="W516" s="171"/>
      <c r="X516" s="171"/>
      <c r="Y516" s="171"/>
      <c r="Z516" s="171"/>
      <c r="AA516" s="171"/>
      <c r="AB516" s="171"/>
      <c r="AC516" s="171"/>
      <c r="AD516" s="171"/>
      <c r="AE516" s="171"/>
      <c r="AF516" s="171"/>
      <c r="AG516" s="171"/>
      <c r="AH516" s="22"/>
      <c r="AI516" s="171"/>
      <c r="AJ516" s="22">
        <f t="shared" si="7"/>
        <v>5</v>
      </c>
      <c r="AK516" s="22">
        <f t="shared" si="8"/>
        <v>5</v>
      </c>
    </row>
    <row r="517" spans="1:37" ht="15.75" customHeight="1">
      <c r="A517" s="167" t="s">
        <v>916</v>
      </c>
      <c r="B517" s="167" t="s">
        <v>2056</v>
      </c>
      <c r="C517" s="22" t="s">
        <v>915</v>
      </c>
      <c r="D517" s="168">
        <v>1</v>
      </c>
      <c r="E517" s="169" t="b">
        <v>1</v>
      </c>
      <c r="F517" s="170" t="s">
        <v>2030</v>
      </c>
      <c r="G517" s="171">
        <v>1</v>
      </c>
      <c r="H517" s="171">
        <v>1</v>
      </c>
      <c r="I517" s="171">
        <v>1</v>
      </c>
      <c r="J517" s="171">
        <v>1</v>
      </c>
      <c r="K517" s="171">
        <v>1</v>
      </c>
      <c r="L517" s="171"/>
      <c r="M517" s="171"/>
      <c r="N517" s="171"/>
      <c r="O517" s="171"/>
      <c r="P517" s="171"/>
      <c r="Q517" s="171"/>
      <c r="R517" s="171"/>
      <c r="S517" s="171"/>
      <c r="T517" s="171"/>
      <c r="U517" s="171"/>
      <c r="V517" s="171"/>
      <c r="W517" s="171"/>
      <c r="X517" s="171"/>
      <c r="Y517" s="171"/>
      <c r="Z517" s="171"/>
      <c r="AA517" s="171"/>
      <c r="AB517" s="171"/>
      <c r="AC517" s="171"/>
      <c r="AD517" s="171"/>
      <c r="AE517" s="171"/>
      <c r="AF517" s="171"/>
      <c r="AG517" s="171"/>
      <c r="AH517" s="22"/>
      <c r="AI517" s="171"/>
      <c r="AJ517" s="22">
        <f t="shared" si="7"/>
        <v>5</v>
      </c>
      <c r="AK517" s="22">
        <f t="shared" si="8"/>
        <v>5</v>
      </c>
    </row>
    <row r="518" spans="1:37" ht="15.75" customHeight="1">
      <c r="A518" s="167" t="s">
        <v>918</v>
      </c>
      <c r="B518" s="167" t="s">
        <v>2056</v>
      </c>
      <c r="C518" s="22" t="s">
        <v>917</v>
      </c>
      <c r="D518" s="168">
        <v>1</v>
      </c>
      <c r="E518" s="169" t="b">
        <v>1</v>
      </c>
      <c r="F518" s="170" t="s">
        <v>1582</v>
      </c>
      <c r="G518" s="171">
        <v>1</v>
      </c>
      <c r="H518" s="171">
        <v>1</v>
      </c>
      <c r="I518" s="171">
        <v>1</v>
      </c>
      <c r="J518" s="171">
        <v>1</v>
      </c>
      <c r="K518" s="171">
        <v>1</v>
      </c>
      <c r="L518" s="171">
        <v>1</v>
      </c>
      <c r="M518" s="171"/>
      <c r="N518" s="171"/>
      <c r="O518" s="171"/>
      <c r="P518" s="171">
        <v>1</v>
      </c>
      <c r="Q518" s="171">
        <v>1</v>
      </c>
      <c r="R518" s="171"/>
      <c r="S518" s="171"/>
      <c r="T518" s="171"/>
      <c r="U518" s="171"/>
      <c r="V518" s="171"/>
      <c r="W518" s="171"/>
      <c r="X518" s="171"/>
      <c r="Y518" s="171"/>
      <c r="Z518" s="171"/>
      <c r="AA518" s="171"/>
      <c r="AB518" s="171"/>
      <c r="AC518" s="171"/>
      <c r="AD518" s="171"/>
      <c r="AE518" s="171"/>
      <c r="AF518" s="171"/>
      <c r="AG518" s="171"/>
      <c r="AH518" s="22"/>
      <c r="AI518" s="171"/>
      <c r="AJ518" s="22">
        <f t="shared" si="7"/>
        <v>8</v>
      </c>
      <c r="AK518" s="22">
        <f t="shared" si="8"/>
        <v>8</v>
      </c>
    </row>
    <row r="519" spans="1:37" ht="15.75" customHeight="1">
      <c r="A519" s="167" t="s">
        <v>920</v>
      </c>
      <c r="B519" s="167" t="s">
        <v>2056</v>
      </c>
      <c r="C519" s="22" t="s">
        <v>919</v>
      </c>
      <c r="D519" s="168">
        <v>1</v>
      </c>
      <c r="E519" s="169" t="b">
        <v>1</v>
      </c>
      <c r="F519" s="174" t="s">
        <v>1457</v>
      </c>
      <c r="G519" s="171">
        <v>1</v>
      </c>
      <c r="H519" s="171">
        <v>1</v>
      </c>
      <c r="I519" s="171">
        <v>1</v>
      </c>
      <c r="J519" s="171">
        <v>1</v>
      </c>
      <c r="K519" s="171">
        <v>1</v>
      </c>
      <c r="L519" s="171"/>
      <c r="M519" s="171"/>
      <c r="N519" s="171">
        <v>1</v>
      </c>
      <c r="O519" s="171"/>
      <c r="P519" s="171"/>
      <c r="Q519" s="171"/>
      <c r="R519" s="171"/>
      <c r="S519" s="171"/>
      <c r="T519" s="171"/>
      <c r="U519" s="171">
        <v>1</v>
      </c>
      <c r="V519" s="171"/>
      <c r="W519" s="171"/>
      <c r="X519" s="171"/>
      <c r="Y519" s="171"/>
      <c r="Z519" s="171"/>
      <c r="AA519" s="171">
        <v>1</v>
      </c>
      <c r="AB519" s="171"/>
      <c r="AC519" s="171"/>
      <c r="AD519" s="171"/>
      <c r="AE519" s="171"/>
      <c r="AF519" s="171"/>
      <c r="AG519" s="171">
        <v>1</v>
      </c>
      <c r="AH519" s="22"/>
      <c r="AI519" s="171" t="s">
        <v>1458</v>
      </c>
      <c r="AJ519" s="22">
        <f t="shared" si="7"/>
        <v>9</v>
      </c>
      <c r="AK519" s="22">
        <f t="shared" si="8"/>
        <v>9</v>
      </c>
    </row>
    <row r="520" spans="1:37" ht="15.75" customHeight="1">
      <c r="A520" s="167" t="s">
        <v>922</v>
      </c>
      <c r="B520" s="167" t="s">
        <v>2056</v>
      </c>
      <c r="C520" s="22" t="s">
        <v>921</v>
      </c>
      <c r="D520" s="168">
        <v>1</v>
      </c>
      <c r="E520" s="169" t="b">
        <v>1</v>
      </c>
      <c r="F520" s="170" t="s">
        <v>1459</v>
      </c>
      <c r="G520" s="171">
        <v>1</v>
      </c>
      <c r="H520" s="171">
        <v>1</v>
      </c>
      <c r="I520" s="171">
        <v>1</v>
      </c>
      <c r="J520" s="171">
        <v>1</v>
      </c>
      <c r="K520" s="171">
        <v>1</v>
      </c>
      <c r="L520" s="171">
        <v>1</v>
      </c>
      <c r="M520" s="171"/>
      <c r="N520" s="171"/>
      <c r="O520" s="171"/>
      <c r="P520" s="171">
        <v>1</v>
      </c>
      <c r="Q520" s="171"/>
      <c r="R520" s="171"/>
      <c r="S520" s="171"/>
      <c r="T520" s="171"/>
      <c r="U520" s="171"/>
      <c r="V520" s="171"/>
      <c r="W520" s="171"/>
      <c r="X520" s="171">
        <v>1</v>
      </c>
      <c r="Y520" s="171"/>
      <c r="Z520" s="171"/>
      <c r="AA520" s="171"/>
      <c r="AB520" s="171"/>
      <c r="AC520" s="171">
        <v>1</v>
      </c>
      <c r="AD520" s="171"/>
      <c r="AE520" s="171"/>
      <c r="AF520" s="171"/>
      <c r="AG520" s="171"/>
      <c r="AH520" s="22"/>
      <c r="AI520" s="171"/>
      <c r="AJ520" s="22">
        <f t="shared" si="7"/>
        <v>9</v>
      </c>
      <c r="AK520" s="22">
        <f t="shared" si="8"/>
        <v>9</v>
      </c>
    </row>
    <row r="521" spans="1:37" ht="15.75" customHeight="1">
      <c r="A521" s="167" t="s">
        <v>924</v>
      </c>
      <c r="B521" s="167" t="s">
        <v>2056</v>
      </c>
      <c r="C521" s="22" t="s">
        <v>923</v>
      </c>
      <c r="D521" s="168">
        <v>1</v>
      </c>
      <c r="E521" s="169" t="b">
        <v>1</v>
      </c>
      <c r="F521" s="170" t="s">
        <v>1742</v>
      </c>
      <c r="G521" s="171">
        <v>1</v>
      </c>
      <c r="H521" s="171">
        <v>1</v>
      </c>
      <c r="I521" s="171">
        <v>1</v>
      </c>
      <c r="J521" s="171">
        <v>1</v>
      </c>
      <c r="K521" s="171">
        <v>1</v>
      </c>
      <c r="L521" s="171">
        <v>2</v>
      </c>
      <c r="M521" s="171"/>
      <c r="N521" s="171"/>
      <c r="O521" s="171"/>
      <c r="P521" s="171"/>
      <c r="Q521" s="171"/>
      <c r="R521" s="171"/>
      <c r="S521" s="171"/>
      <c r="T521" s="171"/>
      <c r="U521" s="171"/>
      <c r="V521" s="171"/>
      <c r="W521" s="171"/>
      <c r="X521" s="171"/>
      <c r="Y521" s="171"/>
      <c r="Z521" s="171"/>
      <c r="AA521" s="171"/>
      <c r="AB521" s="171"/>
      <c r="AC521" s="171"/>
      <c r="AD521" s="171"/>
      <c r="AE521" s="171"/>
      <c r="AF521" s="171"/>
      <c r="AG521" s="171"/>
      <c r="AH521" s="22"/>
      <c r="AI521" s="171"/>
      <c r="AJ521" s="22">
        <f t="shared" si="7"/>
        <v>6</v>
      </c>
      <c r="AK521" s="22">
        <f t="shared" si="8"/>
        <v>7</v>
      </c>
    </row>
    <row r="522" spans="1:37" ht="15.75" customHeight="1">
      <c r="A522" s="167" t="s">
        <v>926</v>
      </c>
      <c r="B522" s="167" t="s">
        <v>2056</v>
      </c>
      <c r="C522" s="22" t="s">
        <v>925</v>
      </c>
      <c r="D522" s="168">
        <v>1</v>
      </c>
      <c r="E522" s="169" t="b">
        <v>1</v>
      </c>
      <c r="F522" s="170" t="s">
        <v>1920</v>
      </c>
      <c r="G522" s="171">
        <v>1</v>
      </c>
      <c r="H522" s="171">
        <v>1</v>
      </c>
      <c r="I522" s="171">
        <v>1</v>
      </c>
      <c r="J522" s="171">
        <v>1</v>
      </c>
      <c r="K522" s="171">
        <v>1</v>
      </c>
      <c r="L522" s="171"/>
      <c r="M522" s="171"/>
      <c r="N522" s="171"/>
      <c r="O522" s="171"/>
      <c r="P522" s="171"/>
      <c r="Q522" s="171">
        <v>1</v>
      </c>
      <c r="R522" s="171"/>
      <c r="S522" s="171"/>
      <c r="T522" s="171"/>
      <c r="U522" s="171"/>
      <c r="V522" s="171"/>
      <c r="W522" s="171"/>
      <c r="X522" s="171"/>
      <c r="Y522" s="171"/>
      <c r="Z522" s="171"/>
      <c r="AA522" s="171"/>
      <c r="AB522" s="171"/>
      <c r="AC522" s="171"/>
      <c r="AD522" s="171"/>
      <c r="AE522" s="171"/>
      <c r="AF522" s="171"/>
      <c r="AG522" s="171"/>
      <c r="AH522" s="22"/>
      <c r="AI522" s="171"/>
      <c r="AJ522" s="22">
        <f t="shared" si="7"/>
        <v>6</v>
      </c>
      <c r="AK522" s="22">
        <f t="shared" si="8"/>
        <v>6</v>
      </c>
    </row>
    <row r="523" spans="1:37" ht="15.75" customHeight="1">
      <c r="A523" s="167" t="s">
        <v>928</v>
      </c>
      <c r="B523" s="167" t="s">
        <v>2056</v>
      </c>
      <c r="C523" s="22" t="s">
        <v>927</v>
      </c>
      <c r="D523" s="168">
        <v>1</v>
      </c>
      <c r="E523" s="169" t="b">
        <v>1</v>
      </c>
      <c r="F523" s="174" t="s">
        <v>1743</v>
      </c>
      <c r="G523" s="179">
        <v>1</v>
      </c>
      <c r="H523" s="179">
        <v>1</v>
      </c>
      <c r="I523" s="171">
        <v>1</v>
      </c>
      <c r="J523" s="179">
        <v>1</v>
      </c>
      <c r="K523" s="171">
        <v>1</v>
      </c>
      <c r="L523" s="171"/>
      <c r="M523" s="171">
        <v>1</v>
      </c>
      <c r="N523" s="171"/>
      <c r="O523" s="171"/>
      <c r="P523" s="171"/>
      <c r="Q523" s="179">
        <v>1</v>
      </c>
      <c r="R523" s="171"/>
      <c r="S523" s="171"/>
      <c r="T523" s="171"/>
      <c r="U523" s="171"/>
      <c r="V523" s="171"/>
      <c r="W523" s="171"/>
      <c r="X523" s="171"/>
      <c r="Y523" s="171"/>
      <c r="Z523" s="171"/>
      <c r="AA523" s="171"/>
      <c r="AB523" s="171"/>
      <c r="AC523" s="171"/>
      <c r="AD523" s="171"/>
      <c r="AE523" s="171"/>
      <c r="AF523" s="171"/>
      <c r="AG523" s="171"/>
      <c r="AH523" s="22"/>
      <c r="AI523" s="171"/>
      <c r="AJ523" s="22">
        <f t="shared" si="7"/>
        <v>7</v>
      </c>
      <c r="AK523" s="22">
        <f t="shared" si="8"/>
        <v>7</v>
      </c>
    </row>
    <row r="524" spans="1:37" ht="15.75" customHeight="1">
      <c r="A524" s="167" t="s">
        <v>930</v>
      </c>
      <c r="B524" s="167" t="s">
        <v>2056</v>
      </c>
      <c r="C524" s="22" t="s">
        <v>929</v>
      </c>
      <c r="D524" s="168">
        <v>1</v>
      </c>
      <c r="E524" s="169" t="b">
        <v>1</v>
      </c>
      <c r="F524" s="170" t="s">
        <v>1629</v>
      </c>
      <c r="G524" s="171">
        <v>1</v>
      </c>
      <c r="H524" s="171">
        <v>1</v>
      </c>
      <c r="I524" s="171">
        <v>1</v>
      </c>
      <c r="J524" s="171">
        <v>1</v>
      </c>
      <c r="K524" s="171">
        <v>1</v>
      </c>
      <c r="L524" s="171"/>
      <c r="M524" s="171"/>
      <c r="N524" s="171"/>
      <c r="O524" s="171"/>
      <c r="P524" s="171">
        <v>1</v>
      </c>
      <c r="Q524" s="171"/>
      <c r="R524" s="171"/>
      <c r="S524" s="171"/>
      <c r="T524" s="171">
        <v>1</v>
      </c>
      <c r="U524" s="171"/>
      <c r="V524" s="171"/>
      <c r="W524" s="171"/>
      <c r="X524" s="171"/>
      <c r="Y524" s="171"/>
      <c r="Z524" s="171"/>
      <c r="AA524" s="171"/>
      <c r="AB524" s="171"/>
      <c r="AC524" s="171"/>
      <c r="AD524" s="171"/>
      <c r="AE524" s="171"/>
      <c r="AF524" s="171"/>
      <c r="AG524" s="171"/>
      <c r="AH524" s="22"/>
      <c r="AI524" s="171" t="s">
        <v>1630</v>
      </c>
      <c r="AJ524" s="22">
        <f t="shared" si="7"/>
        <v>7</v>
      </c>
      <c r="AK524" s="22">
        <f t="shared" si="8"/>
        <v>7</v>
      </c>
    </row>
    <row r="525" spans="1:37" ht="15.75" customHeight="1">
      <c r="A525" s="167" t="s">
        <v>932</v>
      </c>
      <c r="B525" s="167" t="s">
        <v>2056</v>
      </c>
      <c r="C525" s="22" t="s">
        <v>931</v>
      </c>
      <c r="D525" s="168">
        <v>1</v>
      </c>
      <c r="E525" s="169" t="b">
        <v>1</v>
      </c>
      <c r="F525" s="170" t="s">
        <v>1415</v>
      </c>
      <c r="G525" s="171">
        <v>1</v>
      </c>
      <c r="H525" s="171">
        <v>1</v>
      </c>
      <c r="I525" s="171">
        <v>1</v>
      </c>
      <c r="J525" s="171">
        <v>1</v>
      </c>
      <c r="K525" s="171">
        <v>1</v>
      </c>
      <c r="L525" s="171">
        <v>2</v>
      </c>
      <c r="M525" s="171"/>
      <c r="N525" s="171"/>
      <c r="O525" s="171"/>
      <c r="P525" s="171">
        <v>1</v>
      </c>
      <c r="Q525" s="171"/>
      <c r="R525" s="171"/>
      <c r="S525" s="171"/>
      <c r="T525" s="171"/>
      <c r="U525" s="171"/>
      <c r="V525" s="171"/>
      <c r="W525" s="171"/>
      <c r="X525" s="171"/>
      <c r="Y525" s="171"/>
      <c r="Z525" s="171"/>
      <c r="AA525" s="171"/>
      <c r="AB525" s="171"/>
      <c r="AC525" s="171"/>
      <c r="AD525" s="171"/>
      <c r="AE525" s="171"/>
      <c r="AF525" s="171"/>
      <c r="AG525" s="171">
        <v>2</v>
      </c>
      <c r="AH525" s="22"/>
      <c r="AI525" s="171" t="s">
        <v>1416</v>
      </c>
      <c r="AJ525" s="22">
        <f t="shared" si="7"/>
        <v>8</v>
      </c>
      <c r="AK525" s="22">
        <f t="shared" si="8"/>
        <v>10</v>
      </c>
    </row>
    <row r="526" spans="1:37" ht="15.75" customHeight="1">
      <c r="A526" s="167" t="s">
        <v>934</v>
      </c>
      <c r="B526" s="167" t="s">
        <v>2056</v>
      </c>
      <c r="C526" s="22" t="s">
        <v>933</v>
      </c>
      <c r="D526" s="168">
        <v>1</v>
      </c>
      <c r="E526" s="169" t="b">
        <v>1</v>
      </c>
      <c r="F526" s="170" t="s">
        <v>1744</v>
      </c>
      <c r="G526" s="171">
        <v>1</v>
      </c>
      <c r="H526" s="171">
        <v>1</v>
      </c>
      <c r="I526" s="171">
        <v>1</v>
      </c>
      <c r="J526" s="171">
        <v>1</v>
      </c>
      <c r="K526" s="171">
        <v>1</v>
      </c>
      <c r="L526" s="171"/>
      <c r="M526" s="171">
        <v>1</v>
      </c>
      <c r="N526" s="171"/>
      <c r="O526" s="171"/>
      <c r="P526" s="171"/>
      <c r="Q526" s="171">
        <v>1</v>
      </c>
      <c r="R526" s="171"/>
      <c r="S526" s="171"/>
      <c r="T526" s="171"/>
      <c r="U526" s="171"/>
      <c r="V526" s="171"/>
      <c r="W526" s="171"/>
      <c r="X526" s="171"/>
      <c r="Y526" s="171"/>
      <c r="Z526" s="171"/>
      <c r="AA526" s="171"/>
      <c r="AB526" s="171"/>
      <c r="AC526" s="171"/>
      <c r="AD526" s="171"/>
      <c r="AE526" s="171"/>
      <c r="AF526" s="171"/>
      <c r="AG526" s="171"/>
      <c r="AH526" s="22"/>
      <c r="AI526" s="171"/>
      <c r="AJ526" s="22">
        <f t="shared" si="7"/>
        <v>7</v>
      </c>
      <c r="AK526" s="22">
        <f t="shared" si="8"/>
        <v>7</v>
      </c>
    </row>
    <row r="527" spans="1:37" ht="15.75" customHeight="1">
      <c r="A527" s="167" t="s">
        <v>936</v>
      </c>
      <c r="B527" s="167" t="s">
        <v>2056</v>
      </c>
      <c r="C527" s="22" t="s">
        <v>935</v>
      </c>
      <c r="D527" s="168">
        <v>1</v>
      </c>
      <c r="E527" s="169" t="b">
        <v>1</v>
      </c>
      <c r="F527" s="170" t="s">
        <v>1921</v>
      </c>
      <c r="G527" s="171">
        <v>1</v>
      </c>
      <c r="H527" s="171">
        <v>1</v>
      </c>
      <c r="I527" s="171">
        <v>1</v>
      </c>
      <c r="J527" s="171">
        <v>1</v>
      </c>
      <c r="K527" s="171">
        <v>1</v>
      </c>
      <c r="L527" s="171">
        <v>1</v>
      </c>
      <c r="M527" s="171"/>
      <c r="N527" s="171"/>
      <c r="O527" s="171"/>
      <c r="P527" s="171"/>
      <c r="Q527" s="171"/>
      <c r="R527" s="171"/>
      <c r="S527" s="171"/>
      <c r="T527" s="171"/>
      <c r="U527" s="171"/>
      <c r="V527" s="171"/>
      <c r="W527" s="171"/>
      <c r="X527" s="171"/>
      <c r="Y527" s="171"/>
      <c r="Z527" s="171"/>
      <c r="AA527" s="171"/>
      <c r="AB527" s="171"/>
      <c r="AC527" s="171"/>
      <c r="AD527" s="171"/>
      <c r="AE527" s="171"/>
      <c r="AF527" s="171"/>
      <c r="AG527" s="171"/>
      <c r="AH527" s="22"/>
      <c r="AI527" s="171"/>
      <c r="AJ527" s="22">
        <f t="shared" si="7"/>
        <v>6</v>
      </c>
      <c r="AK527" s="22">
        <f t="shared" si="8"/>
        <v>6</v>
      </c>
    </row>
    <row r="528" spans="1:37" ht="15.75" customHeight="1">
      <c r="A528" s="167" t="s">
        <v>938</v>
      </c>
      <c r="B528" s="167" t="s">
        <v>2056</v>
      </c>
      <c r="C528" s="22" t="s">
        <v>937</v>
      </c>
      <c r="D528" s="168">
        <v>1</v>
      </c>
      <c r="E528" s="169" t="b">
        <v>1</v>
      </c>
      <c r="F528" s="170" t="s">
        <v>1922</v>
      </c>
      <c r="G528" s="171">
        <v>1</v>
      </c>
      <c r="H528" s="171">
        <v>1</v>
      </c>
      <c r="I528" s="171">
        <v>1</v>
      </c>
      <c r="J528" s="171">
        <v>1</v>
      </c>
      <c r="K528" s="171">
        <v>1</v>
      </c>
      <c r="L528" s="171"/>
      <c r="M528" s="171"/>
      <c r="N528" s="171">
        <v>1</v>
      </c>
      <c r="O528" s="171"/>
      <c r="P528" s="171"/>
      <c r="Q528" s="171"/>
      <c r="R528" s="171"/>
      <c r="S528" s="171"/>
      <c r="T528" s="171"/>
      <c r="U528" s="171"/>
      <c r="V528" s="171"/>
      <c r="W528" s="171"/>
      <c r="X528" s="171"/>
      <c r="Y528" s="171"/>
      <c r="Z528" s="171"/>
      <c r="AA528" s="171"/>
      <c r="AB528" s="171"/>
      <c r="AC528" s="171"/>
      <c r="AD528" s="171"/>
      <c r="AE528" s="171"/>
      <c r="AF528" s="171"/>
      <c r="AG528" s="171"/>
      <c r="AH528" s="22"/>
      <c r="AI528" s="171"/>
      <c r="AJ528" s="22">
        <f t="shared" si="7"/>
        <v>6</v>
      </c>
      <c r="AK528" s="22">
        <f t="shared" si="8"/>
        <v>6</v>
      </c>
    </row>
    <row r="529" spans="1:37" ht="15.75" customHeight="1">
      <c r="A529" s="167" t="s">
        <v>940</v>
      </c>
      <c r="B529" s="167" t="s">
        <v>2056</v>
      </c>
      <c r="C529" s="22" t="s">
        <v>939</v>
      </c>
      <c r="D529" s="168">
        <v>1</v>
      </c>
      <c r="E529" s="169" t="b">
        <v>1</v>
      </c>
      <c r="F529" s="170" t="s">
        <v>1843</v>
      </c>
      <c r="G529" s="171">
        <v>1</v>
      </c>
      <c r="H529" s="171">
        <v>1</v>
      </c>
      <c r="I529" s="171">
        <v>1</v>
      </c>
      <c r="J529" s="171">
        <v>1</v>
      </c>
      <c r="K529" s="171">
        <v>1</v>
      </c>
      <c r="L529" s="171">
        <v>1</v>
      </c>
      <c r="M529" s="171"/>
      <c r="N529" s="171"/>
      <c r="O529" s="171"/>
      <c r="P529" s="171"/>
      <c r="Q529" s="171"/>
      <c r="R529" s="171"/>
      <c r="S529" s="171"/>
      <c r="T529" s="171"/>
      <c r="U529" s="171"/>
      <c r="V529" s="171"/>
      <c r="W529" s="171"/>
      <c r="X529" s="171"/>
      <c r="Y529" s="171"/>
      <c r="Z529" s="171"/>
      <c r="AA529" s="171"/>
      <c r="AB529" s="171"/>
      <c r="AC529" s="171"/>
      <c r="AD529" s="171"/>
      <c r="AE529" s="171"/>
      <c r="AF529" s="171"/>
      <c r="AG529" s="171"/>
      <c r="AH529" s="22"/>
      <c r="AI529" s="171"/>
      <c r="AJ529" s="22">
        <f t="shared" si="7"/>
        <v>6</v>
      </c>
      <c r="AK529" s="22">
        <f t="shared" si="8"/>
        <v>6</v>
      </c>
    </row>
    <row r="530" spans="1:37" ht="15.75" customHeight="1">
      <c r="A530" s="167" t="s">
        <v>942</v>
      </c>
      <c r="B530" s="167" t="s">
        <v>2056</v>
      </c>
      <c r="C530" s="22" t="s">
        <v>941</v>
      </c>
      <c r="D530" s="168">
        <v>1</v>
      </c>
      <c r="E530" s="169" t="b">
        <v>1</v>
      </c>
      <c r="F530" s="170" t="s">
        <v>1745</v>
      </c>
      <c r="G530" s="171">
        <v>1</v>
      </c>
      <c r="H530" s="171">
        <v>1</v>
      </c>
      <c r="I530" s="171">
        <v>1</v>
      </c>
      <c r="J530" s="171">
        <v>1</v>
      </c>
      <c r="K530" s="171">
        <v>1</v>
      </c>
      <c r="L530" s="171"/>
      <c r="M530" s="171"/>
      <c r="N530" s="171">
        <v>1</v>
      </c>
      <c r="O530" s="171"/>
      <c r="P530" s="171">
        <v>1</v>
      </c>
      <c r="Q530" s="171"/>
      <c r="R530" s="171"/>
      <c r="S530" s="171"/>
      <c r="T530" s="171"/>
      <c r="U530" s="171"/>
      <c r="V530" s="171"/>
      <c r="W530" s="171"/>
      <c r="X530" s="171"/>
      <c r="Y530" s="171"/>
      <c r="Z530" s="171"/>
      <c r="AA530" s="171"/>
      <c r="AB530" s="171"/>
      <c r="AC530" s="171"/>
      <c r="AD530" s="171"/>
      <c r="AE530" s="171"/>
      <c r="AF530" s="171"/>
      <c r="AG530" s="171"/>
      <c r="AH530" s="22"/>
      <c r="AI530" s="171"/>
      <c r="AJ530" s="22">
        <f t="shared" si="7"/>
        <v>7</v>
      </c>
      <c r="AK530" s="22">
        <f t="shared" si="8"/>
        <v>7</v>
      </c>
    </row>
    <row r="531" spans="1:37" ht="15.75" customHeight="1">
      <c r="A531" s="167" t="s">
        <v>944</v>
      </c>
      <c r="B531" s="167" t="s">
        <v>2056</v>
      </c>
      <c r="C531" s="22" t="s">
        <v>943</v>
      </c>
      <c r="D531" s="168">
        <v>1</v>
      </c>
      <c r="E531" s="169" t="b">
        <v>1</v>
      </c>
      <c r="F531" s="170" t="s">
        <v>1460</v>
      </c>
      <c r="G531" s="171">
        <v>1</v>
      </c>
      <c r="H531" s="171">
        <v>1</v>
      </c>
      <c r="I531" s="171">
        <v>1</v>
      </c>
      <c r="J531" s="171">
        <v>1</v>
      </c>
      <c r="K531" s="171">
        <v>1</v>
      </c>
      <c r="L531" s="171">
        <v>1</v>
      </c>
      <c r="M531" s="171"/>
      <c r="N531" s="171"/>
      <c r="O531" s="171"/>
      <c r="P531" s="171"/>
      <c r="Q531" s="171"/>
      <c r="R531" s="171"/>
      <c r="S531" s="171"/>
      <c r="T531" s="171"/>
      <c r="U531" s="171"/>
      <c r="V531" s="171"/>
      <c r="W531" s="171"/>
      <c r="X531" s="171"/>
      <c r="Y531" s="171"/>
      <c r="Z531" s="171"/>
      <c r="AA531" s="171"/>
      <c r="AB531" s="171"/>
      <c r="AC531" s="171"/>
      <c r="AD531" s="171"/>
      <c r="AE531" s="171"/>
      <c r="AF531" s="171">
        <v>1</v>
      </c>
      <c r="AG531" s="171"/>
      <c r="AH531" s="22"/>
      <c r="AI531" s="171"/>
      <c r="AJ531" s="22">
        <f t="shared" si="7"/>
        <v>7</v>
      </c>
      <c r="AK531" s="22">
        <f t="shared" si="8"/>
        <v>7</v>
      </c>
    </row>
    <row r="532" spans="1:37" ht="15.75" customHeight="1">
      <c r="A532" s="167" t="s">
        <v>946</v>
      </c>
      <c r="B532" s="167" t="s">
        <v>2056</v>
      </c>
      <c r="C532" s="22" t="s">
        <v>945</v>
      </c>
      <c r="D532" s="168">
        <v>1</v>
      </c>
      <c r="E532" s="169" t="b">
        <v>1</v>
      </c>
      <c r="F532" s="170" t="s">
        <v>1923</v>
      </c>
      <c r="G532" s="171">
        <v>1</v>
      </c>
      <c r="H532" s="171">
        <v>1</v>
      </c>
      <c r="I532" s="171">
        <v>1</v>
      </c>
      <c r="J532" s="171">
        <v>1</v>
      </c>
      <c r="K532" s="171">
        <v>1</v>
      </c>
      <c r="L532" s="171"/>
      <c r="M532" s="171"/>
      <c r="N532" s="171"/>
      <c r="O532" s="171"/>
      <c r="P532" s="171"/>
      <c r="Q532" s="171"/>
      <c r="R532" s="171"/>
      <c r="S532" s="171"/>
      <c r="T532" s="171"/>
      <c r="U532" s="171"/>
      <c r="V532" s="171"/>
      <c r="W532" s="171"/>
      <c r="X532" s="171"/>
      <c r="Y532" s="171"/>
      <c r="Z532" s="171"/>
      <c r="AA532" s="171"/>
      <c r="AB532" s="171"/>
      <c r="AC532" s="171"/>
      <c r="AD532" s="171"/>
      <c r="AE532" s="171"/>
      <c r="AF532" s="171"/>
      <c r="AG532" s="171">
        <v>1</v>
      </c>
      <c r="AH532" s="22"/>
      <c r="AI532" s="171" t="s">
        <v>1648</v>
      </c>
      <c r="AJ532" s="22">
        <f t="shared" si="7"/>
        <v>6</v>
      </c>
      <c r="AK532" s="22">
        <f t="shared" si="8"/>
        <v>6</v>
      </c>
    </row>
    <row r="533" spans="1:37" ht="15.75" customHeight="1">
      <c r="A533" s="167" t="s">
        <v>948</v>
      </c>
      <c r="B533" s="167" t="s">
        <v>2056</v>
      </c>
      <c r="C533" s="22" t="s">
        <v>947</v>
      </c>
      <c r="D533" s="168">
        <v>1</v>
      </c>
      <c r="E533" s="169" t="b">
        <v>1</v>
      </c>
      <c r="F533" s="170" t="s">
        <v>1924</v>
      </c>
      <c r="G533" s="171">
        <v>1</v>
      </c>
      <c r="H533" s="171">
        <v>1</v>
      </c>
      <c r="I533" s="171">
        <v>1</v>
      </c>
      <c r="J533" s="171">
        <v>1</v>
      </c>
      <c r="K533" s="171">
        <v>1</v>
      </c>
      <c r="L533" s="171">
        <v>1</v>
      </c>
      <c r="M533" s="171"/>
      <c r="N533" s="171"/>
      <c r="O533" s="171"/>
      <c r="P533" s="171"/>
      <c r="Q533" s="171"/>
      <c r="R533" s="171"/>
      <c r="S533" s="171"/>
      <c r="T533" s="171"/>
      <c r="U533" s="171"/>
      <c r="V533" s="171"/>
      <c r="W533" s="171"/>
      <c r="X533" s="171"/>
      <c r="Y533" s="171"/>
      <c r="Z533" s="171"/>
      <c r="AA533" s="171"/>
      <c r="AB533" s="171"/>
      <c r="AC533" s="171"/>
      <c r="AD533" s="171"/>
      <c r="AE533" s="171"/>
      <c r="AF533" s="171"/>
      <c r="AG533" s="171"/>
      <c r="AH533" s="22"/>
      <c r="AI533" s="171"/>
      <c r="AJ533" s="22">
        <f t="shared" si="7"/>
        <v>6</v>
      </c>
      <c r="AK533" s="22">
        <f t="shared" si="8"/>
        <v>6</v>
      </c>
    </row>
    <row r="534" spans="1:37" ht="15.75" customHeight="1">
      <c r="A534" s="167" t="s">
        <v>950</v>
      </c>
      <c r="B534" s="167" t="s">
        <v>2056</v>
      </c>
      <c r="C534" s="22" t="s">
        <v>949</v>
      </c>
      <c r="D534" s="168">
        <v>1</v>
      </c>
      <c r="E534" s="169" t="b">
        <v>1</v>
      </c>
      <c r="F534" s="170" t="s">
        <v>1460</v>
      </c>
      <c r="G534" s="171">
        <v>1</v>
      </c>
      <c r="H534" s="171">
        <v>1</v>
      </c>
      <c r="I534" s="171">
        <v>1</v>
      </c>
      <c r="J534" s="171">
        <v>1</v>
      </c>
      <c r="K534" s="171">
        <v>1</v>
      </c>
      <c r="L534" s="171">
        <v>1</v>
      </c>
      <c r="M534" s="171"/>
      <c r="N534" s="171"/>
      <c r="O534" s="171"/>
      <c r="P534" s="171"/>
      <c r="Q534" s="171"/>
      <c r="R534" s="171"/>
      <c r="S534" s="171"/>
      <c r="T534" s="171"/>
      <c r="U534" s="171"/>
      <c r="V534" s="171">
        <v>1</v>
      </c>
      <c r="W534" s="171"/>
      <c r="X534" s="171"/>
      <c r="Y534" s="171"/>
      <c r="Z534" s="171"/>
      <c r="AA534" s="171"/>
      <c r="AB534" s="171"/>
      <c r="AC534" s="171"/>
      <c r="AD534" s="171"/>
      <c r="AE534" s="171"/>
      <c r="AF534" s="171">
        <v>1</v>
      </c>
      <c r="AG534" s="171">
        <v>1</v>
      </c>
      <c r="AH534" s="22"/>
      <c r="AI534" s="171" t="s">
        <v>1461</v>
      </c>
      <c r="AJ534" s="22">
        <f t="shared" si="7"/>
        <v>9</v>
      </c>
      <c r="AK534" s="22">
        <f t="shared" si="8"/>
        <v>9</v>
      </c>
    </row>
    <row r="535" spans="1:37" ht="15.75" customHeight="1">
      <c r="A535" s="167" t="s">
        <v>952</v>
      </c>
      <c r="B535" s="167" t="s">
        <v>2056</v>
      </c>
      <c r="C535" s="22" t="s">
        <v>951</v>
      </c>
      <c r="D535" s="168">
        <v>1</v>
      </c>
      <c r="E535" s="169" t="b">
        <v>1</v>
      </c>
      <c r="F535" s="174" t="s">
        <v>1746</v>
      </c>
      <c r="G535" s="171">
        <v>1</v>
      </c>
      <c r="H535" s="171">
        <v>1</v>
      </c>
      <c r="I535" s="171">
        <v>1</v>
      </c>
      <c r="J535" s="171">
        <v>1</v>
      </c>
      <c r="K535" s="171">
        <v>1</v>
      </c>
      <c r="L535" s="171">
        <v>1</v>
      </c>
      <c r="M535" s="171"/>
      <c r="N535" s="171"/>
      <c r="O535" s="171"/>
      <c r="P535" s="171"/>
      <c r="Q535" s="171"/>
      <c r="R535" s="171"/>
      <c r="S535" s="171"/>
      <c r="T535" s="171"/>
      <c r="U535" s="171"/>
      <c r="V535" s="171"/>
      <c r="W535" s="171"/>
      <c r="X535" s="171"/>
      <c r="Y535" s="171"/>
      <c r="Z535" s="171"/>
      <c r="AA535" s="171">
        <v>1</v>
      </c>
      <c r="AB535" s="171"/>
      <c r="AC535" s="171"/>
      <c r="AD535" s="171"/>
      <c r="AE535" s="171"/>
      <c r="AF535" s="171"/>
      <c r="AG535" s="171"/>
      <c r="AH535" s="22"/>
      <c r="AI535" s="171"/>
      <c r="AJ535" s="22">
        <f t="shared" si="7"/>
        <v>7</v>
      </c>
      <c r="AK535" s="22">
        <f t="shared" si="8"/>
        <v>7</v>
      </c>
    </row>
    <row r="536" spans="1:37" ht="15.75" customHeight="1">
      <c r="A536" s="167" t="s">
        <v>954</v>
      </c>
      <c r="B536" s="167" t="s">
        <v>2056</v>
      </c>
      <c r="C536" s="22" t="s">
        <v>953</v>
      </c>
      <c r="D536" s="168">
        <v>1</v>
      </c>
      <c r="E536" s="169" t="b">
        <v>1</v>
      </c>
      <c r="F536" s="170" t="s">
        <v>1747</v>
      </c>
      <c r="G536" s="171">
        <v>1</v>
      </c>
      <c r="H536" s="171">
        <v>1</v>
      </c>
      <c r="I536" s="171">
        <v>1</v>
      </c>
      <c r="J536" s="171">
        <v>1</v>
      </c>
      <c r="K536" s="171">
        <v>1</v>
      </c>
      <c r="L536" s="171"/>
      <c r="M536" s="171"/>
      <c r="N536" s="171"/>
      <c r="O536" s="171"/>
      <c r="P536" s="171">
        <v>1</v>
      </c>
      <c r="Q536" s="171"/>
      <c r="R536" s="171"/>
      <c r="S536" s="171"/>
      <c r="T536" s="171"/>
      <c r="U536" s="171"/>
      <c r="V536" s="171"/>
      <c r="W536" s="171"/>
      <c r="X536" s="171">
        <v>1</v>
      </c>
      <c r="Y536" s="171"/>
      <c r="Z536" s="171"/>
      <c r="AA536" s="171"/>
      <c r="AB536" s="171"/>
      <c r="AC536" s="171"/>
      <c r="AD536" s="171"/>
      <c r="AE536" s="171"/>
      <c r="AF536" s="171"/>
      <c r="AG536" s="171"/>
      <c r="AH536" s="22"/>
      <c r="AI536" s="171"/>
      <c r="AJ536" s="22">
        <f t="shared" si="7"/>
        <v>7</v>
      </c>
      <c r="AK536" s="22">
        <f t="shared" si="8"/>
        <v>7</v>
      </c>
    </row>
    <row r="537" spans="1:37" ht="15.75" customHeight="1">
      <c r="A537" s="167" t="s">
        <v>956</v>
      </c>
      <c r="B537" s="167" t="s">
        <v>2056</v>
      </c>
      <c r="C537" s="22" t="s">
        <v>955</v>
      </c>
      <c r="D537" s="168">
        <v>1</v>
      </c>
      <c r="E537" s="169" t="b">
        <v>1</v>
      </c>
      <c r="F537" s="170" t="s">
        <v>2031</v>
      </c>
      <c r="G537" s="171">
        <v>1</v>
      </c>
      <c r="H537" s="171">
        <v>1</v>
      </c>
      <c r="I537" s="171">
        <v>1</v>
      </c>
      <c r="J537" s="171">
        <v>1</v>
      </c>
      <c r="K537" s="171">
        <v>1</v>
      </c>
      <c r="L537" s="171"/>
      <c r="M537" s="171"/>
      <c r="N537" s="171"/>
      <c r="O537" s="171"/>
      <c r="P537" s="171"/>
      <c r="Q537" s="171"/>
      <c r="R537" s="171"/>
      <c r="S537" s="171"/>
      <c r="T537" s="171"/>
      <c r="U537" s="171"/>
      <c r="V537" s="171"/>
      <c r="W537" s="171"/>
      <c r="X537" s="171"/>
      <c r="Y537" s="171"/>
      <c r="Z537" s="171"/>
      <c r="AA537" s="171"/>
      <c r="AB537" s="171"/>
      <c r="AC537" s="171"/>
      <c r="AD537" s="171"/>
      <c r="AE537" s="171"/>
      <c r="AF537" s="171"/>
      <c r="AG537" s="171"/>
      <c r="AH537" s="22"/>
      <c r="AI537" s="171"/>
      <c r="AJ537" s="22">
        <f t="shared" si="7"/>
        <v>5</v>
      </c>
      <c r="AK537" s="22">
        <f t="shared" si="8"/>
        <v>5</v>
      </c>
    </row>
    <row r="538" spans="1:37" ht="15.75" customHeight="1">
      <c r="A538" s="167" t="s">
        <v>958</v>
      </c>
      <c r="B538" s="167" t="s">
        <v>2056</v>
      </c>
      <c r="C538" s="22" t="s">
        <v>957</v>
      </c>
      <c r="D538" s="168">
        <v>1</v>
      </c>
      <c r="E538" s="169" t="b">
        <v>1</v>
      </c>
      <c r="F538" s="170" t="s">
        <v>1748</v>
      </c>
      <c r="G538" s="171">
        <v>1</v>
      </c>
      <c r="H538" s="171">
        <v>1</v>
      </c>
      <c r="I538" s="171">
        <v>1</v>
      </c>
      <c r="J538" s="171">
        <v>1</v>
      </c>
      <c r="K538" s="171">
        <v>1</v>
      </c>
      <c r="L538" s="171">
        <v>1</v>
      </c>
      <c r="M538" s="171">
        <v>1</v>
      </c>
      <c r="N538" s="171"/>
      <c r="O538" s="171"/>
      <c r="P538" s="171"/>
      <c r="Q538" s="171"/>
      <c r="R538" s="171"/>
      <c r="S538" s="171"/>
      <c r="T538" s="171"/>
      <c r="U538" s="171"/>
      <c r="V538" s="171"/>
      <c r="W538" s="171"/>
      <c r="X538" s="171"/>
      <c r="Y538" s="171"/>
      <c r="Z538" s="171"/>
      <c r="AA538" s="171"/>
      <c r="AB538" s="171"/>
      <c r="AC538" s="171"/>
      <c r="AD538" s="171"/>
      <c r="AE538" s="171"/>
      <c r="AF538" s="171"/>
      <c r="AG538" s="171"/>
      <c r="AH538" s="22"/>
      <c r="AI538" s="171"/>
      <c r="AJ538" s="22">
        <f t="shared" si="7"/>
        <v>7</v>
      </c>
      <c r="AK538" s="22">
        <f t="shared" si="8"/>
        <v>7</v>
      </c>
    </row>
    <row r="539" spans="1:37" ht="15.75" customHeight="1">
      <c r="A539" s="167" t="s">
        <v>960</v>
      </c>
      <c r="B539" s="167" t="s">
        <v>2056</v>
      </c>
      <c r="C539" s="22" t="s">
        <v>959</v>
      </c>
      <c r="D539" s="168">
        <v>1</v>
      </c>
      <c r="E539" s="169" t="b">
        <v>1</v>
      </c>
      <c r="F539" s="170" t="s">
        <v>1925</v>
      </c>
      <c r="G539" s="171">
        <v>1</v>
      </c>
      <c r="H539" s="171">
        <v>1</v>
      </c>
      <c r="I539" s="171">
        <v>1</v>
      </c>
      <c r="J539" s="171">
        <v>1</v>
      </c>
      <c r="K539" s="171">
        <v>1</v>
      </c>
      <c r="L539" s="171"/>
      <c r="M539" s="171"/>
      <c r="N539" s="171"/>
      <c r="O539" s="171"/>
      <c r="P539" s="171"/>
      <c r="Q539" s="171"/>
      <c r="R539" s="171"/>
      <c r="S539" s="171"/>
      <c r="T539" s="171"/>
      <c r="U539" s="171"/>
      <c r="V539" s="171"/>
      <c r="W539" s="171">
        <v>1</v>
      </c>
      <c r="X539" s="171"/>
      <c r="Y539" s="171"/>
      <c r="Z539" s="171"/>
      <c r="AA539" s="171"/>
      <c r="AB539" s="171"/>
      <c r="AC539" s="171"/>
      <c r="AD539" s="171"/>
      <c r="AE539" s="171"/>
      <c r="AF539" s="171"/>
      <c r="AG539" s="171"/>
      <c r="AH539" s="22"/>
      <c r="AI539" s="171"/>
      <c r="AJ539" s="22">
        <f t="shared" si="7"/>
        <v>6</v>
      </c>
      <c r="AK539" s="22">
        <f t="shared" si="8"/>
        <v>6</v>
      </c>
    </row>
    <row r="540" spans="1:37" ht="15.75" customHeight="1">
      <c r="A540" s="167" t="s">
        <v>1288</v>
      </c>
      <c r="B540" s="167" t="s">
        <v>2055</v>
      </c>
      <c r="C540" s="22" t="s">
        <v>1287</v>
      </c>
      <c r="D540" s="168">
        <v>1</v>
      </c>
      <c r="E540" s="169" t="b">
        <v>1</v>
      </c>
      <c r="F540" s="183" t="s">
        <v>1968</v>
      </c>
      <c r="G540" s="171">
        <v>1</v>
      </c>
      <c r="H540" s="171">
        <v>1</v>
      </c>
      <c r="I540" s="171">
        <v>1</v>
      </c>
      <c r="J540" s="171">
        <v>1</v>
      </c>
      <c r="K540" s="171">
        <v>1</v>
      </c>
      <c r="L540" s="171"/>
      <c r="M540" s="171"/>
      <c r="N540" s="171"/>
      <c r="O540" s="171">
        <v>1</v>
      </c>
      <c r="P540" s="171"/>
      <c r="Q540" s="171"/>
      <c r="R540" s="171"/>
      <c r="S540" s="171"/>
      <c r="T540" s="171"/>
      <c r="U540" s="171"/>
      <c r="V540" s="171"/>
      <c r="W540" s="171"/>
      <c r="X540" s="171"/>
      <c r="Y540" s="171"/>
      <c r="Z540" s="171"/>
      <c r="AA540" s="171"/>
      <c r="AB540" s="171"/>
      <c r="AC540" s="171"/>
      <c r="AD540" s="171"/>
      <c r="AE540" s="171"/>
      <c r="AF540" s="171"/>
      <c r="AG540" s="171"/>
      <c r="AH540" s="22"/>
      <c r="AI540" s="171"/>
      <c r="AJ540" s="22">
        <f t="shared" si="7"/>
        <v>6</v>
      </c>
      <c r="AK540" s="22">
        <f t="shared" si="8"/>
        <v>6</v>
      </c>
    </row>
    <row r="541" spans="1:37" ht="15.75" customHeight="1">
      <c r="A541" s="167" t="s">
        <v>962</v>
      </c>
      <c r="B541" s="167" t="s">
        <v>2056</v>
      </c>
      <c r="C541" s="22" t="s">
        <v>961</v>
      </c>
      <c r="D541" s="168">
        <v>1</v>
      </c>
      <c r="E541" s="169" t="b">
        <v>1</v>
      </c>
      <c r="F541" s="170" t="s">
        <v>1749</v>
      </c>
      <c r="G541" s="171">
        <v>1</v>
      </c>
      <c r="H541" s="171">
        <v>1</v>
      </c>
      <c r="I541" s="171">
        <v>1</v>
      </c>
      <c r="J541" s="171">
        <v>1</v>
      </c>
      <c r="K541" s="171">
        <v>1</v>
      </c>
      <c r="L541" s="171"/>
      <c r="M541" s="171">
        <v>1</v>
      </c>
      <c r="N541" s="171"/>
      <c r="O541" s="171"/>
      <c r="P541" s="171"/>
      <c r="Q541" s="171"/>
      <c r="R541" s="171"/>
      <c r="S541" s="171"/>
      <c r="T541" s="171"/>
      <c r="U541" s="171"/>
      <c r="V541" s="171"/>
      <c r="W541" s="171"/>
      <c r="X541" s="171"/>
      <c r="Y541" s="171"/>
      <c r="Z541" s="171"/>
      <c r="AA541" s="171"/>
      <c r="AB541" s="171"/>
      <c r="AC541" s="171"/>
      <c r="AD541" s="171"/>
      <c r="AE541" s="171"/>
      <c r="AF541" s="171"/>
      <c r="AG541" s="171">
        <v>1</v>
      </c>
      <c r="AH541" s="22"/>
      <c r="AI541" s="171" t="s">
        <v>1750</v>
      </c>
      <c r="AJ541" s="22">
        <f t="shared" si="7"/>
        <v>7</v>
      </c>
      <c r="AK541" s="22">
        <f t="shared" si="8"/>
        <v>7</v>
      </c>
    </row>
    <row r="542" spans="1:37" ht="15.75" customHeight="1">
      <c r="A542" s="167" t="s">
        <v>964</v>
      </c>
      <c r="B542" s="167" t="s">
        <v>2056</v>
      </c>
      <c r="C542" s="22" t="s">
        <v>963</v>
      </c>
      <c r="D542" s="168">
        <v>1</v>
      </c>
      <c r="E542" s="169" t="b">
        <v>1</v>
      </c>
      <c r="F542" s="170" t="s">
        <v>2032</v>
      </c>
      <c r="G542" s="171">
        <v>1</v>
      </c>
      <c r="H542" s="171">
        <v>1</v>
      </c>
      <c r="I542" s="171">
        <v>1</v>
      </c>
      <c r="J542" s="171">
        <v>1</v>
      </c>
      <c r="K542" s="171">
        <v>1</v>
      </c>
      <c r="L542" s="171"/>
      <c r="M542" s="171"/>
      <c r="N542" s="171"/>
      <c r="O542" s="171"/>
      <c r="P542" s="171"/>
      <c r="Q542" s="171"/>
      <c r="R542" s="171"/>
      <c r="S542" s="171"/>
      <c r="T542" s="171"/>
      <c r="U542" s="171"/>
      <c r="V542" s="171"/>
      <c r="W542" s="171"/>
      <c r="X542" s="171"/>
      <c r="Y542" s="171"/>
      <c r="Z542" s="171"/>
      <c r="AA542" s="171"/>
      <c r="AB542" s="171"/>
      <c r="AC542" s="171"/>
      <c r="AD542" s="171"/>
      <c r="AE542" s="171"/>
      <c r="AF542" s="171"/>
      <c r="AG542" s="171"/>
      <c r="AH542" s="22"/>
      <c r="AI542" s="171"/>
      <c r="AJ542" s="22">
        <f t="shared" si="7"/>
        <v>5</v>
      </c>
      <c r="AK542" s="22">
        <f t="shared" si="8"/>
        <v>5</v>
      </c>
    </row>
    <row r="543" spans="1:37" ht="15.75" customHeight="1">
      <c r="A543" s="167" t="s">
        <v>966</v>
      </c>
      <c r="B543" s="167" t="s">
        <v>2056</v>
      </c>
      <c r="C543" s="22" t="s">
        <v>965</v>
      </c>
      <c r="D543" s="168">
        <v>1</v>
      </c>
      <c r="E543" s="169" t="b">
        <v>1</v>
      </c>
      <c r="F543" s="170" t="s">
        <v>1462</v>
      </c>
      <c r="G543" s="171">
        <v>1</v>
      </c>
      <c r="H543" s="171">
        <v>1</v>
      </c>
      <c r="I543" s="171">
        <v>1</v>
      </c>
      <c r="J543" s="171">
        <v>1</v>
      </c>
      <c r="K543" s="171">
        <v>1</v>
      </c>
      <c r="L543" s="171">
        <v>3</v>
      </c>
      <c r="M543" s="171"/>
      <c r="N543" s="171"/>
      <c r="O543" s="171"/>
      <c r="P543" s="171"/>
      <c r="Q543" s="171"/>
      <c r="R543" s="171"/>
      <c r="S543" s="171"/>
      <c r="T543" s="171"/>
      <c r="U543" s="171"/>
      <c r="V543" s="171"/>
      <c r="W543" s="171"/>
      <c r="X543" s="171"/>
      <c r="Y543" s="171"/>
      <c r="Z543" s="171"/>
      <c r="AA543" s="171"/>
      <c r="AB543" s="171"/>
      <c r="AC543" s="171"/>
      <c r="AD543" s="171"/>
      <c r="AE543" s="171"/>
      <c r="AF543" s="171"/>
      <c r="AG543" s="171">
        <v>1</v>
      </c>
      <c r="AH543" s="22"/>
      <c r="AI543" s="171" t="s">
        <v>1463</v>
      </c>
      <c r="AJ543" s="22">
        <f t="shared" si="7"/>
        <v>7</v>
      </c>
      <c r="AK543" s="22">
        <f t="shared" si="8"/>
        <v>9</v>
      </c>
    </row>
    <row r="544" spans="1:37" ht="15.75" customHeight="1">
      <c r="A544" s="167" t="s">
        <v>968</v>
      </c>
      <c r="B544" s="167" t="s">
        <v>2056</v>
      </c>
      <c r="C544" s="22" t="s">
        <v>967</v>
      </c>
      <c r="D544" s="168">
        <v>1</v>
      </c>
      <c r="E544" s="169" t="b">
        <v>1</v>
      </c>
      <c r="F544" s="174" t="s">
        <v>1583</v>
      </c>
      <c r="G544" s="171">
        <v>1</v>
      </c>
      <c r="H544" s="171">
        <v>1</v>
      </c>
      <c r="I544" s="171">
        <v>1</v>
      </c>
      <c r="J544" s="171">
        <v>1</v>
      </c>
      <c r="K544" s="171">
        <v>1</v>
      </c>
      <c r="L544" s="171">
        <v>3</v>
      </c>
      <c r="M544" s="171"/>
      <c r="N544" s="171"/>
      <c r="O544" s="171"/>
      <c r="P544" s="171"/>
      <c r="Q544" s="171"/>
      <c r="R544" s="171"/>
      <c r="S544" s="171"/>
      <c r="T544" s="171"/>
      <c r="U544" s="171"/>
      <c r="V544" s="171"/>
      <c r="W544" s="171"/>
      <c r="X544" s="171"/>
      <c r="Y544" s="171"/>
      <c r="Z544" s="171"/>
      <c r="AA544" s="171"/>
      <c r="AB544" s="171"/>
      <c r="AC544" s="171"/>
      <c r="AD544" s="171"/>
      <c r="AE544" s="171"/>
      <c r="AF544" s="171"/>
      <c r="AG544" s="171"/>
      <c r="AH544" s="22"/>
      <c r="AI544" s="171"/>
      <c r="AJ544" s="22">
        <f t="shared" si="7"/>
        <v>6</v>
      </c>
      <c r="AK544" s="22">
        <f t="shared" si="8"/>
        <v>8</v>
      </c>
    </row>
    <row r="545" spans="1:37" ht="15.75" customHeight="1">
      <c r="A545" s="167" t="s">
        <v>970</v>
      </c>
      <c r="B545" s="167" t="s">
        <v>2056</v>
      </c>
      <c r="C545" s="22" t="s">
        <v>969</v>
      </c>
      <c r="D545" s="168">
        <v>1</v>
      </c>
      <c r="E545" s="169" t="b">
        <v>1</v>
      </c>
      <c r="F545" s="170" t="s">
        <v>1926</v>
      </c>
      <c r="G545" s="171">
        <v>1</v>
      </c>
      <c r="H545" s="171">
        <v>1</v>
      </c>
      <c r="I545" s="171">
        <v>1</v>
      </c>
      <c r="J545" s="171">
        <v>1</v>
      </c>
      <c r="K545" s="171">
        <v>1</v>
      </c>
      <c r="L545" s="171">
        <v>1</v>
      </c>
      <c r="M545" s="171"/>
      <c r="N545" s="171"/>
      <c r="O545" s="171"/>
      <c r="P545" s="171"/>
      <c r="Q545" s="171"/>
      <c r="R545" s="171"/>
      <c r="S545" s="171"/>
      <c r="T545" s="171"/>
      <c r="U545" s="171"/>
      <c r="V545" s="171"/>
      <c r="W545" s="171"/>
      <c r="X545" s="171"/>
      <c r="Y545" s="171"/>
      <c r="Z545" s="171"/>
      <c r="AA545" s="171"/>
      <c r="AB545" s="171"/>
      <c r="AC545" s="171"/>
      <c r="AD545" s="171"/>
      <c r="AE545" s="171"/>
      <c r="AF545" s="171"/>
      <c r="AG545" s="171"/>
      <c r="AH545" s="22"/>
      <c r="AI545" s="171"/>
      <c r="AJ545" s="22">
        <f t="shared" si="7"/>
        <v>6</v>
      </c>
      <c r="AK545" s="22">
        <f t="shared" si="8"/>
        <v>6</v>
      </c>
    </row>
    <row r="546" spans="1:37" ht="15.75" customHeight="1">
      <c r="A546" s="167" t="s">
        <v>972</v>
      </c>
      <c r="B546" s="167" t="s">
        <v>2056</v>
      </c>
      <c r="C546" s="22" t="s">
        <v>971</v>
      </c>
      <c r="D546" s="168">
        <v>1</v>
      </c>
      <c r="E546" s="169" t="b">
        <v>1</v>
      </c>
      <c r="F546" s="170" t="s">
        <v>1751</v>
      </c>
      <c r="G546" s="171">
        <v>1</v>
      </c>
      <c r="H546" s="171">
        <v>1</v>
      </c>
      <c r="I546" s="171">
        <v>1</v>
      </c>
      <c r="J546" s="171">
        <v>1</v>
      </c>
      <c r="K546" s="171">
        <v>1</v>
      </c>
      <c r="L546" s="171">
        <v>2</v>
      </c>
      <c r="M546" s="171"/>
      <c r="N546" s="171"/>
      <c r="O546" s="171"/>
      <c r="P546" s="171"/>
      <c r="Q546" s="171"/>
      <c r="R546" s="171"/>
      <c r="S546" s="171"/>
      <c r="T546" s="171"/>
      <c r="U546" s="171"/>
      <c r="V546" s="171"/>
      <c r="W546" s="171"/>
      <c r="X546" s="171"/>
      <c r="Y546" s="171"/>
      <c r="Z546" s="171"/>
      <c r="AA546" s="171"/>
      <c r="AB546" s="171"/>
      <c r="AC546" s="171"/>
      <c r="AD546" s="171"/>
      <c r="AE546" s="171"/>
      <c r="AF546" s="171"/>
      <c r="AG546" s="171"/>
      <c r="AH546" s="22"/>
      <c r="AI546" s="171"/>
      <c r="AJ546" s="22">
        <f t="shared" si="7"/>
        <v>6</v>
      </c>
      <c r="AK546" s="22">
        <f t="shared" si="8"/>
        <v>7</v>
      </c>
    </row>
    <row r="547" spans="1:37" ht="15.75" customHeight="1">
      <c r="A547" s="167" t="s">
        <v>974</v>
      </c>
      <c r="B547" s="167" t="s">
        <v>2056</v>
      </c>
      <c r="C547" s="22" t="s">
        <v>973</v>
      </c>
      <c r="D547" s="168">
        <v>1</v>
      </c>
      <c r="E547" s="169" t="b">
        <v>1</v>
      </c>
      <c r="F547" s="170" t="s">
        <v>1927</v>
      </c>
      <c r="G547" s="171">
        <v>1</v>
      </c>
      <c r="H547" s="171">
        <v>1</v>
      </c>
      <c r="I547" s="171">
        <v>1</v>
      </c>
      <c r="J547" s="171">
        <v>1</v>
      </c>
      <c r="K547" s="171"/>
      <c r="L547" s="171"/>
      <c r="M547" s="171"/>
      <c r="N547" s="171">
        <v>1</v>
      </c>
      <c r="O547" s="171"/>
      <c r="P547" s="171"/>
      <c r="Q547" s="171"/>
      <c r="R547" s="171"/>
      <c r="S547" s="171"/>
      <c r="T547" s="171"/>
      <c r="U547" s="171"/>
      <c r="V547" s="171">
        <v>1</v>
      </c>
      <c r="W547" s="171"/>
      <c r="X547" s="171"/>
      <c r="Y547" s="171"/>
      <c r="Z547" s="171"/>
      <c r="AA547" s="171"/>
      <c r="AB547" s="171"/>
      <c r="AC547" s="171"/>
      <c r="AD547" s="171"/>
      <c r="AE547" s="171"/>
      <c r="AF547" s="171"/>
      <c r="AG547" s="171"/>
      <c r="AH547" s="22"/>
      <c r="AI547" s="171"/>
      <c r="AJ547" s="22">
        <f t="shared" si="7"/>
        <v>6</v>
      </c>
      <c r="AK547" s="22">
        <f t="shared" si="8"/>
        <v>6</v>
      </c>
    </row>
    <row r="548" spans="1:37" ht="15.75" customHeight="1">
      <c r="A548" s="167" t="s">
        <v>976</v>
      </c>
      <c r="B548" s="167" t="s">
        <v>2056</v>
      </c>
      <c r="C548" s="22" t="s">
        <v>975</v>
      </c>
      <c r="D548" s="168">
        <v>1</v>
      </c>
      <c r="E548" s="169" t="b">
        <v>1</v>
      </c>
      <c r="F548" s="170" t="s">
        <v>1928</v>
      </c>
      <c r="G548" s="171">
        <v>1</v>
      </c>
      <c r="H548" s="171">
        <v>1</v>
      </c>
      <c r="I548" s="171">
        <v>1</v>
      </c>
      <c r="J548" s="171">
        <v>1</v>
      </c>
      <c r="K548" s="171">
        <v>1</v>
      </c>
      <c r="L548" s="171"/>
      <c r="M548" s="171">
        <v>1</v>
      </c>
      <c r="N548" s="171"/>
      <c r="O548" s="171"/>
      <c r="P548" s="171"/>
      <c r="Q548" s="171"/>
      <c r="R548" s="171"/>
      <c r="S548" s="171"/>
      <c r="T548" s="171"/>
      <c r="U548" s="171"/>
      <c r="V548" s="171"/>
      <c r="W548" s="171"/>
      <c r="X548" s="171"/>
      <c r="Y548" s="171"/>
      <c r="Z548" s="171"/>
      <c r="AA548" s="171"/>
      <c r="AB548" s="171"/>
      <c r="AC548" s="171"/>
      <c r="AD548" s="171"/>
      <c r="AE548" s="171"/>
      <c r="AF548" s="171"/>
      <c r="AG548" s="171"/>
      <c r="AH548" s="22"/>
      <c r="AI548" s="171"/>
      <c r="AJ548" s="22">
        <f t="shared" si="7"/>
        <v>6</v>
      </c>
      <c r="AK548" s="22">
        <f t="shared" si="8"/>
        <v>6</v>
      </c>
    </row>
    <row r="549" spans="1:37" ht="15.75" customHeight="1">
      <c r="A549" s="167" t="s">
        <v>978</v>
      </c>
      <c r="B549" s="167" t="s">
        <v>2056</v>
      </c>
      <c r="C549" s="22" t="s">
        <v>977</v>
      </c>
      <c r="D549" s="168">
        <v>1</v>
      </c>
      <c r="E549" s="169" t="b">
        <v>1</v>
      </c>
      <c r="F549" s="170" t="s">
        <v>1417</v>
      </c>
      <c r="G549" s="171">
        <v>1</v>
      </c>
      <c r="H549" s="171">
        <v>1</v>
      </c>
      <c r="I549" s="171">
        <v>1</v>
      </c>
      <c r="J549" s="171">
        <v>1</v>
      </c>
      <c r="K549" s="171">
        <v>1</v>
      </c>
      <c r="L549" s="171">
        <v>4</v>
      </c>
      <c r="M549" s="171">
        <v>1</v>
      </c>
      <c r="N549" s="171"/>
      <c r="O549" s="171"/>
      <c r="P549" s="171"/>
      <c r="Q549" s="171"/>
      <c r="R549" s="171"/>
      <c r="S549" s="171"/>
      <c r="T549" s="171"/>
      <c r="U549" s="171"/>
      <c r="V549" s="171"/>
      <c r="W549" s="171"/>
      <c r="X549" s="171"/>
      <c r="Y549" s="171"/>
      <c r="Z549" s="171"/>
      <c r="AA549" s="171"/>
      <c r="AB549" s="171"/>
      <c r="AC549" s="171"/>
      <c r="AD549" s="171"/>
      <c r="AE549" s="171"/>
      <c r="AF549" s="171"/>
      <c r="AG549" s="171"/>
      <c r="AH549" s="22"/>
      <c r="AI549" s="171"/>
      <c r="AJ549" s="22">
        <f t="shared" si="7"/>
        <v>7</v>
      </c>
      <c r="AK549" s="22">
        <f t="shared" si="8"/>
        <v>10</v>
      </c>
    </row>
    <row r="550" spans="1:37" ht="15.75" customHeight="1">
      <c r="A550" s="167" t="s">
        <v>980</v>
      </c>
      <c r="B550" s="167" t="s">
        <v>2056</v>
      </c>
      <c r="C550" s="22" t="s">
        <v>979</v>
      </c>
      <c r="D550" s="168">
        <v>1</v>
      </c>
      <c r="E550" s="169" t="b">
        <v>1</v>
      </c>
      <c r="F550" s="170" t="s">
        <v>1752</v>
      </c>
      <c r="G550" s="171">
        <v>1</v>
      </c>
      <c r="H550" s="171">
        <v>1</v>
      </c>
      <c r="I550" s="171">
        <v>1</v>
      </c>
      <c r="J550" s="171">
        <v>1</v>
      </c>
      <c r="K550" s="171">
        <v>1</v>
      </c>
      <c r="L550" s="171">
        <v>1</v>
      </c>
      <c r="M550" s="171"/>
      <c r="N550" s="171"/>
      <c r="O550" s="171"/>
      <c r="P550" s="171"/>
      <c r="Q550" s="171"/>
      <c r="R550" s="171"/>
      <c r="S550" s="171"/>
      <c r="T550" s="171"/>
      <c r="U550" s="171"/>
      <c r="V550" s="171"/>
      <c r="W550" s="171"/>
      <c r="X550" s="171"/>
      <c r="Y550" s="171"/>
      <c r="Z550" s="171"/>
      <c r="AA550" s="171"/>
      <c r="AB550" s="171"/>
      <c r="AC550" s="171"/>
      <c r="AD550" s="171"/>
      <c r="AE550" s="171"/>
      <c r="AF550" s="171"/>
      <c r="AG550" s="171">
        <v>1</v>
      </c>
      <c r="AH550" s="22"/>
      <c r="AI550" s="171" t="s">
        <v>1753</v>
      </c>
      <c r="AJ550" s="22">
        <f t="shared" si="7"/>
        <v>7</v>
      </c>
      <c r="AK550" s="22">
        <f t="shared" si="8"/>
        <v>7</v>
      </c>
    </row>
    <row r="551" spans="1:37" ht="15.75" customHeight="1">
      <c r="A551" s="167" t="s">
        <v>982</v>
      </c>
      <c r="B551" s="167" t="s">
        <v>2056</v>
      </c>
      <c r="C551" s="22" t="s">
        <v>981</v>
      </c>
      <c r="D551" s="168">
        <v>1</v>
      </c>
      <c r="E551" s="169" t="b">
        <v>1</v>
      </c>
      <c r="F551" s="170" t="s">
        <v>1584</v>
      </c>
      <c r="G551" s="171">
        <v>1</v>
      </c>
      <c r="H551" s="171">
        <v>1</v>
      </c>
      <c r="I551" s="171">
        <v>1</v>
      </c>
      <c r="J551" s="171">
        <v>1</v>
      </c>
      <c r="K551" s="171">
        <v>1</v>
      </c>
      <c r="L551" s="171"/>
      <c r="M551" s="171">
        <v>1</v>
      </c>
      <c r="N551" s="171">
        <v>1</v>
      </c>
      <c r="O551" s="171"/>
      <c r="P551" s="171"/>
      <c r="Q551" s="171"/>
      <c r="R551" s="171"/>
      <c r="S551" s="171"/>
      <c r="T551" s="171"/>
      <c r="U551" s="171"/>
      <c r="V551" s="171"/>
      <c r="W551" s="171">
        <v>1</v>
      </c>
      <c r="X551" s="171"/>
      <c r="Y551" s="171"/>
      <c r="Z551" s="171"/>
      <c r="AA551" s="171"/>
      <c r="AB551" s="171"/>
      <c r="AC551" s="171"/>
      <c r="AD551" s="171"/>
      <c r="AE551" s="171"/>
      <c r="AF551" s="171"/>
      <c r="AG551" s="171"/>
      <c r="AH551" s="22"/>
      <c r="AI551" s="171"/>
      <c r="AJ551" s="22">
        <f t="shared" si="7"/>
        <v>8</v>
      </c>
      <c r="AK551" s="22">
        <f t="shared" si="8"/>
        <v>8</v>
      </c>
    </row>
    <row r="552" spans="1:37" ht="15.75" customHeight="1">
      <c r="A552" s="167" t="s">
        <v>984</v>
      </c>
      <c r="B552" s="167" t="s">
        <v>2056</v>
      </c>
      <c r="C552" s="22" t="s">
        <v>983</v>
      </c>
      <c r="D552" s="168">
        <v>1</v>
      </c>
      <c r="E552" s="169" t="b">
        <v>1</v>
      </c>
      <c r="F552" s="170" t="s">
        <v>1754</v>
      </c>
      <c r="G552" s="171">
        <v>1</v>
      </c>
      <c r="H552" s="171">
        <v>1</v>
      </c>
      <c r="I552" s="171">
        <v>1</v>
      </c>
      <c r="J552" s="171">
        <v>1</v>
      </c>
      <c r="K552" s="171">
        <v>1</v>
      </c>
      <c r="L552" s="171"/>
      <c r="M552" s="171">
        <v>1</v>
      </c>
      <c r="N552" s="171"/>
      <c r="O552" s="171"/>
      <c r="P552" s="171"/>
      <c r="Q552" s="171"/>
      <c r="R552" s="171"/>
      <c r="S552" s="171"/>
      <c r="T552" s="171"/>
      <c r="U552" s="171">
        <v>1</v>
      </c>
      <c r="V552" s="171"/>
      <c r="W552" s="171"/>
      <c r="X552" s="171"/>
      <c r="Y552" s="171"/>
      <c r="Z552" s="171"/>
      <c r="AA552" s="171"/>
      <c r="AB552" s="171"/>
      <c r="AC552" s="171"/>
      <c r="AD552" s="171"/>
      <c r="AE552" s="171"/>
      <c r="AF552" s="171"/>
      <c r="AG552" s="171"/>
      <c r="AH552" s="22"/>
      <c r="AI552" s="171"/>
      <c r="AJ552" s="22">
        <f t="shared" si="7"/>
        <v>7</v>
      </c>
      <c r="AK552" s="22">
        <f t="shared" si="8"/>
        <v>7</v>
      </c>
    </row>
    <row r="553" spans="1:37" ht="15.75" customHeight="1">
      <c r="A553" s="167" t="s">
        <v>986</v>
      </c>
      <c r="B553" s="167" t="s">
        <v>2056</v>
      </c>
      <c r="C553" s="22" t="s">
        <v>985</v>
      </c>
      <c r="D553" s="168">
        <v>1</v>
      </c>
      <c r="E553" s="169" t="b">
        <v>1</v>
      </c>
      <c r="F553" s="170" t="s">
        <v>1755</v>
      </c>
      <c r="G553" s="179">
        <v>1</v>
      </c>
      <c r="H553" s="179">
        <v>1</v>
      </c>
      <c r="I553" s="171">
        <v>1</v>
      </c>
      <c r="J553" s="179">
        <v>1</v>
      </c>
      <c r="K553" s="171">
        <v>1</v>
      </c>
      <c r="L553" s="171">
        <v>1</v>
      </c>
      <c r="M553" s="171"/>
      <c r="N553" s="171"/>
      <c r="O553" s="171"/>
      <c r="P553" s="171"/>
      <c r="Q553" s="179"/>
      <c r="R553" s="171"/>
      <c r="S553" s="171"/>
      <c r="T553" s="171"/>
      <c r="U553" s="171"/>
      <c r="V553" s="171"/>
      <c r="W553" s="171"/>
      <c r="X553" s="171"/>
      <c r="Y553" s="171"/>
      <c r="Z553" s="171"/>
      <c r="AA553" s="171"/>
      <c r="AB553" s="171"/>
      <c r="AC553" s="171"/>
      <c r="AD553" s="171"/>
      <c r="AE553" s="171"/>
      <c r="AF553" s="171"/>
      <c r="AG553" s="171">
        <v>1</v>
      </c>
      <c r="AH553" s="22"/>
      <c r="AI553" s="171" t="s">
        <v>1756</v>
      </c>
      <c r="AJ553" s="22">
        <f t="shared" si="7"/>
        <v>7</v>
      </c>
      <c r="AK553" s="22">
        <f t="shared" si="8"/>
        <v>7</v>
      </c>
    </row>
    <row r="554" spans="1:37" ht="15.75" customHeight="1">
      <c r="A554" s="167" t="s">
        <v>988</v>
      </c>
      <c r="B554" s="167" t="s">
        <v>2056</v>
      </c>
      <c r="C554" s="22" t="s">
        <v>987</v>
      </c>
      <c r="D554" s="168">
        <v>1</v>
      </c>
      <c r="E554" s="169" t="b">
        <v>1</v>
      </c>
      <c r="F554" s="170" t="s">
        <v>2033</v>
      </c>
      <c r="G554" s="171">
        <v>1</v>
      </c>
      <c r="H554" s="171">
        <v>1</v>
      </c>
      <c r="I554" s="171">
        <v>1</v>
      </c>
      <c r="J554" s="171">
        <v>1</v>
      </c>
      <c r="K554" s="171">
        <v>1</v>
      </c>
      <c r="L554" s="171"/>
      <c r="M554" s="171"/>
      <c r="N554" s="171"/>
      <c r="O554" s="171"/>
      <c r="P554" s="171"/>
      <c r="Q554" s="171"/>
      <c r="R554" s="171"/>
      <c r="S554" s="171"/>
      <c r="T554" s="171"/>
      <c r="U554" s="171"/>
      <c r="V554" s="171"/>
      <c r="W554" s="171"/>
      <c r="X554" s="171"/>
      <c r="Y554" s="171"/>
      <c r="Z554" s="171"/>
      <c r="AA554" s="171"/>
      <c r="AB554" s="171"/>
      <c r="AC554" s="171"/>
      <c r="AD554" s="171"/>
      <c r="AE554" s="171"/>
      <c r="AF554" s="171"/>
      <c r="AG554" s="171"/>
      <c r="AH554" s="22"/>
      <c r="AI554" s="171"/>
      <c r="AJ554" s="22">
        <f t="shared" si="7"/>
        <v>5</v>
      </c>
      <c r="AK554" s="22">
        <f t="shared" si="8"/>
        <v>5</v>
      </c>
    </row>
    <row r="555" spans="1:37" ht="15.75" customHeight="1">
      <c r="A555" s="167" t="s">
        <v>990</v>
      </c>
      <c r="B555" s="167" t="s">
        <v>2056</v>
      </c>
      <c r="C555" s="22" t="s">
        <v>989</v>
      </c>
      <c r="D555" s="168">
        <v>1</v>
      </c>
      <c r="E555" s="169" t="b">
        <v>1</v>
      </c>
      <c r="F555" s="170" t="s">
        <v>2034</v>
      </c>
      <c r="G555" s="171">
        <v>1</v>
      </c>
      <c r="H555" s="171">
        <v>1</v>
      </c>
      <c r="I555" s="171">
        <v>1</v>
      </c>
      <c r="J555" s="171">
        <v>1</v>
      </c>
      <c r="K555" s="171">
        <v>1</v>
      </c>
      <c r="L555" s="171"/>
      <c r="M555" s="171"/>
      <c r="N555" s="171"/>
      <c r="O555" s="171"/>
      <c r="P555" s="171"/>
      <c r="Q555" s="171"/>
      <c r="R555" s="171"/>
      <c r="S555" s="171"/>
      <c r="T555" s="171"/>
      <c r="U555" s="171"/>
      <c r="V555" s="171"/>
      <c r="W555" s="171"/>
      <c r="X555" s="171"/>
      <c r="Y555" s="171"/>
      <c r="Z555" s="171"/>
      <c r="AA555" s="171"/>
      <c r="AB555" s="171"/>
      <c r="AC555" s="171"/>
      <c r="AD555" s="171"/>
      <c r="AE555" s="171"/>
      <c r="AF555" s="171"/>
      <c r="AG555" s="171"/>
      <c r="AH555" s="22"/>
      <c r="AI555" s="171"/>
      <c r="AJ555" s="22">
        <f t="shared" si="7"/>
        <v>5</v>
      </c>
      <c r="AK555" s="22">
        <f t="shared" si="8"/>
        <v>5</v>
      </c>
    </row>
    <row r="556" spans="1:37" ht="15.75" customHeight="1">
      <c r="A556" s="167" t="s">
        <v>992</v>
      </c>
      <c r="B556" s="167" t="s">
        <v>2056</v>
      </c>
      <c r="C556" s="22" t="s">
        <v>991</v>
      </c>
      <c r="D556" s="168">
        <v>1</v>
      </c>
      <c r="E556" s="169" t="b">
        <v>1</v>
      </c>
      <c r="F556" s="170" t="s">
        <v>1929</v>
      </c>
      <c r="G556" s="171">
        <v>1</v>
      </c>
      <c r="H556" s="171">
        <v>1</v>
      </c>
      <c r="I556" s="171">
        <v>1</v>
      </c>
      <c r="J556" s="171">
        <v>1</v>
      </c>
      <c r="K556" s="171">
        <v>1</v>
      </c>
      <c r="L556" s="171"/>
      <c r="M556" s="171"/>
      <c r="N556" s="171"/>
      <c r="O556" s="171"/>
      <c r="P556" s="171">
        <v>1</v>
      </c>
      <c r="Q556" s="171"/>
      <c r="R556" s="171"/>
      <c r="S556" s="171"/>
      <c r="T556" s="171"/>
      <c r="U556" s="171"/>
      <c r="V556" s="171"/>
      <c r="W556" s="171"/>
      <c r="X556" s="171"/>
      <c r="Y556" s="171"/>
      <c r="Z556" s="171"/>
      <c r="AA556" s="171"/>
      <c r="AB556" s="171"/>
      <c r="AC556" s="171"/>
      <c r="AD556" s="171"/>
      <c r="AE556" s="171"/>
      <c r="AF556" s="171"/>
      <c r="AG556" s="171"/>
      <c r="AH556" s="22"/>
      <c r="AI556" s="171"/>
      <c r="AJ556" s="22">
        <f t="shared" si="7"/>
        <v>6</v>
      </c>
      <c r="AK556" s="22">
        <f t="shared" si="8"/>
        <v>6</v>
      </c>
    </row>
    <row r="557" spans="1:37" ht="15.75" customHeight="1">
      <c r="A557" s="167" t="s">
        <v>994</v>
      </c>
      <c r="B557" s="167" t="s">
        <v>2056</v>
      </c>
      <c r="C557" s="22" t="s">
        <v>993</v>
      </c>
      <c r="D557" s="168">
        <v>1</v>
      </c>
      <c r="E557" s="169" t="b">
        <v>1</v>
      </c>
      <c r="F557" s="170" t="s">
        <v>1464</v>
      </c>
      <c r="G557" s="171">
        <v>1</v>
      </c>
      <c r="H557" s="171">
        <v>1</v>
      </c>
      <c r="I557" s="171">
        <v>1</v>
      </c>
      <c r="J557" s="171">
        <v>1</v>
      </c>
      <c r="K557" s="171">
        <v>1</v>
      </c>
      <c r="L557" s="171">
        <v>1</v>
      </c>
      <c r="M557" s="171"/>
      <c r="N557" s="171">
        <v>1</v>
      </c>
      <c r="O557" s="171"/>
      <c r="P557" s="171">
        <v>1</v>
      </c>
      <c r="Q557" s="171"/>
      <c r="R557" s="171"/>
      <c r="S557" s="171"/>
      <c r="T557" s="171"/>
      <c r="U557" s="171"/>
      <c r="V557" s="171">
        <v>1</v>
      </c>
      <c r="W557" s="171"/>
      <c r="X557" s="171"/>
      <c r="Y557" s="171"/>
      <c r="Z557" s="171"/>
      <c r="AA557" s="171"/>
      <c r="AB557" s="171"/>
      <c r="AC557" s="171"/>
      <c r="AD557" s="171"/>
      <c r="AE557" s="171"/>
      <c r="AF557" s="171"/>
      <c r="AG557" s="171"/>
      <c r="AH557" s="22"/>
      <c r="AI557" s="171"/>
      <c r="AJ557" s="22">
        <f t="shared" si="7"/>
        <v>9</v>
      </c>
      <c r="AK557" s="22">
        <f t="shared" si="8"/>
        <v>9</v>
      </c>
    </row>
    <row r="558" spans="1:37" ht="15.75" customHeight="1">
      <c r="A558" s="167" t="s">
        <v>996</v>
      </c>
      <c r="B558" s="167" t="s">
        <v>2056</v>
      </c>
      <c r="C558" s="22" t="s">
        <v>995</v>
      </c>
      <c r="D558" s="168">
        <v>1</v>
      </c>
      <c r="E558" s="169" t="b">
        <v>1</v>
      </c>
      <c r="F558" s="170" t="s">
        <v>1930</v>
      </c>
      <c r="G558" s="171">
        <v>1</v>
      </c>
      <c r="H558" s="171">
        <v>1</v>
      </c>
      <c r="I558" s="171">
        <v>1</v>
      </c>
      <c r="J558" s="171">
        <v>1</v>
      </c>
      <c r="K558" s="171">
        <v>1</v>
      </c>
      <c r="L558" s="171">
        <v>1</v>
      </c>
      <c r="M558" s="171"/>
      <c r="N558" s="171"/>
      <c r="O558" s="171"/>
      <c r="P558" s="171"/>
      <c r="Q558" s="171"/>
      <c r="R558" s="171"/>
      <c r="S558" s="171"/>
      <c r="T558" s="171"/>
      <c r="U558" s="171"/>
      <c r="V558" s="171"/>
      <c r="W558" s="171"/>
      <c r="X558" s="171"/>
      <c r="Y558" s="171"/>
      <c r="Z558" s="171"/>
      <c r="AA558" s="171"/>
      <c r="AB558" s="171"/>
      <c r="AC558" s="171"/>
      <c r="AD558" s="171"/>
      <c r="AE558" s="171"/>
      <c r="AF558" s="171"/>
      <c r="AG558" s="171"/>
      <c r="AH558" s="22"/>
      <c r="AI558" s="171"/>
      <c r="AJ558" s="22">
        <f t="shared" si="7"/>
        <v>6</v>
      </c>
      <c r="AK558" s="22">
        <f t="shared" si="8"/>
        <v>6</v>
      </c>
    </row>
    <row r="559" spans="1:37" ht="15.75" customHeight="1">
      <c r="A559" s="167" t="s">
        <v>998</v>
      </c>
      <c r="B559" s="167" t="s">
        <v>2056</v>
      </c>
      <c r="C559" s="22" t="s">
        <v>997</v>
      </c>
      <c r="D559" s="168">
        <v>1</v>
      </c>
      <c r="E559" s="169" t="b">
        <v>1</v>
      </c>
      <c r="F559" s="170" t="s">
        <v>1931</v>
      </c>
      <c r="G559" s="171">
        <v>1</v>
      </c>
      <c r="H559" s="171">
        <v>1</v>
      </c>
      <c r="I559" s="171">
        <v>1</v>
      </c>
      <c r="J559" s="171">
        <v>1</v>
      </c>
      <c r="K559" s="171">
        <v>1</v>
      </c>
      <c r="L559" s="171"/>
      <c r="M559" s="171">
        <v>1</v>
      </c>
      <c r="N559" s="171"/>
      <c r="O559" s="171"/>
      <c r="P559" s="171"/>
      <c r="Q559" s="171"/>
      <c r="R559" s="171"/>
      <c r="S559" s="171"/>
      <c r="T559" s="171"/>
      <c r="U559" s="171"/>
      <c r="V559" s="171"/>
      <c r="W559" s="171"/>
      <c r="X559" s="171"/>
      <c r="Y559" s="171"/>
      <c r="Z559" s="171"/>
      <c r="AA559" s="171"/>
      <c r="AB559" s="171"/>
      <c r="AC559" s="171"/>
      <c r="AD559" s="171"/>
      <c r="AE559" s="171"/>
      <c r="AF559" s="171"/>
      <c r="AG559" s="171"/>
      <c r="AH559" s="22"/>
      <c r="AI559" s="171"/>
      <c r="AJ559" s="22">
        <f t="shared" si="7"/>
        <v>6</v>
      </c>
      <c r="AK559" s="22">
        <f t="shared" si="8"/>
        <v>6</v>
      </c>
    </row>
    <row r="560" spans="1:37" ht="15.75" customHeight="1">
      <c r="A560" s="167" t="s">
        <v>1347</v>
      </c>
      <c r="B560" s="167" t="s">
        <v>2054</v>
      </c>
      <c r="C560" s="22" t="s">
        <v>1346</v>
      </c>
      <c r="D560" s="168">
        <v>1</v>
      </c>
      <c r="E560" s="169" t="b">
        <v>1</v>
      </c>
      <c r="F560" s="174" t="s">
        <v>1792</v>
      </c>
      <c r="G560" s="171">
        <v>1</v>
      </c>
      <c r="H560" s="171">
        <v>1</v>
      </c>
      <c r="I560" s="171">
        <v>1</v>
      </c>
      <c r="J560" s="171">
        <v>1</v>
      </c>
      <c r="K560" s="171">
        <v>1</v>
      </c>
      <c r="L560" s="171"/>
      <c r="M560" s="171"/>
      <c r="N560" s="171"/>
      <c r="O560" s="171"/>
      <c r="P560" s="171"/>
      <c r="Q560" s="171">
        <v>1</v>
      </c>
      <c r="R560" s="171">
        <v>1</v>
      </c>
      <c r="S560" s="171"/>
      <c r="T560" s="171"/>
      <c r="U560" s="171"/>
      <c r="V560" s="171"/>
      <c r="W560" s="171"/>
      <c r="X560" s="171"/>
      <c r="Y560" s="171"/>
      <c r="Z560" s="171"/>
      <c r="AA560" s="171"/>
      <c r="AB560" s="171"/>
      <c r="AC560" s="171"/>
      <c r="AD560" s="171"/>
      <c r="AE560" s="171"/>
      <c r="AF560" s="171"/>
      <c r="AG560" s="171"/>
      <c r="AH560" s="22"/>
      <c r="AI560" s="171"/>
      <c r="AJ560" s="22">
        <f t="shared" si="7"/>
        <v>7</v>
      </c>
      <c r="AK560" s="22">
        <f t="shared" si="8"/>
        <v>7</v>
      </c>
    </row>
    <row r="561" spans="1:37" ht="15.75" customHeight="1">
      <c r="A561" s="167" t="s">
        <v>1000</v>
      </c>
      <c r="B561" s="167" t="s">
        <v>2056</v>
      </c>
      <c r="C561" s="22" t="s">
        <v>999</v>
      </c>
      <c r="D561" s="168">
        <v>1</v>
      </c>
      <c r="E561" s="169" t="b">
        <v>1</v>
      </c>
      <c r="F561" s="170" t="s">
        <v>1757</v>
      </c>
      <c r="G561" s="171">
        <v>1</v>
      </c>
      <c r="H561" s="171">
        <v>1</v>
      </c>
      <c r="I561" s="171">
        <v>1</v>
      </c>
      <c r="J561" s="171">
        <v>1</v>
      </c>
      <c r="K561" s="171">
        <v>1</v>
      </c>
      <c r="L561" s="171">
        <v>1</v>
      </c>
      <c r="M561" s="171"/>
      <c r="N561" s="171"/>
      <c r="O561" s="171"/>
      <c r="P561" s="171"/>
      <c r="Q561" s="171">
        <v>1</v>
      </c>
      <c r="R561" s="171"/>
      <c r="S561" s="171"/>
      <c r="T561" s="171"/>
      <c r="U561" s="171"/>
      <c r="V561" s="171"/>
      <c r="W561" s="171"/>
      <c r="X561" s="171"/>
      <c r="Y561" s="171"/>
      <c r="Z561" s="171"/>
      <c r="AA561" s="171"/>
      <c r="AB561" s="171"/>
      <c r="AC561" s="171"/>
      <c r="AD561" s="171"/>
      <c r="AE561" s="171"/>
      <c r="AF561" s="171"/>
      <c r="AG561" s="171"/>
      <c r="AH561" s="22"/>
      <c r="AI561" s="171"/>
      <c r="AJ561" s="22">
        <f t="shared" si="7"/>
        <v>7</v>
      </c>
      <c r="AK561" s="22">
        <f t="shared" si="8"/>
        <v>7</v>
      </c>
    </row>
    <row r="562" spans="1:37" ht="15.75" customHeight="1">
      <c r="A562" s="167" t="s">
        <v>1002</v>
      </c>
      <c r="B562" s="167" t="s">
        <v>2056</v>
      </c>
      <c r="C562" s="22" t="s">
        <v>1001</v>
      </c>
      <c r="D562" s="168">
        <v>1</v>
      </c>
      <c r="E562" s="169" t="b">
        <v>1</v>
      </c>
      <c r="F562" s="170" t="s">
        <v>1932</v>
      </c>
      <c r="G562" s="171">
        <v>1</v>
      </c>
      <c r="H562" s="171">
        <v>1</v>
      </c>
      <c r="I562" s="171">
        <v>1</v>
      </c>
      <c r="J562" s="171">
        <v>1</v>
      </c>
      <c r="K562" s="171">
        <v>1</v>
      </c>
      <c r="L562" s="171">
        <v>1</v>
      </c>
      <c r="M562" s="171"/>
      <c r="N562" s="171"/>
      <c r="O562" s="171"/>
      <c r="P562" s="171"/>
      <c r="Q562" s="171"/>
      <c r="R562" s="171"/>
      <c r="S562" s="171"/>
      <c r="T562" s="171"/>
      <c r="U562" s="171"/>
      <c r="V562" s="171"/>
      <c r="W562" s="171"/>
      <c r="X562" s="171"/>
      <c r="Y562" s="171"/>
      <c r="Z562" s="171"/>
      <c r="AA562" s="171"/>
      <c r="AB562" s="171"/>
      <c r="AC562" s="171"/>
      <c r="AD562" s="171"/>
      <c r="AE562" s="171"/>
      <c r="AF562" s="171"/>
      <c r="AG562" s="171"/>
      <c r="AH562" s="22"/>
      <c r="AI562" s="171"/>
      <c r="AJ562" s="22">
        <f t="shared" si="7"/>
        <v>6</v>
      </c>
      <c r="AK562" s="22">
        <f t="shared" si="8"/>
        <v>6</v>
      </c>
    </row>
    <row r="563" spans="1:37" ht="15.75" customHeight="1">
      <c r="A563" s="167" t="s">
        <v>1004</v>
      </c>
      <c r="B563" s="167" t="s">
        <v>2056</v>
      </c>
      <c r="C563" s="22" t="s">
        <v>1003</v>
      </c>
      <c r="D563" s="168">
        <v>1</v>
      </c>
      <c r="E563" s="169" t="b">
        <v>1</v>
      </c>
      <c r="F563" s="170" t="s">
        <v>1758</v>
      </c>
      <c r="G563" s="171">
        <v>1</v>
      </c>
      <c r="H563" s="171">
        <v>1</v>
      </c>
      <c r="I563" s="171">
        <v>1</v>
      </c>
      <c r="J563" s="171">
        <v>1</v>
      </c>
      <c r="K563" s="171">
        <v>1</v>
      </c>
      <c r="L563" s="171"/>
      <c r="M563" s="171">
        <v>1</v>
      </c>
      <c r="N563" s="171"/>
      <c r="O563" s="171"/>
      <c r="P563" s="171"/>
      <c r="Q563" s="171"/>
      <c r="R563" s="171"/>
      <c r="S563" s="171"/>
      <c r="T563" s="171"/>
      <c r="U563" s="171"/>
      <c r="V563" s="171">
        <v>1</v>
      </c>
      <c r="W563" s="171"/>
      <c r="X563" s="171"/>
      <c r="Y563" s="171"/>
      <c r="Z563" s="171"/>
      <c r="AA563" s="171"/>
      <c r="AB563" s="171"/>
      <c r="AC563" s="171"/>
      <c r="AD563" s="171"/>
      <c r="AE563" s="171"/>
      <c r="AF563" s="171"/>
      <c r="AG563" s="171"/>
      <c r="AH563" s="22"/>
      <c r="AI563" s="171"/>
      <c r="AJ563" s="22">
        <f t="shared" si="7"/>
        <v>7</v>
      </c>
      <c r="AK563" s="22">
        <f t="shared" si="8"/>
        <v>7</v>
      </c>
    </row>
    <row r="564" spans="1:37" ht="15.75" customHeight="1">
      <c r="A564" s="167" t="s">
        <v>1006</v>
      </c>
      <c r="B564" s="167" t="s">
        <v>2056</v>
      </c>
      <c r="C564" s="22" t="s">
        <v>1005</v>
      </c>
      <c r="D564" s="168">
        <v>1</v>
      </c>
      <c r="E564" s="169" t="b">
        <v>1</v>
      </c>
      <c r="F564" s="170" t="s">
        <v>2035</v>
      </c>
      <c r="G564" s="171">
        <v>1</v>
      </c>
      <c r="H564" s="171">
        <v>1</v>
      </c>
      <c r="I564" s="171">
        <v>1</v>
      </c>
      <c r="J564" s="171">
        <v>1</v>
      </c>
      <c r="K564" s="171">
        <v>1</v>
      </c>
      <c r="L564" s="171"/>
      <c r="M564" s="171"/>
      <c r="N564" s="171"/>
      <c r="O564" s="171"/>
      <c r="P564" s="171"/>
      <c r="Q564" s="171"/>
      <c r="R564" s="171"/>
      <c r="S564" s="171"/>
      <c r="T564" s="171"/>
      <c r="U564" s="171"/>
      <c r="V564" s="171"/>
      <c r="W564" s="171"/>
      <c r="X564" s="171"/>
      <c r="Y564" s="171"/>
      <c r="Z564" s="171"/>
      <c r="AA564" s="171"/>
      <c r="AB564" s="171"/>
      <c r="AC564" s="171"/>
      <c r="AD564" s="171"/>
      <c r="AE564" s="171"/>
      <c r="AF564" s="171"/>
      <c r="AG564" s="171"/>
      <c r="AH564" s="22"/>
      <c r="AI564" s="171"/>
      <c r="AJ564" s="22">
        <f t="shared" si="7"/>
        <v>5</v>
      </c>
      <c r="AK564" s="22">
        <f t="shared" si="8"/>
        <v>5</v>
      </c>
    </row>
    <row r="565" spans="1:37" ht="15.75" customHeight="1">
      <c r="A565" s="167" t="s">
        <v>1008</v>
      </c>
      <c r="B565" s="167" t="s">
        <v>2056</v>
      </c>
      <c r="C565" s="22" t="s">
        <v>1007</v>
      </c>
      <c r="D565" s="168">
        <v>1</v>
      </c>
      <c r="E565" s="169" t="b">
        <v>1</v>
      </c>
      <c r="F565" s="170" t="s">
        <v>1933</v>
      </c>
      <c r="G565" s="171">
        <v>1</v>
      </c>
      <c r="H565" s="171">
        <v>1</v>
      </c>
      <c r="I565" s="171">
        <v>1</v>
      </c>
      <c r="J565" s="171">
        <v>1</v>
      </c>
      <c r="K565" s="171">
        <v>1</v>
      </c>
      <c r="L565" s="171"/>
      <c r="M565" s="171"/>
      <c r="N565" s="171"/>
      <c r="O565" s="171"/>
      <c r="P565" s="171"/>
      <c r="Q565" s="171"/>
      <c r="R565" s="171"/>
      <c r="S565" s="171"/>
      <c r="T565" s="171"/>
      <c r="U565" s="171"/>
      <c r="V565" s="171"/>
      <c r="W565" s="171"/>
      <c r="X565" s="171"/>
      <c r="Y565" s="171"/>
      <c r="Z565" s="171"/>
      <c r="AA565" s="171"/>
      <c r="AB565" s="171"/>
      <c r="AC565" s="171">
        <v>1</v>
      </c>
      <c r="AD565" s="171"/>
      <c r="AE565" s="171"/>
      <c r="AF565" s="171"/>
      <c r="AG565" s="171"/>
      <c r="AH565" s="22"/>
      <c r="AI565" s="171"/>
      <c r="AJ565" s="22">
        <f t="shared" si="7"/>
        <v>6</v>
      </c>
      <c r="AK565" s="22">
        <f t="shared" si="8"/>
        <v>6</v>
      </c>
    </row>
    <row r="566" spans="1:37" ht="15.75" customHeight="1">
      <c r="A566" s="167" t="s">
        <v>1010</v>
      </c>
      <c r="B566" s="167" t="s">
        <v>2056</v>
      </c>
      <c r="C566" s="22" t="s">
        <v>1009</v>
      </c>
      <c r="D566" s="168">
        <v>1</v>
      </c>
      <c r="E566" s="169" t="b">
        <v>1</v>
      </c>
      <c r="F566" s="170" t="s">
        <v>2036</v>
      </c>
      <c r="G566" s="171">
        <v>1</v>
      </c>
      <c r="H566" s="171">
        <v>1</v>
      </c>
      <c r="I566" s="171">
        <v>1</v>
      </c>
      <c r="J566" s="171">
        <v>1</v>
      </c>
      <c r="K566" s="171">
        <v>1</v>
      </c>
      <c r="L566" s="171"/>
      <c r="M566" s="171"/>
      <c r="N566" s="171"/>
      <c r="O566" s="171"/>
      <c r="P566" s="171"/>
      <c r="Q566" s="171"/>
      <c r="R566" s="171"/>
      <c r="S566" s="171"/>
      <c r="T566" s="171"/>
      <c r="U566" s="171"/>
      <c r="V566" s="171"/>
      <c r="W566" s="171"/>
      <c r="X566" s="171"/>
      <c r="Y566" s="171"/>
      <c r="Z566" s="171"/>
      <c r="AA566" s="171"/>
      <c r="AB566" s="171"/>
      <c r="AC566" s="171"/>
      <c r="AD566" s="171"/>
      <c r="AE566" s="171"/>
      <c r="AF566" s="171"/>
      <c r="AG566" s="171"/>
      <c r="AH566" s="22"/>
      <c r="AI566" s="171"/>
      <c r="AJ566" s="22">
        <f t="shared" si="7"/>
        <v>5</v>
      </c>
      <c r="AK566" s="22">
        <f t="shared" si="8"/>
        <v>5</v>
      </c>
    </row>
    <row r="567" spans="1:37" ht="15.75" customHeight="1">
      <c r="A567" s="167" t="s">
        <v>1012</v>
      </c>
      <c r="B567" s="167" t="s">
        <v>2056</v>
      </c>
      <c r="C567" s="22" t="s">
        <v>1011</v>
      </c>
      <c r="D567" s="168">
        <v>1</v>
      </c>
      <c r="E567" s="169" t="b">
        <v>1</v>
      </c>
      <c r="F567" s="170" t="s">
        <v>1934</v>
      </c>
      <c r="G567" s="171">
        <v>1</v>
      </c>
      <c r="H567" s="171">
        <v>1</v>
      </c>
      <c r="I567" s="171">
        <v>1</v>
      </c>
      <c r="J567" s="171">
        <v>1</v>
      </c>
      <c r="K567" s="171">
        <v>1</v>
      </c>
      <c r="L567" s="171"/>
      <c r="M567" s="171"/>
      <c r="N567" s="171"/>
      <c r="O567" s="171"/>
      <c r="P567" s="171"/>
      <c r="Q567" s="171"/>
      <c r="R567" s="171"/>
      <c r="S567" s="171"/>
      <c r="T567" s="171"/>
      <c r="U567" s="171"/>
      <c r="V567" s="171"/>
      <c r="W567" s="171">
        <v>1</v>
      </c>
      <c r="X567" s="171"/>
      <c r="Y567" s="171"/>
      <c r="Z567" s="171"/>
      <c r="AA567" s="171"/>
      <c r="AB567" s="171"/>
      <c r="AC567" s="171"/>
      <c r="AD567" s="171"/>
      <c r="AE567" s="171"/>
      <c r="AF567" s="171"/>
      <c r="AG567" s="171"/>
      <c r="AH567" s="22"/>
      <c r="AI567" s="171"/>
      <c r="AJ567" s="22">
        <f t="shared" si="7"/>
        <v>6</v>
      </c>
      <c r="AK567" s="22">
        <f t="shared" si="8"/>
        <v>6</v>
      </c>
    </row>
    <row r="568" spans="1:37" ht="15.75" customHeight="1">
      <c r="A568" s="167" t="s">
        <v>1014</v>
      </c>
      <c r="B568" s="167" t="s">
        <v>2056</v>
      </c>
      <c r="C568" s="22" t="s">
        <v>1013</v>
      </c>
      <c r="D568" s="168">
        <v>1</v>
      </c>
      <c r="E568" s="169" t="b">
        <v>1</v>
      </c>
      <c r="F568" s="170" t="s">
        <v>1935</v>
      </c>
      <c r="G568" s="171">
        <v>1</v>
      </c>
      <c r="H568" s="171">
        <v>1</v>
      </c>
      <c r="I568" s="171">
        <v>1</v>
      </c>
      <c r="J568" s="171">
        <v>1</v>
      </c>
      <c r="K568" s="171">
        <v>1</v>
      </c>
      <c r="L568" s="171">
        <v>1</v>
      </c>
      <c r="M568" s="171"/>
      <c r="N568" s="171"/>
      <c r="O568" s="171"/>
      <c r="P568" s="171"/>
      <c r="Q568" s="171"/>
      <c r="R568" s="171"/>
      <c r="S568" s="171"/>
      <c r="T568" s="171"/>
      <c r="U568" s="171"/>
      <c r="V568" s="171"/>
      <c r="W568" s="171"/>
      <c r="X568" s="171"/>
      <c r="Y568" s="171"/>
      <c r="Z568" s="171"/>
      <c r="AA568" s="171"/>
      <c r="AB568" s="171"/>
      <c r="AC568" s="171"/>
      <c r="AD568" s="171"/>
      <c r="AE568" s="171"/>
      <c r="AF568" s="171"/>
      <c r="AG568" s="171"/>
      <c r="AH568" s="22"/>
      <c r="AI568" s="171"/>
      <c r="AJ568" s="22">
        <f t="shared" si="7"/>
        <v>6</v>
      </c>
      <c r="AK568" s="22">
        <f t="shared" si="8"/>
        <v>6</v>
      </c>
    </row>
    <row r="569" spans="1:37" ht="15.75" customHeight="1">
      <c r="A569" s="167" t="s">
        <v>1016</v>
      </c>
      <c r="B569" s="167" t="s">
        <v>2056</v>
      </c>
      <c r="C569" s="22" t="s">
        <v>1015</v>
      </c>
      <c r="D569" s="168">
        <v>1</v>
      </c>
      <c r="E569" s="169" t="b">
        <v>1</v>
      </c>
      <c r="F569" s="170" t="s">
        <v>1936</v>
      </c>
      <c r="G569" s="171">
        <v>1</v>
      </c>
      <c r="H569" s="171">
        <v>1</v>
      </c>
      <c r="I569" s="171">
        <v>1</v>
      </c>
      <c r="J569" s="171">
        <v>1</v>
      </c>
      <c r="K569" s="171">
        <v>1</v>
      </c>
      <c r="L569" s="171"/>
      <c r="M569" s="171"/>
      <c r="N569" s="171"/>
      <c r="O569" s="171"/>
      <c r="P569" s="171"/>
      <c r="Q569" s="171"/>
      <c r="R569" s="171"/>
      <c r="S569" s="171">
        <v>1</v>
      </c>
      <c r="T569" s="171"/>
      <c r="U569" s="171"/>
      <c r="V569" s="171"/>
      <c r="W569" s="171"/>
      <c r="X569" s="171"/>
      <c r="Y569" s="171"/>
      <c r="Z569" s="171"/>
      <c r="AA569" s="171"/>
      <c r="AB569" s="171"/>
      <c r="AC569" s="171"/>
      <c r="AD569" s="171"/>
      <c r="AE569" s="171"/>
      <c r="AF569" s="171"/>
      <c r="AG569" s="171"/>
      <c r="AH569" s="22"/>
      <c r="AI569" s="171"/>
      <c r="AJ569" s="22">
        <f t="shared" si="7"/>
        <v>6</v>
      </c>
      <c r="AK569" s="22">
        <f t="shared" si="8"/>
        <v>6</v>
      </c>
    </row>
    <row r="570" spans="1:37" ht="15.75" customHeight="1">
      <c r="A570" s="167" t="s">
        <v>1018</v>
      </c>
      <c r="B570" s="167" t="s">
        <v>2056</v>
      </c>
      <c r="C570" s="22" t="s">
        <v>1017</v>
      </c>
      <c r="D570" s="168">
        <v>1</v>
      </c>
      <c r="E570" s="169" t="b">
        <v>1</v>
      </c>
      <c r="F570" s="170" t="s">
        <v>2037</v>
      </c>
      <c r="G570" s="171">
        <v>1</v>
      </c>
      <c r="H570" s="171">
        <v>1</v>
      </c>
      <c r="I570" s="171">
        <v>1</v>
      </c>
      <c r="J570" s="171">
        <v>1</v>
      </c>
      <c r="K570" s="171">
        <v>1</v>
      </c>
      <c r="L570" s="171"/>
      <c r="M570" s="171"/>
      <c r="N570" s="171"/>
      <c r="O570" s="171"/>
      <c r="P570" s="171"/>
      <c r="Q570" s="171"/>
      <c r="R570" s="171"/>
      <c r="S570" s="171"/>
      <c r="T570" s="171"/>
      <c r="U570" s="171"/>
      <c r="V570" s="171"/>
      <c r="W570" s="171"/>
      <c r="X570" s="171"/>
      <c r="Y570" s="171"/>
      <c r="Z570" s="171"/>
      <c r="AA570" s="171"/>
      <c r="AB570" s="171"/>
      <c r="AC570" s="171"/>
      <c r="AD570" s="171"/>
      <c r="AE570" s="171"/>
      <c r="AF570" s="171"/>
      <c r="AG570" s="171"/>
      <c r="AH570" s="22"/>
      <c r="AI570" s="171"/>
      <c r="AJ570" s="22">
        <f t="shared" si="7"/>
        <v>5</v>
      </c>
      <c r="AK570" s="22">
        <f t="shared" si="8"/>
        <v>5</v>
      </c>
    </row>
    <row r="571" spans="1:37" ht="15.75" customHeight="1">
      <c r="A571" s="167" t="s">
        <v>1020</v>
      </c>
      <c r="B571" s="167" t="s">
        <v>2056</v>
      </c>
      <c r="C571" s="22" t="s">
        <v>1019</v>
      </c>
      <c r="D571" s="168">
        <v>1</v>
      </c>
      <c r="E571" s="169" t="b">
        <v>1</v>
      </c>
      <c r="F571" s="170" t="s">
        <v>1580</v>
      </c>
      <c r="G571" s="171">
        <v>1</v>
      </c>
      <c r="H571" s="171">
        <v>1</v>
      </c>
      <c r="I571" s="171">
        <v>1</v>
      </c>
      <c r="J571" s="171">
        <v>1</v>
      </c>
      <c r="K571" s="171">
        <v>1</v>
      </c>
      <c r="L571" s="171">
        <v>1</v>
      </c>
      <c r="M571" s="171">
        <v>1</v>
      </c>
      <c r="N571" s="171"/>
      <c r="O571" s="171"/>
      <c r="P571" s="171"/>
      <c r="Q571" s="171"/>
      <c r="R571" s="171"/>
      <c r="S571" s="171"/>
      <c r="T571" s="171"/>
      <c r="U571" s="171"/>
      <c r="V571" s="171"/>
      <c r="W571" s="171"/>
      <c r="X571" s="171"/>
      <c r="Y571" s="171"/>
      <c r="Z571" s="171"/>
      <c r="AA571" s="171"/>
      <c r="AB571" s="171"/>
      <c r="AC571" s="171"/>
      <c r="AD571" s="171"/>
      <c r="AE571" s="171"/>
      <c r="AF571" s="171"/>
      <c r="AG571" s="171"/>
      <c r="AH571" s="22"/>
      <c r="AI571" s="171"/>
      <c r="AJ571" s="22">
        <f t="shared" si="7"/>
        <v>7</v>
      </c>
      <c r="AK571" s="22">
        <f t="shared" si="8"/>
        <v>7</v>
      </c>
    </row>
    <row r="572" spans="1:37" ht="15.75" customHeight="1">
      <c r="A572" s="167" t="s">
        <v>1022</v>
      </c>
      <c r="B572" s="167" t="s">
        <v>2056</v>
      </c>
      <c r="C572" s="22" t="s">
        <v>1021</v>
      </c>
      <c r="D572" s="168">
        <v>1</v>
      </c>
      <c r="E572" s="169" t="b">
        <v>1</v>
      </c>
      <c r="F572" s="170" t="s">
        <v>1455</v>
      </c>
      <c r="G572" s="171">
        <v>1</v>
      </c>
      <c r="H572" s="171">
        <v>1</v>
      </c>
      <c r="I572" s="171">
        <v>1</v>
      </c>
      <c r="J572" s="171">
        <v>1</v>
      </c>
      <c r="K572" s="171">
        <v>1</v>
      </c>
      <c r="L572" s="171">
        <v>2</v>
      </c>
      <c r="M572" s="171"/>
      <c r="N572" s="171"/>
      <c r="O572" s="171"/>
      <c r="P572" s="171"/>
      <c r="Q572" s="171"/>
      <c r="R572" s="171"/>
      <c r="S572" s="171"/>
      <c r="T572" s="171"/>
      <c r="U572" s="171"/>
      <c r="V572" s="171"/>
      <c r="W572" s="171"/>
      <c r="X572" s="171"/>
      <c r="Y572" s="171"/>
      <c r="Z572" s="171"/>
      <c r="AA572" s="171"/>
      <c r="AB572" s="171"/>
      <c r="AC572" s="171"/>
      <c r="AD572" s="171"/>
      <c r="AE572" s="171"/>
      <c r="AF572" s="171"/>
      <c r="AG572" s="171"/>
      <c r="AH572" s="22"/>
      <c r="AI572" s="171"/>
      <c r="AJ572" s="22">
        <f t="shared" si="7"/>
        <v>6</v>
      </c>
      <c r="AK572" s="22">
        <f t="shared" si="8"/>
        <v>7</v>
      </c>
    </row>
    <row r="573" spans="1:37" ht="15.75" customHeight="1">
      <c r="A573" s="167" t="s">
        <v>1024</v>
      </c>
      <c r="B573" s="167" t="s">
        <v>2056</v>
      </c>
      <c r="C573" s="22" t="s">
        <v>1023</v>
      </c>
      <c r="D573" s="168">
        <v>1</v>
      </c>
      <c r="E573" s="169" t="b">
        <v>1</v>
      </c>
      <c r="F573" s="170" t="s">
        <v>2038</v>
      </c>
      <c r="G573" s="171">
        <v>1</v>
      </c>
      <c r="H573" s="171">
        <v>1</v>
      </c>
      <c r="I573" s="171">
        <v>1</v>
      </c>
      <c r="J573" s="171">
        <v>1</v>
      </c>
      <c r="K573" s="171">
        <v>1</v>
      </c>
      <c r="L573" s="171"/>
      <c r="M573" s="171"/>
      <c r="N573" s="171"/>
      <c r="O573" s="171"/>
      <c r="P573" s="171"/>
      <c r="Q573" s="171"/>
      <c r="R573" s="171"/>
      <c r="S573" s="171"/>
      <c r="T573" s="171"/>
      <c r="U573" s="171"/>
      <c r="V573" s="171"/>
      <c r="W573" s="171"/>
      <c r="X573" s="171"/>
      <c r="Y573" s="171"/>
      <c r="Z573" s="171"/>
      <c r="AA573" s="171"/>
      <c r="AB573" s="171"/>
      <c r="AC573" s="171"/>
      <c r="AD573" s="171"/>
      <c r="AE573" s="171"/>
      <c r="AF573" s="171"/>
      <c r="AG573" s="171"/>
      <c r="AH573" s="22"/>
      <c r="AI573" s="171"/>
      <c r="AJ573" s="22">
        <f t="shared" si="7"/>
        <v>5</v>
      </c>
      <c r="AK573" s="22">
        <f t="shared" si="8"/>
        <v>5</v>
      </c>
    </row>
    <row r="574" spans="1:37" ht="15.75" customHeight="1">
      <c r="A574" s="167" t="s">
        <v>1026</v>
      </c>
      <c r="B574" s="167" t="s">
        <v>2056</v>
      </c>
      <c r="C574" s="22" t="s">
        <v>1025</v>
      </c>
      <c r="D574" s="168">
        <v>1</v>
      </c>
      <c r="E574" s="169" t="b">
        <v>1</v>
      </c>
      <c r="F574" s="170" t="s">
        <v>1631</v>
      </c>
      <c r="G574" s="171">
        <v>1</v>
      </c>
      <c r="H574" s="171">
        <v>1</v>
      </c>
      <c r="I574" s="171">
        <v>1</v>
      </c>
      <c r="J574" s="171">
        <v>1</v>
      </c>
      <c r="K574" s="171">
        <v>1</v>
      </c>
      <c r="L574" s="171"/>
      <c r="M574" s="171"/>
      <c r="N574" s="171">
        <v>1</v>
      </c>
      <c r="O574" s="171"/>
      <c r="P574" s="171"/>
      <c r="Q574" s="171"/>
      <c r="R574" s="171"/>
      <c r="S574" s="171"/>
      <c r="T574" s="171">
        <v>1</v>
      </c>
      <c r="U574" s="171"/>
      <c r="V574" s="171"/>
      <c r="W574" s="171"/>
      <c r="X574" s="171"/>
      <c r="Y574" s="171"/>
      <c r="Z574" s="171"/>
      <c r="AA574" s="171"/>
      <c r="AB574" s="171"/>
      <c r="AC574" s="171"/>
      <c r="AD574" s="171"/>
      <c r="AE574" s="171"/>
      <c r="AF574" s="171"/>
      <c r="AG574" s="171"/>
      <c r="AH574" s="22"/>
      <c r="AI574" s="171" t="s">
        <v>1632</v>
      </c>
      <c r="AJ574" s="22">
        <f t="shared" si="7"/>
        <v>7</v>
      </c>
      <c r="AK574" s="22">
        <f t="shared" si="8"/>
        <v>7</v>
      </c>
    </row>
    <row r="575" spans="1:37" ht="15.75" customHeight="1">
      <c r="A575" s="167" t="s">
        <v>1028</v>
      </c>
      <c r="B575" s="167" t="s">
        <v>2056</v>
      </c>
      <c r="C575" s="22" t="s">
        <v>1027</v>
      </c>
      <c r="D575" s="168">
        <v>1</v>
      </c>
      <c r="E575" s="169" t="b">
        <v>1</v>
      </c>
      <c r="F575" s="170" t="s">
        <v>1585</v>
      </c>
      <c r="G575" s="171">
        <v>1</v>
      </c>
      <c r="H575" s="171">
        <v>1</v>
      </c>
      <c r="I575" s="171">
        <v>1</v>
      </c>
      <c r="J575" s="171">
        <v>1</v>
      </c>
      <c r="K575" s="171">
        <v>1</v>
      </c>
      <c r="L575" s="171">
        <v>1</v>
      </c>
      <c r="M575" s="171">
        <v>1</v>
      </c>
      <c r="N575" s="171"/>
      <c r="O575" s="171"/>
      <c r="P575" s="171"/>
      <c r="Q575" s="171"/>
      <c r="R575" s="171"/>
      <c r="S575" s="171"/>
      <c r="T575" s="171"/>
      <c r="U575" s="171">
        <v>1</v>
      </c>
      <c r="V575" s="171"/>
      <c r="W575" s="171"/>
      <c r="X575" s="171"/>
      <c r="Y575" s="171"/>
      <c r="Z575" s="171"/>
      <c r="AA575" s="171"/>
      <c r="AB575" s="171"/>
      <c r="AC575" s="171"/>
      <c r="AD575" s="171"/>
      <c r="AE575" s="171"/>
      <c r="AF575" s="171"/>
      <c r="AG575" s="171"/>
      <c r="AH575" s="22"/>
      <c r="AI575" s="171"/>
      <c r="AJ575" s="22">
        <f t="shared" si="7"/>
        <v>8</v>
      </c>
      <c r="AK575" s="22">
        <f t="shared" si="8"/>
        <v>8</v>
      </c>
    </row>
    <row r="576" spans="1:37" ht="15.75" customHeight="1">
      <c r="A576" s="167" t="s">
        <v>1030</v>
      </c>
      <c r="B576" s="167" t="s">
        <v>2056</v>
      </c>
      <c r="C576" s="22" t="s">
        <v>1029</v>
      </c>
      <c r="D576" s="168">
        <v>1</v>
      </c>
      <c r="E576" s="169" t="b">
        <v>1</v>
      </c>
      <c r="F576" s="170" t="s">
        <v>1937</v>
      </c>
      <c r="G576" s="171">
        <v>1</v>
      </c>
      <c r="H576" s="171">
        <v>1</v>
      </c>
      <c r="I576" s="171">
        <v>1</v>
      </c>
      <c r="J576" s="171">
        <v>1</v>
      </c>
      <c r="K576" s="171">
        <v>1</v>
      </c>
      <c r="L576" s="171"/>
      <c r="M576" s="171">
        <v>1</v>
      </c>
      <c r="N576" s="171"/>
      <c r="O576" s="171"/>
      <c r="P576" s="171"/>
      <c r="Q576" s="171"/>
      <c r="R576" s="171"/>
      <c r="S576" s="171"/>
      <c r="T576" s="171"/>
      <c r="U576" s="171"/>
      <c r="V576" s="171"/>
      <c r="W576" s="171"/>
      <c r="X576" s="171"/>
      <c r="Y576" s="171"/>
      <c r="Z576" s="171"/>
      <c r="AA576" s="171"/>
      <c r="AB576" s="171"/>
      <c r="AC576" s="171"/>
      <c r="AD576" s="171"/>
      <c r="AE576" s="171"/>
      <c r="AF576" s="171"/>
      <c r="AG576" s="171"/>
      <c r="AH576" s="22"/>
      <c r="AI576" s="171"/>
      <c r="AJ576" s="22">
        <f t="shared" si="7"/>
        <v>6</v>
      </c>
      <c r="AK576" s="22">
        <f t="shared" si="8"/>
        <v>6</v>
      </c>
    </row>
    <row r="577" spans="1:37" ht="15.75" customHeight="1">
      <c r="A577" s="167" t="s">
        <v>1349</v>
      </c>
      <c r="B577" s="167" t="s">
        <v>2054</v>
      </c>
      <c r="C577" s="22" t="s">
        <v>1348</v>
      </c>
      <c r="D577" s="168">
        <v>1</v>
      </c>
      <c r="E577" s="169" t="b">
        <v>1</v>
      </c>
      <c r="F577" s="174" t="s">
        <v>1622</v>
      </c>
      <c r="G577" s="171">
        <v>1</v>
      </c>
      <c r="H577" s="171">
        <v>1</v>
      </c>
      <c r="I577" s="171">
        <v>1</v>
      </c>
      <c r="J577" s="171">
        <v>1</v>
      </c>
      <c r="K577" s="171">
        <v>1</v>
      </c>
      <c r="L577" s="171">
        <v>1</v>
      </c>
      <c r="M577" s="171"/>
      <c r="N577" s="171"/>
      <c r="O577" s="171"/>
      <c r="P577" s="171">
        <v>1</v>
      </c>
      <c r="Q577" s="171"/>
      <c r="R577" s="171">
        <v>1</v>
      </c>
      <c r="S577" s="171"/>
      <c r="T577" s="171"/>
      <c r="U577" s="171"/>
      <c r="V577" s="171"/>
      <c r="W577" s="171"/>
      <c r="X577" s="171"/>
      <c r="Y577" s="171"/>
      <c r="Z577" s="171"/>
      <c r="AA577" s="171"/>
      <c r="AB577" s="171"/>
      <c r="AC577" s="171"/>
      <c r="AD577" s="171"/>
      <c r="AE577" s="171"/>
      <c r="AF577" s="171"/>
      <c r="AG577" s="171"/>
      <c r="AH577" s="22"/>
      <c r="AI577" s="171"/>
      <c r="AJ577" s="22">
        <f t="shared" si="7"/>
        <v>8</v>
      </c>
      <c r="AK577" s="22">
        <f t="shared" si="8"/>
        <v>8</v>
      </c>
    </row>
    <row r="578" spans="1:37" ht="15.75" customHeight="1">
      <c r="A578" s="167" t="s">
        <v>1032</v>
      </c>
      <c r="B578" s="167" t="s">
        <v>2056</v>
      </c>
      <c r="C578" s="22" t="s">
        <v>1031</v>
      </c>
      <c r="D578" s="168">
        <v>1</v>
      </c>
      <c r="E578" s="169" t="b">
        <v>1</v>
      </c>
      <c r="F578" s="170" t="s">
        <v>1938</v>
      </c>
      <c r="G578" s="171">
        <v>1</v>
      </c>
      <c r="H578" s="171">
        <v>1</v>
      </c>
      <c r="I578" s="171">
        <v>1</v>
      </c>
      <c r="J578" s="171">
        <v>1</v>
      </c>
      <c r="K578" s="171">
        <v>1</v>
      </c>
      <c r="L578" s="171">
        <v>1</v>
      </c>
      <c r="M578" s="171"/>
      <c r="N578" s="171"/>
      <c r="O578" s="171"/>
      <c r="P578" s="171"/>
      <c r="Q578" s="171"/>
      <c r="R578" s="171"/>
      <c r="S578" s="171"/>
      <c r="T578" s="171"/>
      <c r="U578" s="171"/>
      <c r="V578" s="171"/>
      <c r="W578" s="171"/>
      <c r="X578" s="171"/>
      <c r="Y578" s="171"/>
      <c r="Z578" s="171"/>
      <c r="AA578" s="171"/>
      <c r="AB578" s="171"/>
      <c r="AC578" s="171"/>
      <c r="AD578" s="171"/>
      <c r="AE578" s="171"/>
      <c r="AF578" s="171"/>
      <c r="AG578" s="171"/>
      <c r="AH578" s="22"/>
      <c r="AI578" s="171"/>
      <c r="AJ578" s="22">
        <f t="shared" si="7"/>
        <v>6</v>
      </c>
      <c r="AK578" s="22">
        <f t="shared" si="8"/>
        <v>6</v>
      </c>
    </row>
    <row r="579" spans="1:37" ht="15.75" customHeight="1">
      <c r="A579" s="167" t="s">
        <v>1034</v>
      </c>
      <c r="B579" s="167" t="s">
        <v>2056</v>
      </c>
      <c r="C579" s="22" t="s">
        <v>1033</v>
      </c>
      <c r="D579" s="168">
        <v>1</v>
      </c>
      <c r="E579" s="169" t="b">
        <v>1</v>
      </c>
      <c r="F579" s="174" t="s">
        <v>1418</v>
      </c>
      <c r="G579" s="171">
        <v>1</v>
      </c>
      <c r="H579" s="171">
        <v>1</v>
      </c>
      <c r="I579" s="171">
        <v>1</v>
      </c>
      <c r="J579" s="171">
        <v>1</v>
      </c>
      <c r="K579" s="171">
        <v>1</v>
      </c>
      <c r="L579" s="171">
        <v>1</v>
      </c>
      <c r="M579" s="171">
        <v>1</v>
      </c>
      <c r="N579" s="171"/>
      <c r="O579" s="171"/>
      <c r="P579" s="171"/>
      <c r="Q579" s="171"/>
      <c r="R579" s="171"/>
      <c r="S579" s="171"/>
      <c r="T579" s="171"/>
      <c r="U579" s="171">
        <v>1</v>
      </c>
      <c r="V579" s="171"/>
      <c r="W579" s="171">
        <v>1</v>
      </c>
      <c r="X579" s="171"/>
      <c r="Y579" s="171"/>
      <c r="Z579" s="171"/>
      <c r="AA579" s="171"/>
      <c r="AB579" s="171"/>
      <c r="AC579" s="171"/>
      <c r="AD579" s="171"/>
      <c r="AE579" s="171"/>
      <c r="AF579" s="171"/>
      <c r="AG579" s="171">
        <v>1</v>
      </c>
      <c r="AH579" s="22"/>
      <c r="AI579" s="171" t="s">
        <v>1419</v>
      </c>
      <c r="AJ579" s="22">
        <f t="shared" si="7"/>
        <v>10</v>
      </c>
      <c r="AK579" s="22">
        <f t="shared" si="8"/>
        <v>10</v>
      </c>
    </row>
    <row r="580" spans="1:37" ht="15.75" customHeight="1">
      <c r="A580" s="167" t="s">
        <v>1036</v>
      </c>
      <c r="B580" s="167" t="s">
        <v>2056</v>
      </c>
      <c r="C580" s="22" t="s">
        <v>1035</v>
      </c>
      <c r="D580" s="168">
        <v>1</v>
      </c>
      <c r="E580" s="169" t="b">
        <v>1</v>
      </c>
      <c r="F580" s="170" t="s">
        <v>1460</v>
      </c>
      <c r="G580" s="171">
        <v>1</v>
      </c>
      <c r="H580" s="171">
        <v>1</v>
      </c>
      <c r="I580" s="171">
        <v>1</v>
      </c>
      <c r="J580" s="171">
        <v>1</v>
      </c>
      <c r="K580" s="171">
        <v>1</v>
      </c>
      <c r="L580" s="171">
        <v>1</v>
      </c>
      <c r="M580" s="171"/>
      <c r="N580" s="171"/>
      <c r="O580" s="171"/>
      <c r="P580" s="171"/>
      <c r="Q580" s="171"/>
      <c r="R580" s="171"/>
      <c r="S580" s="171"/>
      <c r="T580" s="171"/>
      <c r="U580" s="171"/>
      <c r="V580" s="171"/>
      <c r="W580" s="171"/>
      <c r="X580" s="171"/>
      <c r="Y580" s="171"/>
      <c r="Z580" s="171"/>
      <c r="AA580" s="171"/>
      <c r="AB580" s="171"/>
      <c r="AC580" s="171"/>
      <c r="AD580" s="171"/>
      <c r="AE580" s="171"/>
      <c r="AF580" s="171">
        <v>1</v>
      </c>
      <c r="AG580" s="171"/>
      <c r="AH580" s="22"/>
      <c r="AI580" s="171"/>
      <c r="AJ580" s="22">
        <f t="shared" si="7"/>
        <v>7</v>
      </c>
      <c r="AK580" s="22">
        <f t="shared" si="8"/>
        <v>7</v>
      </c>
    </row>
    <row r="581" spans="1:37" ht="15.75" customHeight="1">
      <c r="A581" s="167" t="s">
        <v>1038</v>
      </c>
      <c r="B581" s="167" t="s">
        <v>2056</v>
      </c>
      <c r="C581" s="22" t="s">
        <v>1037</v>
      </c>
      <c r="D581" s="168">
        <v>1</v>
      </c>
      <c r="E581" s="169" t="b">
        <v>1</v>
      </c>
      <c r="F581" s="170" t="s">
        <v>1939</v>
      </c>
      <c r="G581" s="171">
        <v>1</v>
      </c>
      <c r="H581" s="171">
        <v>1</v>
      </c>
      <c r="I581" s="171">
        <v>1</v>
      </c>
      <c r="J581" s="171">
        <v>1</v>
      </c>
      <c r="K581" s="171">
        <v>1</v>
      </c>
      <c r="L581" s="171">
        <v>1</v>
      </c>
      <c r="M581" s="171"/>
      <c r="N581" s="171"/>
      <c r="O581" s="171"/>
      <c r="P581" s="171"/>
      <c r="Q581" s="171"/>
      <c r="R581" s="171"/>
      <c r="S581" s="171"/>
      <c r="T581" s="171"/>
      <c r="U581" s="171"/>
      <c r="V581" s="171"/>
      <c r="W581" s="171"/>
      <c r="X581" s="171"/>
      <c r="Y581" s="171"/>
      <c r="Z581" s="171"/>
      <c r="AA581" s="171"/>
      <c r="AB581" s="171"/>
      <c r="AC581" s="171"/>
      <c r="AD581" s="171"/>
      <c r="AE581" s="171"/>
      <c r="AF581" s="171"/>
      <c r="AG581" s="171"/>
      <c r="AH581" s="22"/>
      <c r="AI581" s="171"/>
      <c r="AJ581" s="22">
        <f t="shared" si="7"/>
        <v>6</v>
      </c>
      <c r="AK581" s="22">
        <f t="shared" si="8"/>
        <v>6</v>
      </c>
    </row>
    <row r="582" spans="1:37" ht="15.75" customHeight="1">
      <c r="A582" s="167" t="s">
        <v>1040</v>
      </c>
      <c r="B582" s="167" t="s">
        <v>2056</v>
      </c>
      <c r="C582" s="22" t="s">
        <v>1039</v>
      </c>
      <c r="D582" s="168">
        <v>1</v>
      </c>
      <c r="E582" s="169" t="b">
        <v>1</v>
      </c>
      <c r="F582" s="170" t="s">
        <v>1940</v>
      </c>
      <c r="G582" s="171">
        <v>1</v>
      </c>
      <c r="H582" s="171">
        <v>1</v>
      </c>
      <c r="I582" s="171">
        <v>1</v>
      </c>
      <c r="J582" s="171">
        <v>1</v>
      </c>
      <c r="K582" s="171">
        <v>1</v>
      </c>
      <c r="L582" s="171"/>
      <c r="M582" s="171">
        <v>1</v>
      </c>
      <c r="N582" s="171"/>
      <c r="O582" s="171"/>
      <c r="P582" s="171"/>
      <c r="Q582" s="171"/>
      <c r="R582" s="171"/>
      <c r="S582" s="171"/>
      <c r="T582" s="171"/>
      <c r="U582" s="171"/>
      <c r="V582" s="171"/>
      <c r="W582" s="171"/>
      <c r="X582" s="171"/>
      <c r="Y582" s="171"/>
      <c r="Z582" s="171"/>
      <c r="AA582" s="171"/>
      <c r="AB582" s="171"/>
      <c r="AC582" s="171"/>
      <c r="AD582" s="171"/>
      <c r="AE582" s="171"/>
      <c r="AF582" s="171"/>
      <c r="AG582" s="171"/>
      <c r="AH582" s="22"/>
      <c r="AI582" s="171"/>
      <c r="AJ582" s="22">
        <f t="shared" si="7"/>
        <v>6</v>
      </c>
      <c r="AK582" s="22">
        <f t="shared" si="8"/>
        <v>6</v>
      </c>
    </row>
    <row r="583" spans="1:37" ht="15.75" customHeight="1">
      <c r="A583" s="167" t="s">
        <v>1042</v>
      </c>
      <c r="B583" s="167" t="s">
        <v>2056</v>
      </c>
      <c r="C583" s="22" t="s">
        <v>1041</v>
      </c>
      <c r="D583" s="168">
        <v>1</v>
      </c>
      <c r="E583" s="169" t="b">
        <v>1</v>
      </c>
      <c r="F583" s="170" t="s">
        <v>1465</v>
      </c>
      <c r="G583" s="171">
        <v>1</v>
      </c>
      <c r="H583" s="171">
        <v>1</v>
      </c>
      <c r="I583" s="171">
        <v>1</v>
      </c>
      <c r="J583" s="171">
        <v>1</v>
      </c>
      <c r="K583" s="171">
        <v>1</v>
      </c>
      <c r="L583" s="171">
        <v>2</v>
      </c>
      <c r="M583" s="171"/>
      <c r="N583" s="171"/>
      <c r="O583" s="171"/>
      <c r="P583" s="171">
        <v>1</v>
      </c>
      <c r="Q583" s="171"/>
      <c r="R583" s="171"/>
      <c r="S583" s="171"/>
      <c r="T583" s="171"/>
      <c r="U583" s="171"/>
      <c r="V583" s="171"/>
      <c r="W583" s="171"/>
      <c r="X583" s="171"/>
      <c r="Y583" s="171"/>
      <c r="Z583" s="171"/>
      <c r="AA583" s="171">
        <v>1</v>
      </c>
      <c r="AB583" s="171"/>
      <c r="AC583" s="171"/>
      <c r="AD583" s="171"/>
      <c r="AE583" s="171"/>
      <c r="AF583" s="171"/>
      <c r="AG583" s="171"/>
      <c r="AH583" s="22"/>
      <c r="AI583" s="171"/>
      <c r="AJ583" s="22">
        <f t="shared" si="7"/>
        <v>8</v>
      </c>
      <c r="AK583" s="22">
        <f t="shared" si="8"/>
        <v>9</v>
      </c>
    </row>
    <row r="584" spans="1:37" ht="15.75" customHeight="1">
      <c r="A584" s="167" t="s">
        <v>1044</v>
      </c>
      <c r="B584" s="167" t="s">
        <v>2056</v>
      </c>
      <c r="C584" s="22" t="s">
        <v>1043</v>
      </c>
      <c r="D584" s="168">
        <v>1</v>
      </c>
      <c r="E584" s="169" t="b">
        <v>1</v>
      </c>
      <c r="F584" s="170" t="s">
        <v>1586</v>
      </c>
      <c r="G584" s="171">
        <v>1</v>
      </c>
      <c r="H584" s="171">
        <v>1</v>
      </c>
      <c r="I584" s="171">
        <v>1</v>
      </c>
      <c r="J584" s="171">
        <v>1</v>
      </c>
      <c r="K584" s="171">
        <v>1</v>
      </c>
      <c r="L584" s="171"/>
      <c r="M584" s="171"/>
      <c r="N584" s="171">
        <v>1</v>
      </c>
      <c r="O584" s="171"/>
      <c r="P584" s="171"/>
      <c r="Q584" s="171">
        <v>1</v>
      </c>
      <c r="R584" s="171"/>
      <c r="S584" s="171"/>
      <c r="T584" s="171"/>
      <c r="U584" s="171"/>
      <c r="V584" s="171">
        <v>1</v>
      </c>
      <c r="W584" s="171"/>
      <c r="X584" s="171"/>
      <c r="Y584" s="171"/>
      <c r="Z584" s="171"/>
      <c r="AA584" s="171"/>
      <c r="AB584" s="171"/>
      <c r="AC584" s="171"/>
      <c r="AD584" s="171"/>
      <c r="AE584" s="171"/>
      <c r="AF584" s="171"/>
      <c r="AG584" s="171"/>
      <c r="AH584" s="22"/>
      <c r="AI584" s="171"/>
      <c r="AJ584" s="22">
        <f t="shared" si="7"/>
        <v>8</v>
      </c>
      <c r="AK584" s="22">
        <f t="shared" si="8"/>
        <v>8</v>
      </c>
    </row>
    <row r="585" spans="1:37" ht="15.75" customHeight="1">
      <c r="A585" s="167" t="s">
        <v>1351</v>
      </c>
      <c r="B585" s="167" t="s">
        <v>2054</v>
      </c>
      <c r="C585" s="22" t="s">
        <v>1350</v>
      </c>
      <c r="D585" s="168">
        <v>1</v>
      </c>
      <c r="E585" s="169" t="b">
        <v>1</v>
      </c>
      <c r="F585" s="174" t="s">
        <v>1623</v>
      </c>
      <c r="G585" s="171">
        <v>1</v>
      </c>
      <c r="H585" s="171">
        <v>1</v>
      </c>
      <c r="I585" s="171">
        <v>1</v>
      </c>
      <c r="J585" s="171">
        <v>1</v>
      </c>
      <c r="K585" s="171">
        <v>1</v>
      </c>
      <c r="L585" s="171">
        <v>1</v>
      </c>
      <c r="M585" s="171"/>
      <c r="N585" s="171"/>
      <c r="O585" s="171"/>
      <c r="P585" s="171"/>
      <c r="Q585" s="171"/>
      <c r="R585" s="171">
        <v>1</v>
      </c>
      <c r="S585" s="171"/>
      <c r="T585" s="171"/>
      <c r="U585" s="171"/>
      <c r="V585" s="171"/>
      <c r="W585" s="171"/>
      <c r="X585" s="171"/>
      <c r="Y585" s="171"/>
      <c r="Z585" s="171"/>
      <c r="AA585" s="171"/>
      <c r="AB585" s="171"/>
      <c r="AC585" s="171"/>
      <c r="AD585" s="171"/>
      <c r="AE585" s="171"/>
      <c r="AF585" s="171"/>
      <c r="AG585" s="171">
        <v>1</v>
      </c>
      <c r="AH585" s="22"/>
      <c r="AI585" s="171" t="s">
        <v>1617</v>
      </c>
      <c r="AJ585" s="22">
        <f t="shared" si="7"/>
        <v>8</v>
      </c>
      <c r="AK585" s="22">
        <f t="shared" si="8"/>
        <v>8</v>
      </c>
    </row>
    <row r="586" spans="1:37" ht="15.75" customHeight="1">
      <c r="A586" s="167" t="s">
        <v>1046</v>
      </c>
      <c r="B586" s="167" t="s">
        <v>2056</v>
      </c>
      <c r="C586" s="22" t="s">
        <v>1045</v>
      </c>
      <c r="D586" s="168">
        <v>1</v>
      </c>
      <c r="E586" s="169" t="b">
        <v>1</v>
      </c>
      <c r="F586" s="170" t="s">
        <v>1941</v>
      </c>
      <c r="G586" s="171">
        <v>1</v>
      </c>
      <c r="H586" s="171">
        <v>1</v>
      </c>
      <c r="I586" s="171">
        <v>1</v>
      </c>
      <c r="J586" s="171">
        <v>1</v>
      </c>
      <c r="K586" s="171">
        <v>1</v>
      </c>
      <c r="L586" s="171"/>
      <c r="M586" s="171"/>
      <c r="N586" s="171">
        <v>1</v>
      </c>
      <c r="O586" s="171"/>
      <c r="P586" s="171"/>
      <c r="Q586" s="171"/>
      <c r="R586" s="171"/>
      <c r="S586" s="171"/>
      <c r="T586" s="171"/>
      <c r="U586" s="171"/>
      <c r="V586" s="171"/>
      <c r="W586" s="171"/>
      <c r="X586" s="171"/>
      <c r="Y586" s="171"/>
      <c r="Z586" s="171"/>
      <c r="AA586" s="171"/>
      <c r="AB586" s="171"/>
      <c r="AC586" s="171"/>
      <c r="AD586" s="171"/>
      <c r="AE586" s="171"/>
      <c r="AF586" s="171"/>
      <c r="AG586" s="171"/>
      <c r="AH586" s="22"/>
      <c r="AI586" s="171"/>
      <c r="AJ586" s="22">
        <f t="shared" si="7"/>
        <v>6</v>
      </c>
      <c r="AK586" s="22">
        <f t="shared" si="8"/>
        <v>6</v>
      </c>
    </row>
    <row r="587" spans="1:37" ht="15.75" customHeight="1">
      <c r="A587" s="167" t="s">
        <v>1048</v>
      </c>
      <c r="B587" s="167" t="s">
        <v>2056</v>
      </c>
      <c r="C587" s="22" t="s">
        <v>1047</v>
      </c>
      <c r="D587" s="168">
        <v>1</v>
      </c>
      <c r="E587" s="169" t="b">
        <v>1</v>
      </c>
      <c r="F587" s="170" t="s">
        <v>1587</v>
      </c>
      <c r="G587" s="171">
        <v>1</v>
      </c>
      <c r="H587" s="171">
        <v>1</v>
      </c>
      <c r="I587" s="171">
        <v>1</v>
      </c>
      <c r="J587" s="171">
        <v>1</v>
      </c>
      <c r="K587" s="171">
        <v>1</v>
      </c>
      <c r="L587" s="171"/>
      <c r="M587" s="171">
        <v>1</v>
      </c>
      <c r="N587" s="171">
        <v>1</v>
      </c>
      <c r="O587" s="171"/>
      <c r="P587" s="171"/>
      <c r="Q587" s="171"/>
      <c r="R587" s="171"/>
      <c r="S587" s="171">
        <v>1</v>
      </c>
      <c r="T587" s="171"/>
      <c r="U587" s="171"/>
      <c r="V587" s="171"/>
      <c r="W587" s="171"/>
      <c r="X587" s="171"/>
      <c r="Y587" s="171"/>
      <c r="Z587" s="171"/>
      <c r="AA587" s="171"/>
      <c r="AB587" s="171"/>
      <c r="AC587" s="171"/>
      <c r="AD587" s="171"/>
      <c r="AE587" s="171"/>
      <c r="AF587" s="171"/>
      <c r="AG587" s="171"/>
      <c r="AH587" s="22"/>
      <c r="AI587" s="171"/>
      <c r="AJ587" s="22">
        <f t="shared" si="7"/>
        <v>8</v>
      </c>
      <c r="AK587" s="22">
        <f t="shared" si="8"/>
        <v>8</v>
      </c>
    </row>
    <row r="588" spans="1:37" ht="15.75" customHeight="1">
      <c r="A588" s="167" t="s">
        <v>1050</v>
      </c>
      <c r="B588" s="167" t="s">
        <v>2056</v>
      </c>
      <c r="C588" s="22" t="s">
        <v>1049</v>
      </c>
      <c r="D588" s="168">
        <v>1</v>
      </c>
      <c r="E588" s="169" t="b">
        <v>1</v>
      </c>
      <c r="F588" s="174" t="s">
        <v>1759</v>
      </c>
      <c r="G588" s="171">
        <v>1</v>
      </c>
      <c r="H588" s="171">
        <v>1</v>
      </c>
      <c r="I588" s="171">
        <v>1</v>
      </c>
      <c r="J588" s="171">
        <v>1</v>
      </c>
      <c r="K588" s="171">
        <v>1</v>
      </c>
      <c r="L588" s="171"/>
      <c r="M588" s="171">
        <v>1</v>
      </c>
      <c r="N588" s="171"/>
      <c r="O588" s="171"/>
      <c r="P588" s="171"/>
      <c r="Q588" s="171"/>
      <c r="R588" s="171"/>
      <c r="S588" s="171"/>
      <c r="T588" s="171"/>
      <c r="U588" s="171"/>
      <c r="V588" s="171"/>
      <c r="W588" s="171"/>
      <c r="X588" s="171"/>
      <c r="Y588" s="171"/>
      <c r="Z588" s="171"/>
      <c r="AA588" s="171"/>
      <c r="AB588" s="171"/>
      <c r="AC588" s="171"/>
      <c r="AD588" s="171"/>
      <c r="AE588" s="171"/>
      <c r="AF588" s="171"/>
      <c r="AG588" s="171">
        <v>1</v>
      </c>
      <c r="AH588" s="22"/>
      <c r="AI588" s="171" t="s">
        <v>1610</v>
      </c>
      <c r="AJ588" s="22">
        <f t="shared" si="7"/>
        <v>7</v>
      </c>
      <c r="AK588" s="22">
        <f t="shared" si="8"/>
        <v>7</v>
      </c>
    </row>
    <row r="589" spans="1:37" ht="15.75" customHeight="1">
      <c r="A589" s="167" t="s">
        <v>1052</v>
      </c>
      <c r="B589" s="167" t="s">
        <v>2056</v>
      </c>
      <c r="C589" s="22" t="s">
        <v>1051</v>
      </c>
      <c r="D589" s="168">
        <v>1</v>
      </c>
      <c r="E589" s="169" t="b">
        <v>1</v>
      </c>
      <c r="F589" s="182" t="s">
        <v>1942</v>
      </c>
      <c r="G589" s="171">
        <v>1</v>
      </c>
      <c r="H589" s="171">
        <v>1</v>
      </c>
      <c r="I589" s="171">
        <v>1</v>
      </c>
      <c r="J589" s="171">
        <v>1</v>
      </c>
      <c r="K589" s="171">
        <v>1</v>
      </c>
      <c r="L589" s="171">
        <v>1</v>
      </c>
      <c r="M589" s="171"/>
      <c r="N589" s="171"/>
      <c r="O589" s="171"/>
      <c r="P589" s="171"/>
      <c r="Q589" s="171"/>
      <c r="R589" s="171"/>
      <c r="S589" s="171"/>
      <c r="T589" s="171"/>
      <c r="U589" s="171"/>
      <c r="V589" s="171"/>
      <c r="W589" s="171"/>
      <c r="X589" s="171"/>
      <c r="Y589" s="171"/>
      <c r="Z589" s="171"/>
      <c r="AA589" s="171"/>
      <c r="AB589" s="171"/>
      <c r="AC589" s="171"/>
      <c r="AD589" s="171"/>
      <c r="AE589" s="171"/>
      <c r="AF589" s="171"/>
      <c r="AG589" s="171"/>
      <c r="AH589" s="22"/>
      <c r="AI589" s="171"/>
      <c r="AJ589" s="22">
        <f t="shared" si="7"/>
        <v>6</v>
      </c>
      <c r="AK589" s="22">
        <f t="shared" si="8"/>
        <v>6</v>
      </c>
    </row>
    <row r="590" spans="1:37" ht="15.75" customHeight="1">
      <c r="A590" s="167" t="s">
        <v>1054</v>
      </c>
      <c r="B590" s="167" t="s">
        <v>2056</v>
      </c>
      <c r="C590" s="22" t="s">
        <v>1053</v>
      </c>
      <c r="D590" s="168">
        <v>1</v>
      </c>
      <c r="E590" s="169" t="b">
        <v>1</v>
      </c>
      <c r="F590" s="170" t="s">
        <v>1420</v>
      </c>
      <c r="G590" s="171">
        <v>1</v>
      </c>
      <c r="H590" s="171">
        <v>1</v>
      </c>
      <c r="I590" s="171">
        <v>1</v>
      </c>
      <c r="J590" s="171">
        <v>1</v>
      </c>
      <c r="K590" s="171">
        <v>1</v>
      </c>
      <c r="L590" s="171">
        <v>3</v>
      </c>
      <c r="M590" s="171">
        <v>1</v>
      </c>
      <c r="N590" s="171"/>
      <c r="O590" s="171"/>
      <c r="P590" s="171"/>
      <c r="Q590" s="171">
        <v>1</v>
      </c>
      <c r="R590" s="171"/>
      <c r="S590" s="171"/>
      <c r="T590" s="171"/>
      <c r="U590" s="171"/>
      <c r="V590" s="171"/>
      <c r="W590" s="171"/>
      <c r="X590" s="171"/>
      <c r="Y590" s="171"/>
      <c r="Z590" s="171"/>
      <c r="AA590" s="171"/>
      <c r="AB590" s="171"/>
      <c r="AC590" s="171"/>
      <c r="AD590" s="171"/>
      <c r="AE590" s="171"/>
      <c r="AF590" s="171"/>
      <c r="AG590" s="171"/>
      <c r="AH590" s="22"/>
      <c r="AI590" s="171"/>
      <c r="AJ590" s="22">
        <f t="shared" si="7"/>
        <v>8</v>
      </c>
      <c r="AK590" s="22">
        <f t="shared" si="8"/>
        <v>10</v>
      </c>
    </row>
    <row r="591" spans="1:37" ht="15.75" customHeight="1">
      <c r="A591" s="167" t="s">
        <v>1056</v>
      </c>
      <c r="B591" s="167" t="s">
        <v>2056</v>
      </c>
      <c r="C591" s="22" t="s">
        <v>1055</v>
      </c>
      <c r="D591" s="168">
        <v>1</v>
      </c>
      <c r="E591" s="169" t="b">
        <v>1</v>
      </c>
      <c r="F591" s="170" t="s">
        <v>1943</v>
      </c>
      <c r="G591" s="171">
        <v>1</v>
      </c>
      <c r="H591" s="171">
        <v>1</v>
      </c>
      <c r="I591" s="171">
        <v>1</v>
      </c>
      <c r="J591" s="171">
        <v>1</v>
      </c>
      <c r="K591" s="171">
        <v>1</v>
      </c>
      <c r="L591" s="171">
        <v>1</v>
      </c>
      <c r="M591" s="171"/>
      <c r="N591" s="171"/>
      <c r="O591" s="171"/>
      <c r="P591" s="171"/>
      <c r="Q591" s="171"/>
      <c r="R591" s="171"/>
      <c r="S591" s="171"/>
      <c r="T591" s="171"/>
      <c r="U591" s="171"/>
      <c r="V591" s="171"/>
      <c r="W591" s="171"/>
      <c r="X591" s="171"/>
      <c r="Y591" s="171"/>
      <c r="Z591" s="171"/>
      <c r="AA591" s="171"/>
      <c r="AB591" s="171"/>
      <c r="AC591" s="171"/>
      <c r="AD591" s="171"/>
      <c r="AE591" s="171"/>
      <c r="AF591" s="171"/>
      <c r="AG591" s="171"/>
      <c r="AH591" s="22"/>
      <c r="AI591" s="171"/>
      <c r="AJ591" s="22">
        <f t="shared" si="7"/>
        <v>6</v>
      </c>
      <c r="AK591" s="22">
        <f t="shared" si="8"/>
        <v>6</v>
      </c>
    </row>
    <row r="592" spans="1:37" ht="15.75" customHeight="1">
      <c r="A592" s="167" t="s">
        <v>1058</v>
      </c>
      <c r="B592" s="167" t="s">
        <v>2056</v>
      </c>
      <c r="C592" s="22" t="s">
        <v>1057</v>
      </c>
      <c r="D592" s="168">
        <v>1</v>
      </c>
      <c r="E592" s="169" t="b">
        <v>1</v>
      </c>
      <c r="F592" s="170" t="s">
        <v>1760</v>
      </c>
      <c r="G592" s="171">
        <v>1</v>
      </c>
      <c r="H592" s="171">
        <v>1</v>
      </c>
      <c r="I592" s="171">
        <v>1</v>
      </c>
      <c r="J592" s="171">
        <v>1</v>
      </c>
      <c r="K592" s="171">
        <v>1</v>
      </c>
      <c r="L592" s="171">
        <v>1</v>
      </c>
      <c r="M592" s="171"/>
      <c r="N592" s="171">
        <v>1</v>
      </c>
      <c r="O592" s="171"/>
      <c r="P592" s="171"/>
      <c r="Q592" s="171"/>
      <c r="R592" s="171"/>
      <c r="S592" s="171"/>
      <c r="T592" s="171"/>
      <c r="U592" s="171"/>
      <c r="V592" s="171"/>
      <c r="W592" s="171"/>
      <c r="X592" s="171"/>
      <c r="Y592" s="171"/>
      <c r="Z592" s="171"/>
      <c r="AA592" s="171"/>
      <c r="AB592" s="171"/>
      <c r="AC592" s="171"/>
      <c r="AD592" s="171"/>
      <c r="AE592" s="171"/>
      <c r="AF592" s="171"/>
      <c r="AG592" s="171"/>
      <c r="AH592" s="22"/>
      <c r="AI592" s="171"/>
      <c r="AJ592" s="22">
        <f t="shared" si="7"/>
        <v>7</v>
      </c>
      <c r="AK592" s="22">
        <f t="shared" si="8"/>
        <v>7</v>
      </c>
    </row>
    <row r="593" spans="1:37" ht="15.75" customHeight="1">
      <c r="A593" s="167" t="s">
        <v>1060</v>
      </c>
      <c r="B593" s="167" t="s">
        <v>2056</v>
      </c>
      <c r="C593" s="22" t="s">
        <v>1059</v>
      </c>
      <c r="D593" s="168">
        <v>1</v>
      </c>
      <c r="E593" s="169" t="b">
        <v>1</v>
      </c>
      <c r="F593" s="170" t="s">
        <v>1944</v>
      </c>
      <c r="G593" s="171">
        <v>1</v>
      </c>
      <c r="H593" s="171">
        <v>1</v>
      </c>
      <c r="I593" s="171">
        <v>1</v>
      </c>
      <c r="J593" s="171">
        <v>1</v>
      </c>
      <c r="K593" s="171">
        <v>1</v>
      </c>
      <c r="L593" s="171"/>
      <c r="M593" s="171"/>
      <c r="N593" s="171"/>
      <c r="O593" s="171"/>
      <c r="P593" s="171"/>
      <c r="Q593" s="171"/>
      <c r="R593" s="171"/>
      <c r="S593" s="171"/>
      <c r="T593" s="171"/>
      <c r="U593" s="171"/>
      <c r="V593" s="171">
        <v>1</v>
      </c>
      <c r="W593" s="171"/>
      <c r="X593" s="171"/>
      <c r="Y593" s="171"/>
      <c r="Z593" s="171"/>
      <c r="AA593" s="171"/>
      <c r="AB593" s="171"/>
      <c r="AC593" s="171"/>
      <c r="AD593" s="171"/>
      <c r="AE593" s="171"/>
      <c r="AF593" s="171"/>
      <c r="AG593" s="171"/>
      <c r="AH593" s="22"/>
      <c r="AI593" s="171"/>
      <c r="AJ593" s="22">
        <f t="shared" si="7"/>
        <v>6</v>
      </c>
      <c r="AK593" s="22">
        <f t="shared" si="8"/>
        <v>6</v>
      </c>
    </row>
    <row r="594" spans="1:37" ht="15.75" customHeight="1">
      <c r="A594" s="167" t="s">
        <v>1062</v>
      </c>
      <c r="B594" s="167" t="s">
        <v>2056</v>
      </c>
      <c r="C594" s="22" t="s">
        <v>1061</v>
      </c>
      <c r="D594" s="168">
        <v>1</v>
      </c>
      <c r="E594" s="169" t="b">
        <v>1</v>
      </c>
      <c r="F594" s="170" t="s">
        <v>1945</v>
      </c>
      <c r="G594" s="171">
        <v>1</v>
      </c>
      <c r="H594" s="171">
        <v>1</v>
      </c>
      <c r="I594" s="171">
        <v>1</v>
      </c>
      <c r="J594" s="171">
        <v>1</v>
      </c>
      <c r="K594" s="171">
        <v>1</v>
      </c>
      <c r="L594" s="171">
        <v>1</v>
      </c>
      <c r="M594" s="171"/>
      <c r="N594" s="171"/>
      <c r="O594" s="171"/>
      <c r="P594" s="171"/>
      <c r="Q594" s="171"/>
      <c r="R594" s="171"/>
      <c r="S594" s="171"/>
      <c r="T594" s="171"/>
      <c r="U594" s="171"/>
      <c r="V594" s="171"/>
      <c r="W594" s="171"/>
      <c r="X594" s="171"/>
      <c r="Y594" s="171"/>
      <c r="Z594" s="171"/>
      <c r="AA594" s="171"/>
      <c r="AB594" s="171"/>
      <c r="AC594" s="171"/>
      <c r="AD594" s="171"/>
      <c r="AE594" s="171"/>
      <c r="AF594" s="171"/>
      <c r="AG594" s="171"/>
      <c r="AH594" s="22"/>
      <c r="AI594" s="171"/>
      <c r="AJ594" s="22">
        <f t="shared" si="7"/>
        <v>6</v>
      </c>
      <c r="AK594" s="22">
        <f t="shared" si="8"/>
        <v>6</v>
      </c>
    </row>
    <row r="595" spans="1:37" ht="15.75" customHeight="1">
      <c r="A595" s="167" t="s">
        <v>1064</v>
      </c>
      <c r="B595" s="167" t="s">
        <v>2056</v>
      </c>
      <c r="C595" s="22" t="s">
        <v>1063</v>
      </c>
      <c r="D595" s="168">
        <v>1</v>
      </c>
      <c r="E595" s="169" t="b">
        <v>1</v>
      </c>
      <c r="F595" s="170" t="s">
        <v>1761</v>
      </c>
      <c r="G595" s="171">
        <v>1</v>
      </c>
      <c r="H595" s="171">
        <v>1</v>
      </c>
      <c r="I595" s="171">
        <v>1</v>
      </c>
      <c r="J595" s="171">
        <v>1</v>
      </c>
      <c r="K595" s="171">
        <v>1</v>
      </c>
      <c r="L595" s="171"/>
      <c r="M595" s="171">
        <v>1</v>
      </c>
      <c r="N595" s="171"/>
      <c r="O595" s="171"/>
      <c r="P595" s="171">
        <v>1</v>
      </c>
      <c r="Q595" s="171"/>
      <c r="R595" s="171"/>
      <c r="S595" s="171"/>
      <c r="T595" s="171"/>
      <c r="U595" s="171"/>
      <c r="V595" s="171"/>
      <c r="W595" s="171"/>
      <c r="X595" s="171"/>
      <c r="Y595" s="171"/>
      <c r="Z595" s="171"/>
      <c r="AA595" s="171"/>
      <c r="AB595" s="171"/>
      <c r="AC595" s="171"/>
      <c r="AD595" s="171"/>
      <c r="AE595" s="171"/>
      <c r="AF595" s="171"/>
      <c r="AG595" s="171"/>
      <c r="AH595" s="22"/>
      <c r="AI595" s="171"/>
      <c r="AJ595" s="22">
        <f t="shared" si="7"/>
        <v>7</v>
      </c>
      <c r="AK595" s="22">
        <f t="shared" si="8"/>
        <v>7</v>
      </c>
    </row>
    <row r="596" spans="1:37" ht="15.75" customHeight="1">
      <c r="A596" s="167" t="s">
        <v>1066</v>
      </c>
      <c r="B596" s="167" t="s">
        <v>2056</v>
      </c>
      <c r="C596" s="22" t="s">
        <v>1065</v>
      </c>
      <c r="D596" s="168">
        <v>1</v>
      </c>
      <c r="E596" s="169" t="b">
        <v>1</v>
      </c>
      <c r="F596" s="170" t="s">
        <v>1946</v>
      </c>
      <c r="G596" s="171">
        <v>1</v>
      </c>
      <c r="H596" s="171">
        <v>1</v>
      </c>
      <c r="I596" s="171">
        <v>1</v>
      </c>
      <c r="J596" s="171">
        <v>1</v>
      </c>
      <c r="K596" s="171">
        <v>1</v>
      </c>
      <c r="L596" s="171"/>
      <c r="M596" s="171"/>
      <c r="N596" s="171">
        <v>1</v>
      </c>
      <c r="O596" s="171"/>
      <c r="P596" s="171"/>
      <c r="Q596" s="171"/>
      <c r="R596" s="171"/>
      <c r="S596" s="171"/>
      <c r="T596" s="171"/>
      <c r="U596" s="171"/>
      <c r="V596" s="171"/>
      <c r="W596" s="171"/>
      <c r="X596" s="171"/>
      <c r="Y596" s="171"/>
      <c r="Z596" s="171"/>
      <c r="AA596" s="171"/>
      <c r="AB596" s="171"/>
      <c r="AC596" s="171"/>
      <c r="AD596" s="171"/>
      <c r="AE596" s="171"/>
      <c r="AF596" s="171"/>
      <c r="AG596" s="171"/>
      <c r="AH596" s="22"/>
      <c r="AI596" s="171"/>
      <c r="AJ596" s="22">
        <f t="shared" si="7"/>
        <v>6</v>
      </c>
      <c r="AK596" s="22">
        <f t="shared" si="8"/>
        <v>6</v>
      </c>
    </row>
    <row r="597" spans="1:37" ht="15.75" customHeight="1">
      <c r="A597" s="167" t="s">
        <v>1068</v>
      </c>
      <c r="B597" s="167" t="s">
        <v>2056</v>
      </c>
      <c r="C597" s="22" t="s">
        <v>1067</v>
      </c>
      <c r="D597" s="168">
        <v>1</v>
      </c>
      <c r="E597" s="169" t="b">
        <v>1</v>
      </c>
      <c r="F597" s="170" t="s">
        <v>2039</v>
      </c>
      <c r="G597" s="171">
        <v>1</v>
      </c>
      <c r="H597" s="171">
        <v>1</v>
      </c>
      <c r="I597" s="171">
        <v>1</v>
      </c>
      <c r="J597" s="171">
        <v>1</v>
      </c>
      <c r="K597" s="171">
        <v>1</v>
      </c>
      <c r="L597" s="171"/>
      <c r="M597" s="171"/>
      <c r="N597" s="171"/>
      <c r="O597" s="171"/>
      <c r="P597" s="171"/>
      <c r="Q597" s="171"/>
      <c r="R597" s="171"/>
      <c r="S597" s="171"/>
      <c r="T597" s="171"/>
      <c r="U597" s="171"/>
      <c r="V597" s="171"/>
      <c r="W597" s="171"/>
      <c r="X597" s="171"/>
      <c r="Y597" s="171"/>
      <c r="Z597" s="171"/>
      <c r="AA597" s="171"/>
      <c r="AB597" s="171"/>
      <c r="AC597" s="171"/>
      <c r="AD597" s="171"/>
      <c r="AE597" s="171"/>
      <c r="AF597" s="171"/>
      <c r="AG597" s="171"/>
      <c r="AH597" s="22"/>
      <c r="AI597" s="171"/>
      <c r="AJ597" s="22">
        <f t="shared" si="7"/>
        <v>5</v>
      </c>
      <c r="AK597" s="22">
        <f t="shared" si="8"/>
        <v>5</v>
      </c>
    </row>
    <row r="598" spans="1:37" ht="15.75" customHeight="1">
      <c r="A598" s="167" t="s">
        <v>1070</v>
      </c>
      <c r="B598" s="167" t="s">
        <v>2056</v>
      </c>
      <c r="C598" s="22" t="s">
        <v>1069</v>
      </c>
      <c r="D598" s="168">
        <v>1</v>
      </c>
      <c r="E598" s="169" t="b">
        <v>1</v>
      </c>
      <c r="F598" s="170" t="s">
        <v>1947</v>
      </c>
      <c r="G598" s="171">
        <v>1</v>
      </c>
      <c r="H598" s="171">
        <v>1</v>
      </c>
      <c r="I598" s="171">
        <v>1</v>
      </c>
      <c r="J598" s="171">
        <v>1</v>
      </c>
      <c r="K598" s="171">
        <v>1</v>
      </c>
      <c r="L598" s="171"/>
      <c r="M598" s="171"/>
      <c r="N598" s="171">
        <v>1</v>
      </c>
      <c r="O598" s="171"/>
      <c r="P598" s="171"/>
      <c r="Q598" s="171"/>
      <c r="R598" s="171"/>
      <c r="S598" s="171"/>
      <c r="T598" s="171"/>
      <c r="U598" s="171"/>
      <c r="V598" s="171"/>
      <c r="W598" s="171"/>
      <c r="X598" s="171"/>
      <c r="Y598" s="171"/>
      <c r="Z598" s="171"/>
      <c r="AA598" s="171"/>
      <c r="AB598" s="171"/>
      <c r="AC598" s="171"/>
      <c r="AD598" s="171"/>
      <c r="AE598" s="171"/>
      <c r="AF598" s="171"/>
      <c r="AG598" s="171"/>
      <c r="AH598" s="22"/>
      <c r="AI598" s="171"/>
      <c r="AJ598" s="22">
        <f t="shared" si="7"/>
        <v>6</v>
      </c>
      <c r="AK598" s="22">
        <f t="shared" si="8"/>
        <v>6</v>
      </c>
    </row>
    <row r="599" spans="1:37" ht="15.75" customHeight="1">
      <c r="A599" s="167" t="s">
        <v>1072</v>
      </c>
      <c r="B599" s="167" t="s">
        <v>2056</v>
      </c>
      <c r="C599" s="22" t="s">
        <v>1071</v>
      </c>
      <c r="D599" s="168">
        <v>1</v>
      </c>
      <c r="E599" s="169" t="b">
        <v>1</v>
      </c>
      <c r="F599" s="170" t="s">
        <v>1762</v>
      </c>
      <c r="G599" s="171">
        <v>1</v>
      </c>
      <c r="H599" s="171">
        <v>1</v>
      </c>
      <c r="I599" s="171">
        <v>1</v>
      </c>
      <c r="J599" s="171">
        <v>1</v>
      </c>
      <c r="K599" s="171">
        <v>1</v>
      </c>
      <c r="L599" s="171">
        <v>2</v>
      </c>
      <c r="M599" s="171"/>
      <c r="N599" s="171"/>
      <c r="O599" s="171"/>
      <c r="P599" s="171"/>
      <c r="Q599" s="171"/>
      <c r="R599" s="171"/>
      <c r="S599" s="171"/>
      <c r="T599" s="171"/>
      <c r="U599" s="171"/>
      <c r="V599" s="171"/>
      <c r="W599" s="171"/>
      <c r="X599" s="171"/>
      <c r="Y599" s="171"/>
      <c r="Z599" s="171"/>
      <c r="AA599" s="171"/>
      <c r="AB599" s="171"/>
      <c r="AC599" s="171"/>
      <c r="AD599" s="171"/>
      <c r="AE599" s="171"/>
      <c r="AF599" s="171"/>
      <c r="AG599" s="171"/>
      <c r="AH599" s="22"/>
      <c r="AI599" s="171"/>
      <c r="AJ599" s="22">
        <f t="shared" si="7"/>
        <v>6</v>
      </c>
      <c r="AK599" s="22">
        <f t="shared" si="8"/>
        <v>7</v>
      </c>
    </row>
    <row r="600" spans="1:37" ht="15.75" customHeight="1">
      <c r="A600" s="167" t="s">
        <v>1074</v>
      </c>
      <c r="B600" s="167" t="s">
        <v>2056</v>
      </c>
      <c r="C600" s="22" t="s">
        <v>1073</v>
      </c>
      <c r="D600" s="168">
        <v>1</v>
      </c>
      <c r="E600" s="169" t="b">
        <v>1</v>
      </c>
      <c r="F600" s="170" t="s">
        <v>2040</v>
      </c>
      <c r="G600" s="171">
        <v>1</v>
      </c>
      <c r="H600" s="171">
        <v>1</v>
      </c>
      <c r="I600" s="171">
        <v>1</v>
      </c>
      <c r="J600" s="171">
        <v>1</v>
      </c>
      <c r="K600" s="171">
        <v>1</v>
      </c>
      <c r="L600" s="171"/>
      <c r="M600" s="171"/>
      <c r="N600" s="171"/>
      <c r="O600" s="171"/>
      <c r="P600" s="171"/>
      <c r="Q600" s="171"/>
      <c r="R600" s="171"/>
      <c r="S600" s="171"/>
      <c r="T600" s="171"/>
      <c r="U600" s="171"/>
      <c r="V600" s="171"/>
      <c r="W600" s="171"/>
      <c r="X600" s="171"/>
      <c r="Y600" s="171"/>
      <c r="Z600" s="171"/>
      <c r="AA600" s="171"/>
      <c r="AB600" s="171"/>
      <c r="AC600" s="171"/>
      <c r="AD600" s="171"/>
      <c r="AE600" s="171"/>
      <c r="AF600" s="171"/>
      <c r="AG600" s="171"/>
      <c r="AH600" s="22"/>
      <c r="AI600" s="171"/>
      <c r="AJ600" s="22">
        <f t="shared" si="7"/>
        <v>5</v>
      </c>
      <c r="AK600" s="22">
        <f t="shared" si="8"/>
        <v>5</v>
      </c>
    </row>
    <row r="601" spans="1:37" ht="15.75" customHeight="1">
      <c r="A601" s="167" t="s">
        <v>1196</v>
      </c>
      <c r="B601" s="167" t="s">
        <v>2055</v>
      </c>
      <c r="C601" s="22" t="s">
        <v>1195</v>
      </c>
      <c r="D601" s="168">
        <v>1</v>
      </c>
      <c r="E601" s="169" t="b">
        <v>1</v>
      </c>
      <c r="F601" s="170" t="s">
        <v>1598</v>
      </c>
      <c r="G601" s="171">
        <v>1</v>
      </c>
      <c r="H601" s="171">
        <v>1</v>
      </c>
      <c r="I601" s="171">
        <v>1</v>
      </c>
      <c r="J601" s="171">
        <v>1</v>
      </c>
      <c r="K601" s="171">
        <v>1</v>
      </c>
      <c r="L601" s="171">
        <v>2</v>
      </c>
      <c r="M601" s="171"/>
      <c r="N601" s="171"/>
      <c r="O601" s="171">
        <v>1</v>
      </c>
      <c r="P601" s="171"/>
      <c r="Q601" s="171"/>
      <c r="R601" s="171"/>
      <c r="S601" s="171"/>
      <c r="T601" s="171"/>
      <c r="U601" s="171"/>
      <c r="V601" s="171"/>
      <c r="W601" s="171"/>
      <c r="X601" s="171"/>
      <c r="Y601" s="171"/>
      <c r="Z601" s="171"/>
      <c r="AA601" s="171"/>
      <c r="AB601" s="171"/>
      <c r="AC601" s="171"/>
      <c r="AD601" s="171"/>
      <c r="AE601" s="171"/>
      <c r="AF601" s="171"/>
      <c r="AG601" s="171"/>
      <c r="AH601" s="22"/>
      <c r="AI601" s="171"/>
      <c r="AJ601" s="22">
        <f t="shared" si="7"/>
        <v>7</v>
      </c>
      <c r="AK601" s="22">
        <f t="shared" si="8"/>
        <v>8</v>
      </c>
    </row>
    <row r="602" spans="1:37" ht="15.75" customHeight="1">
      <c r="A602" s="167" t="s">
        <v>1076</v>
      </c>
      <c r="B602" s="167" t="s">
        <v>2056</v>
      </c>
      <c r="C602" s="22" t="s">
        <v>1075</v>
      </c>
      <c r="D602" s="168">
        <v>1</v>
      </c>
      <c r="E602" s="169" t="b">
        <v>1</v>
      </c>
      <c r="F602" s="170" t="s">
        <v>1455</v>
      </c>
      <c r="G602" s="171">
        <v>1</v>
      </c>
      <c r="H602" s="171">
        <v>1</v>
      </c>
      <c r="I602" s="171">
        <v>1</v>
      </c>
      <c r="J602" s="171">
        <v>1</v>
      </c>
      <c r="K602" s="171">
        <v>1</v>
      </c>
      <c r="L602" s="171">
        <v>1</v>
      </c>
      <c r="M602" s="171"/>
      <c r="N602" s="171"/>
      <c r="O602" s="171"/>
      <c r="P602" s="171"/>
      <c r="Q602" s="171"/>
      <c r="R602" s="171"/>
      <c r="S602" s="171"/>
      <c r="T602" s="171"/>
      <c r="U602" s="171"/>
      <c r="V602" s="171">
        <v>1</v>
      </c>
      <c r="W602" s="171"/>
      <c r="X602" s="171"/>
      <c r="Y602" s="171"/>
      <c r="Z602" s="171"/>
      <c r="AA602" s="171"/>
      <c r="AB602" s="171"/>
      <c r="AC602" s="171"/>
      <c r="AD602" s="171"/>
      <c r="AE602" s="171"/>
      <c r="AF602" s="171"/>
      <c r="AG602" s="171"/>
      <c r="AH602" s="22"/>
      <c r="AI602" s="171"/>
      <c r="AJ602" s="22">
        <f t="shared" si="7"/>
        <v>7</v>
      </c>
      <c r="AK602" s="22">
        <f t="shared" si="8"/>
        <v>7</v>
      </c>
    </row>
    <row r="603" spans="1:37" ht="15.75" customHeight="1">
      <c r="A603" s="167" t="s">
        <v>1078</v>
      </c>
      <c r="B603" s="167" t="s">
        <v>2056</v>
      </c>
      <c r="C603" s="22" t="s">
        <v>1077</v>
      </c>
      <c r="D603" s="168">
        <v>1</v>
      </c>
      <c r="E603" s="169" t="b">
        <v>1</v>
      </c>
      <c r="F603" s="170" t="s">
        <v>1565</v>
      </c>
      <c r="G603" s="171">
        <v>1</v>
      </c>
      <c r="H603" s="171">
        <v>1</v>
      </c>
      <c r="I603" s="171">
        <v>1</v>
      </c>
      <c r="J603" s="171">
        <v>1</v>
      </c>
      <c r="K603" s="171"/>
      <c r="L603" s="171">
        <v>2</v>
      </c>
      <c r="M603" s="171"/>
      <c r="N603" s="171"/>
      <c r="O603" s="171"/>
      <c r="P603" s="171"/>
      <c r="Q603" s="171"/>
      <c r="R603" s="171"/>
      <c r="S603" s="171"/>
      <c r="T603" s="171"/>
      <c r="U603" s="171"/>
      <c r="V603" s="171"/>
      <c r="W603" s="171"/>
      <c r="X603" s="171"/>
      <c r="Y603" s="171"/>
      <c r="Z603" s="171"/>
      <c r="AA603" s="171"/>
      <c r="AB603" s="171"/>
      <c r="AC603" s="171"/>
      <c r="AD603" s="171"/>
      <c r="AE603" s="171"/>
      <c r="AF603" s="171"/>
      <c r="AG603" s="171"/>
      <c r="AH603" s="22"/>
      <c r="AI603" s="171"/>
      <c r="AJ603" s="22">
        <f t="shared" si="7"/>
        <v>5</v>
      </c>
      <c r="AK603" s="22">
        <f t="shared" si="8"/>
        <v>6</v>
      </c>
    </row>
    <row r="604" spans="1:37" ht="15.75" customHeight="1">
      <c r="A604" s="167" t="s">
        <v>1290</v>
      </c>
      <c r="B604" s="167" t="s">
        <v>2055</v>
      </c>
      <c r="C604" s="22" t="s">
        <v>1289</v>
      </c>
      <c r="D604" s="168">
        <v>1</v>
      </c>
      <c r="E604" s="169" t="b">
        <v>1</v>
      </c>
      <c r="F604" s="182" t="s">
        <v>1611</v>
      </c>
      <c r="G604" s="171">
        <v>1</v>
      </c>
      <c r="H604" s="171">
        <v>1</v>
      </c>
      <c r="I604" s="171">
        <v>1</v>
      </c>
      <c r="J604" s="171">
        <v>1</v>
      </c>
      <c r="K604" s="171">
        <v>1</v>
      </c>
      <c r="L604" s="171"/>
      <c r="M604" s="171"/>
      <c r="N604" s="171"/>
      <c r="O604" s="171">
        <v>1</v>
      </c>
      <c r="P604" s="171"/>
      <c r="Q604" s="171"/>
      <c r="R604" s="171"/>
      <c r="S604" s="171"/>
      <c r="T604" s="171"/>
      <c r="U604" s="171"/>
      <c r="V604" s="171"/>
      <c r="W604" s="171"/>
      <c r="X604" s="171"/>
      <c r="Y604" s="171"/>
      <c r="Z604" s="171">
        <v>1</v>
      </c>
      <c r="AA604" s="171"/>
      <c r="AB604" s="171"/>
      <c r="AC604" s="171"/>
      <c r="AD604" s="171"/>
      <c r="AE604" s="171"/>
      <c r="AF604" s="171"/>
      <c r="AG604" s="171">
        <v>1</v>
      </c>
      <c r="AH604" s="22"/>
      <c r="AI604" s="171" t="s">
        <v>1612</v>
      </c>
      <c r="AJ604" s="22">
        <f t="shared" si="7"/>
        <v>8</v>
      </c>
      <c r="AK604" s="22">
        <f t="shared" si="8"/>
        <v>8</v>
      </c>
    </row>
    <row r="605" spans="1:37" ht="15.75" customHeight="1">
      <c r="A605" s="167" t="s">
        <v>1080</v>
      </c>
      <c r="B605" s="167" t="s">
        <v>2056</v>
      </c>
      <c r="C605" s="22" t="s">
        <v>1079</v>
      </c>
      <c r="D605" s="168">
        <v>1</v>
      </c>
      <c r="E605" s="169" t="b">
        <v>1</v>
      </c>
      <c r="F605" s="170" t="s">
        <v>1501</v>
      </c>
      <c r="G605" s="171">
        <v>1</v>
      </c>
      <c r="H605" s="171">
        <v>1</v>
      </c>
      <c r="I605" s="171">
        <v>1</v>
      </c>
      <c r="J605" s="171">
        <v>1</v>
      </c>
      <c r="K605" s="171">
        <v>1</v>
      </c>
      <c r="L605" s="171"/>
      <c r="M605" s="171"/>
      <c r="N605" s="171"/>
      <c r="O605" s="171"/>
      <c r="P605" s="171"/>
      <c r="Q605" s="171">
        <v>1</v>
      </c>
      <c r="R605" s="171"/>
      <c r="S605" s="171"/>
      <c r="T605" s="171">
        <v>1</v>
      </c>
      <c r="U605" s="171"/>
      <c r="V605" s="171"/>
      <c r="W605" s="171">
        <v>1</v>
      </c>
      <c r="X605" s="171"/>
      <c r="Y605" s="171"/>
      <c r="Z605" s="171"/>
      <c r="AA605" s="171"/>
      <c r="AB605" s="171"/>
      <c r="AC605" s="171"/>
      <c r="AD605" s="171"/>
      <c r="AE605" s="171"/>
      <c r="AF605" s="171"/>
      <c r="AG605" s="171"/>
      <c r="AH605" s="22"/>
      <c r="AI605" s="171" t="s">
        <v>1502</v>
      </c>
      <c r="AJ605" s="22">
        <f t="shared" si="7"/>
        <v>8</v>
      </c>
      <c r="AK605" s="22">
        <f t="shared" si="8"/>
        <v>8</v>
      </c>
    </row>
    <row r="606" spans="1:37" ht="15.75" customHeight="1">
      <c r="A606" s="167" t="s">
        <v>1082</v>
      </c>
      <c r="B606" s="167" t="s">
        <v>2056</v>
      </c>
      <c r="C606" s="22" t="s">
        <v>1081</v>
      </c>
      <c r="D606" s="168">
        <v>1</v>
      </c>
      <c r="E606" s="169" t="b">
        <v>1</v>
      </c>
      <c r="F606" s="170" t="s">
        <v>2041</v>
      </c>
      <c r="G606" s="171">
        <v>1</v>
      </c>
      <c r="H606" s="171">
        <v>1</v>
      </c>
      <c r="I606" s="171">
        <v>1</v>
      </c>
      <c r="J606" s="171">
        <v>1</v>
      </c>
      <c r="K606" s="171">
        <v>1</v>
      </c>
      <c r="L606" s="171"/>
      <c r="M606" s="171"/>
      <c r="N606" s="171"/>
      <c r="O606" s="171"/>
      <c r="P606" s="171"/>
      <c r="Q606" s="171"/>
      <c r="R606" s="171"/>
      <c r="S606" s="171"/>
      <c r="T606" s="171"/>
      <c r="U606" s="171"/>
      <c r="V606" s="171"/>
      <c r="W606" s="171"/>
      <c r="X606" s="171"/>
      <c r="Y606" s="171"/>
      <c r="Z606" s="171"/>
      <c r="AA606" s="171"/>
      <c r="AB606" s="171"/>
      <c r="AC606" s="171"/>
      <c r="AD606" s="171"/>
      <c r="AE606" s="171"/>
      <c r="AF606" s="171"/>
      <c r="AG606" s="171"/>
      <c r="AH606" s="22"/>
      <c r="AI606" s="171"/>
      <c r="AJ606" s="22">
        <f t="shared" si="7"/>
        <v>5</v>
      </c>
      <c r="AK606" s="22">
        <f t="shared" si="8"/>
        <v>5</v>
      </c>
    </row>
    <row r="607" spans="1:37" ht="15.75" customHeight="1">
      <c r="A607" s="167" t="s">
        <v>1084</v>
      </c>
      <c r="B607" s="167" t="s">
        <v>2056</v>
      </c>
      <c r="C607" s="22" t="s">
        <v>1083</v>
      </c>
      <c r="D607" s="168">
        <v>1</v>
      </c>
      <c r="E607" s="169" t="b">
        <v>1</v>
      </c>
      <c r="F607" s="170" t="s">
        <v>1588</v>
      </c>
      <c r="G607" s="171">
        <v>1</v>
      </c>
      <c r="H607" s="171">
        <v>1</v>
      </c>
      <c r="I607" s="171">
        <v>1</v>
      </c>
      <c r="J607" s="171">
        <v>1</v>
      </c>
      <c r="K607" s="171">
        <v>1</v>
      </c>
      <c r="L607" s="171">
        <v>2</v>
      </c>
      <c r="M607" s="171"/>
      <c r="N607" s="171">
        <v>1</v>
      </c>
      <c r="O607" s="171"/>
      <c r="P607" s="171"/>
      <c r="Q607" s="171"/>
      <c r="R607" s="171"/>
      <c r="S607" s="171"/>
      <c r="T607" s="171"/>
      <c r="U607" s="171"/>
      <c r="V607" s="171"/>
      <c r="W607" s="171"/>
      <c r="X607" s="171"/>
      <c r="Y607" s="171"/>
      <c r="Z607" s="171"/>
      <c r="AA607" s="171"/>
      <c r="AB607" s="171"/>
      <c r="AC607" s="171"/>
      <c r="AD607" s="171"/>
      <c r="AE607" s="171"/>
      <c r="AF607" s="171"/>
      <c r="AG607" s="171"/>
      <c r="AH607" s="22"/>
      <c r="AI607" s="171"/>
      <c r="AJ607" s="22">
        <f t="shared" si="7"/>
        <v>7</v>
      </c>
      <c r="AK607" s="22">
        <f t="shared" si="8"/>
        <v>8</v>
      </c>
    </row>
    <row r="608" spans="1:37" ht="15.75" customHeight="1">
      <c r="A608" s="167" t="s">
        <v>1086</v>
      </c>
      <c r="B608" s="167" t="s">
        <v>2056</v>
      </c>
      <c r="C608" s="22" t="s">
        <v>1085</v>
      </c>
      <c r="D608" s="168">
        <v>1</v>
      </c>
      <c r="E608" s="169" t="b">
        <v>1</v>
      </c>
      <c r="F608" s="170" t="s">
        <v>1948</v>
      </c>
      <c r="G608" s="171">
        <v>1</v>
      </c>
      <c r="H608" s="171">
        <v>1</v>
      </c>
      <c r="I608" s="171">
        <v>1</v>
      </c>
      <c r="J608" s="171">
        <v>1</v>
      </c>
      <c r="K608" s="171">
        <v>1</v>
      </c>
      <c r="L608" s="171"/>
      <c r="M608" s="171"/>
      <c r="N608" s="171"/>
      <c r="O608" s="171"/>
      <c r="P608" s="171"/>
      <c r="Q608" s="171"/>
      <c r="R608" s="171"/>
      <c r="S608" s="171"/>
      <c r="T608" s="171"/>
      <c r="U608" s="171"/>
      <c r="V608" s="171"/>
      <c r="W608" s="171"/>
      <c r="X608" s="171"/>
      <c r="Y608" s="171"/>
      <c r="Z608" s="171"/>
      <c r="AA608" s="171">
        <v>1</v>
      </c>
      <c r="AB608" s="171"/>
      <c r="AC608" s="171"/>
      <c r="AD608" s="171"/>
      <c r="AE608" s="171"/>
      <c r="AF608" s="171"/>
      <c r="AG608" s="171"/>
      <c r="AH608" s="22"/>
      <c r="AI608" s="171"/>
      <c r="AJ608" s="22">
        <f t="shared" si="7"/>
        <v>6</v>
      </c>
      <c r="AK608" s="22">
        <f t="shared" si="8"/>
        <v>6</v>
      </c>
    </row>
    <row r="609" spans="1:37" ht="15.75" customHeight="1">
      <c r="A609" s="167" t="s">
        <v>1088</v>
      </c>
      <c r="B609" s="167" t="s">
        <v>2056</v>
      </c>
      <c r="C609" s="22" t="s">
        <v>1087</v>
      </c>
      <c r="D609" s="168">
        <v>1</v>
      </c>
      <c r="E609" s="169" t="b">
        <v>1</v>
      </c>
      <c r="F609" s="170" t="s">
        <v>1589</v>
      </c>
      <c r="G609" s="171">
        <v>1</v>
      </c>
      <c r="H609" s="171">
        <v>1</v>
      </c>
      <c r="I609" s="171">
        <v>1</v>
      </c>
      <c r="J609" s="171">
        <v>1</v>
      </c>
      <c r="K609" s="171">
        <v>1</v>
      </c>
      <c r="L609" s="171">
        <v>1</v>
      </c>
      <c r="M609" s="171"/>
      <c r="N609" s="171">
        <v>1</v>
      </c>
      <c r="O609" s="171"/>
      <c r="P609" s="171">
        <v>1</v>
      </c>
      <c r="Q609" s="171"/>
      <c r="R609" s="171"/>
      <c r="S609" s="171"/>
      <c r="T609" s="171"/>
      <c r="U609" s="171"/>
      <c r="V609" s="171"/>
      <c r="W609" s="171"/>
      <c r="X609" s="171"/>
      <c r="Y609" s="171"/>
      <c r="Z609" s="171"/>
      <c r="AA609" s="171"/>
      <c r="AB609" s="171"/>
      <c r="AC609" s="171"/>
      <c r="AD609" s="171"/>
      <c r="AE609" s="171"/>
      <c r="AF609" s="171"/>
      <c r="AG609" s="171"/>
      <c r="AH609" s="22"/>
      <c r="AI609" s="171"/>
      <c r="AJ609" s="22">
        <f t="shared" si="7"/>
        <v>8</v>
      </c>
      <c r="AK609" s="22">
        <f t="shared" si="8"/>
        <v>8</v>
      </c>
    </row>
    <row r="610" spans="1:37" ht="15.75" customHeight="1">
      <c r="A610" s="167" t="s">
        <v>1090</v>
      </c>
      <c r="B610" s="167" t="s">
        <v>2056</v>
      </c>
      <c r="C610" s="22" t="s">
        <v>1089</v>
      </c>
      <c r="D610" s="168">
        <v>1</v>
      </c>
      <c r="E610" s="169" t="b">
        <v>1</v>
      </c>
      <c r="F610" s="170" t="s">
        <v>2042</v>
      </c>
      <c r="G610" s="171">
        <v>1</v>
      </c>
      <c r="H610" s="171">
        <v>1</v>
      </c>
      <c r="I610" s="171">
        <v>1</v>
      </c>
      <c r="J610" s="171">
        <v>1</v>
      </c>
      <c r="K610" s="171">
        <v>1</v>
      </c>
      <c r="L610" s="171"/>
      <c r="M610" s="171"/>
      <c r="N610" s="171"/>
      <c r="O610" s="171"/>
      <c r="P610" s="171"/>
      <c r="Q610" s="171"/>
      <c r="R610" s="171"/>
      <c r="S610" s="171"/>
      <c r="T610" s="171"/>
      <c r="U610" s="171"/>
      <c r="V610" s="171"/>
      <c r="W610" s="171"/>
      <c r="X610" s="171"/>
      <c r="Y610" s="171"/>
      <c r="Z610" s="171"/>
      <c r="AA610" s="171"/>
      <c r="AB610" s="171"/>
      <c r="AC610" s="171"/>
      <c r="AD610" s="171"/>
      <c r="AE610" s="171"/>
      <c r="AF610" s="171"/>
      <c r="AG610" s="171"/>
      <c r="AH610" s="22"/>
      <c r="AI610" s="171"/>
      <c r="AJ610" s="22">
        <f t="shared" si="7"/>
        <v>5</v>
      </c>
      <c r="AK610" s="22">
        <f t="shared" si="8"/>
        <v>5</v>
      </c>
    </row>
    <row r="611" spans="1:37" ht="15.75" customHeight="1">
      <c r="A611" s="167" t="s">
        <v>1092</v>
      </c>
      <c r="B611" s="167" t="s">
        <v>2056</v>
      </c>
      <c r="C611" s="22" t="s">
        <v>1091</v>
      </c>
      <c r="D611" s="168">
        <v>1</v>
      </c>
      <c r="E611" s="169" t="b">
        <v>1</v>
      </c>
      <c r="F611" s="170" t="s">
        <v>1949</v>
      </c>
      <c r="G611" s="171">
        <v>1</v>
      </c>
      <c r="H611" s="171">
        <v>1</v>
      </c>
      <c r="I611" s="171">
        <v>1</v>
      </c>
      <c r="J611" s="171">
        <v>1</v>
      </c>
      <c r="K611" s="171">
        <v>1</v>
      </c>
      <c r="L611" s="171"/>
      <c r="M611" s="171"/>
      <c r="N611" s="171"/>
      <c r="O611" s="171"/>
      <c r="P611" s="171"/>
      <c r="Q611" s="171"/>
      <c r="R611" s="171"/>
      <c r="S611" s="171">
        <v>1</v>
      </c>
      <c r="T611" s="171"/>
      <c r="U611" s="171"/>
      <c r="V611" s="171"/>
      <c r="W611" s="171"/>
      <c r="X611" s="171"/>
      <c r="Y611" s="171"/>
      <c r="Z611" s="171"/>
      <c r="AA611" s="171"/>
      <c r="AB611" s="171"/>
      <c r="AC611" s="171"/>
      <c r="AD611" s="171"/>
      <c r="AE611" s="171"/>
      <c r="AF611" s="171"/>
      <c r="AG611" s="171"/>
      <c r="AH611" s="22"/>
      <c r="AI611" s="171"/>
      <c r="AJ611" s="22">
        <f t="shared" si="7"/>
        <v>6</v>
      </c>
      <c r="AK611" s="22">
        <f t="shared" si="8"/>
        <v>6</v>
      </c>
    </row>
    <row r="612" spans="1:37" ht="15.75" customHeight="1">
      <c r="A612" s="167" t="s">
        <v>1094</v>
      </c>
      <c r="B612" s="167" t="s">
        <v>2056</v>
      </c>
      <c r="C612" s="22" t="s">
        <v>1093</v>
      </c>
      <c r="D612" s="168">
        <v>1</v>
      </c>
      <c r="E612" s="169" t="b">
        <v>1</v>
      </c>
      <c r="F612" s="170" t="s">
        <v>2043</v>
      </c>
      <c r="G612" s="171">
        <v>1</v>
      </c>
      <c r="H612" s="171">
        <v>1</v>
      </c>
      <c r="I612" s="171">
        <v>1</v>
      </c>
      <c r="J612" s="171">
        <v>1</v>
      </c>
      <c r="K612" s="171">
        <v>1</v>
      </c>
      <c r="L612" s="171"/>
      <c r="M612" s="171"/>
      <c r="N612" s="171"/>
      <c r="O612" s="171"/>
      <c r="P612" s="171"/>
      <c r="Q612" s="171"/>
      <c r="R612" s="171"/>
      <c r="S612" s="171"/>
      <c r="T612" s="171"/>
      <c r="U612" s="171"/>
      <c r="V612" s="171"/>
      <c r="W612" s="171"/>
      <c r="X612" s="171"/>
      <c r="Y612" s="171"/>
      <c r="Z612" s="171"/>
      <c r="AA612" s="171"/>
      <c r="AB612" s="171"/>
      <c r="AC612" s="171"/>
      <c r="AD612" s="171"/>
      <c r="AE612" s="171"/>
      <c r="AF612" s="171"/>
      <c r="AG612" s="171"/>
      <c r="AH612" s="22"/>
      <c r="AI612" s="171"/>
      <c r="AJ612" s="22">
        <f t="shared" si="7"/>
        <v>5</v>
      </c>
      <c r="AK612" s="22">
        <f t="shared" si="8"/>
        <v>5</v>
      </c>
    </row>
    <row r="613" spans="1:37" ht="15.75" customHeight="1">
      <c r="A613" s="167" t="s">
        <v>1096</v>
      </c>
      <c r="B613" s="167" t="s">
        <v>2056</v>
      </c>
      <c r="C613" s="22" t="s">
        <v>1095</v>
      </c>
      <c r="D613" s="168">
        <v>1</v>
      </c>
      <c r="E613" s="169" t="b">
        <v>1</v>
      </c>
      <c r="F613" s="170" t="s">
        <v>1950</v>
      </c>
      <c r="G613" s="179">
        <v>1</v>
      </c>
      <c r="H613" s="179">
        <v>1</v>
      </c>
      <c r="I613" s="171">
        <v>1</v>
      </c>
      <c r="J613" s="179">
        <v>1</v>
      </c>
      <c r="K613" s="171">
        <v>1</v>
      </c>
      <c r="L613" s="171"/>
      <c r="M613" s="171">
        <v>1</v>
      </c>
      <c r="N613" s="171"/>
      <c r="O613" s="171"/>
      <c r="P613" s="171"/>
      <c r="Q613" s="179"/>
      <c r="R613" s="171"/>
      <c r="S613" s="171"/>
      <c r="T613" s="171"/>
      <c r="U613" s="171"/>
      <c r="V613" s="171"/>
      <c r="W613" s="171"/>
      <c r="X613" s="171"/>
      <c r="Y613" s="171"/>
      <c r="Z613" s="171"/>
      <c r="AA613" s="171"/>
      <c r="AB613" s="171"/>
      <c r="AC613" s="171"/>
      <c r="AD613" s="171"/>
      <c r="AE613" s="171"/>
      <c r="AF613" s="171"/>
      <c r="AG613" s="171"/>
      <c r="AH613" s="22"/>
      <c r="AI613" s="171"/>
      <c r="AJ613" s="22">
        <f t="shared" si="7"/>
        <v>6</v>
      </c>
      <c r="AK613" s="22">
        <f t="shared" si="8"/>
        <v>6</v>
      </c>
    </row>
    <row r="614" spans="1:37" ht="15.75" customHeight="1">
      <c r="A614" s="167" t="s">
        <v>1098</v>
      </c>
      <c r="B614" s="167" t="s">
        <v>2056</v>
      </c>
      <c r="C614" s="22" t="s">
        <v>1097</v>
      </c>
      <c r="D614" s="168">
        <v>1</v>
      </c>
      <c r="E614" s="169" t="b">
        <v>1</v>
      </c>
      <c r="F614" s="170" t="s">
        <v>1590</v>
      </c>
      <c r="G614" s="171">
        <v>1</v>
      </c>
      <c r="H614" s="171">
        <v>1</v>
      </c>
      <c r="I614" s="171">
        <v>1</v>
      </c>
      <c r="J614" s="171">
        <v>1</v>
      </c>
      <c r="K614" s="171">
        <v>1</v>
      </c>
      <c r="L614" s="171">
        <v>3</v>
      </c>
      <c r="M614" s="171"/>
      <c r="N614" s="171"/>
      <c r="O614" s="171"/>
      <c r="P614" s="171"/>
      <c r="Q614" s="171"/>
      <c r="R614" s="171"/>
      <c r="S614" s="171"/>
      <c r="T614" s="171"/>
      <c r="U614" s="171"/>
      <c r="V614" s="171"/>
      <c r="W614" s="171"/>
      <c r="X614" s="171"/>
      <c r="Y614" s="171"/>
      <c r="Z614" s="171"/>
      <c r="AA614" s="171"/>
      <c r="AB614" s="171"/>
      <c r="AC614" s="171"/>
      <c r="AD614" s="171"/>
      <c r="AE614" s="171"/>
      <c r="AF614" s="171"/>
      <c r="AG614" s="171"/>
      <c r="AH614" s="22"/>
      <c r="AI614" s="171"/>
      <c r="AJ614" s="22">
        <f t="shared" si="7"/>
        <v>6</v>
      </c>
      <c r="AK614" s="22">
        <f t="shared" si="8"/>
        <v>8</v>
      </c>
    </row>
    <row r="615" spans="1:37" ht="15.75" customHeight="1">
      <c r="A615" s="167" t="s">
        <v>1100</v>
      </c>
      <c r="B615" s="167" t="s">
        <v>2056</v>
      </c>
      <c r="C615" s="22" t="s">
        <v>1099</v>
      </c>
      <c r="D615" s="168">
        <v>1</v>
      </c>
      <c r="E615" s="169" t="b">
        <v>1</v>
      </c>
      <c r="F615" s="174" t="s">
        <v>1466</v>
      </c>
      <c r="G615" s="171">
        <v>1</v>
      </c>
      <c r="H615" s="171">
        <v>1</v>
      </c>
      <c r="I615" s="171">
        <v>1</v>
      </c>
      <c r="J615" s="171">
        <v>1</v>
      </c>
      <c r="K615" s="171">
        <v>1</v>
      </c>
      <c r="L615" s="171">
        <v>2</v>
      </c>
      <c r="M615" s="171">
        <v>1</v>
      </c>
      <c r="N615" s="171"/>
      <c r="O615" s="171"/>
      <c r="P615" s="171">
        <v>1</v>
      </c>
      <c r="Q615" s="171"/>
      <c r="R615" s="171"/>
      <c r="S615" s="171"/>
      <c r="T615" s="171"/>
      <c r="U615" s="171"/>
      <c r="V615" s="171"/>
      <c r="W615" s="171"/>
      <c r="X615" s="171"/>
      <c r="Y615" s="171"/>
      <c r="Z615" s="171"/>
      <c r="AA615" s="171"/>
      <c r="AB615" s="171"/>
      <c r="AC615" s="171"/>
      <c r="AD615" s="171"/>
      <c r="AE615" s="171"/>
      <c r="AF615" s="171"/>
      <c r="AG615" s="171"/>
      <c r="AH615" s="22"/>
      <c r="AI615" s="22"/>
      <c r="AJ615" s="22">
        <f t="shared" si="7"/>
        <v>8</v>
      </c>
      <c r="AK615" s="22">
        <f t="shared" si="8"/>
        <v>9</v>
      </c>
    </row>
    <row r="616" spans="1:37" ht="15.75" customHeight="1">
      <c r="A616" s="167" t="s">
        <v>1102</v>
      </c>
      <c r="B616" s="167" t="s">
        <v>2056</v>
      </c>
      <c r="C616" s="22" t="s">
        <v>1101</v>
      </c>
      <c r="D616" s="168">
        <v>1</v>
      </c>
      <c r="E616" s="169" t="b">
        <v>1</v>
      </c>
      <c r="F616" s="170" t="s">
        <v>1428</v>
      </c>
      <c r="G616" s="171">
        <v>1</v>
      </c>
      <c r="H616" s="171">
        <v>1</v>
      </c>
      <c r="I616" s="171">
        <v>1</v>
      </c>
      <c r="J616" s="171">
        <v>1</v>
      </c>
      <c r="K616" s="171">
        <v>1</v>
      </c>
      <c r="L616" s="171">
        <v>2</v>
      </c>
      <c r="M616" s="171"/>
      <c r="N616" s="171">
        <v>1</v>
      </c>
      <c r="O616" s="171"/>
      <c r="P616" s="171"/>
      <c r="Q616" s="171"/>
      <c r="R616" s="171"/>
      <c r="S616" s="171"/>
      <c r="T616" s="171">
        <v>1</v>
      </c>
      <c r="U616" s="171"/>
      <c r="V616" s="171"/>
      <c r="W616" s="171"/>
      <c r="X616" s="171"/>
      <c r="Y616" s="171"/>
      <c r="Z616" s="171"/>
      <c r="AA616" s="171"/>
      <c r="AB616" s="171"/>
      <c r="AC616" s="171"/>
      <c r="AD616" s="171"/>
      <c r="AE616" s="171"/>
      <c r="AF616" s="171"/>
      <c r="AG616" s="171"/>
      <c r="AH616" s="22"/>
      <c r="AI616" s="171" t="s">
        <v>1429</v>
      </c>
      <c r="AJ616" s="22">
        <f t="shared" si="7"/>
        <v>8</v>
      </c>
      <c r="AK616" s="22">
        <f t="shared" si="8"/>
        <v>9</v>
      </c>
    </row>
    <row r="617" spans="1:37" ht="15.75" customHeight="1">
      <c r="A617" s="167" t="s">
        <v>1104</v>
      </c>
      <c r="B617" s="167" t="s">
        <v>2056</v>
      </c>
      <c r="C617" s="22" t="s">
        <v>1103</v>
      </c>
      <c r="D617" s="168">
        <v>1</v>
      </c>
      <c r="E617" s="169" t="b">
        <v>1</v>
      </c>
      <c r="F617" s="170" t="s">
        <v>1763</v>
      </c>
      <c r="G617" s="171">
        <v>1</v>
      </c>
      <c r="H617" s="171">
        <v>1</v>
      </c>
      <c r="I617" s="171">
        <v>1</v>
      </c>
      <c r="J617" s="171">
        <v>1</v>
      </c>
      <c r="K617" s="171">
        <v>1</v>
      </c>
      <c r="L617" s="171">
        <v>1</v>
      </c>
      <c r="M617" s="171">
        <v>1</v>
      </c>
      <c r="N617" s="171"/>
      <c r="O617" s="171"/>
      <c r="P617" s="171"/>
      <c r="Q617" s="171"/>
      <c r="R617" s="171"/>
      <c r="S617" s="171"/>
      <c r="T617" s="171"/>
      <c r="U617" s="171"/>
      <c r="V617" s="171"/>
      <c r="W617" s="171"/>
      <c r="X617" s="171"/>
      <c r="Y617" s="171"/>
      <c r="Z617" s="171"/>
      <c r="AA617" s="171"/>
      <c r="AB617" s="171"/>
      <c r="AC617" s="171"/>
      <c r="AD617" s="171"/>
      <c r="AE617" s="171"/>
      <c r="AF617" s="171"/>
      <c r="AG617" s="171"/>
      <c r="AH617" s="22"/>
      <c r="AI617" s="171"/>
      <c r="AJ617" s="22">
        <f t="shared" si="7"/>
        <v>7</v>
      </c>
      <c r="AK617" s="22">
        <f t="shared" si="8"/>
        <v>7</v>
      </c>
    </row>
    <row r="618" spans="1:37" ht="15.75" customHeight="1">
      <c r="A618" s="167" t="s">
        <v>1106</v>
      </c>
      <c r="B618" s="167" t="s">
        <v>2056</v>
      </c>
      <c r="C618" s="22" t="s">
        <v>1105</v>
      </c>
      <c r="D618" s="168">
        <v>1</v>
      </c>
      <c r="E618" s="169" t="b">
        <v>1</v>
      </c>
      <c r="F618" s="170" t="s">
        <v>2044</v>
      </c>
      <c r="G618" s="171">
        <v>1</v>
      </c>
      <c r="H618" s="171">
        <v>1</v>
      </c>
      <c r="I618" s="171">
        <v>1</v>
      </c>
      <c r="J618" s="171">
        <v>1</v>
      </c>
      <c r="K618" s="171">
        <v>1</v>
      </c>
      <c r="L618" s="171"/>
      <c r="M618" s="171"/>
      <c r="N618" s="171"/>
      <c r="O618" s="171"/>
      <c r="P618" s="171"/>
      <c r="Q618" s="171"/>
      <c r="R618" s="171"/>
      <c r="S618" s="171"/>
      <c r="T618" s="171"/>
      <c r="U618" s="171"/>
      <c r="V618" s="171"/>
      <c r="W618" s="171"/>
      <c r="X618" s="171"/>
      <c r="Y618" s="171"/>
      <c r="Z618" s="171"/>
      <c r="AA618" s="171"/>
      <c r="AB618" s="171"/>
      <c r="AC618" s="171"/>
      <c r="AD618" s="171"/>
      <c r="AE618" s="171"/>
      <c r="AF618" s="171"/>
      <c r="AG618" s="171"/>
      <c r="AH618" s="22"/>
      <c r="AI618" s="171"/>
      <c r="AJ618" s="22">
        <f t="shared" si="7"/>
        <v>5</v>
      </c>
      <c r="AK618" s="22">
        <f t="shared" si="8"/>
        <v>5</v>
      </c>
    </row>
    <row r="619" spans="1:37" ht="15.75" customHeight="1">
      <c r="A619" s="167" t="s">
        <v>1108</v>
      </c>
      <c r="B619" s="167" t="s">
        <v>2056</v>
      </c>
      <c r="C619" s="22" t="s">
        <v>1107</v>
      </c>
      <c r="D619" s="168">
        <v>1</v>
      </c>
      <c r="E619" s="169" t="b">
        <v>1</v>
      </c>
      <c r="F619" s="170" t="s">
        <v>1951</v>
      </c>
      <c r="G619" s="171">
        <v>1</v>
      </c>
      <c r="H619" s="171">
        <v>1</v>
      </c>
      <c r="I619" s="171">
        <v>1</v>
      </c>
      <c r="J619" s="171">
        <v>1</v>
      </c>
      <c r="K619" s="171">
        <v>1</v>
      </c>
      <c r="L619" s="171"/>
      <c r="M619" s="171"/>
      <c r="N619" s="171"/>
      <c r="O619" s="171"/>
      <c r="P619" s="171"/>
      <c r="Q619" s="171"/>
      <c r="R619" s="171"/>
      <c r="S619" s="171"/>
      <c r="T619" s="171"/>
      <c r="U619" s="171"/>
      <c r="V619" s="171"/>
      <c r="W619" s="171"/>
      <c r="X619" s="171"/>
      <c r="Y619" s="171"/>
      <c r="Z619" s="171"/>
      <c r="AA619" s="171"/>
      <c r="AB619" s="171"/>
      <c r="AC619" s="171"/>
      <c r="AD619" s="171"/>
      <c r="AE619" s="171"/>
      <c r="AF619" s="171"/>
      <c r="AG619" s="171">
        <v>1</v>
      </c>
      <c r="AH619" s="22"/>
      <c r="AI619" s="171" t="s">
        <v>1952</v>
      </c>
      <c r="AJ619" s="22">
        <f t="shared" si="7"/>
        <v>6</v>
      </c>
      <c r="AK619" s="22">
        <f t="shared" si="8"/>
        <v>6</v>
      </c>
    </row>
    <row r="620" spans="1:37" ht="15.75" customHeight="1">
      <c r="A620" s="167" t="s">
        <v>1110</v>
      </c>
      <c r="B620" s="167" t="s">
        <v>2056</v>
      </c>
      <c r="C620" s="22" t="s">
        <v>1109</v>
      </c>
      <c r="D620" s="168">
        <v>1</v>
      </c>
      <c r="E620" s="169" t="b">
        <v>1</v>
      </c>
      <c r="F620" s="170" t="s">
        <v>1764</v>
      </c>
      <c r="G620" s="171">
        <v>1</v>
      </c>
      <c r="H620" s="171">
        <v>1</v>
      </c>
      <c r="I620" s="171">
        <v>1</v>
      </c>
      <c r="J620" s="171">
        <v>1</v>
      </c>
      <c r="K620" s="171">
        <v>1</v>
      </c>
      <c r="L620" s="171">
        <v>1</v>
      </c>
      <c r="M620" s="171"/>
      <c r="N620" s="171"/>
      <c r="O620" s="171"/>
      <c r="P620" s="171">
        <v>1</v>
      </c>
      <c r="Q620" s="171"/>
      <c r="R620" s="171"/>
      <c r="S620" s="171"/>
      <c r="T620" s="171"/>
      <c r="U620" s="171"/>
      <c r="V620" s="171"/>
      <c r="W620" s="171"/>
      <c r="X620" s="171"/>
      <c r="Y620" s="171"/>
      <c r="Z620" s="171"/>
      <c r="AA620" s="171"/>
      <c r="AB620" s="171"/>
      <c r="AC620" s="171"/>
      <c r="AD620" s="171"/>
      <c r="AE620" s="171"/>
      <c r="AF620" s="171"/>
      <c r="AG620" s="171"/>
      <c r="AH620" s="22"/>
      <c r="AI620" s="171"/>
      <c r="AJ620" s="22">
        <f t="shared" si="7"/>
        <v>7</v>
      </c>
      <c r="AK620" s="22">
        <f t="shared" si="8"/>
        <v>7</v>
      </c>
    </row>
    <row r="621" spans="1:37" ht="15.75" customHeight="1">
      <c r="A621" s="167" t="s">
        <v>1112</v>
      </c>
      <c r="B621" s="167" t="s">
        <v>2056</v>
      </c>
      <c r="C621" s="22" t="s">
        <v>1111</v>
      </c>
      <c r="D621" s="168">
        <v>1</v>
      </c>
      <c r="E621" s="169" t="b">
        <v>1</v>
      </c>
      <c r="F621" s="174" t="s">
        <v>1953</v>
      </c>
      <c r="G621" s="171">
        <v>1</v>
      </c>
      <c r="H621" s="171">
        <v>1</v>
      </c>
      <c r="I621" s="171">
        <v>1</v>
      </c>
      <c r="J621" s="171">
        <v>1</v>
      </c>
      <c r="K621" s="171">
        <v>1</v>
      </c>
      <c r="L621" s="171"/>
      <c r="M621" s="171"/>
      <c r="N621" s="171"/>
      <c r="O621" s="171"/>
      <c r="P621" s="171">
        <v>1</v>
      </c>
      <c r="Q621" s="171"/>
      <c r="R621" s="171"/>
      <c r="S621" s="171"/>
      <c r="T621" s="171"/>
      <c r="U621" s="171"/>
      <c r="V621" s="171"/>
      <c r="W621" s="171"/>
      <c r="X621" s="171"/>
      <c r="Y621" s="171"/>
      <c r="Z621" s="171"/>
      <c r="AA621" s="171"/>
      <c r="AB621" s="171"/>
      <c r="AC621" s="171"/>
      <c r="AD621" s="171"/>
      <c r="AE621" s="171"/>
      <c r="AF621" s="171"/>
      <c r="AG621" s="171"/>
      <c r="AH621" s="22"/>
      <c r="AI621" s="171"/>
      <c r="AJ621" s="22">
        <f t="shared" si="7"/>
        <v>6</v>
      </c>
      <c r="AK621" s="22">
        <f t="shared" si="8"/>
        <v>6</v>
      </c>
    </row>
    <row r="622" spans="1:37" ht="15.75" customHeight="1">
      <c r="A622" s="167" t="s">
        <v>1114</v>
      </c>
      <c r="B622" s="167" t="s">
        <v>2056</v>
      </c>
      <c r="C622" s="22" t="s">
        <v>1113</v>
      </c>
      <c r="D622" s="168">
        <v>1</v>
      </c>
      <c r="E622" s="169" t="b">
        <v>1</v>
      </c>
      <c r="F622" s="170" t="s">
        <v>2045</v>
      </c>
      <c r="G622" s="171">
        <v>1</v>
      </c>
      <c r="H622" s="171">
        <v>1</v>
      </c>
      <c r="I622" s="171">
        <v>1</v>
      </c>
      <c r="J622" s="171">
        <v>1</v>
      </c>
      <c r="K622" s="171">
        <v>1</v>
      </c>
      <c r="L622" s="171"/>
      <c r="M622" s="171"/>
      <c r="N622" s="171"/>
      <c r="O622" s="171"/>
      <c r="P622" s="171"/>
      <c r="Q622" s="171"/>
      <c r="R622" s="171"/>
      <c r="S622" s="171"/>
      <c r="T622" s="171"/>
      <c r="U622" s="171"/>
      <c r="V622" s="171"/>
      <c r="W622" s="171"/>
      <c r="X622" s="171"/>
      <c r="Y622" s="171"/>
      <c r="Z622" s="171"/>
      <c r="AA622" s="171"/>
      <c r="AB622" s="171"/>
      <c r="AC622" s="171"/>
      <c r="AD622" s="171"/>
      <c r="AE622" s="171"/>
      <c r="AF622" s="171"/>
      <c r="AG622" s="171"/>
      <c r="AH622" s="22"/>
      <c r="AI622" s="171"/>
      <c r="AJ622" s="22">
        <f t="shared" si="7"/>
        <v>5</v>
      </c>
      <c r="AK622" s="22">
        <f t="shared" si="8"/>
        <v>5</v>
      </c>
    </row>
    <row r="623" spans="1:37" ht="15.75" customHeight="1">
      <c r="A623" s="167" t="s">
        <v>1116</v>
      </c>
      <c r="B623" s="167" t="s">
        <v>2056</v>
      </c>
      <c r="C623" s="22" t="s">
        <v>1115</v>
      </c>
      <c r="D623" s="168">
        <v>1</v>
      </c>
      <c r="E623" s="169" t="b">
        <v>1</v>
      </c>
      <c r="F623" s="170" t="s">
        <v>2046</v>
      </c>
      <c r="G623" s="171">
        <v>1</v>
      </c>
      <c r="H623" s="171">
        <v>1</v>
      </c>
      <c r="I623" s="171">
        <v>1</v>
      </c>
      <c r="J623" s="171">
        <v>1</v>
      </c>
      <c r="K623" s="171">
        <v>1</v>
      </c>
      <c r="L623" s="171"/>
      <c r="M623" s="171"/>
      <c r="N623" s="171"/>
      <c r="O623" s="171"/>
      <c r="P623" s="171"/>
      <c r="Q623" s="171"/>
      <c r="R623" s="171"/>
      <c r="S623" s="171"/>
      <c r="T623" s="171"/>
      <c r="U623" s="171"/>
      <c r="V623" s="171"/>
      <c r="W623" s="171"/>
      <c r="X623" s="171"/>
      <c r="Y623" s="171"/>
      <c r="Z623" s="171"/>
      <c r="AA623" s="171"/>
      <c r="AB623" s="171"/>
      <c r="AC623" s="171"/>
      <c r="AD623" s="171"/>
      <c r="AE623" s="171"/>
      <c r="AF623" s="171"/>
      <c r="AG623" s="171"/>
      <c r="AH623" s="22"/>
      <c r="AI623" s="171"/>
      <c r="AJ623" s="22">
        <f t="shared" si="7"/>
        <v>5</v>
      </c>
      <c r="AK623" s="22">
        <f t="shared" si="8"/>
        <v>5</v>
      </c>
    </row>
    <row r="624" spans="1:37" ht="15.75" customHeight="1">
      <c r="A624" s="167" t="s">
        <v>1118</v>
      </c>
      <c r="B624" s="167" t="s">
        <v>2056</v>
      </c>
      <c r="C624" s="22" t="s">
        <v>1117</v>
      </c>
      <c r="D624" s="168">
        <v>1</v>
      </c>
      <c r="E624" s="169" t="b">
        <v>1</v>
      </c>
      <c r="F624" s="170" t="s">
        <v>1954</v>
      </c>
      <c r="G624" s="171">
        <v>1</v>
      </c>
      <c r="H624" s="171">
        <v>1</v>
      </c>
      <c r="I624" s="171">
        <v>1</v>
      </c>
      <c r="J624" s="171">
        <v>1</v>
      </c>
      <c r="K624" s="171">
        <v>1</v>
      </c>
      <c r="L624" s="171"/>
      <c r="M624" s="171">
        <v>1</v>
      </c>
      <c r="N624" s="171"/>
      <c r="O624" s="171"/>
      <c r="P624" s="171"/>
      <c r="Q624" s="171"/>
      <c r="R624" s="171"/>
      <c r="S624" s="171"/>
      <c r="T624" s="171"/>
      <c r="U624" s="171"/>
      <c r="V624" s="171"/>
      <c r="W624" s="171"/>
      <c r="X624" s="171"/>
      <c r="Y624" s="171"/>
      <c r="Z624" s="171"/>
      <c r="AA624" s="171"/>
      <c r="AB624" s="171"/>
      <c r="AC624" s="171"/>
      <c r="AD624" s="171"/>
      <c r="AE624" s="171"/>
      <c r="AF624" s="171"/>
      <c r="AG624" s="171"/>
      <c r="AH624" s="22"/>
      <c r="AI624" s="171"/>
      <c r="AJ624" s="22">
        <f t="shared" si="7"/>
        <v>6</v>
      </c>
      <c r="AK624" s="22">
        <f t="shared" si="8"/>
        <v>6</v>
      </c>
    </row>
    <row r="625" spans="1:37" ht="15.75" customHeight="1">
      <c r="A625" s="167" t="s">
        <v>1120</v>
      </c>
      <c r="B625" s="167" t="s">
        <v>2056</v>
      </c>
      <c r="C625" s="22" t="s">
        <v>1119</v>
      </c>
      <c r="D625" s="168">
        <v>1</v>
      </c>
      <c r="E625" s="169" t="b">
        <v>1</v>
      </c>
      <c r="F625" s="170" t="s">
        <v>1591</v>
      </c>
      <c r="G625" s="171">
        <v>1</v>
      </c>
      <c r="H625" s="171">
        <v>1</v>
      </c>
      <c r="I625" s="171">
        <v>1</v>
      </c>
      <c r="J625" s="171">
        <v>1</v>
      </c>
      <c r="K625" s="171">
        <v>1</v>
      </c>
      <c r="L625" s="171">
        <v>2</v>
      </c>
      <c r="M625" s="171">
        <v>1</v>
      </c>
      <c r="N625" s="171"/>
      <c r="O625" s="171"/>
      <c r="P625" s="171"/>
      <c r="Q625" s="171"/>
      <c r="R625" s="171"/>
      <c r="S625" s="171"/>
      <c r="T625" s="171"/>
      <c r="U625" s="171"/>
      <c r="V625" s="171"/>
      <c r="W625" s="171"/>
      <c r="X625" s="171"/>
      <c r="Y625" s="171"/>
      <c r="Z625" s="171"/>
      <c r="AA625" s="171"/>
      <c r="AB625" s="171"/>
      <c r="AC625" s="171"/>
      <c r="AD625" s="171"/>
      <c r="AE625" s="171"/>
      <c r="AF625" s="171"/>
      <c r="AG625" s="171"/>
      <c r="AH625" s="22"/>
      <c r="AI625" s="171"/>
      <c r="AJ625" s="22">
        <f t="shared" si="7"/>
        <v>7</v>
      </c>
      <c r="AK625" s="22">
        <f t="shared" si="8"/>
        <v>8</v>
      </c>
    </row>
    <row r="626" spans="1:37" ht="15.75" customHeight="1">
      <c r="A626" s="167" t="s">
        <v>1122</v>
      </c>
      <c r="B626" s="167" t="s">
        <v>2056</v>
      </c>
      <c r="C626" s="22" t="s">
        <v>1121</v>
      </c>
      <c r="D626" s="168">
        <v>1</v>
      </c>
      <c r="E626" s="169" t="b">
        <v>1</v>
      </c>
      <c r="F626" s="170" t="s">
        <v>1765</v>
      </c>
      <c r="G626" s="171">
        <v>1</v>
      </c>
      <c r="H626" s="171">
        <v>1</v>
      </c>
      <c r="I626" s="171">
        <v>1</v>
      </c>
      <c r="J626" s="171">
        <v>1</v>
      </c>
      <c r="K626" s="171">
        <v>1</v>
      </c>
      <c r="L626" s="171"/>
      <c r="M626" s="171"/>
      <c r="N626" s="171">
        <v>1</v>
      </c>
      <c r="O626" s="171"/>
      <c r="P626" s="171"/>
      <c r="Q626" s="171">
        <v>1</v>
      </c>
      <c r="R626" s="171"/>
      <c r="S626" s="171"/>
      <c r="T626" s="171"/>
      <c r="U626" s="171"/>
      <c r="V626" s="171"/>
      <c r="W626" s="171"/>
      <c r="X626" s="171"/>
      <c r="Y626" s="171"/>
      <c r="Z626" s="171"/>
      <c r="AA626" s="171"/>
      <c r="AB626" s="171"/>
      <c r="AC626" s="171"/>
      <c r="AD626" s="171"/>
      <c r="AE626" s="171"/>
      <c r="AF626" s="171"/>
      <c r="AG626" s="171"/>
      <c r="AH626" s="22"/>
      <c r="AI626" s="171"/>
      <c r="AJ626" s="22">
        <f t="shared" si="7"/>
        <v>7</v>
      </c>
      <c r="AK626" s="22">
        <f t="shared" si="8"/>
        <v>7</v>
      </c>
    </row>
    <row r="627" spans="1:37" ht="15.75" customHeight="1">
      <c r="A627" s="167" t="s">
        <v>1124</v>
      </c>
      <c r="B627" s="167" t="s">
        <v>2056</v>
      </c>
      <c r="C627" s="22" t="s">
        <v>1123</v>
      </c>
      <c r="D627" s="168">
        <v>1</v>
      </c>
      <c r="E627" s="169" t="b">
        <v>1</v>
      </c>
      <c r="F627" s="170" t="s">
        <v>1592</v>
      </c>
      <c r="G627" s="171">
        <v>1</v>
      </c>
      <c r="H627" s="171">
        <v>1</v>
      </c>
      <c r="I627" s="171">
        <v>1</v>
      </c>
      <c r="J627" s="171">
        <v>1</v>
      </c>
      <c r="K627" s="171">
        <v>1</v>
      </c>
      <c r="L627" s="171">
        <v>1</v>
      </c>
      <c r="M627" s="171">
        <v>1</v>
      </c>
      <c r="N627" s="171"/>
      <c r="O627" s="171"/>
      <c r="P627" s="171"/>
      <c r="Q627" s="171">
        <v>1</v>
      </c>
      <c r="R627" s="171"/>
      <c r="S627" s="171"/>
      <c r="T627" s="171"/>
      <c r="U627" s="171"/>
      <c r="V627" s="171"/>
      <c r="W627" s="171"/>
      <c r="X627" s="171"/>
      <c r="Y627" s="171"/>
      <c r="Z627" s="171"/>
      <c r="AA627" s="171"/>
      <c r="AB627" s="171"/>
      <c r="AC627" s="171"/>
      <c r="AD627" s="171"/>
      <c r="AE627" s="171"/>
      <c r="AF627" s="171"/>
      <c r="AG627" s="171"/>
      <c r="AH627" s="22"/>
      <c r="AI627" s="171"/>
      <c r="AJ627" s="22">
        <f t="shared" si="7"/>
        <v>8</v>
      </c>
      <c r="AK627" s="22">
        <f t="shared" si="8"/>
        <v>8</v>
      </c>
    </row>
    <row r="628" spans="1:37" ht="15.75" customHeight="1">
      <c r="A628" s="167" t="s">
        <v>1126</v>
      </c>
      <c r="B628" s="167" t="s">
        <v>2056</v>
      </c>
      <c r="C628" s="22" t="s">
        <v>1125</v>
      </c>
      <c r="D628" s="168">
        <v>1</v>
      </c>
      <c r="E628" s="169" t="b">
        <v>1</v>
      </c>
      <c r="F628" s="170" t="s">
        <v>1955</v>
      </c>
      <c r="G628" s="171">
        <v>1</v>
      </c>
      <c r="H628" s="171">
        <v>1</v>
      </c>
      <c r="I628" s="171">
        <v>1</v>
      </c>
      <c r="J628" s="171">
        <v>1</v>
      </c>
      <c r="K628" s="171">
        <v>1</v>
      </c>
      <c r="L628" s="171">
        <v>1</v>
      </c>
      <c r="M628" s="171"/>
      <c r="N628" s="171"/>
      <c r="O628" s="171"/>
      <c r="P628" s="171"/>
      <c r="Q628" s="171"/>
      <c r="R628" s="171"/>
      <c r="S628" s="171"/>
      <c r="T628" s="171"/>
      <c r="U628" s="171"/>
      <c r="V628" s="171"/>
      <c r="W628" s="171"/>
      <c r="X628" s="171"/>
      <c r="Y628" s="171"/>
      <c r="Z628" s="171"/>
      <c r="AA628" s="171"/>
      <c r="AB628" s="171"/>
      <c r="AC628" s="171"/>
      <c r="AD628" s="171"/>
      <c r="AE628" s="171"/>
      <c r="AF628" s="171"/>
      <c r="AG628" s="171"/>
      <c r="AH628" s="22"/>
      <c r="AI628" s="171"/>
      <c r="AJ628" s="22">
        <f t="shared" si="7"/>
        <v>6</v>
      </c>
      <c r="AK628" s="22">
        <f t="shared" si="8"/>
        <v>6</v>
      </c>
    </row>
    <row r="629" spans="1:37" ht="15.75" customHeight="1">
      <c r="A629" s="167" t="s">
        <v>1353</v>
      </c>
      <c r="B629" s="167" t="s">
        <v>2054</v>
      </c>
      <c r="C629" s="22" t="s">
        <v>1352</v>
      </c>
      <c r="D629" s="168">
        <v>1</v>
      </c>
      <c r="E629" s="169" t="b">
        <v>1</v>
      </c>
      <c r="F629" s="170" t="s">
        <v>1794</v>
      </c>
      <c r="G629" s="171">
        <v>1</v>
      </c>
      <c r="H629" s="171">
        <v>1</v>
      </c>
      <c r="I629" s="171">
        <v>1</v>
      </c>
      <c r="J629" s="171">
        <v>1</v>
      </c>
      <c r="K629" s="171">
        <v>1</v>
      </c>
      <c r="L629" s="171"/>
      <c r="M629" s="171"/>
      <c r="N629" s="171"/>
      <c r="O629" s="171"/>
      <c r="P629" s="171"/>
      <c r="Q629" s="171"/>
      <c r="R629" s="171">
        <v>1</v>
      </c>
      <c r="S629" s="171"/>
      <c r="T629" s="171"/>
      <c r="U629" s="171"/>
      <c r="V629" s="171"/>
      <c r="W629" s="171"/>
      <c r="X629" s="171"/>
      <c r="Y629" s="171"/>
      <c r="Z629" s="171"/>
      <c r="AA629" s="171"/>
      <c r="AB629" s="171"/>
      <c r="AC629" s="171"/>
      <c r="AD629" s="171"/>
      <c r="AE629" s="171"/>
      <c r="AF629" s="171"/>
      <c r="AG629" s="171">
        <v>1</v>
      </c>
      <c r="AH629" s="22"/>
      <c r="AI629" s="171" t="s">
        <v>1617</v>
      </c>
      <c r="AJ629" s="22">
        <f t="shared" si="7"/>
        <v>7</v>
      </c>
      <c r="AK629" s="22">
        <f t="shared" si="8"/>
        <v>7</v>
      </c>
    </row>
    <row r="630" spans="1:37" ht="15.75" customHeight="1">
      <c r="A630" s="167" t="s">
        <v>1128</v>
      </c>
      <c r="B630" s="167" t="s">
        <v>2056</v>
      </c>
      <c r="C630" s="22" t="s">
        <v>1127</v>
      </c>
      <c r="D630" s="168">
        <v>1</v>
      </c>
      <c r="E630" s="169" t="b">
        <v>1</v>
      </c>
      <c r="F630" s="170" t="s">
        <v>1467</v>
      </c>
      <c r="G630" s="171">
        <v>1</v>
      </c>
      <c r="H630" s="171">
        <v>1</v>
      </c>
      <c r="I630" s="171">
        <v>1</v>
      </c>
      <c r="J630" s="171">
        <v>1</v>
      </c>
      <c r="K630" s="171">
        <v>1</v>
      </c>
      <c r="L630" s="171">
        <v>2</v>
      </c>
      <c r="M630" s="171">
        <v>1</v>
      </c>
      <c r="N630" s="171"/>
      <c r="O630" s="171"/>
      <c r="P630" s="171"/>
      <c r="Q630" s="171"/>
      <c r="R630" s="171"/>
      <c r="S630" s="171"/>
      <c r="T630" s="171"/>
      <c r="U630" s="171"/>
      <c r="V630" s="171"/>
      <c r="W630" s="171"/>
      <c r="X630" s="171"/>
      <c r="Y630" s="171"/>
      <c r="Z630" s="171"/>
      <c r="AA630" s="171"/>
      <c r="AB630" s="171"/>
      <c r="AC630" s="171"/>
      <c r="AD630" s="171">
        <v>1</v>
      </c>
      <c r="AE630" s="171"/>
      <c r="AF630" s="171"/>
      <c r="AG630" s="171"/>
      <c r="AH630" s="22"/>
      <c r="AI630" s="171"/>
      <c r="AJ630" s="22">
        <f t="shared" si="7"/>
        <v>8</v>
      </c>
      <c r="AK630" s="22">
        <f t="shared" si="8"/>
        <v>9</v>
      </c>
    </row>
    <row r="631" spans="1:37" ht="15.75" customHeight="1">
      <c r="A631" s="167" t="s">
        <v>1130</v>
      </c>
      <c r="B631" s="167" t="s">
        <v>2056</v>
      </c>
      <c r="C631" s="22" t="s">
        <v>1129</v>
      </c>
      <c r="D631" s="168">
        <v>1</v>
      </c>
      <c r="E631" s="169" t="b">
        <v>1</v>
      </c>
      <c r="F631" s="170" t="s">
        <v>1766</v>
      </c>
      <c r="G631" s="171">
        <v>1</v>
      </c>
      <c r="H631" s="171">
        <v>1</v>
      </c>
      <c r="I631" s="171">
        <v>1</v>
      </c>
      <c r="J631" s="171">
        <v>1</v>
      </c>
      <c r="K631" s="171">
        <v>1</v>
      </c>
      <c r="L631" s="171">
        <v>2</v>
      </c>
      <c r="M631" s="171"/>
      <c r="N631" s="171"/>
      <c r="O631" s="171"/>
      <c r="P631" s="171"/>
      <c r="Q631" s="171"/>
      <c r="R631" s="171"/>
      <c r="S631" s="171"/>
      <c r="T631" s="171"/>
      <c r="U631" s="171"/>
      <c r="V631" s="171"/>
      <c r="W631" s="171"/>
      <c r="X631" s="171"/>
      <c r="Y631" s="171"/>
      <c r="Z631" s="171"/>
      <c r="AA631" s="171"/>
      <c r="AB631" s="171"/>
      <c r="AC631" s="171"/>
      <c r="AD631" s="171"/>
      <c r="AE631" s="171"/>
      <c r="AF631" s="171"/>
      <c r="AG631" s="171"/>
      <c r="AH631" s="22"/>
      <c r="AI631" s="171"/>
      <c r="AJ631" s="22">
        <f t="shared" si="7"/>
        <v>6</v>
      </c>
      <c r="AK631" s="22">
        <f t="shared" si="8"/>
        <v>7</v>
      </c>
    </row>
    <row r="632" spans="1:37" ht="15.75" customHeight="1">
      <c r="A632" s="167" t="s">
        <v>1132</v>
      </c>
      <c r="B632" s="167" t="s">
        <v>2056</v>
      </c>
      <c r="C632" s="22" t="s">
        <v>1131</v>
      </c>
      <c r="D632" s="168">
        <v>1</v>
      </c>
      <c r="E632" s="169" t="b">
        <v>1</v>
      </c>
      <c r="F632" s="170" t="s">
        <v>1767</v>
      </c>
      <c r="G632" s="171">
        <v>1</v>
      </c>
      <c r="H632" s="171">
        <v>1</v>
      </c>
      <c r="I632" s="171">
        <v>1</v>
      </c>
      <c r="J632" s="171">
        <v>1</v>
      </c>
      <c r="K632" s="171">
        <v>1</v>
      </c>
      <c r="L632" s="171"/>
      <c r="M632" s="171">
        <v>1</v>
      </c>
      <c r="N632" s="171">
        <v>1</v>
      </c>
      <c r="O632" s="171"/>
      <c r="P632" s="171"/>
      <c r="Q632" s="171"/>
      <c r="R632" s="171"/>
      <c r="S632" s="171"/>
      <c r="T632" s="171"/>
      <c r="U632" s="171"/>
      <c r="V632" s="171"/>
      <c r="W632" s="171"/>
      <c r="X632" s="171"/>
      <c r="Y632" s="171"/>
      <c r="Z632" s="171"/>
      <c r="AA632" s="171"/>
      <c r="AB632" s="171"/>
      <c r="AC632" s="171"/>
      <c r="AD632" s="171"/>
      <c r="AE632" s="171"/>
      <c r="AF632" s="171"/>
      <c r="AG632" s="171"/>
      <c r="AH632" s="22"/>
      <c r="AI632" s="171"/>
      <c r="AJ632" s="22">
        <f t="shared" si="7"/>
        <v>7</v>
      </c>
      <c r="AK632" s="22">
        <f t="shared" si="8"/>
        <v>7</v>
      </c>
    </row>
    <row r="633" spans="1:37" ht="15.75" customHeight="1">
      <c r="A633" s="167" t="s">
        <v>1134</v>
      </c>
      <c r="B633" s="167" t="s">
        <v>2056</v>
      </c>
      <c r="C633" s="22" t="s">
        <v>1133</v>
      </c>
      <c r="D633" s="168">
        <v>1</v>
      </c>
      <c r="E633" s="169" t="b">
        <v>1</v>
      </c>
      <c r="F633" s="170" t="s">
        <v>1956</v>
      </c>
      <c r="G633" s="171">
        <v>1</v>
      </c>
      <c r="H633" s="171">
        <v>1</v>
      </c>
      <c r="I633" s="171">
        <v>1</v>
      </c>
      <c r="J633" s="171">
        <v>1</v>
      </c>
      <c r="K633" s="171">
        <v>1</v>
      </c>
      <c r="L633" s="171">
        <v>1</v>
      </c>
      <c r="M633" s="171"/>
      <c r="N633" s="171"/>
      <c r="O633" s="171"/>
      <c r="P633" s="171"/>
      <c r="Q633" s="171"/>
      <c r="R633" s="171"/>
      <c r="S633" s="171"/>
      <c r="T633" s="171"/>
      <c r="U633" s="171"/>
      <c r="V633" s="171"/>
      <c r="W633" s="171"/>
      <c r="X633" s="171"/>
      <c r="Y633" s="171"/>
      <c r="Z633" s="171"/>
      <c r="AA633" s="171"/>
      <c r="AB633" s="171"/>
      <c r="AC633" s="171"/>
      <c r="AD633" s="171"/>
      <c r="AE633" s="171"/>
      <c r="AF633" s="171"/>
      <c r="AG633" s="171"/>
      <c r="AH633" s="22"/>
      <c r="AI633" s="171"/>
      <c r="AJ633" s="22">
        <f t="shared" si="7"/>
        <v>6</v>
      </c>
      <c r="AK633" s="22">
        <f t="shared" si="8"/>
        <v>6</v>
      </c>
    </row>
    <row r="634" spans="1:37" ht="15.75" customHeight="1">
      <c r="A634" s="167" t="s">
        <v>1355</v>
      </c>
      <c r="B634" s="167" t="s">
        <v>2054</v>
      </c>
      <c r="C634" s="22" t="s">
        <v>1354</v>
      </c>
      <c r="D634" s="168">
        <v>1</v>
      </c>
      <c r="E634" s="169" t="b">
        <v>1</v>
      </c>
      <c r="F634" s="170" t="s">
        <v>1624</v>
      </c>
      <c r="G634" s="171">
        <v>1</v>
      </c>
      <c r="H634" s="171">
        <v>1</v>
      </c>
      <c r="I634" s="171">
        <v>1</v>
      </c>
      <c r="J634" s="171">
        <v>1</v>
      </c>
      <c r="K634" s="171">
        <v>1</v>
      </c>
      <c r="L634" s="171"/>
      <c r="M634" s="171"/>
      <c r="N634" s="171"/>
      <c r="O634" s="171"/>
      <c r="P634" s="171"/>
      <c r="Q634" s="171"/>
      <c r="R634" s="171">
        <v>1</v>
      </c>
      <c r="S634" s="171"/>
      <c r="T634" s="171"/>
      <c r="U634" s="171"/>
      <c r="V634" s="171"/>
      <c r="W634" s="171"/>
      <c r="X634" s="171">
        <v>1</v>
      </c>
      <c r="Y634" s="171"/>
      <c r="Z634" s="171"/>
      <c r="AA634" s="171"/>
      <c r="AB634" s="171"/>
      <c r="AC634" s="171"/>
      <c r="AD634" s="171"/>
      <c r="AE634" s="171"/>
      <c r="AF634" s="171"/>
      <c r="AG634" s="171">
        <v>1</v>
      </c>
      <c r="AH634" s="22"/>
      <c r="AI634" s="171" t="s">
        <v>1498</v>
      </c>
      <c r="AJ634" s="22">
        <f t="shared" si="7"/>
        <v>8</v>
      </c>
      <c r="AK634" s="22">
        <f t="shared" si="8"/>
        <v>8</v>
      </c>
    </row>
    <row r="635" spans="1:37" ht="15.75" customHeight="1">
      <c r="A635" s="167" t="s">
        <v>1136</v>
      </c>
      <c r="B635" s="167" t="s">
        <v>2056</v>
      </c>
      <c r="C635" s="22" t="s">
        <v>1135</v>
      </c>
      <c r="D635" s="168">
        <v>1</v>
      </c>
      <c r="E635" s="169" t="b">
        <v>1</v>
      </c>
      <c r="F635" s="170" t="s">
        <v>1468</v>
      </c>
      <c r="G635" s="171">
        <v>1</v>
      </c>
      <c r="H635" s="171">
        <v>1</v>
      </c>
      <c r="I635" s="171">
        <v>1</v>
      </c>
      <c r="J635" s="171">
        <v>1</v>
      </c>
      <c r="K635" s="171">
        <v>1</v>
      </c>
      <c r="L635" s="171">
        <v>4</v>
      </c>
      <c r="M635" s="171"/>
      <c r="N635" s="171"/>
      <c r="O635" s="171"/>
      <c r="P635" s="171"/>
      <c r="Q635" s="171"/>
      <c r="R635" s="171"/>
      <c r="S635" s="171"/>
      <c r="T635" s="171"/>
      <c r="U635" s="171"/>
      <c r="V635" s="171"/>
      <c r="W635" s="171"/>
      <c r="X635" s="171"/>
      <c r="Y635" s="171"/>
      <c r="Z635" s="171"/>
      <c r="AA635" s="171"/>
      <c r="AB635" s="171"/>
      <c r="AC635" s="171"/>
      <c r="AD635" s="171"/>
      <c r="AE635" s="171"/>
      <c r="AF635" s="171"/>
      <c r="AG635" s="171"/>
      <c r="AH635" s="22"/>
      <c r="AI635" s="171"/>
      <c r="AJ635" s="22">
        <f t="shared" si="7"/>
        <v>6</v>
      </c>
      <c r="AK635" s="22">
        <f t="shared" si="8"/>
        <v>9</v>
      </c>
    </row>
    <row r="636" spans="1:37" ht="15.75" customHeight="1">
      <c r="A636" s="167" t="s">
        <v>1138</v>
      </c>
      <c r="B636" s="167" t="s">
        <v>2056</v>
      </c>
      <c r="C636" s="22" t="s">
        <v>1137</v>
      </c>
      <c r="D636" s="168">
        <v>1</v>
      </c>
      <c r="E636" s="169" t="b">
        <v>1</v>
      </c>
      <c r="F636" s="170" t="s">
        <v>1469</v>
      </c>
      <c r="G636" s="171">
        <v>1</v>
      </c>
      <c r="H636" s="171">
        <v>1</v>
      </c>
      <c r="I636" s="171">
        <v>1</v>
      </c>
      <c r="J636" s="171">
        <v>1</v>
      </c>
      <c r="K636" s="171">
        <v>1</v>
      </c>
      <c r="L636" s="171">
        <v>3</v>
      </c>
      <c r="M636" s="171"/>
      <c r="N636" s="171"/>
      <c r="O636" s="171"/>
      <c r="P636" s="171"/>
      <c r="Q636" s="171"/>
      <c r="R636" s="171"/>
      <c r="S636" s="171">
        <v>1</v>
      </c>
      <c r="T636" s="171"/>
      <c r="U636" s="171"/>
      <c r="V636" s="171"/>
      <c r="W636" s="171"/>
      <c r="X636" s="171"/>
      <c r="Y636" s="171"/>
      <c r="Z636" s="171"/>
      <c r="AA636" s="171"/>
      <c r="AB636" s="171"/>
      <c r="AC636" s="171"/>
      <c r="AD636" s="171"/>
      <c r="AE636" s="171"/>
      <c r="AF636" s="171"/>
      <c r="AG636" s="171"/>
      <c r="AH636" s="22"/>
      <c r="AI636" s="171"/>
      <c r="AJ636" s="22">
        <f t="shared" si="7"/>
        <v>7</v>
      </c>
      <c r="AK636" s="22">
        <f t="shared" si="8"/>
        <v>9</v>
      </c>
    </row>
  </sheetData>
  <mergeCells count="35">
    <mergeCell ref="AH1:AH2"/>
    <mergeCell ref="AI1:AI4"/>
    <mergeCell ref="AF3:AF4"/>
    <mergeCell ref="AJ1:AJ3"/>
    <mergeCell ref="AK1:AK3"/>
    <mergeCell ref="AD3:AD4"/>
    <mergeCell ref="AE3:AE4"/>
    <mergeCell ref="C1:C4"/>
    <mergeCell ref="B1:B4"/>
    <mergeCell ref="A1:A4"/>
    <mergeCell ref="D1:D3"/>
    <mergeCell ref="E1:E3"/>
    <mergeCell ref="F1:F4"/>
    <mergeCell ref="G3:G4"/>
    <mergeCell ref="H3:H4"/>
    <mergeCell ref="I3:I4"/>
    <mergeCell ref="J3:J4"/>
    <mergeCell ref="N3:N4"/>
    <mergeCell ref="O3:O4"/>
    <mergeCell ref="P3:P4"/>
    <mergeCell ref="Q3:Q4"/>
    <mergeCell ref="Y3:Y4"/>
    <mergeCell ref="Z3:Z4"/>
    <mergeCell ref="AA3:AA4"/>
    <mergeCell ref="AB3:AB4"/>
    <mergeCell ref="AC3:AC4"/>
    <mergeCell ref="K3:K4"/>
    <mergeCell ref="M3:M4"/>
    <mergeCell ref="V3:V4"/>
    <mergeCell ref="W3:W4"/>
    <mergeCell ref="X3:X4"/>
    <mergeCell ref="R3:R4"/>
    <mergeCell ref="S3:S4"/>
    <mergeCell ref="T3:T4"/>
    <mergeCell ref="U3:U4"/>
  </mergeCells>
  <conditionalFormatting sqref="G5:G636">
    <cfRule type="notContainsBlanks" dxfId="26" priority="1">
      <formula>LEN(TRIM(G5))&gt;0</formula>
    </cfRule>
  </conditionalFormatting>
  <conditionalFormatting sqref="H5:H636">
    <cfRule type="notContainsBlanks" dxfId="25" priority="2">
      <formula>LEN(TRIM(H5))&gt;0</formula>
    </cfRule>
  </conditionalFormatting>
  <conditionalFormatting sqref="I5:I636">
    <cfRule type="notContainsBlanks" dxfId="24" priority="4">
      <formula>LEN(TRIM(I5))&gt;0</formula>
    </cfRule>
  </conditionalFormatting>
  <conditionalFormatting sqref="J5:J636">
    <cfRule type="notContainsBlanks" dxfId="23" priority="5">
      <formula>LEN(TRIM(J5))&gt;0</formula>
    </cfRule>
  </conditionalFormatting>
  <conditionalFormatting sqref="J13:K22 M5:M636">
    <cfRule type="notContainsBlanks" dxfId="22" priority="19">
      <formula>LEN(TRIM(M5))&gt;0</formula>
    </cfRule>
  </conditionalFormatting>
  <conditionalFormatting sqref="K5:K636">
    <cfRule type="notContainsBlanks" dxfId="21" priority="8">
      <formula>LEN(TRIM(K5))&gt;0</formula>
    </cfRule>
  </conditionalFormatting>
  <conditionalFormatting sqref="L5:L636">
    <cfRule type="notContainsBlanks" dxfId="20" priority="6">
      <formula>LEN(TRIM(L5))&gt;0</formula>
    </cfRule>
  </conditionalFormatting>
  <conditionalFormatting sqref="N5:N636">
    <cfRule type="notContainsBlanks" dxfId="19" priority="14">
      <formula>LEN(TRIM(N5))&gt;0</formula>
    </cfRule>
  </conditionalFormatting>
  <conditionalFormatting sqref="O5:O636">
    <cfRule type="notContainsBlanks" dxfId="18" priority="22">
      <formula>LEN(TRIM(O5))&gt;0</formula>
    </cfRule>
  </conditionalFormatting>
  <conditionalFormatting sqref="P5:P636">
    <cfRule type="notContainsBlanks" dxfId="17" priority="10">
      <formula>LEN(TRIM(P5))&gt;0</formula>
    </cfRule>
  </conditionalFormatting>
  <conditionalFormatting sqref="Q5:Q636">
    <cfRule type="notContainsBlanks" dxfId="16" priority="9">
      <formula>LEN(TRIM(Q5))&gt;0</formula>
    </cfRule>
  </conditionalFormatting>
  <conditionalFormatting sqref="R5:R636">
    <cfRule type="notContainsBlanks" dxfId="15" priority="24">
      <formula>LEN(TRIM(R5))&gt;0</formula>
    </cfRule>
  </conditionalFormatting>
  <conditionalFormatting sqref="S5:S636">
    <cfRule type="notContainsBlanks" dxfId="14" priority="13">
      <formula>LEN(TRIM(S5))&gt;0</formula>
    </cfRule>
  </conditionalFormatting>
  <conditionalFormatting sqref="T5:T636">
    <cfRule type="notContainsBlanks" dxfId="13" priority="7">
      <formula>LEN(TRIM(T5))&gt;0</formula>
    </cfRule>
  </conditionalFormatting>
  <conditionalFormatting sqref="U5:U636">
    <cfRule type="notContainsBlanks" dxfId="12" priority="12">
      <formula>LEN(TRIM(U5))&gt;0</formula>
    </cfRule>
  </conditionalFormatting>
  <conditionalFormatting sqref="V5:V636">
    <cfRule type="notContainsBlanks" dxfId="11" priority="11">
      <formula>LEN(TRIM(V5))&gt;0</formula>
    </cfRule>
  </conditionalFormatting>
  <conditionalFormatting sqref="W5:W636">
    <cfRule type="notContainsBlanks" dxfId="10" priority="17">
      <formula>LEN(TRIM(W5))&gt;0</formula>
    </cfRule>
  </conditionalFormatting>
  <conditionalFormatting sqref="X5:X636">
    <cfRule type="notContainsBlanks" dxfId="9" priority="27">
      <formula>LEN(TRIM(X5))&gt;0</formula>
    </cfRule>
  </conditionalFormatting>
  <conditionalFormatting sqref="Y5:Y636">
    <cfRule type="notContainsBlanks" dxfId="8" priority="25">
      <formula>LEN(TRIM(Y5))&gt;0</formula>
    </cfRule>
  </conditionalFormatting>
  <conditionalFormatting sqref="Z5:Z636">
    <cfRule type="notContainsBlanks" dxfId="7" priority="26">
      <formula>LEN(TRIM(Z5))&gt;0</formula>
    </cfRule>
  </conditionalFormatting>
  <conditionalFormatting sqref="AA5:AA636">
    <cfRule type="notContainsBlanks" dxfId="6" priority="15">
      <formula>LEN(TRIM(AA5))&gt;0</formula>
    </cfRule>
  </conditionalFormatting>
  <conditionalFormatting sqref="AB5:AB636">
    <cfRule type="notContainsBlanks" dxfId="5" priority="23">
      <formula>LEN(TRIM(AB5))&gt;0</formula>
    </cfRule>
  </conditionalFormatting>
  <conditionalFormatting sqref="AC5:AC636">
    <cfRule type="notContainsBlanks" dxfId="4" priority="16">
      <formula>LEN(TRIM(AC5))&gt;0</formula>
    </cfRule>
  </conditionalFormatting>
  <conditionalFormatting sqref="AD5:AD636">
    <cfRule type="notContainsBlanks" dxfId="3" priority="29">
      <formula>LEN(TRIM(AD5))&gt;0</formula>
    </cfRule>
  </conditionalFormatting>
  <conditionalFormatting sqref="AE5:AE636">
    <cfRule type="notContainsBlanks" dxfId="2" priority="28">
      <formula>LEN(TRIM(AE5))&gt;0</formula>
    </cfRule>
  </conditionalFormatting>
  <conditionalFormatting sqref="AF5:AF636">
    <cfRule type="notContainsBlanks" dxfId="1" priority="30">
      <formula>LEN(TRIM(AF5))&gt;0</formula>
    </cfRule>
  </conditionalFormatting>
  <conditionalFormatting sqref="AG5:AG636">
    <cfRule type="notContainsBlanks" dxfId="0" priority="18">
      <formula>LEN(TRIM(AG5))&gt;0</formula>
    </cfRule>
  </conditionalFormatting>
  <conditionalFormatting sqref="AJ5:AJ636">
    <cfRule type="colorScale" priority="20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AK5:AK636">
    <cfRule type="colorScale" priority="2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hyperlinks>
    <hyperlink ref="F5" r:id="rId1" xr:uid="{00000000-0004-0000-0200-000000000000}"/>
    <hyperlink ref="F6" r:id="rId2" xr:uid="{00000000-0004-0000-0200-000001000000}"/>
    <hyperlink ref="F7" r:id="rId3" xr:uid="{00000000-0004-0000-0200-000002000000}"/>
    <hyperlink ref="F8" r:id="rId4" xr:uid="{00000000-0004-0000-0200-000003000000}"/>
    <hyperlink ref="F9" r:id="rId5" xr:uid="{00000000-0004-0000-0200-000004000000}"/>
    <hyperlink ref="F10" r:id="rId6" xr:uid="{00000000-0004-0000-0200-000005000000}"/>
    <hyperlink ref="F11" r:id="rId7" xr:uid="{00000000-0004-0000-0200-000006000000}"/>
    <hyperlink ref="F12" r:id="rId8" xr:uid="{00000000-0004-0000-0200-000007000000}"/>
    <hyperlink ref="F13" r:id="rId9" xr:uid="{00000000-0004-0000-0200-000008000000}"/>
    <hyperlink ref="F14" r:id="rId10" xr:uid="{00000000-0004-0000-0200-000009000000}"/>
    <hyperlink ref="F15" r:id="rId11" xr:uid="{00000000-0004-0000-0200-00000A000000}"/>
    <hyperlink ref="F16" r:id="rId12" xr:uid="{00000000-0004-0000-0200-00000B000000}"/>
    <hyperlink ref="F17" r:id="rId13" xr:uid="{00000000-0004-0000-0200-00000C000000}"/>
    <hyperlink ref="F18" r:id="rId14" xr:uid="{00000000-0004-0000-0200-00000D000000}"/>
    <hyperlink ref="F19" r:id="rId15" xr:uid="{00000000-0004-0000-0200-00000E000000}"/>
    <hyperlink ref="F20" r:id="rId16" xr:uid="{00000000-0004-0000-0200-00000F000000}"/>
    <hyperlink ref="F21" r:id="rId17" xr:uid="{00000000-0004-0000-0200-000010000000}"/>
    <hyperlink ref="F22" r:id="rId18" xr:uid="{00000000-0004-0000-0200-000011000000}"/>
    <hyperlink ref="F23" r:id="rId19" xr:uid="{00000000-0004-0000-0200-000012000000}"/>
    <hyperlink ref="F24" r:id="rId20" xr:uid="{00000000-0004-0000-0200-000013000000}"/>
    <hyperlink ref="F25" r:id="rId21" xr:uid="{00000000-0004-0000-0200-000014000000}"/>
    <hyperlink ref="F26" r:id="rId22" xr:uid="{00000000-0004-0000-0200-000015000000}"/>
    <hyperlink ref="F27" r:id="rId23" xr:uid="{00000000-0004-0000-0200-000016000000}"/>
    <hyperlink ref="F28" r:id="rId24" xr:uid="{00000000-0004-0000-0200-000017000000}"/>
    <hyperlink ref="F29" r:id="rId25" xr:uid="{00000000-0004-0000-0200-000018000000}"/>
    <hyperlink ref="F30" r:id="rId26" xr:uid="{00000000-0004-0000-0200-000019000000}"/>
    <hyperlink ref="F31" r:id="rId27" xr:uid="{00000000-0004-0000-0200-00001A000000}"/>
    <hyperlink ref="F32" r:id="rId28" xr:uid="{00000000-0004-0000-0200-00001B000000}"/>
    <hyperlink ref="F33" r:id="rId29" xr:uid="{00000000-0004-0000-0200-00001C000000}"/>
    <hyperlink ref="F34" r:id="rId30" xr:uid="{00000000-0004-0000-0200-00001D000000}"/>
    <hyperlink ref="F35" r:id="rId31" xr:uid="{00000000-0004-0000-0200-00001E000000}"/>
    <hyperlink ref="F36" r:id="rId32" xr:uid="{00000000-0004-0000-0200-00001F000000}"/>
    <hyperlink ref="F37" r:id="rId33" xr:uid="{00000000-0004-0000-0200-000020000000}"/>
    <hyperlink ref="F38" r:id="rId34" xr:uid="{00000000-0004-0000-0200-000021000000}"/>
    <hyperlink ref="F39" r:id="rId35" xr:uid="{00000000-0004-0000-0200-000022000000}"/>
    <hyperlink ref="F40" r:id="rId36" xr:uid="{00000000-0004-0000-0200-000023000000}"/>
    <hyperlink ref="F41" r:id="rId37" xr:uid="{00000000-0004-0000-0200-000024000000}"/>
    <hyperlink ref="F42" r:id="rId38" xr:uid="{00000000-0004-0000-0200-000025000000}"/>
    <hyperlink ref="F43" r:id="rId39" xr:uid="{00000000-0004-0000-0200-000026000000}"/>
    <hyperlink ref="F44" r:id="rId40" xr:uid="{00000000-0004-0000-0200-000027000000}"/>
    <hyperlink ref="F45" r:id="rId41" xr:uid="{00000000-0004-0000-0200-000028000000}"/>
    <hyperlink ref="F46" r:id="rId42" xr:uid="{00000000-0004-0000-0200-000029000000}"/>
    <hyperlink ref="F47" r:id="rId43" xr:uid="{00000000-0004-0000-0200-00002A000000}"/>
    <hyperlink ref="F48" r:id="rId44" xr:uid="{00000000-0004-0000-0200-00002B000000}"/>
    <hyperlink ref="F49" r:id="rId45" xr:uid="{00000000-0004-0000-0200-00002C000000}"/>
    <hyperlink ref="F50" r:id="rId46" xr:uid="{00000000-0004-0000-0200-00002D000000}"/>
    <hyperlink ref="F51" r:id="rId47" xr:uid="{00000000-0004-0000-0200-00002E000000}"/>
    <hyperlink ref="F52" r:id="rId48" xr:uid="{00000000-0004-0000-0200-00002F000000}"/>
    <hyperlink ref="F53" r:id="rId49" xr:uid="{00000000-0004-0000-0200-000030000000}"/>
    <hyperlink ref="F54" r:id="rId50" xr:uid="{00000000-0004-0000-0200-000031000000}"/>
    <hyperlink ref="F55" r:id="rId51" xr:uid="{00000000-0004-0000-0200-000032000000}"/>
    <hyperlink ref="F56" r:id="rId52" xr:uid="{00000000-0004-0000-0200-000033000000}"/>
    <hyperlink ref="F57" r:id="rId53" xr:uid="{00000000-0004-0000-0200-000034000000}"/>
    <hyperlink ref="F58" r:id="rId54" xr:uid="{00000000-0004-0000-0200-000035000000}"/>
    <hyperlink ref="F59" r:id="rId55" xr:uid="{00000000-0004-0000-0200-000036000000}"/>
    <hyperlink ref="F60" r:id="rId56" xr:uid="{00000000-0004-0000-0200-000037000000}"/>
    <hyperlink ref="F61" r:id="rId57" xr:uid="{00000000-0004-0000-0200-000038000000}"/>
    <hyperlink ref="F62" r:id="rId58" xr:uid="{00000000-0004-0000-0200-000039000000}"/>
    <hyperlink ref="F63" r:id="rId59" xr:uid="{00000000-0004-0000-0200-00003A000000}"/>
    <hyperlink ref="F64" r:id="rId60" xr:uid="{00000000-0004-0000-0200-00003B000000}"/>
    <hyperlink ref="F65" r:id="rId61" xr:uid="{00000000-0004-0000-0200-00003C000000}"/>
    <hyperlink ref="F66" r:id="rId62" xr:uid="{00000000-0004-0000-0200-00003D000000}"/>
    <hyperlink ref="F67" r:id="rId63" xr:uid="{00000000-0004-0000-0200-00003E000000}"/>
    <hyperlink ref="F68" r:id="rId64" xr:uid="{00000000-0004-0000-0200-00003F000000}"/>
    <hyperlink ref="F69" r:id="rId65" xr:uid="{00000000-0004-0000-0200-000040000000}"/>
    <hyperlink ref="F70" r:id="rId66" xr:uid="{00000000-0004-0000-0200-000041000000}"/>
    <hyperlink ref="F71" r:id="rId67" xr:uid="{00000000-0004-0000-0200-000042000000}"/>
    <hyperlink ref="F72" r:id="rId68" xr:uid="{00000000-0004-0000-0200-000043000000}"/>
    <hyperlink ref="F73" r:id="rId69" xr:uid="{00000000-0004-0000-0200-000044000000}"/>
    <hyperlink ref="F74" r:id="rId70" xr:uid="{00000000-0004-0000-0200-000045000000}"/>
    <hyperlink ref="F75" r:id="rId71" xr:uid="{00000000-0004-0000-0200-000046000000}"/>
    <hyperlink ref="F76" r:id="rId72" xr:uid="{00000000-0004-0000-0200-000047000000}"/>
    <hyperlink ref="F77" r:id="rId73" xr:uid="{00000000-0004-0000-0200-000048000000}"/>
    <hyperlink ref="F78" r:id="rId74" xr:uid="{00000000-0004-0000-0200-000049000000}"/>
    <hyperlink ref="F79" r:id="rId75" xr:uid="{00000000-0004-0000-0200-00004A000000}"/>
    <hyperlink ref="F80" r:id="rId76" xr:uid="{00000000-0004-0000-0200-00004B000000}"/>
    <hyperlink ref="F81" r:id="rId77" xr:uid="{00000000-0004-0000-0200-00004C000000}"/>
    <hyperlink ref="F82" r:id="rId78" xr:uid="{00000000-0004-0000-0200-00004D000000}"/>
    <hyperlink ref="F83" r:id="rId79" xr:uid="{00000000-0004-0000-0200-00004E000000}"/>
    <hyperlink ref="F84" r:id="rId80" xr:uid="{00000000-0004-0000-0200-00004F000000}"/>
    <hyperlink ref="F85" r:id="rId81" xr:uid="{00000000-0004-0000-0200-000050000000}"/>
    <hyperlink ref="F86" r:id="rId82" xr:uid="{00000000-0004-0000-0200-000051000000}"/>
    <hyperlink ref="F87" r:id="rId83" xr:uid="{00000000-0004-0000-0200-000052000000}"/>
    <hyperlink ref="F88" r:id="rId84" xr:uid="{00000000-0004-0000-0200-000053000000}"/>
    <hyperlink ref="F89" r:id="rId85" xr:uid="{00000000-0004-0000-0200-000054000000}"/>
    <hyperlink ref="F90" r:id="rId86" xr:uid="{00000000-0004-0000-0200-000055000000}"/>
    <hyperlink ref="F91" r:id="rId87" xr:uid="{00000000-0004-0000-0200-000056000000}"/>
    <hyperlink ref="F92" r:id="rId88" xr:uid="{00000000-0004-0000-0200-000057000000}"/>
    <hyperlink ref="F93" r:id="rId89" xr:uid="{00000000-0004-0000-0200-000058000000}"/>
    <hyperlink ref="F94" r:id="rId90" xr:uid="{00000000-0004-0000-0200-000059000000}"/>
    <hyperlink ref="F95" r:id="rId91" xr:uid="{00000000-0004-0000-0200-00005A000000}"/>
    <hyperlink ref="F96" r:id="rId92" xr:uid="{00000000-0004-0000-0200-00005B000000}"/>
    <hyperlink ref="F97" r:id="rId93" xr:uid="{00000000-0004-0000-0200-00005C000000}"/>
    <hyperlink ref="F98" r:id="rId94" xr:uid="{00000000-0004-0000-0200-00005D000000}"/>
    <hyperlink ref="F99" r:id="rId95" xr:uid="{00000000-0004-0000-0200-00005E000000}"/>
    <hyperlink ref="F100" r:id="rId96" xr:uid="{00000000-0004-0000-0200-00005F000000}"/>
    <hyperlink ref="F101" r:id="rId97" xr:uid="{00000000-0004-0000-0200-000060000000}"/>
    <hyperlink ref="F102" r:id="rId98" xr:uid="{00000000-0004-0000-0200-000061000000}"/>
    <hyperlink ref="F103" r:id="rId99" xr:uid="{00000000-0004-0000-0200-000062000000}"/>
    <hyperlink ref="F104" r:id="rId100" xr:uid="{00000000-0004-0000-0200-000063000000}"/>
    <hyperlink ref="F105" r:id="rId101" xr:uid="{00000000-0004-0000-0200-000064000000}"/>
    <hyperlink ref="F106" r:id="rId102" xr:uid="{00000000-0004-0000-0200-000065000000}"/>
    <hyperlink ref="F107" r:id="rId103" xr:uid="{00000000-0004-0000-0200-000066000000}"/>
    <hyperlink ref="F108" r:id="rId104" xr:uid="{00000000-0004-0000-0200-000067000000}"/>
    <hyperlink ref="F109" r:id="rId105" xr:uid="{00000000-0004-0000-0200-000068000000}"/>
    <hyperlink ref="F110" r:id="rId106" xr:uid="{00000000-0004-0000-0200-000069000000}"/>
    <hyperlink ref="F111" r:id="rId107" xr:uid="{00000000-0004-0000-0200-00006A000000}"/>
    <hyperlink ref="F112" r:id="rId108" xr:uid="{00000000-0004-0000-0200-00006B000000}"/>
    <hyperlink ref="F113" r:id="rId109" xr:uid="{00000000-0004-0000-0200-00006C000000}"/>
    <hyperlink ref="F114" r:id="rId110" xr:uid="{00000000-0004-0000-0200-00006D000000}"/>
    <hyperlink ref="F115" r:id="rId111" xr:uid="{00000000-0004-0000-0200-00006E000000}"/>
    <hyperlink ref="F116" r:id="rId112" xr:uid="{00000000-0004-0000-0200-00006F000000}"/>
    <hyperlink ref="F117" r:id="rId113" xr:uid="{00000000-0004-0000-0200-000070000000}"/>
    <hyperlink ref="F118" r:id="rId114" xr:uid="{00000000-0004-0000-0200-000071000000}"/>
    <hyperlink ref="F119" r:id="rId115" xr:uid="{00000000-0004-0000-0200-000072000000}"/>
    <hyperlink ref="F120" r:id="rId116" xr:uid="{00000000-0004-0000-0200-000073000000}"/>
    <hyperlink ref="F121" r:id="rId117" xr:uid="{00000000-0004-0000-0200-000074000000}"/>
    <hyperlink ref="F122" r:id="rId118" xr:uid="{00000000-0004-0000-0200-000075000000}"/>
    <hyperlink ref="F123" r:id="rId119" xr:uid="{00000000-0004-0000-0200-000076000000}"/>
    <hyperlink ref="F124" r:id="rId120" xr:uid="{00000000-0004-0000-0200-000077000000}"/>
    <hyperlink ref="F125" r:id="rId121" xr:uid="{00000000-0004-0000-0200-000078000000}"/>
    <hyperlink ref="F126" r:id="rId122" xr:uid="{00000000-0004-0000-0200-000079000000}"/>
    <hyperlink ref="F127" r:id="rId123" xr:uid="{00000000-0004-0000-0200-00007A000000}"/>
    <hyperlink ref="F128" r:id="rId124" xr:uid="{00000000-0004-0000-0200-00007B000000}"/>
    <hyperlink ref="F129" r:id="rId125" xr:uid="{00000000-0004-0000-0200-00007C000000}"/>
    <hyperlink ref="F130" r:id="rId126" xr:uid="{00000000-0004-0000-0200-00007D000000}"/>
    <hyperlink ref="F131" r:id="rId127" xr:uid="{00000000-0004-0000-0200-00007E000000}"/>
    <hyperlink ref="F132" r:id="rId128" xr:uid="{00000000-0004-0000-0200-00007F000000}"/>
    <hyperlink ref="F133" r:id="rId129" xr:uid="{00000000-0004-0000-0200-000080000000}"/>
    <hyperlink ref="F134" r:id="rId130" xr:uid="{00000000-0004-0000-0200-000081000000}"/>
    <hyperlink ref="F135" r:id="rId131" xr:uid="{00000000-0004-0000-0200-000082000000}"/>
    <hyperlink ref="F136" r:id="rId132" xr:uid="{00000000-0004-0000-0200-000083000000}"/>
    <hyperlink ref="F137" r:id="rId133" xr:uid="{00000000-0004-0000-0200-000084000000}"/>
    <hyperlink ref="F138" r:id="rId134" xr:uid="{00000000-0004-0000-0200-000085000000}"/>
    <hyperlink ref="F139" r:id="rId135" xr:uid="{00000000-0004-0000-0200-000086000000}"/>
    <hyperlink ref="F140" r:id="rId136" xr:uid="{00000000-0004-0000-0200-000087000000}"/>
    <hyperlink ref="F141" r:id="rId137" xr:uid="{00000000-0004-0000-0200-000088000000}"/>
    <hyperlink ref="F142" r:id="rId138" xr:uid="{00000000-0004-0000-0200-000089000000}"/>
    <hyperlink ref="F143" r:id="rId139" xr:uid="{00000000-0004-0000-0200-00008A000000}"/>
    <hyperlink ref="F144" r:id="rId140" xr:uid="{00000000-0004-0000-0200-00008B000000}"/>
    <hyperlink ref="F145" r:id="rId141" xr:uid="{00000000-0004-0000-0200-00008C000000}"/>
    <hyperlink ref="F146" r:id="rId142" xr:uid="{00000000-0004-0000-0200-00008D000000}"/>
    <hyperlink ref="F147" r:id="rId143" xr:uid="{00000000-0004-0000-0200-00008E000000}"/>
    <hyperlink ref="F148" r:id="rId144" xr:uid="{00000000-0004-0000-0200-00008F000000}"/>
    <hyperlink ref="F149" r:id="rId145" xr:uid="{00000000-0004-0000-0200-000090000000}"/>
    <hyperlink ref="F150" r:id="rId146" xr:uid="{00000000-0004-0000-0200-000091000000}"/>
    <hyperlink ref="F151" r:id="rId147" xr:uid="{00000000-0004-0000-0200-000092000000}"/>
    <hyperlink ref="F152" r:id="rId148" xr:uid="{00000000-0004-0000-0200-000093000000}"/>
    <hyperlink ref="F153" r:id="rId149" xr:uid="{00000000-0004-0000-0200-000094000000}"/>
    <hyperlink ref="F154" r:id="rId150" xr:uid="{00000000-0004-0000-0200-000095000000}"/>
    <hyperlink ref="F155" r:id="rId151" xr:uid="{00000000-0004-0000-0200-000096000000}"/>
    <hyperlink ref="F156" r:id="rId152" xr:uid="{00000000-0004-0000-0200-000097000000}"/>
    <hyperlink ref="F157" r:id="rId153" xr:uid="{00000000-0004-0000-0200-000098000000}"/>
    <hyperlink ref="F158" r:id="rId154" xr:uid="{00000000-0004-0000-0200-000099000000}"/>
    <hyperlink ref="F159" r:id="rId155" xr:uid="{00000000-0004-0000-0200-00009A000000}"/>
    <hyperlink ref="F160" r:id="rId156" xr:uid="{00000000-0004-0000-0200-00009B000000}"/>
    <hyperlink ref="F161" r:id="rId157" xr:uid="{00000000-0004-0000-0200-00009C000000}"/>
    <hyperlink ref="F162" r:id="rId158" xr:uid="{00000000-0004-0000-0200-00009D000000}"/>
    <hyperlink ref="F163" r:id="rId159" xr:uid="{00000000-0004-0000-0200-00009E000000}"/>
    <hyperlink ref="F164" r:id="rId160" xr:uid="{00000000-0004-0000-0200-00009F000000}"/>
    <hyperlink ref="F165" r:id="rId161" xr:uid="{00000000-0004-0000-0200-0000A0000000}"/>
    <hyperlink ref="F166" r:id="rId162" location="page-5" xr:uid="{00000000-0004-0000-0200-0000A1000000}"/>
    <hyperlink ref="F167" r:id="rId163" location="page-5" xr:uid="{00000000-0004-0000-0200-0000A2000000}"/>
    <hyperlink ref="F168" r:id="rId164" xr:uid="{00000000-0004-0000-0200-0000A3000000}"/>
    <hyperlink ref="F169" r:id="rId165" xr:uid="{00000000-0004-0000-0200-0000A4000000}"/>
    <hyperlink ref="F170" r:id="rId166" xr:uid="{00000000-0004-0000-0200-0000A5000000}"/>
    <hyperlink ref="F171" r:id="rId167" xr:uid="{00000000-0004-0000-0200-0000A6000000}"/>
    <hyperlink ref="F172" r:id="rId168" xr:uid="{00000000-0004-0000-0200-0000A7000000}"/>
    <hyperlink ref="F173" r:id="rId169" xr:uid="{00000000-0004-0000-0200-0000A8000000}"/>
    <hyperlink ref="F174" r:id="rId170" xr:uid="{00000000-0004-0000-0200-0000A9000000}"/>
    <hyperlink ref="F175" r:id="rId171" xr:uid="{00000000-0004-0000-0200-0000AA000000}"/>
    <hyperlink ref="F176" r:id="rId172" xr:uid="{00000000-0004-0000-0200-0000AB000000}"/>
    <hyperlink ref="F177" r:id="rId173" xr:uid="{00000000-0004-0000-0200-0000AC000000}"/>
    <hyperlink ref="F178" r:id="rId174" xr:uid="{00000000-0004-0000-0200-0000AD000000}"/>
    <hyperlink ref="F179" r:id="rId175" xr:uid="{00000000-0004-0000-0200-0000AE000000}"/>
    <hyperlink ref="F180" r:id="rId176" xr:uid="{00000000-0004-0000-0200-0000AF000000}"/>
    <hyperlink ref="F181" r:id="rId177" xr:uid="{00000000-0004-0000-0200-0000B0000000}"/>
    <hyperlink ref="F182" r:id="rId178" xr:uid="{00000000-0004-0000-0200-0000B1000000}"/>
    <hyperlink ref="F183" r:id="rId179" xr:uid="{00000000-0004-0000-0200-0000B2000000}"/>
    <hyperlink ref="F184" r:id="rId180" xr:uid="{00000000-0004-0000-0200-0000B3000000}"/>
    <hyperlink ref="F185" r:id="rId181" xr:uid="{00000000-0004-0000-0200-0000B4000000}"/>
    <hyperlink ref="F186" r:id="rId182" xr:uid="{00000000-0004-0000-0200-0000B5000000}"/>
    <hyperlink ref="F187" r:id="rId183" xr:uid="{00000000-0004-0000-0200-0000B6000000}"/>
    <hyperlink ref="F188" r:id="rId184" xr:uid="{00000000-0004-0000-0200-0000B7000000}"/>
    <hyperlink ref="F189" r:id="rId185" xr:uid="{00000000-0004-0000-0200-0000B8000000}"/>
    <hyperlink ref="F190" r:id="rId186" xr:uid="{00000000-0004-0000-0200-0000B9000000}"/>
    <hyperlink ref="F191" r:id="rId187" xr:uid="{00000000-0004-0000-0200-0000BA000000}"/>
    <hyperlink ref="F192" r:id="rId188" xr:uid="{00000000-0004-0000-0200-0000BB000000}"/>
    <hyperlink ref="F193" r:id="rId189" xr:uid="{00000000-0004-0000-0200-0000BC000000}"/>
    <hyperlink ref="F194" r:id="rId190" xr:uid="{00000000-0004-0000-0200-0000BD000000}"/>
    <hyperlink ref="F195" r:id="rId191" xr:uid="{00000000-0004-0000-0200-0000BE000000}"/>
    <hyperlink ref="F196" r:id="rId192" xr:uid="{00000000-0004-0000-0200-0000BF000000}"/>
    <hyperlink ref="F197" r:id="rId193" xr:uid="{00000000-0004-0000-0200-0000C0000000}"/>
    <hyperlink ref="F198" r:id="rId194" xr:uid="{00000000-0004-0000-0200-0000C1000000}"/>
    <hyperlink ref="F199" r:id="rId195" xr:uid="{00000000-0004-0000-0200-0000C2000000}"/>
    <hyperlink ref="F200" r:id="rId196" xr:uid="{00000000-0004-0000-0200-0000C3000000}"/>
    <hyperlink ref="F201" r:id="rId197" xr:uid="{00000000-0004-0000-0200-0000C4000000}"/>
    <hyperlink ref="F202" r:id="rId198" xr:uid="{00000000-0004-0000-0200-0000C5000000}"/>
    <hyperlink ref="F203" r:id="rId199" xr:uid="{00000000-0004-0000-0200-0000C6000000}"/>
    <hyperlink ref="F204" r:id="rId200" xr:uid="{00000000-0004-0000-0200-0000C7000000}"/>
    <hyperlink ref="F205" r:id="rId201" xr:uid="{00000000-0004-0000-0200-0000C8000000}"/>
    <hyperlink ref="F206" r:id="rId202" xr:uid="{00000000-0004-0000-0200-0000C9000000}"/>
    <hyperlink ref="F207" r:id="rId203" xr:uid="{00000000-0004-0000-0200-0000CA000000}"/>
    <hyperlink ref="F208" r:id="rId204" xr:uid="{00000000-0004-0000-0200-0000CB000000}"/>
    <hyperlink ref="F209" r:id="rId205" xr:uid="{00000000-0004-0000-0200-0000CC000000}"/>
    <hyperlink ref="F210" r:id="rId206" xr:uid="{00000000-0004-0000-0200-0000CD000000}"/>
    <hyperlink ref="F211" r:id="rId207" xr:uid="{00000000-0004-0000-0200-0000CE000000}"/>
    <hyperlink ref="F212" r:id="rId208" xr:uid="{00000000-0004-0000-0200-0000CF000000}"/>
    <hyperlink ref="F213" r:id="rId209" xr:uid="{00000000-0004-0000-0200-0000D0000000}"/>
    <hyperlink ref="F214" r:id="rId210" xr:uid="{00000000-0004-0000-0200-0000D1000000}"/>
    <hyperlink ref="F215" r:id="rId211" xr:uid="{00000000-0004-0000-0200-0000D2000000}"/>
    <hyperlink ref="F216" r:id="rId212" xr:uid="{00000000-0004-0000-0200-0000D3000000}"/>
    <hyperlink ref="F217" r:id="rId213" xr:uid="{00000000-0004-0000-0200-0000D4000000}"/>
    <hyperlink ref="F218" r:id="rId214" xr:uid="{00000000-0004-0000-0200-0000D5000000}"/>
    <hyperlink ref="F219" r:id="rId215" xr:uid="{00000000-0004-0000-0200-0000D6000000}"/>
    <hyperlink ref="F220" r:id="rId216" xr:uid="{00000000-0004-0000-0200-0000D7000000}"/>
    <hyperlink ref="F221" r:id="rId217" xr:uid="{00000000-0004-0000-0200-0000D8000000}"/>
    <hyperlink ref="F222" r:id="rId218" xr:uid="{00000000-0004-0000-0200-0000D9000000}"/>
    <hyperlink ref="F223" r:id="rId219" xr:uid="{00000000-0004-0000-0200-0000DA000000}"/>
    <hyperlink ref="F224" r:id="rId220" xr:uid="{00000000-0004-0000-0200-0000DB000000}"/>
    <hyperlink ref="F225" r:id="rId221" xr:uid="{00000000-0004-0000-0200-0000DC000000}"/>
    <hyperlink ref="F226" r:id="rId222" xr:uid="{00000000-0004-0000-0200-0000DD000000}"/>
    <hyperlink ref="F227" r:id="rId223" xr:uid="{00000000-0004-0000-0200-0000DE000000}"/>
    <hyperlink ref="F228" r:id="rId224" xr:uid="{00000000-0004-0000-0200-0000DF000000}"/>
    <hyperlink ref="F229" r:id="rId225" xr:uid="{00000000-0004-0000-0200-0000E0000000}"/>
    <hyperlink ref="F230" r:id="rId226" xr:uid="{00000000-0004-0000-0200-0000E1000000}"/>
    <hyperlink ref="F231" r:id="rId227" xr:uid="{00000000-0004-0000-0200-0000E2000000}"/>
    <hyperlink ref="F232" r:id="rId228" xr:uid="{00000000-0004-0000-0200-0000E3000000}"/>
    <hyperlink ref="F233" r:id="rId229" xr:uid="{00000000-0004-0000-0200-0000E4000000}"/>
    <hyperlink ref="F234" r:id="rId230" xr:uid="{00000000-0004-0000-0200-0000E5000000}"/>
    <hyperlink ref="F235" r:id="rId231" xr:uid="{00000000-0004-0000-0200-0000E6000000}"/>
    <hyperlink ref="F236" r:id="rId232" xr:uid="{00000000-0004-0000-0200-0000E7000000}"/>
    <hyperlink ref="F237" r:id="rId233" xr:uid="{00000000-0004-0000-0200-0000E8000000}"/>
    <hyperlink ref="F238" r:id="rId234" xr:uid="{00000000-0004-0000-0200-0000E9000000}"/>
    <hyperlink ref="F239" r:id="rId235" xr:uid="{00000000-0004-0000-0200-0000EA000000}"/>
    <hyperlink ref="F240" r:id="rId236" xr:uid="{00000000-0004-0000-0200-0000EB000000}"/>
    <hyperlink ref="F241" r:id="rId237" xr:uid="{00000000-0004-0000-0200-0000EC000000}"/>
    <hyperlink ref="F242" r:id="rId238" xr:uid="{00000000-0004-0000-0200-0000ED000000}"/>
    <hyperlink ref="F243" r:id="rId239" xr:uid="{00000000-0004-0000-0200-0000EE000000}"/>
    <hyperlink ref="F244" r:id="rId240" xr:uid="{00000000-0004-0000-0200-0000EF000000}"/>
    <hyperlink ref="F245" r:id="rId241" xr:uid="{00000000-0004-0000-0200-0000F0000000}"/>
    <hyperlink ref="F246" r:id="rId242" xr:uid="{00000000-0004-0000-0200-0000F1000000}"/>
    <hyperlink ref="F247" r:id="rId243" xr:uid="{00000000-0004-0000-0200-0000F2000000}"/>
    <hyperlink ref="F248" r:id="rId244" xr:uid="{00000000-0004-0000-0200-0000F3000000}"/>
    <hyperlink ref="F249" r:id="rId245" xr:uid="{00000000-0004-0000-0200-0000F4000000}"/>
    <hyperlink ref="F250" r:id="rId246" xr:uid="{00000000-0004-0000-0200-0000F5000000}"/>
    <hyperlink ref="F251" r:id="rId247" xr:uid="{00000000-0004-0000-0200-0000F6000000}"/>
    <hyperlink ref="F252" r:id="rId248" xr:uid="{00000000-0004-0000-0200-0000F7000000}"/>
    <hyperlink ref="F253" r:id="rId249" xr:uid="{00000000-0004-0000-0200-0000F8000000}"/>
    <hyperlink ref="F254" r:id="rId250" xr:uid="{00000000-0004-0000-0200-0000F9000000}"/>
    <hyperlink ref="F255" r:id="rId251" xr:uid="{00000000-0004-0000-0200-0000FA000000}"/>
    <hyperlink ref="F256" r:id="rId252" xr:uid="{00000000-0004-0000-0200-0000FB000000}"/>
    <hyperlink ref="F257" r:id="rId253" xr:uid="{00000000-0004-0000-0200-0000FC000000}"/>
    <hyperlink ref="F258" r:id="rId254" xr:uid="{00000000-0004-0000-0200-0000FD000000}"/>
    <hyperlink ref="F259" r:id="rId255" xr:uid="{00000000-0004-0000-0200-0000FE000000}"/>
    <hyperlink ref="F260" r:id="rId256" xr:uid="{00000000-0004-0000-0200-0000FF000000}"/>
    <hyperlink ref="F261" r:id="rId257" xr:uid="{00000000-0004-0000-0200-000000010000}"/>
    <hyperlink ref="F262" r:id="rId258" xr:uid="{00000000-0004-0000-0200-000001010000}"/>
    <hyperlink ref="F263" r:id="rId259" xr:uid="{00000000-0004-0000-0200-000002010000}"/>
    <hyperlink ref="F264" r:id="rId260" xr:uid="{00000000-0004-0000-0200-000003010000}"/>
    <hyperlink ref="F265" r:id="rId261" xr:uid="{00000000-0004-0000-0200-000004010000}"/>
    <hyperlink ref="F266" r:id="rId262" xr:uid="{00000000-0004-0000-0200-000005010000}"/>
    <hyperlink ref="F267" r:id="rId263" xr:uid="{00000000-0004-0000-0200-000006010000}"/>
    <hyperlink ref="F268" r:id="rId264" xr:uid="{00000000-0004-0000-0200-000007010000}"/>
    <hyperlink ref="F269" r:id="rId265" xr:uid="{00000000-0004-0000-0200-000008010000}"/>
    <hyperlink ref="F270" r:id="rId266" xr:uid="{00000000-0004-0000-0200-000009010000}"/>
    <hyperlink ref="F271" r:id="rId267" xr:uid="{00000000-0004-0000-0200-00000A010000}"/>
    <hyperlink ref="F272" r:id="rId268" xr:uid="{00000000-0004-0000-0200-00000B010000}"/>
    <hyperlink ref="F273" r:id="rId269" xr:uid="{00000000-0004-0000-0200-00000C010000}"/>
    <hyperlink ref="F274" r:id="rId270" xr:uid="{00000000-0004-0000-0200-00000D010000}"/>
    <hyperlink ref="F275" r:id="rId271" xr:uid="{00000000-0004-0000-0200-00000E010000}"/>
    <hyperlink ref="F276" r:id="rId272" xr:uid="{00000000-0004-0000-0200-00000F010000}"/>
    <hyperlink ref="F277" r:id="rId273" xr:uid="{00000000-0004-0000-0200-000010010000}"/>
    <hyperlink ref="F278" r:id="rId274" xr:uid="{00000000-0004-0000-0200-000011010000}"/>
    <hyperlink ref="F279" r:id="rId275" xr:uid="{00000000-0004-0000-0200-000012010000}"/>
    <hyperlink ref="F280" r:id="rId276" xr:uid="{00000000-0004-0000-0200-000013010000}"/>
    <hyperlink ref="F281" r:id="rId277" xr:uid="{00000000-0004-0000-0200-000014010000}"/>
    <hyperlink ref="F282" r:id="rId278" xr:uid="{00000000-0004-0000-0200-000015010000}"/>
    <hyperlink ref="F283" r:id="rId279" xr:uid="{00000000-0004-0000-0200-000016010000}"/>
    <hyperlink ref="F284" r:id="rId280" xr:uid="{00000000-0004-0000-0200-000017010000}"/>
    <hyperlink ref="F285" r:id="rId281" xr:uid="{00000000-0004-0000-0200-000018010000}"/>
    <hyperlink ref="F286" r:id="rId282" xr:uid="{00000000-0004-0000-0200-000019010000}"/>
    <hyperlink ref="F287" r:id="rId283" xr:uid="{00000000-0004-0000-0200-00001A010000}"/>
    <hyperlink ref="F288" r:id="rId284" xr:uid="{00000000-0004-0000-0200-00001B010000}"/>
    <hyperlink ref="F289" r:id="rId285" xr:uid="{00000000-0004-0000-0200-00001C010000}"/>
    <hyperlink ref="F290" r:id="rId286" xr:uid="{00000000-0004-0000-0200-00001D010000}"/>
    <hyperlink ref="F291" r:id="rId287" xr:uid="{00000000-0004-0000-0200-00001E010000}"/>
    <hyperlink ref="F292" r:id="rId288" xr:uid="{00000000-0004-0000-0200-00001F010000}"/>
    <hyperlink ref="F293" r:id="rId289" xr:uid="{00000000-0004-0000-0200-000020010000}"/>
    <hyperlink ref="F294" r:id="rId290" xr:uid="{00000000-0004-0000-0200-000021010000}"/>
    <hyperlink ref="F295" r:id="rId291" xr:uid="{00000000-0004-0000-0200-000022010000}"/>
    <hyperlink ref="F296" r:id="rId292" xr:uid="{00000000-0004-0000-0200-000023010000}"/>
    <hyperlink ref="F297" r:id="rId293" xr:uid="{00000000-0004-0000-0200-000024010000}"/>
    <hyperlink ref="F298" r:id="rId294" xr:uid="{00000000-0004-0000-0200-000025010000}"/>
    <hyperlink ref="F299" r:id="rId295" xr:uid="{00000000-0004-0000-0200-000026010000}"/>
    <hyperlink ref="F300" r:id="rId296" xr:uid="{00000000-0004-0000-0200-000027010000}"/>
    <hyperlink ref="F301" r:id="rId297" xr:uid="{00000000-0004-0000-0200-000028010000}"/>
    <hyperlink ref="F302" r:id="rId298" xr:uid="{00000000-0004-0000-0200-000029010000}"/>
    <hyperlink ref="F303" r:id="rId299" xr:uid="{00000000-0004-0000-0200-00002A010000}"/>
    <hyperlink ref="F304" r:id="rId300" xr:uid="{00000000-0004-0000-0200-00002B010000}"/>
    <hyperlink ref="F305" r:id="rId301" xr:uid="{00000000-0004-0000-0200-00002C010000}"/>
    <hyperlink ref="F306" r:id="rId302" xr:uid="{00000000-0004-0000-0200-00002D010000}"/>
    <hyperlink ref="F307" r:id="rId303" xr:uid="{00000000-0004-0000-0200-00002E010000}"/>
    <hyperlink ref="F308" r:id="rId304" xr:uid="{00000000-0004-0000-0200-00002F010000}"/>
    <hyperlink ref="F309" r:id="rId305" xr:uid="{00000000-0004-0000-0200-000030010000}"/>
    <hyperlink ref="F310" r:id="rId306" xr:uid="{00000000-0004-0000-0200-000031010000}"/>
    <hyperlink ref="F311" r:id="rId307" xr:uid="{00000000-0004-0000-0200-000032010000}"/>
    <hyperlink ref="F312" r:id="rId308" xr:uid="{00000000-0004-0000-0200-000033010000}"/>
    <hyperlink ref="F313" r:id="rId309" xr:uid="{00000000-0004-0000-0200-000034010000}"/>
    <hyperlink ref="F314" r:id="rId310" xr:uid="{00000000-0004-0000-0200-000035010000}"/>
    <hyperlink ref="F315" r:id="rId311" xr:uid="{00000000-0004-0000-0200-000036010000}"/>
    <hyperlink ref="F316" r:id="rId312" xr:uid="{00000000-0004-0000-0200-000037010000}"/>
    <hyperlink ref="F317" r:id="rId313" xr:uid="{00000000-0004-0000-0200-000038010000}"/>
    <hyperlink ref="F318" r:id="rId314" xr:uid="{00000000-0004-0000-0200-000039010000}"/>
    <hyperlink ref="F319" r:id="rId315" xr:uid="{00000000-0004-0000-0200-00003A010000}"/>
    <hyperlink ref="F320" r:id="rId316" xr:uid="{00000000-0004-0000-0200-00003B010000}"/>
    <hyperlink ref="F321" r:id="rId317" xr:uid="{00000000-0004-0000-0200-00003C010000}"/>
    <hyperlink ref="F322" r:id="rId318" xr:uid="{00000000-0004-0000-0200-00003D010000}"/>
    <hyperlink ref="F323" r:id="rId319" xr:uid="{00000000-0004-0000-0200-00003E010000}"/>
    <hyperlink ref="F324" r:id="rId320" xr:uid="{00000000-0004-0000-0200-00003F010000}"/>
    <hyperlink ref="F325" r:id="rId321" xr:uid="{00000000-0004-0000-0200-000040010000}"/>
    <hyperlink ref="F326" r:id="rId322" xr:uid="{00000000-0004-0000-0200-000041010000}"/>
    <hyperlink ref="F327" r:id="rId323" xr:uid="{00000000-0004-0000-0200-000042010000}"/>
    <hyperlink ref="F328" r:id="rId324" xr:uid="{00000000-0004-0000-0200-000043010000}"/>
    <hyperlink ref="F329" r:id="rId325" xr:uid="{00000000-0004-0000-0200-000044010000}"/>
    <hyperlink ref="F330" r:id="rId326" xr:uid="{00000000-0004-0000-0200-000045010000}"/>
    <hyperlink ref="F331" r:id="rId327" xr:uid="{00000000-0004-0000-0200-000046010000}"/>
    <hyperlink ref="F332" r:id="rId328" xr:uid="{00000000-0004-0000-0200-000047010000}"/>
    <hyperlink ref="F333" r:id="rId329" xr:uid="{00000000-0004-0000-0200-000048010000}"/>
    <hyperlink ref="F334" r:id="rId330" xr:uid="{00000000-0004-0000-0200-000049010000}"/>
    <hyperlink ref="F335" r:id="rId331" xr:uid="{00000000-0004-0000-0200-00004A010000}"/>
    <hyperlink ref="F336" r:id="rId332" xr:uid="{00000000-0004-0000-0200-00004B010000}"/>
    <hyperlink ref="F337" r:id="rId333" xr:uid="{00000000-0004-0000-0200-00004C010000}"/>
    <hyperlink ref="F338" r:id="rId334" xr:uid="{00000000-0004-0000-0200-00004D010000}"/>
    <hyperlink ref="F339" r:id="rId335" xr:uid="{00000000-0004-0000-0200-00004E010000}"/>
    <hyperlink ref="F340" r:id="rId336" xr:uid="{00000000-0004-0000-0200-00004F010000}"/>
    <hyperlink ref="F341" r:id="rId337" xr:uid="{00000000-0004-0000-0200-000050010000}"/>
    <hyperlink ref="F342" r:id="rId338" xr:uid="{00000000-0004-0000-0200-000051010000}"/>
    <hyperlink ref="F343" r:id="rId339" xr:uid="{00000000-0004-0000-0200-000052010000}"/>
    <hyperlink ref="F344" r:id="rId340" xr:uid="{00000000-0004-0000-0200-000053010000}"/>
    <hyperlink ref="F345" r:id="rId341" xr:uid="{00000000-0004-0000-0200-000054010000}"/>
    <hyperlink ref="F346" r:id="rId342" xr:uid="{00000000-0004-0000-0200-000055010000}"/>
    <hyperlink ref="F347" r:id="rId343" xr:uid="{00000000-0004-0000-0200-000056010000}"/>
    <hyperlink ref="F348" r:id="rId344" xr:uid="{00000000-0004-0000-0200-000057010000}"/>
    <hyperlink ref="F349" r:id="rId345" xr:uid="{00000000-0004-0000-0200-000058010000}"/>
    <hyperlink ref="F350" r:id="rId346" xr:uid="{00000000-0004-0000-0200-000059010000}"/>
    <hyperlink ref="F351" r:id="rId347" xr:uid="{00000000-0004-0000-0200-00005A010000}"/>
    <hyperlink ref="F352" r:id="rId348" xr:uid="{00000000-0004-0000-0200-00005B010000}"/>
    <hyperlink ref="F353" r:id="rId349" xr:uid="{00000000-0004-0000-0200-00005C010000}"/>
    <hyperlink ref="F354" r:id="rId350" xr:uid="{00000000-0004-0000-0200-00005D010000}"/>
    <hyperlink ref="F355" r:id="rId351" xr:uid="{00000000-0004-0000-0200-00005E010000}"/>
    <hyperlink ref="F356" r:id="rId352" xr:uid="{00000000-0004-0000-0200-00005F010000}"/>
    <hyperlink ref="F357" r:id="rId353" xr:uid="{00000000-0004-0000-0200-000060010000}"/>
    <hyperlink ref="F358" r:id="rId354" xr:uid="{00000000-0004-0000-0200-000061010000}"/>
    <hyperlink ref="F359" r:id="rId355" xr:uid="{00000000-0004-0000-0200-000062010000}"/>
    <hyperlink ref="F360" r:id="rId356" xr:uid="{00000000-0004-0000-0200-000063010000}"/>
    <hyperlink ref="F361" r:id="rId357" xr:uid="{00000000-0004-0000-0200-000064010000}"/>
    <hyperlink ref="F362" r:id="rId358" xr:uid="{00000000-0004-0000-0200-000065010000}"/>
    <hyperlink ref="F363" r:id="rId359" xr:uid="{00000000-0004-0000-0200-000066010000}"/>
    <hyperlink ref="F364" r:id="rId360" xr:uid="{00000000-0004-0000-0200-000067010000}"/>
    <hyperlink ref="F365" r:id="rId361" xr:uid="{00000000-0004-0000-0200-000068010000}"/>
    <hyperlink ref="F366" r:id="rId362" xr:uid="{00000000-0004-0000-0200-000069010000}"/>
    <hyperlink ref="F367" r:id="rId363" xr:uid="{00000000-0004-0000-0200-00006A010000}"/>
    <hyperlink ref="F368" r:id="rId364" xr:uid="{00000000-0004-0000-0200-00006B010000}"/>
    <hyperlink ref="F369" r:id="rId365" xr:uid="{00000000-0004-0000-0200-00006C010000}"/>
    <hyperlink ref="F370" r:id="rId366" xr:uid="{00000000-0004-0000-0200-00006D010000}"/>
    <hyperlink ref="F371" r:id="rId367" xr:uid="{00000000-0004-0000-0200-00006E010000}"/>
    <hyperlink ref="F372" r:id="rId368" xr:uid="{00000000-0004-0000-0200-00006F010000}"/>
    <hyperlink ref="F373" r:id="rId369" xr:uid="{00000000-0004-0000-0200-000070010000}"/>
    <hyperlink ref="F374" r:id="rId370" xr:uid="{00000000-0004-0000-0200-000071010000}"/>
    <hyperlink ref="F375" r:id="rId371" xr:uid="{00000000-0004-0000-0200-000072010000}"/>
    <hyperlink ref="F376" r:id="rId372" xr:uid="{00000000-0004-0000-0200-000073010000}"/>
    <hyperlink ref="F377" r:id="rId373" xr:uid="{00000000-0004-0000-0200-000074010000}"/>
    <hyperlink ref="F378" r:id="rId374" xr:uid="{00000000-0004-0000-0200-000075010000}"/>
    <hyperlink ref="F379" r:id="rId375" xr:uid="{00000000-0004-0000-0200-000076010000}"/>
    <hyperlink ref="F380" r:id="rId376" xr:uid="{00000000-0004-0000-0200-000077010000}"/>
    <hyperlink ref="F381" r:id="rId377" xr:uid="{00000000-0004-0000-0200-000078010000}"/>
    <hyperlink ref="F382" r:id="rId378" xr:uid="{00000000-0004-0000-0200-000079010000}"/>
    <hyperlink ref="F383" r:id="rId379" xr:uid="{00000000-0004-0000-0200-00007A010000}"/>
    <hyperlink ref="F384" r:id="rId380" xr:uid="{00000000-0004-0000-0200-00007B010000}"/>
    <hyperlink ref="F385" r:id="rId381" xr:uid="{00000000-0004-0000-0200-00007C010000}"/>
    <hyperlink ref="F386" r:id="rId382" xr:uid="{00000000-0004-0000-0200-00007D010000}"/>
    <hyperlink ref="F387" r:id="rId383" xr:uid="{00000000-0004-0000-0200-00007E010000}"/>
    <hyperlink ref="F388" r:id="rId384" xr:uid="{00000000-0004-0000-0200-00007F010000}"/>
    <hyperlink ref="F389" r:id="rId385" xr:uid="{00000000-0004-0000-0200-000080010000}"/>
    <hyperlink ref="F390" r:id="rId386" xr:uid="{00000000-0004-0000-0200-000081010000}"/>
    <hyperlink ref="F391" r:id="rId387" xr:uid="{00000000-0004-0000-0200-000082010000}"/>
    <hyperlink ref="F392" r:id="rId388" xr:uid="{00000000-0004-0000-0200-000083010000}"/>
    <hyperlink ref="F393" r:id="rId389" xr:uid="{00000000-0004-0000-0200-000084010000}"/>
    <hyperlink ref="F394" r:id="rId390" xr:uid="{00000000-0004-0000-0200-000085010000}"/>
    <hyperlink ref="F395" r:id="rId391" xr:uid="{00000000-0004-0000-0200-000086010000}"/>
    <hyperlink ref="F396" r:id="rId392" xr:uid="{00000000-0004-0000-0200-000087010000}"/>
    <hyperlink ref="F397" r:id="rId393" xr:uid="{00000000-0004-0000-0200-000088010000}"/>
    <hyperlink ref="F398" r:id="rId394" xr:uid="{00000000-0004-0000-0200-000089010000}"/>
    <hyperlink ref="F399" r:id="rId395" xr:uid="{00000000-0004-0000-0200-00008A010000}"/>
    <hyperlink ref="F400" r:id="rId396" xr:uid="{00000000-0004-0000-0200-00008B010000}"/>
    <hyperlink ref="F401" r:id="rId397" xr:uid="{00000000-0004-0000-0200-00008C010000}"/>
    <hyperlink ref="F402" r:id="rId398" xr:uid="{00000000-0004-0000-0200-00008D010000}"/>
    <hyperlink ref="F403" r:id="rId399" xr:uid="{00000000-0004-0000-0200-00008E010000}"/>
    <hyperlink ref="F404" r:id="rId400" xr:uid="{00000000-0004-0000-0200-00008F010000}"/>
    <hyperlink ref="F405" r:id="rId401" xr:uid="{00000000-0004-0000-0200-000090010000}"/>
    <hyperlink ref="F406" r:id="rId402" xr:uid="{00000000-0004-0000-0200-000091010000}"/>
    <hyperlink ref="F407" r:id="rId403" xr:uid="{00000000-0004-0000-0200-000092010000}"/>
    <hyperlink ref="F408" r:id="rId404" xr:uid="{00000000-0004-0000-0200-000093010000}"/>
    <hyperlink ref="F409" r:id="rId405" xr:uid="{00000000-0004-0000-0200-000094010000}"/>
    <hyperlink ref="F410" r:id="rId406" xr:uid="{00000000-0004-0000-0200-000095010000}"/>
    <hyperlink ref="F411" r:id="rId407" xr:uid="{00000000-0004-0000-0200-000096010000}"/>
    <hyperlink ref="F412" r:id="rId408" xr:uid="{00000000-0004-0000-0200-000097010000}"/>
    <hyperlink ref="F413" r:id="rId409" xr:uid="{00000000-0004-0000-0200-000098010000}"/>
    <hyperlink ref="F414" r:id="rId410" xr:uid="{00000000-0004-0000-0200-000099010000}"/>
    <hyperlink ref="F415" r:id="rId411" xr:uid="{00000000-0004-0000-0200-00009A010000}"/>
    <hyperlink ref="F416" r:id="rId412" xr:uid="{00000000-0004-0000-0200-00009B010000}"/>
    <hyperlink ref="F417" r:id="rId413" xr:uid="{00000000-0004-0000-0200-00009C010000}"/>
    <hyperlink ref="F418" r:id="rId414" xr:uid="{00000000-0004-0000-0200-00009D010000}"/>
    <hyperlink ref="F419" r:id="rId415" xr:uid="{00000000-0004-0000-0200-00009E010000}"/>
    <hyperlink ref="F420" r:id="rId416" xr:uid="{00000000-0004-0000-0200-00009F010000}"/>
    <hyperlink ref="F421" r:id="rId417" xr:uid="{00000000-0004-0000-0200-0000A0010000}"/>
    <hyperlink ref="F422" r:id="rId418" xr:uid="{00000000-0004-0000-0200-0000A1010000}"/>
    <hyperlink ref="F423" r:id="rId419" xr:uid="{00000000-0004-0000-0200-0000A2010000}"/>
    <hyperlink ref="F424" r:id="rId420" xr:uid="{00000000-0004-0000-0200-0000A3010000}"/>
    <hyperlink ref="F425" r:id="rId421" xr:uid="{00000000-0004-0000-0200-0000A4010000}"/>
    <hyperlink ref="F426" r:id="rId422" xr:uid="{00000000-0004-0000-0200-0000A5010000}"/>
    <hyperlink ref="F427" r:id="rId423" xr:uid="{00000000-0004-0000-0200-0000A6010000}"/>
    <hyperlink ref="F428" r:id="rId424" xr:uid="{00000000-0004-0000-0200-0000A7010000}"/>
    <hyperlink ref="F429" r:id="rId425" xr:uid="{00000000-0004-0000-0200-0000A8010000}"/>
    <hyperlink ref="F430" r:id="rId426" xr:uid="{00000000-0004-0000-0200-0000A9010000}"/>
    <hyperlink ref="F431" r:id="rId427" xr:uid="{00000000-0004-0000-0200-0000AA010000}"/>
    <hyperlink ref="F432" r:id="rId428" xr:uid="{00000000-0004-0000-0200-0000AB010000}"/>
    <hyperlink ref="F433" r:id="rId429" xr:uid="{00000000-0004-0000-0200-0000AC010000}"/>
    <hyperlink ref="F434" r:id="rId430" xr:uid="{00000000-0004-0000-0200-0000AD010000}"/>
    <hyperlink ref="F435" r:id="rId431" xr:uid="{00000000-0004-0000-0200-0000AE010000}"/>
    <hyperlink ref="F436" r:id="rId432" xr:uid="{00000000-0004-0000-0200-0000AF010000}"/>
    <hyperlink ref="F437" r:id="rId433" xr:uid="{00000000-0004-0000-0200-0000B0010000}"/>
    <hyperlink ref="F438" r:id="rId434" xr:uid="{00000000-0004-0000-0200-0000B1010000}"/>
    <hyperlink ref="F439" r:id="rId435" xr:uid="{00000000-0004-0000-0200-0000B2010000}"/>
    <hyperlink ref="F440" r:id="rId436" xr:uid="{00000000-0004-0000-0200-0000B3010000}"/>
    <hyperlink ref="F441" r:id="rId437" xr:uid="{00000000-0004-0000-0200-0000B4010000}"/>
    <hyperlink ref="F442" r:id="rId438" xr:uid="{00000000-0004-0000-0200-0000B5010000}"/>
    <hyperlink ref="F443" r:id="rId439" xr:uid="{00000000-0004-0000-0200-0000B6010000}"/>
    <hyperlink ref="F444" r:id="rId440" xr:uid="{00000000-0004-0000-0200-0000B7010000}"/>
    <hyperlink ref="F445" r:id="rId441" xr:uid="{00000000-0004-0000-0200-0000B8010000}"/>
    <hyperlink ref="F446" r:id="rId442" xr:uid="{00000000-0004-0000-0200-0000B9010000}"/>
    <hyperlink ref="F447" r:id="rId443" xr:uid="{00000000-0004-0000-0200-0000BA010000}"/>
    <hyperlink ref="F448" r:id="rId444" xr:uid="{00000000-0004-0000-0200-0000BB010000}"/>
    <hyperlink ref="F449" r:id="rId445" xr:uid="{00000000-0004-0000-0200-0000BC010000}"/>
    <hyperlink ref="F450" r:id="rId446" xr:uid="{00000000-0004-0000-0200-0000BD010000}"/>
    <hyperlink ref="F451" r:id="rId447" xr:uid="{00000000-0004-0000-0200-0000BE010000}"/>
    <hyperlink ref="F452" r:id="rId448" xr:uid="{00000000-0004-0000-0200-0000BF010000}"/>
    <hyperlink ref="F453" r:id="rId449" xr:uid="{00000000-0004-0000-0200-0000C0010000}"/>
    <hyperlink ref="F454" r:id="rId450" xr:uid="{00000000-0004-0000-0200-0000C1010000}"/>
    <hyperlink ref="F455" r:id="rId451" xr:uid="{00000000-0004-0000-0200-0000C2010000}"/>
    <hyperlink ref="F456" r:id="rId452" xr:uid="{00000000-0004-0000-0200-0000C3010000}"/>
    <hyperlink ref="F457" r:id="rId453" xr:uid="{00000000-0004-0000-0200-0000C4010000}"/>
    <hyperlink ref="F458" r:id="rId454" xr:uid="{00000000-0004-0000-0200-0000C5010000}"/>
    <hyperlink ref="F459" r:id="rId455" xr:uid="{00000000-0004-0000-0200-0000C6010000}"/>
    <hyperlink ref="F460" r:id="rId456" xr:uid="{00000000-0004-0000-0200-0000C7010000}"/>
    <hyperlink ref="F461" r:id="rId457" xr:uid="{00000000-0004-0000-0200-0000C8010000}"/>
    <hyperlink ref="F462" r:id="rId458" xr:uid="{00000000-0004-0000-0200-0000C9010000}"/>
    <hyperlink ref="F463" r:id="rId459" xr:uid="{00000000-0004-0000-0200-0000CA010000}"/>
    <hyperlink ref="F464" r:id="rId460" xr:uid="{00000000-0004-0000-0200-0000CB010000}"/>
    <hyperlink ref="F465" r:id="rId461" xr:uid="{00000000-0004-0000-0200-0000CC010000}"/>
    <hyperlink ref="F466" r:id="rId462" xr:uid="{00000000-0004-0000-0200-0000CD010000}"/>
    <hyperlink ref="F467" r:id="rId463" xr:uid="{00000000-0004-0000-0200-0000CE010000}"/>
    <hyperlink ref="F468" r:id="rId464" xr:uid="{00000000-0004-0000-0200-0000CF010000}"/>
    <hyperlink ref="F469" r:id="rId465" xr:uid="{00000000-0004-0000-0200-0000D0010000}"/>
    <hyperlink ref="F470" r:id="rId466" xr:uid="{00000000-0004-0000-0200-0000D1010000}"/>
    <hyperlink ref="F471" r:id="rId467" xr:uid="{00000000-0004-0000-0200-0000D2010000}"/>
    <hyperlink ref="F472" r:id="rId468" xr:uid="{00000000-0004-0000-0200-0000D3010000}"/>
    <hyperlink ref="F473" r:id="rId469" xr:uid="{00000000-0004-0000-0200-0000D4010000}"/>
    <hyperlink ref="F474" r:id="rId470" xr:uid="{00000000-0004-0000-0200-0000D5010000}"/>
    <hyperlink ref="F475" r:id="rId471" xr:uid="{00000000-0004-0000-0200-0000D6010000}"/>
    <hyperlink ref="F476" r:id="rId472" xr:uid="{00000000-0004-0000-0200-0000D7010000}"/>
    <hyperlink ref="F477" r:id="rId473" xr:uid="{00000000-0004-0000-0200-0000D8010000}"/>
    <hyperlink ref="F478" r:id="rId474" xr:uid="{00000000-0004-0000-0200-0000D9010000}"/>
    <hyperlink ref="F479" r:id="rId475" xr:uid="{00000000-0004-0000-0200-0000DA010000}"/>
    <hyperlink ref="F480" r:id="rId476" xr:uid="{00000000-0004-0000-0200-0000DB010000}"/>
    <hyperlink ref="F481" r:id="rId477" xr:uid="{00000000-0004-0000-0200-0000DC010000}"/>
    <hyperlink ref="F482" r:id="rId478" xr:uid="{00000000-0004-0000-0200-0000DD010000}"/>
    <hyperlink ref="F483" r:id="rId479" xr:uid="{00000000-0004-0000-0200-0000DE010000}"/>
    <hyperlink ref="F484" r:id="rId480" xr:uid="{00000000-0004-0000-0200-0000DF010000}"/>
    <hyperlink ref="F485" r:id="rId481" xr:uid="{00000000-0004-0000-0200-0000E0010000}"/>
    <hyperlink ref="F486" r:id="rId482" xr:uid="{00000000-0004-0000-0200-0000E1010000}"/>
    <hyperlink ref="F487" r:id="rId483" xr:uid="{00000000-0004-0000-0200-0000E2010000}"/>
    <hyperlink ref="F488" r:id="rId484" xr:uid="{00000000-0004-0000-0200-0000E3010000}"/>
    <hyperlink ref="F489" r:id="rId485" xr:uid="{00000000-0004-0000-0200-0000E4010000}"/>
    <hyperlink ref="F490" r:id="rId486" xr:uid="{00000000-0004-0000-0200-0000E5010000}"/>
    <hyperlink ref="F491" r:id="rId487" xr:uid="{00000000-0004-0000-0200-0000E6010000}"/>
    <hyperlink ref="F492" r:id="rId488" xr:uid="{00000000-0004-0000-0200-0000E7010000}"/>
    <hyperlink ref="F493" r:id="rId489" xr:uid="{00000000-0004-0000-0200-0000E8010000}"/>
    <hyperlink ref="F494" r:id="rId490" xr:uid="{00000000-0004-0000-0200-0000E9010000}"/>
    <hyperlink ref="F495" r:id="rId491" xr:uid="{00000000-0004-0000-0200-0000EA010000}"/>
    <hyperlink ref="F496" r:id="rId492" xr:uid="{00000000-0004-0000-0200-0000EB010000}"/>
    <hyperlink ref="F497" r:id="rId493" xr:uid="{00000000-0004-0000-0200-0000EC010000}"/>
    <hyperlink ref="F498" r:id="rId494" xr:uid="{00000000-0004-0000-0200-0000ED010000}"/>
    <hyperlink ref="F499" r:id="rId495" xr:uid="{00000000-0004-0000-0200-0000EE010000}"/>
    <hyperlink ref="F500" r:id="rId496" xr:uid="{00000000-0004-0000-0200-0000EF010000}"/>
    <hyperlink ref="F501" r:id="rId497" xr:uid="{00000000-0004-0000-0200-0000F0010000}"/>
    <hyperlink ref="F502" r:id="rId498" xr:uid="{00000000-0004-0000-0200-0000F1010000}"/>
    <hyperlink ref="F503" r:id="rId499" xr:uid="{00000000-0004-0000-0200-0000F2010000}"/>
    <hyperlink ref="F504" r:id="rId500" xr:uid="{00000000-0004-0000-0200-0000F3010000}"/>
    <hyperlink ref="F505" r:id="rId501" xr:uid="{00000000-0004-0000-0200-0000F4010000}"/>
    <hyperlink ref="F506" r:id="rId502" xr:uid="{00000000-0004-0000-0200-0000F5010000}"/>
    <hyperlink ref="F507" r:id="rId503" xr:uid="{00000000-0004-0000-0200-0000F6010000}"/>
    <hyperlink ref="F508" r:id="rId504" xr:uid="{00000000-0004-0000-0200-0000F7010000}"/>
    <hyperlink ref="F509" r:id="rId505" xr:uid="{00000000-0004-0000-0200-0000F8010000}"/>
    <hyperlink ref="F510" r:id="rId506" xr:uid="{00000000-0004-0000-0200-0000F9010000}"/>
    <hyperlink ref="F511" r:id="rId507" xr:uid="{00000000-0004-0000-0200-0000FA010000}"/>
    <hyperlink ref="F512" r:id="rId508" xr:uid="{00000000-0004-0000-0200-0000FB010000}"/>
    <hyperlink ref="F513" r:id="rId509" xr:uid="{00000000-0004-0000-0200-0000FC010000}"/>
    <hyperlink ref="F514" r:id="rId510" xr:uid="{00000000-0004-0000-0200-0000FD010000}"/>
    <hyperlink ref="F515" r:id="rId511" xr:uid="{00000000-0004-0000-0200-0000FE010000}"/>
    <hyperlink ref="F516" r:id="rId512" xr:uid="{00000000-0004-0000-0200-0000FF010000}"/>
    <hyperlink ref="F517" r:id="rId513" xr:uid="{00000000-0004-0000-0200-000000020000}"/>
    <hyperlink ref="F518" r:id="rId514" xr:uid="{00000000-0004-0000-0200-000001020000}"/>
    <hyperlink ref="F519" r:id="rId515" xr:uid="{00000000-0004-0000-0200-000002020000}"/>
    <hyperlink ref="F520" r:id="rId516" xr:uid="{00000000-0004-0000-0200-000003020000}"/>
    <hyperlink ref="F521" r:id="rId517" xr:uid="{00000000-0004-0000-0200-000004020000}"/>
    <hyperlink ref="F522" r:id="rId518" xr:uid="{00000000-0004-0000-0200-000005020000}"/>
    <hyperlink ref="F523" r:id="rId519" xr:uid="{00000000-0004-0000-0200-000006020000}"/>
    <hyperlink ref="F524" r:id="rId520" xr:uid="{00000000-0004-0000-0200-000007020000}"/>
    <hyperlink ref="F525" r:id="rId521" xr:uid="{00000000-0004-0000-0200-000008020000}"/>
    <hyperlink ref="F526" r:id="rId522" xr:uid="{00000000-0004-0000-0200-000009020000}"/>
    <hyperlink ref="F527" r:id="rId523" xr:uid="{00000000-0004-0000-0200-00000A020000}"/>
    <hyperlink ref="F528" r:id="rId524" xr:uid="{00000000-0004-0000-0200-00000B020000}"/>
    <hyperlink ref="F529" r:id="rId525" xr:uid="{00000000-0004-0000-0200-00000C020000}"/>
    <hyperlink ref="F530" r:id="rId526" xr:uid="{00000000-0004-0000-0200-00000D020000}"/>
    <hyperlink ref="F531" r:id="rId527" xr:uid="{00000000-0004-0000-0200-00000E020000}"/>
    <hyperlink ref="F532" r:id="rId528" xr:uid="{00000000-0004-0000-0200-00000F020000}"/>
    <hyperlink ref="F533" r:id="rId529" xr:uid="{00000000-0004-0000-0200-000010020000}"/>
    <hyperlink ref="F534" r:id="rId530" xr:uid="{00000000-0004-0000-0200-000011020000}"/>
    <hyperlink ref="F535" r:id="rId531" xr:uid="{00000000-0004-0000-0200-000012020000}"/>
    <hyperlink ref="F536" r:id="rId532" xr:uid="{00000000-0004-0000-0200-000013020000}"/>
    <hyperlink ref="F537" r:id="rId533" xr:uid="{00000000-0004-0000-0200-000014020000}"/>
    <hyperlink ref="F538" r:id="rId534" xr:uid="{00000000-0004-0000-0200-000015020000}"/>
    <hyperlink ref="F539" r:id="rId535" xr:uid="{00000000-0004-0000-0200-000016020000}"/>
    <hyperlink ref="F540" r:id="rId536" xr:uid="{00000000-0004-0000-0200-000017020000}"/>
    <hyperlink ref="F541" r:id="rId537" xr:uid="{00000000-0004-0000-0200-000018020000}"/>
    <hyperlink ref="F542" r:id="rId538" xr:uid="{00000000-0004-0000-0200-000019020000}"/>
    <hyperlink ref="F543" r:id="rId539" xr:uid="{00000000-0004-0000-0200-00001A020000}"/>
    <hyperlink ref="F544" r:id="rId540" xr:uid="{00000000-0004-0000-0200-00001B020000}"/>
    <hyperlink ref="F545" r:id="rId541" xr:uid="{00000000-0004-0000-0200-00001C020000}"/>
    <hyperlink ref="F546" r:id="rId542" xr:uid="{00000000-0004-0000-0200-00001D020000}"/>
    <hyperlink ref="F547" r:id="rId543" xr:uid="{00000000-0004-0000-0200-00001E020000}"/>
    <hyperlink ref="F548" r:id="rId544" xr:uid="{00000000-0004-0000-0200-00001F020000}"/>
    <hyperlink ref="F549" r:id="rId545" xr:uid="{00000000-0004-0000-0200-000020020000}"/>
    <hyperlink ref="F550" r:id="rId546" xr:uid="{00000000-0004-0000-0200-000021020000}"/>
    <hyperlink ref="F551" r:id="rId547" xr:uid="{00000000-0004-0000-0200-000022020000}"/>
    <hyperlink ref="F552" r:id="rId548" xr:uid="{00000000-0004-0000-0200-000023020000}"/>
    <hyperlink ref="F553" r:id="rId549" xr:uid="{00000000-0004-0000-0200-000024020000}"/>
    <hyperlink ref="F554" r:id="rId550" xr:uid="{00000000-0004-0000-0200-000025020000}"/>
    <hyperlink ref="F555" r:id="rId551" xr:uid="{00000000-0004-0000-0200-000026020000}"/>
    <hyperlink ref="F556" r:id="rId552" xr:uid="{00000000-0004-0000-0200-000027020000}"/>
    <hyperlink ref="F557" r:id="rId553" xr:uid="{00000000-0004-0000-0200-000028020000}"/>
    <hyperlink ref="F558" r:id="rId554" xr:uid="{00000000-0004-0000-0200-000029020000}"/>
    <hyperlink ref="F559" r:id="rId555" xr:uid="{00000000-0004-0000-0200-00002A020000}"/>
    <hyperlink ref="F560" r:id="rId556" xr:uid="{00000000-0004-0000-0200-00002B020000}"/>
    <hyperlink ref="F561" r:id="rId557" xr:uid="{00000000-0004-0000-0200-00002C020000}"/>
    <hyperlink ref="F562" r:id="rId558" xr:uid="{00000000-0004-0000-0200-00002D020000}"/>
    <hyperlink ref="F563" r:id="rId559" xr:uid="{00000000-0004-0000-0200-00002E020000}"/>
    <hyperlink ref="F564" r:id="rId560" xr:uid="{00000000-0004-0000-0200-00002F020000}"/>
    <hyperlink ref="F565" r:id="rId561" xr:uid="{00000000-0004-0000-0200-000030020000}"/>
    <hyperlink ref="F566" r:id="rId562" xr:uid="{00000000-0004-0000-0200-000031020000}"/>
    <hyperlink ref="F567" r:id="rId563" xr:uid="{00000000-0004-0000-0200-000032020000}"/>
    <hyperlink ref="F568" r:id="rId564" xr:uid="{00000000-0004-0000-0200-000033020000}"/>
    <hyperlink ref="F569" r:id="rId565" xr:uid="{00000000-0004-0000-0200-000034020000}"/>
    <hyperlink ref="F570" r:id="rId566" xr:uid="{00000000-0004-0000-0200-000035020000}"/>
    <hyperlink ref="F571" r:id="rId567" xr:uid="{00000000-0004-0000-0200-000036020000}"/>
    <hyperlink ref="F572" r:id="rId568" xr:uid="{00000000-0004-0000-0200-000037020000}"/>
    <hyperlink ref="F573" r:id="rId569" xr:uid="{00000000-0004-0000-0200-000038020000}"/>
    <hyperlink ref="F574" r:id="rId570" xr:uid="{00000000-0004-0000-0200-000039020000}"/>
    <hyperlink ref="F575" r:id="rId571" xr:uid="{00000000-0004-0000-0200-00003A020000}"/>
    <hyperlink ref="F576" r:id="rId572" xr:uid="{00000000-0004-0000-0200-00003B020000}"/>
    <hyperlink ref="F577" r:id="rId573" xr:uid="{00000000-0004-0000-0200-00003C020000}"/>
    <hyperlink ref="F578" r:id="rId574" xr:uid="{00000000-0004-0000-0200-00003D020000}"/>
    <hyperlink ref="F579" r:id="rId575" xr:uid="{00000000-0004-0000-0200-00003E020000}"/>
    <hyperlink ref="F580" r:id="rId576" xr:uid="{00000000-0004-0000-0200-00003F020000}"/>
    <hyperlink ref="F581" r:id="rId577" xr:uid="{00000000-0004-0000-0200-000040020000}"/>
    <hyperlink ref="F582" r:id="rId578" xr:uid="{00000000-0004-0000-0200-000041020000}"/>
    <hyperlink ref="F583" r:id="rId579" xr:uid="{00000000-0004-0000-0200-000042020000}"/>
    <hyperlink ref="F584" r:id="rId580" xr:uid="{00000000-0004-0000-0200-000043020000}"/>
    <hyperlink ref="F585" r:id="rId581" xr:uid="{00000000-0004-0000-0200-000044020000}"/>
    <hyperlink ref="F586" r:id="rId582" xr:uid="{00000000-0004-0000-0200-000045020000}"/>
    <hyperlink ref="F587" r:id="rId583" xr:uid="{00000000-0004-0000-0200-000046020000}"/>
    <hyperlink ref="F588" r:id="rId584" xr:uid="{00000000-0004-0000-0200-000047020000}"/>
    <hyperlink ref="F589" r:id="rId585" xr:uid="{00000000-0004-0000-0200-000048020000}"/>
    <hyperlink ref="F590" r:id="rId586" xr:uid="{00000000-0004-0000-0200-000049020000}"/>
    <hyperlink ref="F591" r:id="rId587" xr:uid="{00000000-0004-0000-0200-00004A020000}"/>
    <hyperlink ref="F592" r:id="rId588" xr:uid="{00000000-0004-0000-0200-00004B020000}"/>
    <hyperlink ref="F593" r:id="rId589" xr:uid="{00000000-0004-0000-0200-00004C020000}"/>
    <hyperlink ref="F594" r:id="rId590" xr:uid="{00000000-0004-0000-0200-00004D020000}"/>
    <hyperlink ref="F595" r:id="rId591" xr:uid="{00000000-0004-0000-0200-00004E020000}"/>
    <hyperlink ref="F596" r:id="rId592" xr:uid="{00000000-0004-0000-0200-00004F020000}"/>
    <hyperlink ref="F597" r:id="rId593" xr:uid="{00000000-0004-0000-0200-000050020000}"/>
    <hyperlink ref="F598" r:id="rId594" xr:uid="{00000000-0004-0000-0200-000051020000}"/>
    <hyperlink ref="F599" r:id="rId595" xr:uid="{00000000-0004-0000-0200-000052020000}"/>
    <hyperlink ref="F600" r:id="rId596" xr:uid="{00000000-0004-0000-0200-000053020000}"/>
    <hyperlink ref="F601" r:id="rId597" xr:uid="{00000000-0004-0000-0200-000054020000}"/>
    <hyperlink ref="F602" r:id="rId598" xr:uid="{00000000-0004-0000-0200-000055020000}"/>
    <hyperlink ref="F603" r:id="rId599" xr:uid="{00000000-0004-0000-0200-000056020000}"/>
    <hyperlink ref="F604" r:id="rId600" xr:uid="{00000000-0004-0000-0200-000057020000}"/>
    <hyperlink ref="F605" r:id="rId601" xr:uid="{00000000-0004-0000-0200-000058020000}"/>
    <hyperlink ref="F606" r:id="rId602" xr:uid="{00000000-0004-0000-0200-000059020000}"/>
    <hyperlink ref="F607" r:id="rId603" xr:uid="{00000000-0004-0000-0200-00005A020000}"/>
    <hyperlink ref="F608" r:id="rId604" xr:uid="{00000000-0004-0000-0200-00005B020000}"/>
    <hyperlink ref="F609" r:id="rId605" xr:uid="{00000000-0004-0000-0200-00005C020000}"/>
    <hyperlink ref="F610" r:id="rId606" xr:uid="{00000000-0004-0000-0200-00005D020000}"/>
    <hyperlink ref="F611" r:id="rId607" xr:uid="{00000000-0004-0000-0200-00005E020000}"/>
    <hyperlink ref="F612" r:id="rId608" xr:uid="{00000000-0004-0000-0200-00005F020000}"/>
    <hyperlink ref="F613" r:id="rId609" xr:uid="{00000000-0004-0000-0200-000060020000}"/>
    <hyperlink ref="F614" r:id="rId610" xr:uid="{00000000-0004-0000-0200-000061020000}"/>
    <hyperlink ref="F615" r:id="rId611" xr:uid="{00000000-0004-0000-0200-000062020000}"/>
    <hyperlink ref="F616" r:id="rId612" xr:uid="{00000000-0004-0000-0200-000063020000}"/>
    <hyperlink ref="F617" r:id="rId613" xr:uid="{00000000-0004-0000-0200-000064020000}"/>
    <hyperlink ref="F618" r:id="rId614" xr:uid="{00000000-0004-0000-0200-000065020000}"/>
    <hyperlink ref="F619" r:id="rId615" xr:uid="{00000000-0004-0000-0200-000066020000}"/>
    <hyperlink ref="F620" r:id="rId616" xr:uid="{00000000-0004-0000-0200-000067020000}"/>
    <hyperlink ref="F621" r:id="rId617" xr:uid="{00000000-0004-0000-0200-000068020000}"/>
    <hyperlink ref="F622" r:id="rId618" xr:uid="{00000000-0004-0000-0200-000069020000}"/>
    <hyperlink ref="F623" r:id="rId619" xr:uid="{00000000-0004-0000-0200-00006A020000}"/>
    <hyperlink ref="F624" r:id="rId620" xr:uid="{00000000-0004-0000-0200-00006B020000}"/>
    <hyperlink ref="F625" r:id="rId621" xr:uid="{00000000-0004-0000-0200-00006C020000}"/>
    <hyperlink ref="F626" r:id="rId622" xr:uid="{00000000-0004-0000-0200-00006D020000}"/>
    <hyperlink ref="F627" r:id="rId623" xr:uid="{00000000-0004-0000-0200-00006E020000}"/>
    <hyperlink ref="F628" r:id="rId624" xr:uid="{00000000-0004-0000-0200-00006F020000}"/>
    <hyperlink ref="F629" r:id="rId625" xr:uid="{00000000-0004-0000-0200-000070020000}"/>
    <hyperlink ref="F630" r:id="rId626" xr:uid="{00000000-0004-0000-0200-000071020000}"/>
    <hyperlink ref="F631" r:id="rId627" xr:uid="{00000000-0004-0000-0200-000072020000}"/>
    <hyperlink ref="F632" r:id="rId628" xr:uid="{00000000-0004-0000-0200-000073020000}"/>
    <hyperlink ref="F633" r:id="rId629" xr:uid="{00000000-0004-0000-0200-000074020000}"/>
    <hyperlink ref="F634" r:id="rId630" xr:uid="{00000000-0004-0000-0200-000075020000}"/>
    <hyperlink ref="F635" r:id="rId631" xr:uid="{00000000-0004-0000-0200-000076020000}"/>
    <hyperlink ref="F636" r:id="rId632" xr:uid="{00000000-0004-0000-0200-000077020000}"/>
  </hyperlinks>
  <pageMargins left="0.7" right="0.7" top="0.75" bottom="0.75" header="0.3" footer="0.3"/>
  <tableParts count="1">
    <tablePart r:id="rId63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GE2024 RESULTS</vt:lpstr>
      <vt:lpstr>SoPN (UK)</vt:lpstr>
      <vt:lpstr>SoPN (GB)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Padraig Alton</cp:lastModifiedBy>
  <dcterms:modified xsi:type="dcterms:W3CDTF">2024-07-07T18:53:35Z</dcterms:modified>
</cp:coreProperties>
</file>